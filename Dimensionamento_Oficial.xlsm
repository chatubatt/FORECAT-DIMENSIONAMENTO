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stefaninilatam-my.sharepoint.com/personal/hsrodrigues_latam_stefanini_com/Documents/Desktop/BV/FORECAST/"/>
    </mc:Choice>
  </mc:AlternateContent>
  <xr:revisionPtr revIDLastSave="489011" documentId="8_{E1E1099B-1350-4207-B77E-8509D40EE108}" xr6:coauthVersionLast="47" xr6:coauthVersionMax="47" xr10:uidLastSave="{8F228C0C-BD24-47BD-86C7-AA6F6C9F4E79}"/>
  <bookViews>
    <workbookView xWindow="-120" yWindow="-120" windowWidth="20640" windowHeight="11040" tabRatio="666" firstSheet="1" activeTab="7" xr2:uid="{00000000-000D-0000-FFFF-FFFF00000000}"/>
  </bookViews>
  <sheets>
    <sheet name="TTAB171" sheetId="75" state="hidden" r:id="rId1"/>
    <sheet name="CURVAS_INTRA" sheetId="140" r:id="rId2"/>
    <sheet name="CURVAS_DIM" sheetId="148" state="hidden" r:id="rId3"/>
    <sheet name="CENARIOS" sheetId="154" state="hidden" r:id="rId4"/>
    <sheet name="CONFIG" sheetId="141" r:id="rId5"/>
    <sheet name="DIM" sheetId="142" r:id="rId6"/>
    <sheet name="GRAF_DIM_NEC" sheetId="146" state="hidden" r:id="rId7"/>
    <sheet name="OUTPUT" sheetId="149" r:id="rId8"/>
    <sheet name="Glossário" sheetId="150" state="hidden" r:id="rId9"/>
    <sheet name="DIM_RESUMO" sheetId="155" r:id="rId10"/>
    <sheet name="OFERTA DE TURNO" sheetId="159" state="hidden" r:id="rId11"/>
    <sheet name="INFOGRAFICO" sheetId="157" state="hidden" r:id="rId12"/>
    <sheet name="GERAR_REGUA" sheetId="152" r:id="rId13"/>
    <sheet name="HE" sheetId="156" state="hidden" r:id="rId14"/>
  </sheets>
  <functionGroups builtInGroupCount="19"/>
  <externalReferences>
    <externalReference r:id="rId15"/>
    <externalReference r:id="rId16"/>
    <externalReference r:id="rId17"/>
  </externalReferences>
  <definedNames>
    <definedName name="__LongName" localSheetId="0">TTAB171!$B$17</definedName>
    <definedName name="__ReadOnly" localSheetId="0">TTAB171!$B$16</definedName>
    <definedName name="_ErlBHighA" localSheetId="0">TTAB171!$B$182</definedName>
    <definedName name="_ErlBInv" localSheetId="0">TTAB171!$B$602</definedName>
    <definedName name="_ErlBLAG15" localSheetId="0">TTAB171!$B$281</definedName>
    <definedName name="_ErlBMain" localSheetId="0">TTAB171!$B$120</definedName>
    <definedName name="_ErlBReg" localSheetId="0">TTAB171!$B$168</definedName>
    <definedName name="_ErlbTrap" localSheetId="0">TTAB171!$B$193</definedName>
    <definedName name="_ErlCInv" localSheetId="0">TTAB171!$B$678</definedName>
    <definedName name="_xlnm._FilterDatabase" localSheetId="10" hidden="1">'OFERTA DE TURNO'!$B$8:$D$8</definedName>
    <definedName name="_xlnm._FilterDatabase" localSheetId="7" hidden="1">OUTPUT!$A$1:$AF$1489</definedName>
    <definedName name="_LGW01" localSheetId="0">TTAB171!$B$403</definedName>
    <definedName name="_LGW02" localSheetId="0">TTAB171!$B$404</definedName>
    <definedName name="_LGW03" localSheetId="0">TTAB171!$B$405</definedName>
    <definedName name="_LGW04" localSheetId="0">TTAB171!$B$406</definedName>
    <definedName name="_LGW05" localSheetId="0">TTAB171!$B$407</definedName>
    <definedName name="_LGW06" localSheetId="0">TTAB171!$B$408</definedName>
    <definedName name="_LGW07" localSheetId="0">TTAB171!$B$409</definedName>
    <definedName name="_LGW08" localSheetId="0">TTAB171!$B$410</definedName>
    <definedName name="_LGW09" localSheetId="0">TTAB171!$B$411</definedName>
    <definedName name="_LGW10" localSheetId="0">TTAB171!$B$412</definedName>
    <definedName name="_LGW11" localSheetId="0">TTAB171!$B$413</definedName>
    <definedName name="_LGW12" localSheetId="0">TTAB171!$B$414</definedName>
    <definedName name="_LGW13" localSheetId="0">TTAB171!$B$415</definedName>
    <definedName name="_LGW14" localSheetId="0">TTAB171!$B$416</definedName>
    <definedName name="_LGX01" localSheetId="0">TTAB171!$B$388</definedName>
    <definedName name="_LGX02" localSheetId="0">TTAB171!$B$389</definedName>
    <definedName name="_LGX03" localSheetId="0">TTAB171!$B$390</definedName>
    <definedName name="_LGX04" localSheetId="0">TTAB171!$B$391</definedName>
    <definedName name="_LGX05" localSheetId="0">TTAB171!$B$392</definedName>
    <definedName name="_LGX06" localSheetId="0">TTAB171!$B$393</definedName>
    <definedName name="_LGX07" localSheetId="0">TTAB171!$B$394</definedName>
    <definedName name="_LGX08" localSheetId="0">TTAB171!$B$395</definedName>
    <definedName name="_LGX09" localSheetId="0">TTAB171!$B$396</definedName>
    <definedName name="_LGX10" localSheetId="0">TTAB171!$B$397</definedName>
    <definedName name="_LGX11" localSheetId="0">TTAB171!$B$398</definedName>
    <definedName name="_LGX12" localSheetId="0">TTAB171!$B$399</definedName>
    <definedName name="_LGX13" localSheetId="0">TTAB171!$B$400</definedName>
    <definedName name="_LGX14" localSheetId="0">TTAB171!$B$401</definedName>
    <definedName name="_PoisErlB" localSheetId="0">TTAB171!$B$383</definedName>
    <definedName name="_PoissExact" localSheetId="0">TTAB171!$B$341</definedName>
    <definedName name="_PoissForward" localSheetId="0">TTAB171!$B$371</definedName>
    <definedName name="_PoissInv" localSheetId="0">TTAB171!$B$641</definedName>
    <definedName name="_PoissMain" localSheetId="0">TTAB171!$B$298</definedName>
    <definedName name="A" localSheetId="0">TTAB171!$B$68</definedName>
    <definedName name="A_A" localSheetId="0">TTAB171!$B$852</definedName>
    <definedName name="A_B0" localSheetId="0">TTAB171!$B$856</definedName>
    <definedName name="A_BTest" localSheetId="0">TTAB171!$B$871</definedName>
    <definedName name="A_C" localSheetId="0">TTAB171!$B$855</definedName>
    <definedName name="A_CCS" localSheetId="0">TTAB171!$B$78</definedName>
    <definedName name="A_END" localSheetId="0">TTAB171!$B$885</definedName>
    <definedName name="A_ERLB" localSheetId="0">TTAB171!$B$867</definedName>
    <definedName name="A_ERLC" localSheetId="0">TTAB171!$B$869</definedName>
    <definedName name="A_EXP" localSheetId="0">TTAB171!$B$866</definedName>
    <definedName name="A_in_CCS" localSheetId="0">TTAB171!$B$81</definedName>
    <definedName name="A_in_Erl" localSheetId="0">TTAB171!$B$92</definedName>
    <definedName name="A_N" localSheetId="0">TTAB171!$B$865</definedName>
    <definedName name="A_OCC" localSheetId="0">TTAB171!$B$868</definedName>
    <definedName name="A_SLP" localSheetId="0">TTAB171!$B$853</definedName>
    <definedName name="A_SLT" localSheetId="0">TTAB171!$B$854</definedName>
    <definedName name="A_T" localSheetId="0">TTAB171!$B$850</definedName>
    <definedName name="A_too_Big" localSheetId="0">TTAB171!$B$10</definedName>
    <definedName name="_xlnm.Auto_Open" xlm="1" shortcutKey="a">TTAB171!$B$14:$B$32</definedName>
    <definedName name="AgentC_A" localSheetId="0">TTAB171!$B$840</definedName>
    <definedName name="AgentC_C" localSheetId="0">TTAB171!$B$843</definedName>
    <definedName name="AgentC_SLP" localSheetId="0">TTAB171!$B$841</definedName>
    <definedName name="AgentC_SLT" localSheetId="0">TTAB171!$B$842</definedName>
    <definedName name="Agents" localSheetId="10" function="1" xlm="1">[1]TTAB171!$B$847</definedName>
    <definedName name="Agents" function="1" xlm="1">TTAB171!$B$847</definedName>
    <definedName name="AgentsC" function="1" xlm="1">TTAB171!$B$835</definedName>
    <definedName name="_xlnm.Print_Area" localSheetId="0">TTAB171!$A$498:$D$536</definedName>
    <definedName name="ASA" localSheetId="10" function="1" xlm="1">[1]TTAB171!$B$942</definedName>
    <definedName name="ASA" function="1" xlm="1">TTAB171!$B$942</definedName>
    <definedName name="ASAC" function="1" xlm="1">TTAB171!$B$930</definedName>
    <definedName name="ASAC_A" localSheetId="0">TTAB171!$B$935</definedName>
    <definedName name="ASAC_C" localSheetId="0">TTAB171!$B$937</definedName>
    <definedName name="ASAC_Flag" localSheetId="0">TTAB171!$B$938</definedName>
    <definedName name="ASAC_N" localSheetId="0">TTAB171!$B$936</definedName>
    <definedName name="B" localSheetId="0">TTAB171!$B$69</definedName>
    <definedName name="BadTTab" localSheetId="0">TTAB171!$E$47:$K$61</definedName>
    <definedName name="C_AOLD" localSheetId="0">TTAB171!$B$741</definedName>
    <definedName name="C_B" localSheetId="0">TTAB171!$B$117</definedName>
    <definedName name="C_DA" localSheetId="0">TTAB171!$B$743</definedName>
    <definedName name="C_DANEW" localSheetId="0">TTAB171!$B$742</definedName>
    <definedName name="C_DB" localSheetId="0">TTAB171!$B$740</definedName>
    <definedName name="C_ERLB" localSheetId="0">TTAB171!$B$735</definedName>
    <definedName name="C_ERLC" localSheetId="0">TTAB171!$B$739</definedName>
    <definedName name="C_OCC" localSheetId="0">TTAB171!$B$738</definedName>
    <definedName name="CCS_too_Big" localSheetId="0">TTAB171!$B$11</definedName>
    <definedName name="CENAR">CENARIOS!$1:$1</definedName>
    <definedName name="CENTRA">CENARIOS!$A$2:$A$1087</definedName>
    <definedName name="Conv_Time" localSheetId="0">TTAB171!$B$855</definedName>
    <definedName name="D_A" localSheetId="0">TTAB171!$B$904</definedName>
    <definedName name="D_C" localSheetId="0">TTAB171!$B$907</definedName>
    <definedName name="D_ERLC" localSheetId="0">TTAB171!$B$924</definedName>
    <definedName name="D_Exact" localSheetId="0">TTAB171!$B$908</definedName>
    <definedName name="D_N" localSheetId="0">TTAB171!$B$905</definedName>
    <definedName name="D_Q" localSheetId="0">TTAB171!$B$925</definedName>
    <definedName name="D_T" localSheetId="0">TTAB171!$B$906</definedName>
    <definedName name="Date" localSheetId="0">TTAB171!$B$3</definedName>
    <definedName name="DelayQ" localSheetId="10" function="1" xlm="1">[1]TTAB171!$B$899</definedName>
    <definedName name="DelayQ" function="1" xlm="1">TTAB171!$B$899</definedName>
    <definedName name="DelayQC" function="1" xlm="1">TTAB171!$B$887</definedName>
    <definedName name="DelayQC_A" localSheetId="0">TTAB171!$B$892</definedName>
    <definedName name="DelayQC_C" localSheetId="0">TTAB171!$B$895</definedName>
    <definedName name="DelayQC_N" localSheetId="0">TTAB171!$B$893</definedName>
    <definedName name="DelayQC_T" localSheetId="0">TTAB171!$B$894</definedName>
    <definedName name="E_A" localSheetId="0">TTAB171!$B$92</definedName>
    <definedName name="E_COUNT" localSheetId="0">2</definedName>
    <definedName name="E_E" localSheetId="0">TTAB171!$B$107</definedName>
    <definedName name="E_E0" localSheetId="0">TTAB171!$B$171</definedName>
    <definedName name="E_ERLB" localSheetId="0">TTAB171!$B$153</definedName>
    <definedName name="E_ERLC" localSheetId="0">TTAB171!$B$156</definedName>
    <definedName name="E_Exact" localSheetId="0">TTAB171!$B$108</definedName>
    <definedName name="E_ExactTemp" localSheetId="0">TTAB171!$B$107</definedName>
    <definedName name="E_F" localSheetId="0">TTAB171!$B$101</definedName>
    <definedName name="E_F6" localSheetId="0">TTAB171!$B$111</definedName>
    <definedName name="E_F6Temp" localSheetId="0">TTAB171!$B$110</definedName>
    <definedName name="E_Form" localSheetId="0">TTAB171!$B$102</definedName>
    <definedName name="E_FormTemp" localSheetId="0">TTAB171!$B$101</definedName>
    <definedName name="E_LOOP" localSheetId="0">TTAB171!$B$174</definedName>
    <definedName name="E_N" localSheetId="0">TTAB171!$B$97</definedName>
    <definedName name="E_OCC" localSheetId="0">TTAB171!$B$155</definedName>
    <definedName name="E_UseLag" localSheetId="10">[1]TTAB171!$B$419</definedName>
    <definedName name="E_UseLag">TTAB171!$B$419</definedName>
    <definedName name="E_X" localSheetId="10">[1]TTAB171!$B$121</definedName>
    <definedName name="E_X">TTAB171!$B$121</definedName>
    <definedName name="ExamplePath" localSheetId="0">TTAB171!$K$27</definedName>
    <definedName name="ExcelCompany" localSheetId="0">TTAB171!$B$19</definedName>
    <definedName name="ExcelUser" localSheetId="0">TTAB171!$B$18</definedName>
    <definedName name="Export_D">OFFSET([2]ESCALA!$D$1,0,0,COUNTA([2]ESCALA!$D:$D))</definedName>
    <definedName name="Export_I">OFFSET([2]ESCALA!$I$1,0,0,COUNTA([2]ESCALA!$I:$I))</definedName>
    <definedName name="Export_J">OFFSET([2]ESCALA!$J$1,0,0,COUNTA([2]ESCALA!$J:$J))</definedName>
    <definedName name="Flag" localSheetId="0">TTAB171!$B$950</definedName>
    <definedName name="Formula" localSheetId="0">TTAB171!$B$101</definedName>
    <definedName name="Gold_ax" localSheetId="10">[1]TTAB171!$B$783</definedName>
    <definedName name="Gold_ax">TTAB171!$B$783</definedName>
    <definedName name="Gold_bx" localSheetId="10">[1]TTAB171!$B$784</definedName>
    <definedName name="Gold_bx">TTAB171!$B$784</definedName>
    <definedName name="Gold_C" localSheetId="10">[1]TTAB171!$B$775</definedName>
    <definedName name="Gold_C">TTAB171!$B$775</definedName>
    <definedName name="Gold_cx" localSheetId="10">[1]TTAB171!$B$785</definedName>
    <definedName name="Gold_cx">TTAB171!$B$785</definedName>
    <definedName name="Gold_f1" localSheetId="10">[1]TTAB171!$B$803</definedName>
    <definedName name="Gold_f1">TTAB171!$B$803</definedName>
    <definedName name="Gold_f2" localSheetId="10">[1]TTAB171!$B$804</definedName>
    <definedName name="Gold_f2">TTAB171!$B$804</definedName>
    <definedName name="Gold_Form" localSheetId="10">[1]TTAB171!$B$786</definedName>
    <definedName name="Gold_Form">TTAB171!$B$786</definedName>
    <definedName name="Gold_Func" localSheetId="10">[1]TTAB171!$B$786</definedName>
    <definedName name="Gold_Func">TTAB171!$B$786</definedName>
    <definedName name="Gold_Param1" localSheetId="10">[1]TTAB171!$B$787</definedName>
    <definedName name="Gold_Param1">TTAB171!$B$787</definedName>
    <definedName name="Gold_Param2" localSheetId="10">[1]TTAB171!$B$789</definedName>
    <definedName name="Gold_Param2">TTAB171!$B$789</definedName>
    <definedName name="Gold_R" localSheetId="10">[1]TTAB171!$B$774</definedName>
    <definedName name="Gold_R">TTAB171!$B$774</definedName>
    <definedName name="Gold_Tol" localSheetId="10">[1]TTAB171!$B$788</definedName>
    <definedName name="Gold_Tol">TTAB171!$B$788</definedName>
    <definedName name="Gold_x" localSheetId="0">0.342326090088635</definedName>
    <definedName name="gold_x0" localSheetId="10">[1]TTAB171!$B$791</definedName>
    <definedName name="gold_x0">TTAB171!$B$791</definedName>
    <definedName name="Gold_x1" localSheetId="10">[1]TTAB171!$B$792</definedName>
    <definedName name="Gold_x1">TTAB171!$B$792</definedName>
    <definedName name="Gold_x2" localSheetId="10">[1]TTAB171!$B$793</definedName>
    <definedName name="Gold_x2">TTAB171!$B$793</definedName>
    <definedName name="Gold_x3" localSheetId="10">[1]TTAB171!$B$794</definedName>
    <definedName name="Gold_x3">TTAB171!$B$794</definedName>
    <definedName name="Golden" localSheetId="10">[1]TTAB171!$B$776</definedName>
    <definedName name="Golden">TTAB171!$B$776</definedName>
    <definedName name="GoldFunc" localSheetId="10">[1]TTAB171!$B$827</definedName>
    <definedName name="GoldFunc">TTAB171!$B$827</definedName>
    <definedName name="GOS" localSheetId="10" function="1" xlm="1">[1]TTAB171!$B$87</definedName>
    <definedName name="GOS" function="1" xlm="1">TTAB171!$B$87</definedName>
    <definedName name="GOS_Required" localSheetId="0">TTAB171!$B$561</definedName>
    <definedName name="GOSC_A" localSheetId="0">TTAB171!$B$81</definedName>
    <definedName name="GOSC_Form" localSheetId="0">TTAB171!$B$83</definedName>
    <definedName name="GOSC_N" localSheetId="0">TTAB171!$B$82</definedName>
    <definedName name="H_AHigh" localSheetId="0">TTAB171!$B$184</definedName>
    <definedName name="H_Count" localSheetId="0">981</definedName>
    <definedName name="idCreateDirectory" localSheetId="0">"#1"</definedName>
    <definedName name="INDI" localSheetId="10">SUMPRODUCT(IF((#REF!&amp;"!"&amp;#REF!)=#REF!,[3]RD_VAREJO_ATT!$N$38:$N$1048576),IF([3]RD_VAREJO_ATT!$B$38:$B$1048576=#REF!,[3]RD_VAREJO_ATT!$L$38:$L$1048576))/SUMIFS([3]RD_VAREJO_ATT!$L$38:$L$1048576,[3]RD_VAREJO_ATT!$B$38:$B$1048576,#REF!)</definedName>
    <definedName name="INDI">SUMPRODUCT(IF((#REF!&amp;"!"&amp;#REF!)=#REF!,[3]RD_VAREJO_ATT!$N$38:$N$1048576),IF([3]RD_VAREJO_ATT!$B$38:$B$1048576=#REF!,[3]RD_VAREJO_ATT!$L$38:$L$1048576))/SUMIFS([3]RD_VAREJO_ATT!$L$38:$L$1048576,[3]RD_VAREJO_ATT!$B$38:$B$1048576,#REF!)</definedName>
    <definedName name="INIT" localSheetId="0">TTAB171!$J$17:$J$62</definedName>
    <definedName name="InitDialog" localSheetId="0">TTAB171!$K$18:$K$62</definedName>
    <definedName name="Installed" localSheetId="0">TTAB171!$B$35</definedName>
    <definedName name="InstallPath" localSheetId="0">TTAB171!$K$25</definedName>
    <definedName name="InstCCS" localSheetId="0">TTAB171!$K$29</definedName>
    <definedName name="InstErl" localSheetId="0">TTAB171!$K$28</definedName>
    <definedName name="InstExamples" localSheetId="0">TTAB171!$K$26</definedName>
    <definedName name="InstProg" localSheetId="0">TTAB171!$K$24</definedName>
    <definedName name="InstTTab" localSheetId="0">TTAB171!$E$18:$K$31</definedName>
    <definedName name="L_Exact" localSheetId="0">TTAB171!$B$130</definedName>
    <definedName name="LGW00" localSheetId="0">TTAB171!$B$402</definedName>
    <definedName name="LGX00" localSheetId="0">TTAB171!$B$387</definedName>
    <definedName name="LLOOP" localSheetId="0">TTAB171!$B$499</definedName>
    <definedName name="LoadTTab" localSheetId="0">TTAB171!$E$36:$K$42</definedName>
    <definedName name="LOG" localSheetId="0">TTAB171!$N$1</definedName>
    <definedName name="LRESTART" localSheetId="0">TTAB171!$B$490</definedName>
    <definedName name="Mac" localSheetId="0">(LEFT(GET.WORKSPACE(1),3)="Mac")</definedName>
    <definedName name="MaxN" localSheetId="0">TTAB171!$B$7</definedName>
    <definedName name="MaxNTest" localSheetId="0">TTAB171!$B$8</definedName>
    <definedName name="mco01.AutoOpen" localSheetId="0">TTAB171!$B$13</definedName>
    <definedName name="mcs07a.Documents" localSheetId="0">{"AUTOSAVE.XLA","INSTAL.XLM","TURBOTAB.XLA"}</definedName>
    <definedName name="mcs07a.Group" localSheetId="0">#N/A</definedName>
    <definedName name="mfs26.verbose." localSheetId="0">TTAB171!$B$563</definedName>
    <definedName name="N" localSheetId="0">TTAB171!$B$70</definedName>
    <definedName name="N_A" localSheetId="0">TTAB171!$B$452</definedName>
    <definedName name="N_B0" localSheetId="0">TTAB171!$B$453</definedName>
    <definedName name="N_BNew" localSheetId="0">TTAB171!$B$512</definedName>
    <definedName name="N_BTest" localSheetId="0">TTAB171!$B$477</definedName>
    <definedName name="N_DB" localSheetId="0">TTAB171!$B$510</definedName>
    <definedName name="N_ERLB" localSheetId="0">TTAB171!$B$492</definedName>
    <definedName name="N_Exact" localSheetId="0">TTAB171!$B$469</definedName>
    <definedName name="N_ExactTemp" localSheetId="0">TTAB171!$B$468</definedName>
    <definedName name="N_F6" localSheetId="0">TTAB171!$B$473</definedName>
    <definedName name="N_F6Temp" localSheetId="0">TTAB171!$B$472</definedName>
    <definedName name="N_FIRST" localSheetId="0">TTAB171!$B$500</definedName>
    <definedName name="N_Form" localSheetId="0">TTAB171!$B$462</definedName>
    <definedName name="N_FormTemp" localSheetId="0">TTAB171!$B$461</definedName>
    <definedName name="N_MAIN" localSheetId="0">TTAB171!$B$525</definedName>
    <definedName name="N_N" localSheetId="0">19408</definedName>
    <definedName name="N_NFlag" localSheetId="0">TTAB171!$B$491</definedName>
    <definedName name="N_Nstart1" localSheetId="0">TTAB171!$B$475</definedName>
    <definedName name="N_OCC" localSheetId="0">TTAB171!$B$502</definedName>
    <definedName name="N_OUT" localSheetId="0">TTAB171!$B$474</definedName>
    <definedName name="N_POIS" localSheetId="0">TTAB171!$B$509</definedName>
    <definedName name="N_too_Big" localSheetId="0">TTAB171!$B$9</definedName>
    <definedName name="NC_A" localSheetId="0">TTAB171!$B$441</definedName>
    <definedName name="NC_B0" localSheetId="0">TTAB171!$B$442</definedName>
    <definedName name="NC_Exact" localSheetId="0">TTAB171!#REF!</definedName>
    <definedName name="NC_F6" localSheetId="0">TTAB171!#REF!</definedName>
    <definedName name="NC_Form" localSheetId="0">TTAB171!$B$443</definedName>
    <definedName name="NLines" localSheetId="10" function="1" xlm="1">[1]TTAB171!$B$448</definedName>
    <definedName name="NLines" function="1" xlm="1">TTAB171!$B$448</definedName>
    <definedName name="NLinesC" function="1" xlm="1">TTAB171!$B$437</definedName>
    <definedName name="NOME_CURVAS">CURVAS_INTRA!$C$1:$XFD$1</definedName>
    <definedName name="NOME_CURVAS_DIM">CURVAS_DIM!$B$1:$XFD$1</definedName>
    <definedName name="Num_Agents" localSheetId="0">TTAB171!$B$905</definedName>
    <definedName name="Num_Trunks" localSheetId="0">TTAB171!$B$1006</definedName>
    <definedName name="Numb_Lines" localSheetId="0">TTAB171!$B$97</definedName>
    <definedName name="P_B" localSheetId="0">TTAB171!$B$299</definedName>
    <definedName name="P_C" localSheetId="0">TTAB171!$B$315</definedName>
    <definedName name="P_DB" localSheetId="0">TTAB171!$B$305</definedName>
    <definedName name="P_END" localSheetId="0">TTAB171!$B$336</definedName>
    <definedName name="P_L" localSheetId="0">5086</definedName>
    <definedName name="P_N0" localSheetId="0">TTAB171!$B$313</definedName>
    <definedName name="P_S" localSheetId="0">TTAB171!$B$306</definedName>
    <definedName name="P_TEST" localSheetId="0">TTAB171!$B$312</definedName>
    <definedName name="P_X" localSheetId="0">TTAB171!$B$314</definedName>
    <definedName name="P_X0" localSheetId="0">TTAB171!$B$316</definedName>
    <definedName name="PathText" localSheetId="0">TTAB171!#REF!</definedName>
    <definedName name="PROGRAM" localSheetId="0">TTAB171!$A$1:$B$1043</definedName>
    <definedName name="qsimp" localSheetId="10">[1]TTAB171!$B$223</definedName>
    <definedName name="qsimp">TTAB171!$B$223</definedName>
    <definedName name="qsimp_j" localSheetId="0">3</definedName>
    <definedName name="qsimp_Lower" localSheetId="10">[1]TTAB171!$B$227</definedName>
    <definedName name="qsimp_Lower">TTAB171!$B$227</definedName>
    <definedName name="qsimp_os" localSheetId="10">[1]TTAB171!$B$229</definedName>
    <definedName name="qsimp_os">TTAB171!$B$229</definedName>
    <definedName name="qsimp_ost" localSheetId="10">[1]TTAB171!$B$231</definedName>
    <definedName name="qsimp_ost">TTAB171!$B$231</definedName>
    <definedName name="qsimp_s" localSheetId="10">[1]TTAB171!$B$230</definedName>
    <definedName name="qsimp_s">TTAB171!$B$230</definedName>
    <definedName name="qsimp_st" localSheetId="10">[1]TTAB171!$B$232</definedName>
    <definedName name="qsimp_st">TTAB171!$B$232</definedName>
    <definedName name="qsimp_Upper" localSheetId="10">[1]TTAB171!$B$228</definedName>
    <definedName name="qsimp_Upper">TTAB171!$B$228</definedName>
    <definedName name="regCD" localSheetId="0">TTAB171!#REF!</definedName>
    <definedName name="RegCompany" localSheetId="0">TTAB171!$J$41</definedName>
    <definedName name="RegFE" localSheetId="0">TTAB171!#REF!</definedName>
    <definedName name="RegisterDLLs." localSheetId="0">TTAB171!#REF!</definedName>
    <definedName name="RegName" localSheetId="0">TTAB171!$J$39</definedName>
    <definedName name="S_A" localSheetId="0">TTAB171!$B$947</definedName>
    <definedName name="S_ASA" localSheetId="0">TTAB171!$B$971</definedName>
    <definedName name="S_C" localSheetId="0">TTAB171!$B$949</definedName>
    <definedName name="S_ERLC" localSheetId="0">TTAB171!$B$969</definedName>
    <definedName name="S_Exact" localSheetId="0">TTAB171!$B$967</definedName>
    <definedName name="S_ExactTemp" localSheetId="0">TTAB171!$B$966</definedName>
    <definedName name="S_Flag" localSheetId="0">TTAB171!$B$950</definedName>
    <definedName name="S_N" localSheetId="0">TTAB171!$B$948</definedName>
    <definedName name="S_ROUND" localSheetId="0">TTAB171!$B$974</definedName>
    <definedName name="SHEET" localSheetId="0">TTAB171!$A$1:$AH$1098</definedName>
    <definedName name="SL_Prop" localSheetId="0">TTAB171!$B$853</definedName>
    <definedName name="SL_Time" localSheetId="0">TTAB171!$B$854</definedName>
    <definedName name="T" localSheetId="0">TTAB171!$B$71</definedName>
    <definedName name="T_A" localSheetId="0">TTAB171!$B$596</definedName>
    <definedName name="T_Atest" localSheetId="0">TTAB171!$B$600</definedName>
    <definedName name="T_B" localSheetId="0">TTAB171!$B$599</definedName>
    <definedName name="T_B0" localSheetId="0">TTAB171!$B$561</definedName>
    <definedName name="T_C" localSheetId="0">TTAB171!$B$659</definedName>
    <definedName name="T_DA" localSheetId="0">TTAB171!$B$598</definedName>
    <definedName name="T_DAOLD" localSheetId="0">TTAB171!$B$712</definedName>
    <definedName name="T_DB" localSheetId="0">TTAB171!$B$597</definedName>
    <definedName name="T_END" localSheetId="0">TTAB171!$B$590</definedName>
    <definedName name="T_Exact" localSheetId="0">TTAB171!$B$577</definedName>
    <definedName name="T_ExactTemp" localSheetId="0">TTAB171!$B$576</definedName>
    <definedName name="T_F6" localSheetId="0">TTAB171!$B$581</definedName>
    <definedName name="T_F6Temp" localSheetId="0">TTAB171!$B$580</definedName>
    <definedName name="T_Form" localSheetId="0">TTAB171!$B$570</definedName>
    <definedName name="T_FormTemp" localSheetId="0">TTAB171!$B$569</definedName>
    <definedName name="T_LowerLimit" localSheetId="10">[1]TTAB171!$B$682</definedName>
    <definedName name="T_LowerLimit">TTAB171!$B$682</definedName>
    <definedName name="T_N" localSheetId="0">TTAB171!$B$560</definedName>
    <definedName name="T_N0" localSheetId="0">TTAB171!$B$658</definedName>
    <definedName name="T_PTemp" localSheetId="0">TTAB171!$B$646</definedName>
    <definedName name="T_Ptest" localSheetId="0">TTAB171!$B$656</definedName>
    <definedName name="T_Round" localSheetId="0">TTAB171!$B$591</definedName>
    <definedName name="T_Steps" localSheetId="0">TTAB171!$B$601</definedName>
    <definedName name="T_X" localSheetId="0">TTAB171!$B$711</definedName>
    <definedName name="TABELA_MATRIZ">CONFIG!$B$6:$XFD$36</definedName>
    <definedName name="Talk_Time" localSheetId="0">TTAB171!$B$906</definedName>
    <definedName name="TC_B0" localSheetId="0">TTAB171!$B$544</definedName>
    <definedName name="TC_Exact" localSheetId="0">TTAB171!#REF!</definedName>
    <definedName name="TC_F6" localSheetId="0">TTAB171!#REF!</definedName>
    <definedName name="TC_Form" localSheetId="0">TTAB171!$B$545</definedName>
    <definedName name="TC_N" localSheetId="0">TTAB171!$B$543</definedName>
    <definedName name="temp" localSheetId="0">TTAB171!#REF!</definedName>
    <definedName name="Test_Time" localSheetId="0">TTAB171!$B$906</definedName>
    <definedName name="TestLag" localSheetId="10">[1]TTAB171!$B$418</definedName>
    <definedName name="TestLag">TTAB171!$B$418</definedName>
    <definedName name="Title" localSheetId="0">TTAB171!#REF!</definedName>
    <definedName name="Traffic" localSheetId="10" function="1" xlm="1">[1]TTAB171!$B$555</definedName>
    <definedName name="Traffic" function="1" xlm="1">TTAB171!$B$555</definedName>
    <definedName name="TrafficC" function="1" xlm="1">TTAB171!$B$539</definedName>
    <definedName name="Trap_A0" localSheetId="10">[1]TTAB171!$B$206</definedName>
    <definedName name="Trap_A0">TTAB171!$B$206</definedName>
    <definedName name="Trap_B0" localSheetId="10">[1]TTAB171!$B$207</definedName>
    <definedName name="Trap_B0">TTAB171!$B$207</definedName>
    <definedName name="Trap_C0" localSheetId="10">[1]TTAB171!$B$209</definedName>
    <definedName name="Trap_C0">TTAB171!$B$209</definedName>
    <definedName name="Trap_Const">TTAB171!$B$196</definedName>
    <definedName name="Trap_E0" localSheetId="10">[1]TTAB171!$B$213</definedName>
    <definedName name="Trap_E0">TTAB171!$B$213</definedName>
    <definedName name="Trap_Nfact">TTAB171!$B$197</definedName>
    <definedName name="Trap_Radical" localSheetId="10">[1]TTAB171!$B$210</definedName>
    <definedName name="Trap_Radical">TTAB171!$B$210</definedName>
    <definedName name="Trap_X" localSheetId="10">[1]TTAB171!$B$194</definedName>
    <definedName name="Trap_X">TTAB171!$B$194</definedName>
    <definedName name="TrapFN" localSheetId="10">[1]TTAB171!$B$273</definedName>
    <definedName name="TrapFN">TTAB171!$B$273</definedName>
    <definedName name="TrapFN_X" localSheetId="10">[1]TTAB171!$B$275</definedName>
    <definedName name="TrapFN_X">TTAB171!$B$275</definedName>
    <definedName name="TRAPZD" localSheetId="10">[1]TTAB171!$B$247</definedName>
    <definedName name="TRAPZD">TTAB171!$B$247</definedName>
    <definedName name="Trapzd_del" localSheetId="10">[1]TTAB171!$B$261</definedName>
    <definedName name="Trapzd_del">TTAB171!$B$261</definedName>
    <definedName name="Trapzd_Lower" localSheetId="10">[1]TTAB171!$B$252</definedName>
    <definedName name="Trapzd_Lower">TTAB171!$B$252</definedName>
    <definedName name="Trapzd_N" localSheetId="0">3</definedName>
    <definedName name="Trapzd_S" localSheetId="10">[1]TTAB171!$B$257</definedName>
    <definedName name="Trapzd_S">TTAB171!$B$257</definedName>
    <definedName name="Trapzd_steps" localSheetId="10">[1]TTAB171!$B$254</definedName>
    <definedName name="Trapzd_steps">TTAB171!$B$254</definedName>
    <definedName name="trapzd_Sum" localSheetId="10">[1]TTAB171!$B$263</definedName>
    <definedName name="trapzd_Sum">TTAB171!$B$263</definedName>
    <definedName name="Trapzd_tnm" localSheetId="10">[1]TTAB171!$B$260</definedName>
    <definedName name="Trapzd_tnm">TTAB171!$B$260</definedName>
    <definedName name="Trapzd_Upper" localSheetId="10">[1]TTAB171!$B$253</definedName>
    <definedName name="Trapzd_Upper">TTAB171!$B$253</definedName>
    <definedName name="trapzd_x" localSheetId="10">[1]TTAB171!$B$262</definedName>
    <definedName name="trapzd_x">TTAB171!$B$262</definedName>
    <definedName name="Trunk" localSheetId="10" function="1" xlm="1">[1]TTAB171!$B$998</definedName>
    <definedName name="Trunk" function="1" xlm="1">TTAB171!$B$998</definedName>
    <definedName name="Trunk_A" localSheetId="0">TTAB171!$B$1003</definedName>
    <definedName name="Trunk_END" localSheetId="0">TTAB171!$B$1041</definedName>
    <definedName name="Trunk_ERLB" localSheetId="0">TTAB171!$B$1031</definedName>
    <definedName name="Trunk_ERLC" localSheetId="0">TTAB171!$B$1038</definedName>
    <definedName name="Trunk_Exact" localSheetId="0">TTAB171!$B$1007</definedName>
    <definedName name="Trunk_FORM" localSheetId="0">TTAB171!$B$1005</definedName>
    <definedName name="Trunk_M" localSheetId="0">TTAB171!$B$1006</definedName>
    <definedName name="Trunk_N" localSheetId="0">TTAB171!$B$1004</definedName>
    <definedName name="Trunk_Num" localSheetId="0">TTAB171!$B$1004</definedName>
    <definedName name="Trunk_Pois" localSheetId="0">TTAB171!$B$1035</definedName>
    <definedName name="Trunk_Q" localSheetId="0">TTAB171!$B$1033</definedName>
    <definedName name="Trunk_T" localSheetId="0">TTAB171!$B$1032</definedName>
    <definedName name="TrunkC_A" localSheetId="0">TTAB171!$B$984</definedName>
    <definedName name="TrunkC_Form" localSheetId="0">TTAB171!$B$986</definedName>
    <definedName name="TrunkC_M" localSheetId="0">TTAB171!$B$987</definedName>
    <definedName name="TrunkC_N" localSheetId="0">TTAB171!$B$985</definedName>
    <definedName name="TTName" localSheetId="0">TTAB171!$B$4</definedName>
    <definedName name="TurboTabC" function="1" xlm="1">TTAB171!$B$2</definedName>
    <definedName name="ud01.AutoSave" localSheetId="0">TTAB171!$E$5:$K$17</definedName>
    <definedName name="ud01b.Prompt" localSheetId="0">TTAB171!#REF!</definedName>
    <definedName name="ud01b.SaveAll" localSheetId="0">TTAB171!#REF!</definedName>
    <definedName name="ud01n.Frequency" localSheetId="0">TTAB171!#REF!</definedName>
    <definedName name="ud02.SaveNow" localSheetId="0">TTAB171!$E$20:$K$22</definedName>
    <definedName name="ud02c.Text" localSheetId="0">TTAB171!$J$19</definedName>
    <definedName name="um01.AutoSave" localSheetId="0">TTAB171!#REF!</definedName>
    <definedName name="VerMod" localSheetId="0">TTAB171!$B$36:$B$36</definedName>
    <definedName name="Version" localSheetId="0">TTAB171!$B$2</definedName>
    <definedName name="zLowerLimit" localSheetId="10">[1]TTAB171!$B$215</definedName>
    <definedName name="zLowerLimit">TTAB171!$B$215</definedName>
    <definedName name="zMax" localSheetId="10">[1]TTAB171!$B$205</definedName>
    <definedName name="zMax">TTAB171!$B$205</definedName>
    <definedName name="zUpperLimit" localSheetId="10">[1]TTAB171!$B$211</definedName>
    <definedName name="zUpperLimit">TTAB171!$B$211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41" l="1"/>
  <c r="BF36" i="141" l="1"/>
  <c r="AW36" i="141"/>
  <c r="AN36" i="141"/>
  <c r="AE36" i="141"/>
  <c r="E36" i="141"/>
  <c r="F36" i="141"/>
  <c r="I36" i="141" l="1"/>
  <c r="L37" i="141"/>
  <c r="BF35" i="141"/>
  <c r="AW35" i="141"/>
  <c r="AN35" i="141"/>
  <c r="AE35" i="141"/>
  <c r="F35" i="141"/>
  <c r="F34" i="141"/>
  <c r="E35" i="141"/>
  <c r="E34" i="141"/>
  <c r="I34" i="141" l="1"/>
  <c r="I35" i="141"/>
  <c r="F32" i="141" l="1"/>
  <c r="E27" i="141" l="1"/>
  <c r="F27" i="141"/>
  <c r="E28" i="141"/>
  <c r="F28" i="141"/>
  <c r="E29" i="141"/>
  <c r="F29" i="141"/>
  <c r="E30" i="141"/>
  <c r="F30" i="141"/>
  <c r="E31" i="141"/>
  <c r="F31" i="141"/>
  <c r="E32" i="141"/>
  <c r="I32" i="141" s="1"/>
  <c r="E33" i="141"/>
  <c r="F33" i="141"/>
  <c r="I28" i="141" l="1"/>
  <c r="I33" i="141"/>
  <c r="I27" i="141"/>
  <c r="I30" i="141"/>
  <c r="I29" i="141"/>
  <c r="I31" i="141"/>
  <c r="E1491" i="149" l="1"/>
  <c r="C1" i="152" l="1"/>
  <c r="Q43" i="150"/>
  <c r="Q42" i="150"/>
  <c r="Q22" i="150"/>
  <c r="BO34" i="149"/>
  <c r="BD34" i="149"/>
  <c r="BC34" i="149"/>
  <c r="BB34" i="149"/>
  <c r="BA34" i="149"/>
  <c r="AX34" i="149"/>
  <c r="AW34" i="149"/>
  <c r="AV34" i="149"/>
  <c r="AU34" i="149"/>
  <c r="AT34" i="149"/>
  <c r="AR34" i="149"/>
  <c r="AQ34" i="149"/>
  <c r="AP34" i="149"/>
  <c r="AO34" i="149"/>
  <c r="AH3" i="149"/>
  <c r="DL1" i="149"/>
  <c r="AM163" i="142"/>
  <c r="O163" i="142"/>
  <c r="N163" i="142"/>
  <c r="M163" i="142"/>
  <c r="L163" i="142"/>
  <c r="AM162" i="142"/>
  <c r="O162" i="142"/>
  <c r="N162" i="142"/>
  <c r="M162" i="142"/>
  <c r="L162" i="142"/>
  <c r="AM161" i="142"/>
  <c r="O161" i="142"/>
  <c r="N161" i="142"/>
  <c r="M161" i="142"/>
  <c r="L161" i="142"/>
  <c r="AM160" i="142"/>
  <c r="O160" i="142"/>
  <c r="N160" i="142"/>
  <c r="M160" i="142"/>
  <c r="L160" i="142"/>
  <c r="AM159" i="142"/>
  <c r="O159" i="142"/>
  <c r="N159" i="142"/>
  <c r="M159" i="142"/>
  <c r="L159" i="142"/>
  <c r="AM158" i="142"/>
  <c r="O158" i="142"/>
  <c r="N158" i="142"/>
  <c r="M158" i="142"/>
  <c r="L158" i="142"/>
  <c r="AM157" i="142"/>
  <c r="O157" i="142"/>
  <c r="N157" i="142"/>
  <c r="M157" i="142"/>
  <c r="L157" i="142"/>
  <c r="AM156" i="142"/>
  <c r="O156" i="142"/>
  <c r="N156" i="142"/>
  <c r="M156" i="142"/>
  <c r="L156" i="142"/>
  <c r="AM155" i="142"/>
  <c r="O155" i="142"/>
  <c r="N155" i="142"/>
  <c r="M155" i="142"/>
  <c r="L155" i="142"/>
  <c r="AM154" i="142"/>
  <c r="O154" i="142"/>
  <c r="N154" i="142"/>
  <c r="M154" i="142"/>
  <c r="L154" i="142"/>
  <c r="AM153" i="142"/>
  <c r="O153" i="142"/>
  <c r="N153" i="142"/>
  <c r="M153" i="142"/>
  <c r="L153" i="142"/>
  <c r="AM152" i="142"/>
  <c r="O152" i="142"/>
  <c r="N152" i="142"/>
  <c r="M152" i="142"/>
  <c r="L152" i="142"/>
  <c r="AM151" i="142"/>
  <c r="O151" i="142"/>
  <c r="N151" i="142"/>
  <c r="M151" i="142"/>
  <c r="L151" i="142"/>
  <c r="AM150" i="142"/>
  <c r="O150" i="142"/>
  <c r="N150" i="142"/>
  <c r="M150" i="142"/>
  <c r="L150" i="142"/>
  <c r="AM149" i="142"/>
  <c r="O149" i="142"/>
  <c r="N149" i="142"/>
  <c r="M149" i="142"/>
  <c r="L149" i="142"/>
  <c r="AM148" i="142"/>
  <c r="O148" i="142"/>
  <c r="N148" i="142"/>
  <c r="M148" i="142"/>
  <c r="L148" i="142"/>
  <c r="AM147" i="142"/>
  <c r="O147" i="142"/>
  <c r="N147" i="142"/>
  <c r="M147" i="142"/>
  <c r="L147" i="142"/>
  <c r="AM146" i="142"/>
  <c r="O146" i="142"/>
  <c r="N146" i="142"/>
  <c r="M146" i="142"/>
  <c r="L146" i="142"/>
  <c r="AM145" i="142"/>
  <c r="O145" i="142"/>
  <c r="N145" i="142"/>
  <c r="M145" i="142"/>
  <c r="L145" i="142"/>
  <c r="AM144" i="142"/>
  <c r="O144" i="142"/>
  <c r="N144" i="142"/>
  <c r="M144" i="142"/>
  <c r="L144" i="142"/>
  <c r="AM143" i="142"/>
  <c r="O143" i="142"/>
  <c r="N143" i="142"/>
  <c r="M143" i="142"/>
  <c r="L143" i="142"/>
  <c r="AM142" i="142"/>
  <c r="O142" i="142"/>
  <c r="N142" i="142"/>
  <c r="M142" i="142"/>
  <c r="L142" i="142"/>
  <c r="AM141" i="142"/>
  <c r="O141" i="142"/>
  <c r="N141" i="142"/>
  <c r="M141" i="142"/>
  <c r="L141" i="142"/>
  <c r="AM140" i="142"/>
  <c r="O140" i="142"/>
  <c r="N140" i="142"/>
  <c r="M140" i="142"/>
  <c r="L140" i="142"/>
  <c r="AM139" i="142"/>
  <c r="O139" i="142"/>
  <c r="N139" i="142"/>
  <c r="M139" i="142"/>
  <c r="L139" i="142"/>
  <c r="AM138" i="142"/>
  <c r="O138" i="142"/>
  <c r="N138" i="142"/>
  <c r="M138" i="142"/>
  <c r="L138" i="142"/>
  <c r="AM137" i="142"/>
  <c r="O137" i="142"/>
  <c r="N137" i="142"/>
  <c r="M137" i="142"/>
  <c r="L137" i="142"/>
  <c r="AM136" i="142"/>
  <c r="O136" i="142"/>
  <c r="N136" i="142"/>
  <c r="M136" i="142"/>
  <c r="L136" i="142"/>
  <c r="AM135" i="142"/>
  <c r="O135" i="142"/>
  <c r="N135" i="142"/>
  <c r="M135" i="142"/>
  <c r="L135" i="142"/>
  <c r="AM134" i="142"/>
  <c r="O134" i="142"/>
  <c r="N134" i="142"/>
  <c r="M134" i="142"/>
  <c r="L134" i="142"/>
  <c r="AM133" i="142"/>
  <c r="O133" i="142"/>
  <c r="N133" i="142"/>
  <c r="M133" i="142"/>
  <c r="L133" i="142"/>
  <c r="AM132" i="142"/>
  <c r="O132" i="142"/>
  <c r="N132" i="142"/>
  <c r="M132" i="142"/>
  <c r="L132" i="142"/>
  <c r="AM131" i="142"/>
  <c r="O131" i="142"/>
  <c r="N131" i="142"/>
  <c r="M131" i="142"/>
  <c r="L131" i="142"/>
  <c r="AM130" i="142"/>
  <c r="O130" i="142"/>
  <c r="N130" i="142"/>
  <c r="M130" i="142"/>
  <c r="L130" i="142"/>
  <c r="AM129" i="142"/>
  <c r="O129" i="142"/>
  <c r="N129" i="142"/>
  <c r="M129" i="142"/>
  <c r="L129" i="142"/>
  <c r="AM128" i="142"/>
  <c r="O128" i="142"/>
  <c r="N128" i="142"/>
  <c r="M128" i="142"/>
  <c r="L128" i="142"/>
  <c r="AM127" i="142"/>
  <c r="O127" i="142"/>
  <c r="N127" i="142"/>
  <c r="M127" i="142"/>
  <c r="L127" i="142"/>
  <c r="AM126" i="142"/>
  <c r="O126" i="142"/>
  <c r="N126" i="142"/>
  <c r="M126" i="142"/>
  <c r="L126" i="142"/>
  <c r="AM125" i="142"/>
  <c r="O125" i="142"/>
  <c r="N125" i="142"/>
  <c r="M125" i="142"/>
  <c r="L125" i="142"/>
  <c r="AM124" i="142"/>
  <c r="O124" i="142"/>
  <c r="N124" i="142"/>
  <c r="M124" i="142"/>
  <c r="L124" i="142"/>
  <c r="AM123" i="142"/>
  <c r="O123" i="142"/>
  <c r="N123" i="142"/>
  <c r="M123" i="142"/>
  <c r="L123" i="142"/>
  <c r="AM122" i="142"/>
  <c r="O122" i="142"/>
  <c r="N122" i="142"/>
  <c r="M122" i="142"/>
  <c r="L122" i="142"/>
  <c r="AM121" i="142"/>
  <c r="O121" i="142"/>
  <c r="N121" i="142"/>
  <c r="M121" i="142"/>
  <c r="L121" i="142"/>
  <c r="AM120" i="142"/>
  <c r="O120" i="142"/>
  <c r="N120" i="142"/>
  <c r="M120" i="142"/>
  <c r="L120" i="142"/>
  <c r="AM119" i="142"/>
  <c r="O119" i="142"/>
  <c r="N119" i="142"/>
  <c r="M119" i="142"/>
  <c r="L119" i="142"/>
  <c r="AM118" i="142"/>
  <c r="O118" i="142"/>
  <c r="N118" i="142"/>
  <c r="M118" i="142"/>
  <c r="L118" i="142"/>
  <c r="AM117" i="142"/>
  <c r="O117" i="142"/>
  <c r="N117" i="142"/>
  <c r="M117" i="142"/>
  <c r="L117" i="142"/>
  <c r="AM116" i="142"/>
  <c r="O116" i="142"/>
  <c r="N116" i="142"/>
  <c r="M116" i="142"/>
  <c r="L116" i="142"/>
  <c r="AM115" i="142"/>
  <c r="O115" i="142"/>
  <c r="N115" i="142"/>
  <c r="M115" i="142"/>
  <c r="L115" i="142"/>
  <c r="AM114" i="142"/>
  <c r="O114" i="142"/>
  <c r="N114" i="142"/>
  <c r="M114" i="142"/>
  <c r="L114" i="142"/>
  <c r="AM113" i="142"/>
  <c r="O113" i="142"/>
  <c r="N113" i="142"/>
  <c r="M113" i="142"/>
  <c r="L113" i="142"/>
  <c r="AM112" i="142"/>
  <c r="O112" i="142"/>
  <c r="N112" i="142"/>
  <c r="M112" i="142"/>
  <c r="L112" i="142"/>
  <c r="AM111" i="142"/>
  <c r="O111" i="142"/>
  <c r="N111" i="142"/>
  <c r="M111" i="142"/>
  <c r="L111" i="142"/>
  <c r="AM110" i="142"/>
  <c r="O110" i="142"/>
  <c r="N110" i="142"/>
  <c r="M110" i="142"/>
  <c r="L110" i="142"/>
  <c r="AM109" i="142"/>
  <c r="O109" i="142"/>
  <c r="N109" i="142"/>
  <c r="M109" i="142"/>
  <c r="L109" i="142"/>
  <c r="AM108" i="142"/>
  <c r="O108" i="142"/>
  <c r="N108" i="142"/>
  <c r="M108" i="142"/>
  <c r="L108" i="142"/>
  <c r="AM107" i="142"/>
  <c r="O107" i="142"/>
  <c r="N107" i="142"/>
  <c r="M107" i="142"/>
  <c r="L107" i="142"/>
  <c r="AM106" i="142"/>
  <c r="O106" i="142"/>
  <c r="N106" i="142"/>
  <c r="M106" i="142"/>
  <c r="L106" i="142"/>
  <c r="AM105" i="142"/>
  <c r="O105" i="142"/>
  <c r="N105" i="142"/>
  <c r="M105" i="142"/>
  <c r="L105" i="142"/>
  <c r="AM104" i="142"/>
  <c r="O104" i="142"/>
  <c r="N104" i="142"/>
  <c r="M104" i="142"/>
  <c r="L104" i="142"/>
  <c r="AM103" i="142"/>
  <c r="O103" i="142"/>
  <c r="N103" i="142"/>
  <c r="M103" i="142"/>
  <c r="L103" i="142"/>
  <c r="AM102" i="142"/>
  <c r="O102" i="142"/>
  <c r="N102" i="142"/>
  <c r="M102" i="142"/>
  <c r="L102" i="142"/>
  <c r="AM101" i="142"/>
  <c r="O101" i="142"/>
  <c r="N101" i="142"/>
  <c r="M101" i="142"/>
  <c r="L101" i="142"/>
  <c r="AM100" i="142"/>
  <c r="O100" i="142"/>
  <c r="N100" i="142"/>
  <c r="M100" i="142"/>
  <c r="L100" i="142"/>
  <c r="AM99" i="142"/>
  <c r="O99" i="142"/>
  <c r="N99" i="142"/>
  <c r="M99" i="142"/>
  <c r="L99" i="142"/>
  <c r="AM98" i="142"/>
  <c r="O98" i="142"/>
  <c r="N98" i="142"/>
  <c r="M98" i="142"/>
  <c r="L98" i="142"/>
  <c r="AM97" i="142"/>
  <c r="O97" i="142"/>
  <c r="N97" i="142"/>
  <c r="M97" i="142"/>
  <c r="L97" i="142"/>
  <c r="AM96" i="142"/>
  <c r="O96" i="142"/>
  <c r="N96" i="142"/>
  <c r="M96" i="142"/>
  <c r="L96" i="142"/>
  <c r="AM95" i="142"/>
  <c r="O95" i="142"/>
  <c r="N95" i="142"/>
  <c r="M95" i="142"/>
  <c r="L95" i="142"/>
  <c r="AM94" i="142"/>
  <c r="O94" i="142"/>
  <c r="N94" i="142"/>
  <c r="M94" i="142"/>
  <c r="L94" i="142"/>
  <c r="AM93" i="142"/>
  <c r="O93" i="142"/>
  <c r="N93" i="142"/>
  <c r="M93" i="142"/>
  <c r="L93" i="142"/>
  <c r="AM92" i="142"/>
  <c r="O92" i="142"/>
  <c r="N92" i="142"/>
  <c r="M92" i="142"/>
  <c r="L92" i="142"/>
  <c r="AM91" i="142"/>
  <c r="O91" i="142"/>
  <c r="N91" i="142"/>
  <c r="M91" i="142"/>
  <c r="L91" i="142"/>
  <c r="AM90" i="142"/>
  <c r="O90" i="142"/>
  <c r="N90" i="142"/>
  <c r="M90" i="142"/>
  <c r="L90" i="142"/>
  <c r="AM89" i="142"/>
  <c r="O89" i="142"/>
  <c r="N89" i="142"/>
  <c r="M89" i="142"/>
  <c r="L89" i="142"/>
  <c r="AM88" i="142"/>
  <c r="O88" i="142"/>
  <c r="N88" i="142"/>
  <c r="M88" i="142"/>
  <c r="L88" i="142"/>
  <c r="AM87" i="142"/>
  <c r="O87" i="142"/>
  <c r="N87" i="142"/>
  <c r="M87" i="142"/>
  <c r="L87" i="142"/>
  <c r="AM86" i="142"/>
  <c r="O86" i="142"/>
  <c r="N86" i="142"/>
  <c r="M86" i="142"/>
  <c r="L86" i="142"/>
  <c r="AM85" i="142"/>
  <c r="O85" i="142"/>
  <c r="N85" i="142"/>
  <c r="M85" i="142"/>
  <c r="L85" i="142"/>
  <c r="AM84" i="142"/>
  <c r="O84" i="142"/>
  <c r="N84" i="142"/>
  <c r="M84" i="142"/>
  <c r="L84" i="142"/>
  <c r="AM83" i="142"/>
  <c r="O83" i="142"/>
  <c r="N83" i="142"/>
  <c r="M83" i="142"/>
  <c r="L83" i="142"/>
  <c r="AM82" i="142"/>
  <c r="O82" i="142"/>
  <c r="N82" i="142"/>
  <c r="M82" i="142"/>
  <c r="L82" i="142"/>
  <c r="AM81" i="142"/>
  <c r="O81" i="142"/>
  <c r="N81" i="142"/>
  <c r="M81" i="142"/>
  <c r="L81" i="142"/>
  <c r="AM80" i="142"/>
  <c r="O80" i="142"/>
  <c r="N80" i="142"/>
  <c r="M80" i="142"/>
  <c r="L80" i="142"/>
  <c r="AM79" i="142"/>
  <c r="O79" i="142"/>
  <c r="N79" i="142"/>
  <c r="M79" i="142"/>
  <c r="L79" i="142"/>
  <c r="AM78" i="142"/>
  <c r="O78" i="142"/>
  <c r="N78" i="142"/>
  <c r="M78" i="142"/>
  <c r="L78" i="142"/>
  <c r="AM77" i="142"/>
  <c r="O77" i="142"/>
  <c r="N77" i="142"/>
  <c r="M77" i="142"/>
  <c r="L77" i="142"/>
  <c r="AM76" i="142"/>
  <c r="O76" i="142"/>
  <c r="N76" i="142"/>
  <c r="M76" i="142"/>
  <c r="L76" i="142"/>
  <c r="AM75" i="142"/>
  <c r="O75" i="142"/>
  <c r="N75" i="142"/>
  <c r="M75" i="142"/>
  <c r="L75" i="142"/>
  <c r="AM74" i="142"/>
  <c r="O74" i="142"/>
  <c r="N74" i="142"/>
  <c r="M74" i="142"/>
  <c r="L74" i="142"/>
  <c r="AM73" i="142"/>
  <c r="O73" i="142"/>
  <c r="N73" i="142"/>
  <c r="M73" i="142"/>
  <c r="L73" i="142"/>
  <c r="AM72" i="142"/>
  <c r="O72" i="142"/>
  <c r="N72" i="142"/>
  <c r="M72" i="142"/>
  <c r="L72" i="142"/>
  <c r="AM71" i="142"/>
  <c r="O71" i="142"/>
  <c r="N71" i="142"/>
  <c r="M71" i="142"/>
  <c r="L71" i="142"/>
  <c r="AM70" i="142"/>
  <c r="O70" i="142"/>
  <c r="N70" i="142"/>
  <c r="M70" i="142"/>
  <c r="L70" i="142"/>
  <c r="AM69" i="142"/>
  <c r="O69" i="142"/>
  <c r="N69" i="142"/>
  <c r="M69" i="142"/>
  <c r="L69" i="142"/>
  <c r="AM68" i="142"/>
  <c r="O68" i="142"/>
  <c r="N68" i="142"/>
  <c r="M68" i="142"/>
  <c r="L68" i="142"/>
  <c r="AM67" i="142"/>
  <c r="O67" i="142"/>
  <c r="N67" i="142"/>
  <c r="M67" i="142"/>
  <c r="L67" i="142"/>
  <c r="AM66" i="142"/>
  <c r="O66" i="142"/>
  <c r="N66" i="142"/>
  <c r="M66" i="142"/>
  <c r="L66" i="142"/>
  <c r="AM65" i="142"/>
  <c r="O65" i="142"/>
  <c r="N65" i="142"/>
  <c r="M65" i="142"/>
  <c r="L65" i="142"/>
  <c r="AM64" i="142"/>
  <c r="O64" i="142"/>
  <c r="N64" i="142"/>
  <c r="M64" i="142"/>
  <c r="L64" i="142"/>
  <c r="AM63" i="142"/>
  <c r="O63" i="142"/>
  <c r="N63" i="142"/>
  <c r="M63" i="142"/>
  <c r="L63" i="142"/>
  <c r="AM62" i="142"/>
  <c r="O62" i="142"/>
  <c r="N62" i="142"/>
  <c r="M62" i="142"/>
  <c r="L62" i="142"/>
  <c r="AM61" i="142"/>
  <c r="O61" i="142"/>
  <c r="N61" i="142"/>
  <c r="M61" i="142"/>
  <c r="L61" i="142"/>
  <c r="AM60" i="142"/>
  <c r="O60" i="142"/>
  <c r="N60" i="142"/>
  <c r="M60" i="142"/>
  <c r="L60" i="142"/>
  <c r="AM59" i="142"/>
  <c r="O59" i="142"/>
  <c r="N59" i="142"/>
  <c r="M59" i="142"/>
  <c r="L59" i="142"/>
  <c r="AM58" i="142"/>
  <c r="O58" i="142"/>
  <c r="N58" i="142"/>
  <c r="M58" i="142"/>
  <c r="L58" i="142"/>
  <c r="AM57" i="142"/>
  <c r="O57" i="142"/>
  <c r="N57" i="142"/>
  <c r="M57" i="142"/>
  <c r="L57" i="142"/>
  <c r="AM56" i="142"/>
  <c r="O56" i="142"/>
  <c r="N56" i="142"/>
  <c r="M56" i="142"/>
  <c r="L56" i="142"/>
  <c r="AM55" i="142"/>
  <c r="O55" i="142"/>
  <c r="N55" i="142"/>
  <c r="M55" i="142"/>
  <c r="L55" i="142"/>
  <c r="AM54" i="142"/>
  <c r="O54" i="142"/>
  <c r="N54" i="142"/>
  <c r="M54" i="142"/>
  <c r="L54" i="142"/>
  <c r="AM53" i="142"/>
  <c r="O53" i="142"/>
  <c r="N53" i="142"/>
  <c r="M53" i="142"/>
  <c r="L53" i="142"/>
  <c r="AM52" i="142"/>
  <c r="O52" i="142"/>
  <c r="N52" i="142"/>
  <c r="M52" i="142"/>
  <c r="L52" i="142"/>
  <c r="AM51" i="142"/>
  <c r="O51" i="142"/>
  <c r="N51" i="142"/>
  <c r="M51" i="142"/>
  <c r="L51" i="142"/>
  <c r="AM50" i="142"/>
  <c r="O50" i="142"/>
  <c r="N50" i="142"/>
  <c r="M50" i="142"/>
  <c r="L50" i="142"/>
  <c r="AM49" i="142"/>
  <c r="O49" i="142"/>
  <c r="N49" i="142"/>
  <c r="M49" i="142"/>
  <c r="L49" i="142"/>
  <c r="AM48" i="142"/>
  <c r="O48" i="142"/>
  <c r="N48" i="142"/>
  <c r="M48" i="142"/>
  <c r="L48" i="142"/>
  <c r="AM47" i="142"/>
  <c r="O47" i="142"/>
  <c r="N47" i="142"/>
  <c r="M47" i="142"/>
  <c r="L47" i="142"/>
  <c r="AM46" i="142"/>
  <c r="O46" i="142"/>
  <c r="N46" i="142"/>
  <c r="M46" i="142"/>
  <c r="L46" i="142"/>
  <c r="AM45" i="142"/>
  <c r="O45" i="142"/>
  <c r="N45" i="142"/>
  <c r="M45" i="142"/>
  <c r="L45" i="142"/>
  <c r="AM44" i="142"/>
  <c r="O44" i="142"/>
  <c r="N44" i="142"/>
  <c r="M44" i="142"/>
  <c r="L44" i="142"/>
  <c r="AM43" i="142"/>
  <c r="O43" i="142"/>
  <c r="N43" i="142"/>
  <c r="M43" i="142"/>
  <c r="L43" i="142"/>
  <c r="AM42" i="142"/>
  <c r="O42" i="142"/>
  <c r="N42" i="142"/>
  <c r="M42" i="142"/>
  <c r="L42" i="142"/>
  <c r="AM41" i="142"/>
  <c r="O41" i="142"/>
  <c r="N41" i="142"/>
  <c r="M41" i="142"/>
  <c r="L41" i="142"/>
  <c r="AM40" i="142"/>
  <c r="O40" i="142"/>
  <c r="N40" i="142"/>
  <c r="M40" i="142"/>
  <c r="L40" i="142"/>
  <c r="AM39" i="142"/>
  <c r="O39" i="142"/>
  <c r="N39" i="142"/>
  <c r="M39" i="142"/>
  <c r="L39" i="142"/>
  <c r="AM38" i="142"/>
  <c r="O38" i="142"/>
  <c r="N38" i="142"/>
  <c r="M38" i="142"/>
  <c r="L38" i="142"/>
  <c r="AM37" i="142"/>
  <c r="O37" i="142"/>
  <c r="N37" i="142"/>
  <c r="M37" i="142"/>
  <c r="L37" i="142"/>
  <c r="AM36" i="142"/>
  <c r="O36" i="142"/>
  <c r="N36" i="142"/>
  <c r="M36" i="142"/>
  <c r="L36" i="142"/>
  <c r="AM35" i="142"/>
  <c r="O35" i="142"/>
  <c r="N35" i="142"/>
  <c r="M35" i="142"/>
  <c r="L35" i="142"/>
  <c r="AZ34" i="142"/>
  <c r="AM34" i="142"/>
  <c r="O34" i="142"/>
  <c r="N34" i="142"/>
  <c r="M34" i="142"/>
  <c r="L34" i="142"/>
  <c r="AM33" i="142"/>
  <c r="O33" i="142"/>
  <c r="N33" i="142"/>
  <c r="M33" i="142"/>
  <c r="L33" i="142"/>
  <c r="AM32" i="142"/>
  <c r="O32" i="142"/>
  <c r="N32" i="142"/>
  <c r="M32" i="142"/>
  <c r="L32" i="142"/>
  <c r="AM31" i="142"/>
  <c r="O31" i="142"/>
  <c r="N31" i="142"/>
  <c r="M31" i="142"/>
  <c r="L31" i="142"/>
  <c r="AM30" i="142"/>
  <c r="O30" i="142"/>
  <c r="N30" i="142"/>
  <c r="M30" i="142"/>
  <c r="L30" i="142"/>
  <c r="AM29" i="142"/>
  <c r="O29" i="142"/>
  <c r="N29" i="142"/>
  <c r="M29" i="142"/>
  <c r="L29" i="142"/>
  <c r="AM28" i="142"/>
  <c r="O28" i="142"/>
  <c r="N28" i="142"/>
  <c r="M28" i="142"/>
  <c r="L28" i="142"/>
  <c r="AM27" i="142"/>
  <c r="O27" i="142"/>
  <c r="N27" i="142"/>
  <c r="M27" i="142"/>
  <c r="L27" i="142"/>
  <c r="AM26" i="142"/>
  <c r="O26" i="142"/>
  <c r="N26" i="142"/>
  <c r="M26" i="142"/>
  <c r="L26" i="142"/>
  <c r="AM25" i="142"/>
  <c r="O25" i="142"/>
  <c r="N25" i="142"/>
  <c r="M25" i="142"/>
  <c r="L25" i="142"/>
  <c r="AM24" i="142"/>
  <c r="O24" i="142"/>
  <c r="N24" i="142"/>
  <c r="M24" i="142"/>
  <c r="L24" i="142"/>
  <c r="AM23" i="142"/>
  <c r="O23" i="142"/>
  <c r="N23" i="142"/>
  <c r="M23" i="142"/>
  <c r="L23" i="142"/>
  <c r="AM22" i="142"/>
  <c r="O22" i="142"/>
  <c r="N22" i="142"/>
  <c r="M22" i="142"/>
  <c r="L22" i="142"/>
  <c r="AM21" i="142"/>
  <c r="O21" i="142"/>
  <c r="N21" i="142"/>
  <c r="M21" i="142"/>
  <c r="L21" i="142"/>
  <c r="AM20" i="142"/>
  <c r="O20" i="142"/>
  <c r="N20" i="142"/>
  <c r="M20" i="142"/>
  <c r="L20" i="142"/>
  <c r="AF19" i="142"/>
  <c r="AE19" i="142"/>
  <c r="AA10" i="142" s="1"/>
  <c r="AD19" i="142"/>
  <c r="AA9" i="142" s="1"/>
  <c r="AC19" i="142"/>
  <c r="AB19" i="142"/>
  <c r="AA19" i="142"/>
  <c r="AA6" i="142" s="1"/>
  <c r="Z19" i="142"/>
  <c r="AA5" i="142" s="1"/>
  <c r="W19" i="142"/>
  <c r="O19" i="142"/>
  <c r="N19" i="142"/>
  <c r="M19" i="142"/>
  <c r="L19" i="142"/>
  <c r="S18" i="142"/>
  <c r="AF17" i="142"/>
  <c r="AE17" i="142"/>
  <c r="AD17" i="142"/>
  <c r="AC17" i="142"/>
  <c r="AB17" i="142"/>
  <c r="AA17" i="142"/>
  <c r="Z17" i="142"/>
  <c r="K15" i="142"/>
  <c r="J15" i="142"/>
  <c r="I15" i="142"/>
  <c r="H15" i="142"/>
  <c r="AA13" i="142"/>
  <c r="AA11" i="142"/>
  <c r="E9" i="142"/>
  <c r="AZ4" i="141" s="1"/>
  <c r="AA8" i="142"/>
  <c r="E8" i="142"/>
  <c r="AQ4" i="141" s="1"/>
  <c r="AA7" i="142"/>
  <c r="E7" i="142"/>
  <c r="AH4" i="141" s="1"/>
  <c r="E6" i="142"/>
  <c r="Y4" i="141" s="1"/>
  <c r="AA4" i="142"/>
  <c r="T4" i="142"/>
  <c r="T5" i="142" s="1"/>
  <c r="AT165" i="141"/>
  <c r="AS165" i="141"/>
  <c r="AR165" i="141"/>
  <c r="AQ165" i="141"/>
  <c r="K49" i="141"/>
  <c r="M48" i="141"/>
  <c r="M52" i="141" s="1"/>
  <c r="K48" i="141"/>
  <c r="K47" i="141"/>
  <c r="K46" i="141"/>
  <c r="C39" i="141"/>
  <c r="J37" i="141"/>
  <c r="AM33" i="149"/>
  <c r="AM32" i="149"/>
  <c r="AL32" i="149"/>
  <c r="BF34" i="141"/>
  <c r="AW34" i="141"/>
  <c r="AN34" i="141"/>
  <c r="AE34" i="141"/>
  <c r="AM31" i="149"/>
  <c r="BF33" i="141"/>
  <c r="AW33" i="141"/>
  <c r="AN33" i="141"/>
  <c r="AE33" i="141"/>
  <c r="AM30" i="149"/>
  <c r="AL30" i="149"/>
  <c r="BF32" i="141"/>
  <c r="AW32" i="141"/>
  <c r="AN32" i="141"/>
  <c r="AE32" i="141"/>
  <c r="AM29" i="149"/>
  <c r="BF31" i="141"/>
  <c r="AW31" i="141"/>
  <c r="AN31" i="141"/>
  <c r="AE31" i="141"/>
  <c r="AM28" i="149"/>
  <c r="AL28" i="149"/>
  <c r="BF30" i="141"/>
  <c r="AW30" i="141"/>
  <c r="AN30" i="141"/>
  <c r="AE30" i="141"/>
  <c r="AM27" i="149"/>
  <c r="BF29" i="141"/>
  <c r="AW29" i="141"/>
  <c r="AN29" i="141"/>
  <c r="AE29" i="141"/>
  <c r="AM26" i="149"/>
  <c r="BF28" i="141"/>
  <c r="AW28" i="141"/>
  <c r="AN28" i="141"/>
  <c r="AE28" i="141"/>
  <c r="AM25" i="149"/>
  <c r="BF27" i="141"/>
  <c r="AW27" i="141"/>
  <c r="AN27" i="141"/>
  <c r="AE27" i="141"/>
  <c r="AL24" i="149"/>
  <c r="BF26" i="141"/>
  <c r="AW26" i="141"/>
  <c r="AN26" i="141"/>
  <c r="AE26" i="141"/>
  <c r="F26" i="141"/>
  <c r="AM23" i="149" s="1"/>
  <c r="E26" i="141"/>
  <c r="BF25" i="141"/>
  <c r="AW25" i="141"/>
  <c r="AN25" i="141"/>
  <c r="AE25" i="141"/>
  <c r="F25" i="141"/>
  <c r="E25" i="141"/>
  <c r="AL22" i="149" s="1"/>
  <c r="BF24" i="141"/>
  <c r="AW24" i="141"/>
  <c r="AN24" i="141"/>
  <c r="AE24" i="141"/>
  <c r="F24" i="141"/>
  <c r="AM21" i="149" s="1"/>
  <c r="E24" i="141"/>
  <c r="BF23" i="141"/>
  <c r="AW23" i="141"/>
  <c r="AN23" i="141"/>
  <c r="AE23" i="141"/>
  <c r="F23" i="141"/>
  <c r="E23" i="141"/>
  <c r="AL20" i="149" s="1"/>
  <c r="BF22" i="141"/>
  <c r="AW22" i="141"/>
  <c r="AN22" i="141"/>
  <c r="AE22" i="141"/>
  <c r="F22" i="141"/>
  <c r="AM19" i="149" s="1"/>
  <c r="E22" i="141"/>
  <c r="BF21" i="141"/>
  <c r="AW21" i="141"/>
  <c r="AN21" i="141"/>
  <c r="AE21" i="141"/>
  <c r="F21" i="141"/>
  <c r="AM18" i="149" s="1"/>
  <c r="E21" i="141"/>
  <c r="AL18" i="149" s="1"/>
  <c r="BF20" i="141"/>
  <c r="AW20" i="141"/>
  <c r="AN20" i="141"/>
  <c r="AE20" i="141"/>
  <c r="F20" i="141"/>
  <c r="AM17" i="149" s="1"/>
  <c r="E20" i="141"/>
  <c r="AL17" i="149" s="1"/>
  <c r="BF19" i="141"/>
  <c r="AW19" i="141"/>
  <c r="AN19" i="141"/>
  <c r="AE19" i="141"/>
  <c r="F19" i="141"/>
  <c r="AM16" i="149" s="1"/>
  <c r="E19" i="141"/>
  <c r="AL16" i="149" s="1"/>
  <c r="BF18" i="141"/>
  <c r="AW18" i="141"/>
  <c r="AN18" i="141"/>
  <c r="AE18" i="141"/>
  <c r="F18" i="141"/>
  <c r="AM15" i="149" s="1"/>
  <c r="E18" i="141"/>
  <c r="AL15" i="149" s="1"/>
  <c r="BF17" i="141"/>
  <c r="AW17" i="141"/>
  <c r="AN17" i="141"/>
  <c r="AE17" i="141"/>
  <c r="F17" i="141"/>
  <c r="AM14" i="149" s="1"/>
  <c r="E17" i="141"/>
  <c r="AL14" i="149" s="1"/>
  <c r="BF16" i="141"/>
  <c r="AW16" i="141"/>
  <c r="AN16" i="141"/>
  <c r="AE16" i="141"/>
  <c r="F16" i="141"/>
  <c r="E16" i="141"/>
  <c r="AL13" i="149" s="1"/>
  <c r="BF15" i="141"/>
  <c r="AW15" i="141"/>
  <c r="AN15" i="141"/>
  <c r="AE15" i="141"/>
  <c r="F15" i="141"/>
  <c r="E15" i="141"/>
  <c r="AL12" i="149" s="1"/>
  <c r="BF14" i="141"/>
  <c r="AW14" i="141"/>
  <c r="AN14" i="141"/>
  <c r="AE14" i="141"/>
  <c r="F14" i="141"/>
  <c r="AM11" i="149" s="1"/>
  <c r="E14" i="141"/>
  <c r="AL11" i="149" s="1"/>
  <c r="BF13" i="141"/>
  <c r="AW13" i="141"/>
  <c r="AN13" i="141"/>
  <c r="AE13" i="141"/>
  <c r="F13" i="141"/>
  <c r="AM10" i="149" s="1"/>
  <c r="E13" i="141"/>
  <c r="AL10" i="149" s="1"/>
  <c r="BF12" i="141"/>
  <c r="AW12" i="141"/>
  <c r="AN12" i="141"/>
  <c r="AE12" i="141"/>
  <c r="F12" i="141"/>
  <c r="AM9" i="149" s="1"/>
  <c r="E12" i="141"/>
  <c r="AL9" i="149" s="1"/>
  <c r="BF11" i="141"/>
  <c r="AW11" i="141"/>
  <c r="AN11" i="141"/>
  <c r="AE11" i="141"/>
  <c r="F11" i="141"/>
  <c r="E11" i="141"/>
  <c r="AL8" i="149" s="1"/>
  <c r="BF10" i="141"/>
  <c r="AW10" i="141"/>
  <c r="AN10" i="141"/>
  <c r="AE10" i="141"/>
  <c r="F10" i="141"/>
  <c r="AM7" i="149" s="1"/>
  <c r="E10" i="141"/>
  <c r="AL7" i="149" s="1"/>
  <c r="BF9" i="141"/>
  <c r="AW9" i="141"/>
  <c r="AN9" i="141"/>
  <c r="AE9" i="141"/>
  <c r="F9" i="141"/>
  <c r="AM6" i="149" s="1"/>
  <c r="E9" i="141"/>
  <c r="AL6" i="149" s="1"/>
  <c r="BF8" i="141"/>
  <c r="AW8" i="141"/>
  <c r="AN8" i="141"/>
  <c r="AE8" i="141"/>
  <c r="F8" i="141"/>
  <c r="E8" i="141"/>
  <c r="AL5" i="149" s="1"/>
  <c r="BF7" i="141"/>
  <c r="AW7" i="141"/>
  <c r="AN7" i="141"/>
  <c r="AE7" i="141"/>
  <c r="F7" i="141"/>
  <c r="E7" i="141"/>
  <c r="AL4" i="149" s="1"/>
  <c r="B7" i="141"/>
  <c r="B8" i="141" s="1"/>
  <c r="BF6" i="141"/>
  <c r="AW6" i="141"/>
  <c r="AN6" i="141"/>
  <c r="AE6" i="141"/>
  <c r="F6" i="141"/>
  <c r="E6" i="141"/>
  <c r="AL3" i="149" s="1"/>
  <c r="C6" i="141"/>
  <c r="BF4" i="141"/>
  <c r="AW4" i="141"/>
  <c r="AN4" i="141"/>
  <c r="D1" i="141"/>
  <c r="B1" i="141"/>
  <c r="A1" i="154"/>
  <c r="B104" i="140"/>
  <c r="B105" i="140" s="1"/>
  <c r="B106" i="140" s="1"/>
  <c r="B107" i="140" s="1"/>
  <c r="B108" i="140" s="1"/>
  <c r="B109" i="140" s="1"/>
  <c r="B110" i="140" s="1"/>
  <c r="B111" i="140" s="1"/>
  <c r="B112" i="140" s="1"/>
  <c r="B113" i="140" s="1"/>
  <c r="B114" i="140" s="1"/>
  <c r="B115" i="140" s="1"/>
  <c r="B116" i="140" s="1"/>
  <c r="B117" i="140" s="1"/>
  <c r="B118" i="140" s="1"/>
  <c r="B119" i="140" s="1"/>
  <c r="B120" i="140" s="1"/>
  <c r="B121" i="140" s="1"/>
  <c r="B122" i="140" s="1"/>
  <c r="B123" i="140" s="1"/>
  <c r="B124" i="140" s="1"/>
  <c r="B125" i="140" s="1"/>
  <c r="B126" i="140" s="1"/>
  <c r="B127" i="140" s="1"/>
  <c r="B128" i="140" s="1"/>
  <c r="B129" i="140" s="1"/>
  <c r="B130" i="140" s="1"/>
  <c r="B131" i="140" s="1"/>
  <c r="B132" i="140" s="1"/>
  <c r="B133" i="140" s="1"/>
  <c r="B134" i="140" s="1"/>
  <c r="B135" i="140" s="1"/>
  <c r="B136" i="140" s="1"/>
  <c r="B137" i="140" s="1"/>
  <c r="B138" i="140" s="1"/>
  <c r="B139" i="140" s="1"/>
  <c r="B140" i="140" s="1"/>
  <c r="B141" i="140" s="1"/>
  <c r="B142" i="140" s="1"/>
  <c r="B143" i="140" s="1"/>
  <c r="B144" i="140" s="1"/>
  <c r="B145" i="140" s="1"/>
  <c r="B146" i="140" s="1"/>
  <c r="B147" i="140" s="1"/>
  <c r="B148" i="140" s="1"/>
  <c r="B149" i="140" s="1"/>
  <c r="B150" i="140" s="1"/>
  <c r="K102" i="140"/>
  <c r="L102" i="140" s="1"/>
  <c r="M102" i="140" s="1"/>
  <c r="N102" i="140" s="1"/>
  <c r="O102" i="140" s="1"/>
  <c r="P102" i="140" s="1"/>
  <c r="Q102" i="140" s="1"/>
  <c r="R102" i="140" s="1"/>
  <c r="S102" i="140" s="1"/>
  <c r="T102" i="140" s="1"/>
  <c r="U102" i="140" s="1"/>
  <c r="V102" i="140" s="1"/>
  <c r="W102" i="140" s="1"/>
  <c r="X102" i="140" s="1"/>
  <c r="Y102" i="140" s="1"/>
  <c r="Z102" i="140" s="1"/>
  <c r="AA102" i="140" s="1"/>
  <c r="AB102" i="140" s="1"/>
  <c r="AC102" i="140" s="1"/>
  <c r="AD102" i="140" s="1"/>
  <c r="J102" i="140"/>
  <c r="B102" i="140"/>
  <c r="AD101" i="140"/>
  <c r="AC101" i="140"/>
  <c r="AB101" i="140"/>
  <c r="AA101" i="140"/>
  <c r="Z101" i="140"/>
  <c r="Y101" i="140"/>
  <c r="X101" i="140"/>
  <c r="W101" i="140"/>
  <c r="V101" i="140"/>
  <c r="U101" i="140"/>
  <c r="T101" i="140"/>
  <c r="S101" i="140"/>
  <c r="R101" i="140"/>
  <c r="Q101" i="140"/>
  <c r="P101" i="140"/>
  <c r="O101" i="140"/>
  <c r="N101" i="140"/>
  <c r="M101" i="140"/>
  <c r="L101" i="140"/>
  <c r="K101" i="140"/>
  <c r="J101" i="140"/>
  <c r="I101" i="140"/>
  <c r="H101" i="140"/>
  <c r="G101" i="140"/>
  <c r="F101" i="140"/>
  <c r="E101" i="140"/>
  <c r="D101" i="140"/>
  <c r="C101" i="140"/>
  <c r="B54" i="140"/>
  <c r="AL53" i="140"/>
  <c r="AK53" i="140"/>
  <c r="AJ53" i="140"/>
  <c r="AI53" i="140"/>
  <c r="AH53" i="140"/>
  <c r="AG53" i="140"/>
  <c r="AF53" i="140"/>
  <c r="J52" i="140"/>
  <c r="K52" i="140" s="1"/>
  <c r="L52" i="140" s="1"/>
  <c r="M52" i="140" s="1"/>
  <c r="N52" i="140" s="1"/>
  <c r="O52" i="140" s="1"/>
  <c r="P52" i="140" s="1"/>
  <c r="Q52" i="140" s="1"/>
  <c r="R52" i="140" s="1"/>
  <c r="S52" i="140" s="1"/>
  <c r="T52" i="140" s="1"/>
  <c r="U52" i="140" s="1"/>
  <c r="V52" i="140" s="1"/>
  <c r="W52" i="140" s="1"/>
  <c r="X52" i="140" s="1"/>
  <c r="Y52" i="140" s="1"/>
  <c r="Z52" i="140" s="1"/>
  <c r="AA52" i="140" s="1"/>
  <c r="AB52" i="140" s="1"/>
  <c r="AC52" i="140" s="1"/>
  <c r="AD52" i="140" s="1"/>
  <c r="B52" i="140"/>
  <c r="AD51" i="140"/>
  <c r="AC51" i="140"/>
  <c r="AB51" i="140"/>
  <c r="AA51" i="140"/>
  <c r="Z51" i="140"/>
  <c r="Y51" i="140"/>
  <c r="X51" i="140"/>
  <c r="W51" i="140"/>
  <c r="V51" i="140"/>
  <c r="U51" i="140"/>
  <c r="T51" i="140"/>
  <c r="S51" i="140"/>
  <c r="R51" i="140"/>
  <c r="Q51" i="140"/>
  <c r="P51" i="140"/>
  <c r="O51" i="140"/>
  <c r="N51" i="140"/>
  <c r="M51" i="140"/>
  <c r="L51" i="140"/>
  <c r="K51" i="140"/>
  <c r="J51" i="140"/>
  <c r="I51" i="140"/>
  <c r="H51" i="140"/>
  <c r="B4" i="140"/>
  <c r="B2" i="140"/>
  <c r="C2" i="140" s="1"/>
  <c r="D2" i="140" s="1"/>
  <c r="E2" i="140" s="1"/>
  <c r="R36" i="141" l="1"/>
  <c r="BI33" i="149" s="1"/>
  <c r="Q36" i="141"/>
  <c r="BH33" i="149" s="1"/>
  <c r="O36" i="141"/>
  <c r="S36" i="141"/>
  <c r="BJ33" i="149" s="1"/>
  <c r="P36" i="141"/>
  <c r="U36" i="141"/>
  <c r="T36" i="141"/>
  <c r="BK33" i="149" s="1"/>
  <c r="Q35" i="141"/>
  <c r="BH32" i="149" s="1"/>
  <c r="O35" i="141"/>
  <c r="U35" i="141"/>
  <c r="BL32" i="149" s="1"/>
  <c r="T35" i="141"/>
  <c r="BK32" i="149" s="1"/>
  <c r="R35" i="141"/>
  <c r="BI32" i="149" s="1"/>
  <c r="P35" i="141"/>
  <c r="BG32" i="149" s="1"/>
  <c r="S35" i="141"/>
  <c r="BJ32" i="149" s="1"/>
  <c r="E143" i="142"/>
  <c r="W143" i="142" s="1"/>
  <c r="E136" i="142"/>
  <c r="W136" i="142" s="1"/>
  <c r="E144" i="142"/>
  <c r="W144" i="142" s="1"/>
  <c r="E133" i="142"/>
  <c r="W133" i="142" s="1"/>
  <c r="E130" i="142"/>
  <c r="W130" i="142" s="1"/>
  <c r="E126" i="142"/>
  <c r="W126" i="142" s="1"/>
  <c r="E125" i="142"/>
  <c r="W125" i="142" s="1"/>
  <c r="E127" i="142"/>
  <c r="W127" i="142" s="1"/>
  <c r="E134" i="142"/>
  <c r="W134" i="142" s="1"/>
  <c r="E128" i="142"/>
  <c r="W128" i="142" s="1"/>
  <c r="E141" i="142"/>
  <c r="W141" i="142" s="1"/>
  <c r="E138" i="142"/>
  <c r="W138" i="142" s="1"/>
  <c r="E135" i="142"/>
  <c r="W135" i="142" s="1"/>
  <c r="E132" i="142"/>
  <c r="W132" i="142" s="1"/>
  <c r="E140" i="142"/>
  <c r="W140" i="142" s="1"/>
  <c r="E129" i="142"/>
  <c r="W129" i="142" s="1"/>
  <c r="E137" i="142"/>
  <c r="W137" i="142" s="1"/>
  <c r="E142" i="142"/>
  <c r="W142" i="142" s="1"/>
  <c r="E131" i="142"/>
  <c r="W131" i="142" s="1"/>
  <c r="E139" i="142"/>
  <c r="W139" i="142" s="1"/>
  <c r="M46" i="141"/>
  <c r="M50" i="141"/>
  <c r="X2" i="142" s="1"/>
  <c r="F2" i="140"/>
  <c r="G2" i="140" s="1"/>
  <c r="B55" i="140"/>
  <c r="M47" i="141"/>
  <c r="M49" i="141"/>
  <c r="M51" i="141" s="1"/>
  <c r="B5" i="140"/>
  <c r="AM3" i="149"/>
  <c r="AN3" i="149" s="1"/>
  <c r="AI3" i="149"/>
  <c r="L6" i="141"/>
  <c r="O6" i="141"/>
  <c r="O7" i="141"/>
  <c r="AH5" i="149"/>
  <c r="B9" i="141"/>
  <c r="C8" i="141"/>
  <c r="L8" i="141" s="1"/>
  <c r="AH4" i="149"/>
  <c r="C7" i="141"/>
  <c r="L7" i="141" s="1"/>
  <c r="I23" i="141"/>
  <c r="I7" i="141"/>
  <c r="I15" i="141"/>
  <c r="AL27" i="149"/>
  <c r="AN27" i="149" s="1"/>
  <c r="I11" i="141"/>
  <c r="AN16" i="149"/>
  <c r="AL26" i="149"/>
  <c r="AN26" i="149" s="1"/>
  <c r="E153" i="142"/>
  <c r="W153" i="142" s="1"/>
  <c r="E38" i="142"/>
  <c r="W38" i="142" s="1"/>
  <c r="E32" i="142"/>
  <c r="W32" i="142" s="1"/>
  <c r="E102" i="142"/>
  <c r="W102" i="142" s="1"/>
  <c r="Y126" i="142"/>
  <c r="Y134" i="142"/>
  <c r="Y163" i="142"/>
  <c r="AS34" i="149"/>
  <c r="E34" i="142"/>
  <c r="W34" i="142" s="1"/>
  <c r="E119" i="142"/>
  <c r="W119" i="142" s="1"/>
  <c r="E83" i="142"/>
  <c r="W83" i="142" s="1"/>
  <c r="E121" i="142"/>
  <c r="W121" i="142" s="1"/>
  <c r="E43" i="142"/>
  <c r="W43" i="142" s="1"/>
  <c r="E44" i="142"/>
  <c r="W44" i="142" s="1"/>
  <c r="E45" i="142"/>
  <c r="W45" i="142" s="1"/>
  <c r="E147" i="142"/>
  <c r="W147" i="142" s="1"/>
  <c r="E23" i="142"/>
  <c r="W23" i="142" s="1"/>
  <c r="E87" i="142"/>
  <c r="W87" i="142" s="1"/>
  <c r="E22" i="142"/>
  <c r="W22" i="142" s="1"/>
  <c r="E36" i="142"/>
  <c r="W36" i="142" s="1"/>
  <c r="E47" i="142"/>
  <c r="W47" i="142" s="1"/>
  <c r="E154" i="142"/>
  <c r="W154" i="142" s="1"/>
  <c r="E42" i="142"/>
  <c r="W42" i="142" s="1"/>
  <c r="E56" i="142"/>
  <c r="W56" i="142" s="1"/>
  <c r="Y61" i="142"/>
  <c r="E145" i="142"/>
  <c r="W145" i="142" s="1"/>
  <c r="Y153" i="142"/>
  <c r="E156" i="142"/>
  <c r="W156" i="142" s="1"/>
  <c r="Y24" i="142"/>
  <c r="Y38" i="142"/>
  <c r="Y44" i="142"/>
  <c r="E52" i="142"/>
  <c r="W52" i="142" s="1"/>
  <c r="E74" i="142"/>
  <c r="W74" i="142" s="1"/>
  <c r="Y147" i="142"/>
  <c r="Y50" i="142"/>
  <c r="Y23" i="142"/>
  <c r="E31" i="142"/>
  <c r="W31" i="142" s="1"/>
  <c r="E57" i="142"/>
  <c r="W57" i="142" s="1"/>
  <c r="Y63" i="142"/>
  <c r="E98" i="142"/>
  <c r="W98" i="142" s="1"/>
  <c r="Y103" i="142"/>
  <c r="E111" i="142"/>
  <c r="W111" i="142" s="1"/>
  <c r="Y119" i="142"/>
  <c r="Y125" i="142"/>
  <c r="Y32" i="142"/>
  <c r="Y22" i="142"/>
  <c r="Y25" i="142"/>
  <c r="Y40" i="142"/>
  <c r="E46" i="142"/>
  <c r="W46" i="142" s="1"/>
  <c r="E73" i="142"/>
  <c r="W73" i="142" s="1"/>
  <c r="Y100" i="142"/>
  <c r="Y124" i="142"/>
  <c r="Y135" i="142"/>
  <c r="E151" i="142"/>
  <c r="W151" i="142" s="1"/>
  <c r="Y34" i="142"/>
  <c r="Y43" i="142"/>
  <c r="E30" i="142"/>
  <c r="W30" i="142" s="1"/>
  <c r="Y33" i="142"/>
  <c r="Y64" i="142"/>
  <c r="Y83" i="142"/>
  <c r="Y108" i="142"/>
  <c r="E110" i="142"/>
  <c r="W110" i="142" s="1"/>
  <c r="E118" i="142"/>
  <c r="W118" i="142" s="1"/>
  <c r="E162" i="142"/>
  <c r="W162" i="142" s="1"/>
  <c r="E75" i="142"/>
  <c r="W75" i="142" s="1"/>
  <c r="E78" i="142"/>
  <c r="W78" i="142" s="1"/>
  <c r="Y155" i="142"/>
  <c r="E163" i="142"/>
  <c r="W163" i="142" s="1"/>
  <c r="E107" i="142"/>
  <c r="W107" i="142" s="1"/>
  <c r="Y123" i="142"/>
  <c r="Y69" i="142"/>
  <c r="Y132" i="142"/>
  <c r="Y154" i="142"/>
  <c r="Y102" i="142"/>
  <c r="E62" i="142"/>
  <c r="W62" i="142" s="1"/>
  <c r="Y74" i="142"/>
  <c r="E85" i="142"/>
  <c r="W85" i="142" s="1"/>
  <c r="E86" i="142"/>
  <c r="W86" i="142" s="1"/>
  <c r="E99" i="142"/>
  <c r="W99" i="142" s="1"/>
  <c r="Y71" i="142"/>
  <c r="Y73" i="142"/>
  <c r="E76" i="142"/>
  <c r="W76" i="142" s="1"/>
  <c r="E84" i="142"/>
  <c r="W84" i="142" s="1"/>
  <c r="T9" i="141"/>
  <c r="BK6" i="149" s="1"/>
  <c r="T21" i="141"/>
  <c r="BK18" i="149" s="1"/>
  <c r="T13" i="141"/>
  <c r="BK10" i="149" s="1"/>
  <c r="T33" i="141"/>
  <c r="BK30" i="149" s="1"/>
  <c r="T29" i="141"/>
  <c r="BK26" i="149" s="1"/>
  <c r="T25" i="141"/>
  <c r="BK22" i="149" s="1"/>
  <c r="T17" i="141"/>
  <c r="BK14" i="149" s="1"/>
  <c r="E61" i="142"/>
  <c r="W61" i="142" s="1"/>
  <c r="Y122" i="142"/>
  <c r="E29" i="142"/>
  <c r="W29" i="142" s="1"/>
  <c r="E77" i="142"/>
  <c r="W77" i="142" s="1"/>
  <c r="Y145" i="142"/>
  <c r="E161" i="142"/>
  <c r="W161" i="142" s="1"/>
  <c r="Y162" i="142"/>
  <c r="C12" i="142"/>
  <c r="E25" i="142"/>
  <c r="W25" i="142" s="1"/>
  <c r="Y30" i="142"/>
  <c r="E33" i="142"/>
  <c r="W33" i="142" s="1"/>
  <c r="E40" i="142"/>
  <c r="W40" i="142" s="1"/>
  <c r="Y41" i="142"/>
  <c r="E50" i="142"/>
  <c r="W50" i="142" s="1"/>
  <c r="E51" i="142"/>
  <c r="W51" i="142" s="1"/>
  <c r="Y52" i="142"/>
  <c r="E60" i="142"/>
  <c r="W60" i="142" s="1"/>
  <c r="E63" i="142"/>
  <c r="W63" i="142" s="1"/>
  <c r="Y87" i="142"/>
  <c r="Y96" i="142"/>
  <c r="E108" i="142"/>
  <c r="W108" i="142" s="1"/>
  <c r="E112" i="142"/>
  <c r="W112" i="142" s="1"/>
  <c r="Y121" i="142"/>
  <c r="Y140" i="142"/>
  <c r="Y144" i="142"/>
  <c r="Y20" i="142"/>
  <c r="Y62" i="142"/>
  <c r="Y110" i="142"/>
  <c r="Y105" i="142"/>
  <c r="Y133" i="142"/>
  <c r="E37" i="142"/>
  <c r="W37" i="142" s="1"/>
  <c r="Y53" i="142"/>
  <c r="Y56" i="142"/>
  <c r="Y59" i="142"/>
  <c r="E66" i="142"/>
  <c r="W66" i="142" s="1"/>
  <c r="Y86" i="142"/>
  <c r="Y118" i="142"/>
  <c r="Y127" i="142"/>
  <c r="E146" i="142"/>
  <c r="W146" i="142" s="1"/>
  <c r="Y149" i="142"/>
  <c r="Y31" i="142"/>
  <c r="E55" i="142"/>
  <c r="W55" i="142" s="1"/>
  <c r="Y70" i="142"/>
  <c r="Y107" i="142"/>
  <c r="Y84" i="142"/>
  <c r="Y99" i="142"/>
  <c r="E24" i="142"/>
  <c r="W24" i="142" s="1"/>
  <c r="Y28" i="142"/>
  <c r="Y36" i="142"/>
  <c r="Y46" i="142"/>
  <c r="E72" i="142"/>
  <c r="W72" i="142" s="1"/>
  <c r="E82" i="142"/>
  <c r="W82" i="142" s="1"/>
  <c r="E92" i="142"/>
  <c r="W92" i="142" s="1"/>
  <c r="Y98" i="142"/>
  <c r="Y114" i="142"/>
  <c r="Y136" i="142"/>
  <c r="E65" i="142"/>
  <c r="W65" i="142" s="1"/>
  <c r="E48" i="142"/>
  <c r="W48" i="142" s="1"/>
  <c r="E20" i="142"/>
  <c r="W20" i="142" s="1"/>
  <c r="E58" i="142"/>
  <c r="W58" i="142" s="1"/>
  <c r="E71" i="142"/>
  <c r="W71" i="142" s="1"/>
  <c r="Y75" i="142"/>
  <c r="Y78" i="142"/>
  <c r="Y85" i="142"/>
  <c r="Y91" i="142"/>
  <c r="Y97" i="142"/>
  <c r="E100" i="142"/>
  <c r="W100" i="142" s="1"/>
  <c r="E103" i="142"/>
  <c r="W103" i="142" s="1"/>
  <c r="E123" i="142"/>
  <c r="W123" i="142" s="1"/>
  <c r="Y142" i="142"/>
  <c r="E155" i="142"/>
  <c r="W155" i="142" s="1"/>
  <c r="AC87" i="142"/>
  <c r="AC78" i="142"/>
  <c r="AC67" i="142"/>
  <c r="Z65" i="142"/>
  <c r="AB54" i="142"/>
  <c r="AD41" i="142"/>
  <c r="AC34" i="142"/>
  <c r="AA30" i="142"/>
  <c r="AB129" i="142"/>
  <c r="AF107" i="142"/>
  <c r="AB87" i="142"/>
  <c r="Z64" i="142"/>
  <c r="AA53" i="142"/>
  <c r="AA47" i="142"/>
  <c r="AA37" i="142"/>
  <c r="AB34" i="142"/>
  <c r="Z30" i="142"/>
  <c r="AD25" i="142"/>
  <c r="AB111" i="142"/>
  <c r="AC85" i="142"/>
  <c r="AD71" i="142"/>
  <c r="AF51" i="142"/>
  <c r="AA43" i="142"/>
  <c r="AD40" i="142"/>
  <c r="AC36" i="142"/>
  <c r="AD27" i="142"/>
  <c r="AC131" i="142"/>
  <c r="AA107" i="142"/>
  <c r="AA86" i="142"/>
  <c r="AE60" i="142"/>
  <c r="AD56" i="142"/>
  <c r="Z51" i="142"/>
  <c r="AD148" i="142"/>
  <c r="Z83" i="142"/>
  <c r="AF71" i="142"/>
  <c r="AD66" i="142"/>
  <c r="AA64" i="142"/>
  <c r="AB52" i="142"/>
  <c r="AA48" i="142"/>
  <c r="AB37" i="142"/>
  <c r="Z32" i="142"/>
  <c r="AC28" i="142"/>
  <c r="Z24" i="142"/>
  <c r="AB145" i="142"/>
  <c r="AC138" i="142"/>
  <c r="AF122" i="142"/>
  <c r="AC86" i="142"/>
  <c r="AF82" i="142"/>
  <c r="AB78" i="142"/>
  <c r="AF70" i="142"/>
  <c r="AB67" i="142"/>
  <c r="AA22" i="142"/>
  <c r="AC149" i="142"/>
  <c r="Z118" i="142"/>
  <c r="AE107" i="142"/>
  <c r="AA87" i="142"/>
  <c r="AE70" i="142"/>
  <c r="Z62" i="142"/>
  <c r="Z47" i="142"/>
  <c r="AE39" i="142"/>
  <c r="AC33" i="142"/>
  <c r="AF29" i="142"/>
  <c r="AA111" i="142"/>
  <c r="AF57" i="142"/>
  <c r="AF50" i="142"/>
  <c r="Z43" i="142"/>
  <c r="AC121" i="142"/>
  <c r="AA103" i="142"/>
  <c r="AB95" i="142"/>
  <c r="Z74" i="142"/>
  <c r="AF63" i="142"/>
  <c r="AB53" i="142"/>
  <c r="AA44" i="142"/>
  <c r="AF40" i="142"/>
  <c r="AE36" i="142"/>
  <c r="AA26" i="142"/>
  <c r="AF23" i="142"/>
  <c r="Z21" i="142"/>
  <c r="AD149" i="142"/>
  <c r="AF117" i="142"/>
  <c r="AC88" i="142"/>
  <c r="AA62" i="142"/>
  <c r="AA52" i="142"/>
  <c r="Z44" i="142"/>
  <c r="AF31" i="142"/>
  <c r="AE27" i="142"/>
  <c r="AC23" i="142"/>
  <c r="AC130" i="142"/>
  <c r="AE123" i="142"/>
  <c r="AB86" i="142"/>
  <c r="AE82" i="142"/>
  <c r="AF60" i="142"/>
  <c r="AA46" i="142"/>
  <c r="AE31" i="142"/>
  <c r="AC25" i="142"/>
  <c r="Z22" i="142"/>
  <c r="AB130" i="142"/>
  <c r="AC110" i="142"/>
  <c r="AF106" i="142"/>
  <c r="AF59" i="142"/>
  <c r="Z46" i="142"/>
  <c r="AA137" i="142"/>
  <c r="AB102" i="142"/>
  <c r="AA92" i="142"/>
  <c r="AC79" i="142"/>
  <c r="AD77" i="142"/>
  <c r="Z72" i="142"/>
  <c r="AE62" i="142"/>
  <c r="AB47" i="142"/>
  <c r="AF27" i="142"/>
  <c r="AE25" i="142"/>
  <c r="AB22" i="142"/>
  <c r="Z108" i="142"/>
  <c r="AB79" i="142"/>
  <c r="AE71" i="142"/>
  <c r="AB46" i="142"/>
  <c r="AF43" i="142"/>
  <c r="AE40" i="142"/>
  <c r="AD36" i="142"/>
  <c r="AF20" i="142"/>
  <c r="AB88" i="142"/>
  <c r="AD58" i="142"/>
  <c r="Z52" i="142"/>
  <c r="AA34" i="142"/>
  <c r="AB23" i="142"/>
  <c r="AE20" i="142"/>
  <c r="AC150" i="142"/>
  <c r="AF125" i="142"/>
  <c r="AC58" i="142"/>
  <c r="AA23" i="142"/>
  <c r="AD39" i="142"/>
  <c r="E5" i="142"/>
  <c r="F5" i="142" s="1"/>
  <c r="AB33" i="142"/>
  <c r="AA31" i="142"/>
  <c r="R18" i="141"/>
  <c r="BI15" i="149" s="1"/>
  <c r="R30" i="141"/>
  <c r="BI27" i="149" s="1"/>
  <c r="R34" i="141"/>
  <c r="BI31" i="149" s="1"/>
  <c r="AE29" i="142"/>
  <c r="AD20" i="142"/>
  <c r="AB25" i="142"/>
  <c r="R10" i="141"/>
  <c r="BI7" i="149" s="1"/>
  <c r="R26" i="141"/>
  <c r="BI23" i="149" s="1"/>
  <c r="P31" i="141"/>
  <c r="AC27" i="142"/>
  <c r="AF26" i="142"/>
  <c r="R14" i="141"/>
  <c r="BI11" i="149" s="1"/>
  <c r="Y35" i="142"/>
  <c r="E35" i="142"/>
  <c r="W35" i="142" s="1"/>
  <c r="P7" i="141"/>
  <c r="P15" i="141"/>
  <c r="P23" i="141"/>
  <c r="C40" i="141"/>
  <c r="C41" i="141" s="1"/>
  <c r="C42" i="141" s="1"/>
  <c r="C43" i="141" s="1"/>
  <c r="E26" i="142"/>
  <c r="W26" i="142" s="1"/>
  <c r="AB36" i="142"/>
  <c r="AC40" i="142"/>
  <c r="Z34" i="142"/>
  <c r="Y21" i="142"/>
  <c r="E21" i="142"/>
  <c r="W21" i="142" s="1"/>
  <c r="R31" i="141"/>
  <c r="BI28" i="149" s="1"/>
  <c r="R27" i="141"/>
  <c r="BI24" i="149" s="1"/>
  <c r="T22" i="141"/>
  <c r="BK19" i="149" s="1"/>
  <c r="T18" i="141"/>
  <c r="BK15" i="149" s="1"/>
  <c r="T10" i="141"/>
  <c r="BK7" i="149" s="1"/>
  <c r="R7" i="141"/>
  <c r="BI4" i="149" s="1"/>
  <c r="Q31" i="141"/>
  <c r="BH28" i="149" s="1"/>
  <c r="U29" i="141"/>
  <c r="BL26" i="149" s="1"/>
  <c r="O28" i="141"/>
  <c r="O16" i="141"/>
  <c r="Q15" i="141"/>
  <c r="BH12" i="149" s="1"/>
  <c r="U13" i="141"/>
  <c r="BL10" i="149" s="1"/>
  <c r="S6" i="141"/>
  <c r="BJ3" i="149" s="1"/>
  <c r="T34" i="141"/>
  <c r="BK31" i="149" s="1"/>
  <c r="P24" i="141"/>
  <c r="P16" i="141"/>
  <c r="P8" i="141"/>
  <c r="S26" i="141"/>
  <c r="BJ23" i="149" s="1"/>
  <c r="Q11" i="141"/>
  <c r="BH8" i="149" s="1"/>
  <c r="U9" i="141"/>
  <c r="BL6" i="149" s="1"/>
  <c r="Q7" i="141"/>
  <c r="BH4" i="149" s="1"/>
  <c r="P32" i="141"/>
  <c r="T26" i="141"/>
  <c r="BK23" i="149" s="1"/>
  <c r="P20" i="141"/>
  <c r="T14" i="141"/>
  <c r="BK11" i="149" s="1"/>
  <c r="P12" i="141"/>
  <c r="S34" i="141"/>
  <c r="BJ31" i="149" s="1"/>
  <c r="O32" i="141"/>
  <c r="S30" i="141"/>
  <c r="BJ27" i="149" s="1"/>
  <c r="Q27" i="141"/>
  <c r="BH24" i="149" s="1"/>
  <c r="U25" i="141"/>
  <c r="BL22" i="149" s="1"/>
  <c r="O24" i="141"/>
  <c r="Q23" i="141"/>
  <c r="BH20" i="149" s="1"/>
  <c r="U21" i="141"/>
  <c r="BL18" i="149" s="1"/>
  <c r="O20" i="141"/>
  <c r="Q19" i="141"/>
  <c r="BH16" i="149" s="1"/>
  <c r="U17" i="141"/>
  <c r="BL14" i="149" s="1"/>
  <c r="S14" i="141"/>
  <c r="BJ11" i="149" s="1"/>
  <c r="O12" i="141"/>
  <c r="S10" i="141"/>
  <c r="BJ7" i="149" s="1"/>
  <c r="O8" i="141"/>
  <c r="T30" i="141"/>
  <c r="BK27" i="149" s="1"/>
  <c r="P28" i="141"/>
  <c r="R23" i="141"/>
  <c r="BI20" i="149" s="1"/>
  <c r="R19" i="141"/>
  <c r="BI16" i="149" s="1"/>
  <c r="R15" i="141"/>
  <c r="BI12" i="149" s="1"/>
  <c r="R11" i="141"/>
  <c r="BI8" i="149" s="1"/>
  <c r="T6" i="141"/>
  <c r="BK3" i="149" s="1"/>
  <c r="U33" i="141"/>
  <c r="BL30" i="149" s="1"/>
  <c r="S22" i="141"/>
  <c r="BJ19" i="149" s="1"/>
  <c r="S18" i="141"/>
  <c r="BJ15" i="149" s="1"/>
  <c r="AF21" i="142"/>
  <c r="AD38" i="142"/>
  <c r="R6" i="141"/>
  <c r="BI3" i="149" s="1"/>
  <c r="R22" i="141"/>
  <c r="BI19" i="149" s="1"/>
  <c r="P11" i="141"/>
  <c r="P19" i="141"/>
  <c r="P27" i="141"/>
  <c r="AD35" i="142"/>
  <c r="E49" i="142"/>
  <c r="W49" i="142" s="1"/>
  <c r="Y49" i="142"/>
  <c r="E81" i="142"/>
  <c r="W81" i="142" s="1"/>
  <c r="Y81" i="142"/>
  <c r="E113" i="142"/>
  <c r="W113" i="142" s="1"/>
  <c r="Y113" i="142"/>
  <c r="E27" i="142"/>
  <c r="W27" i="142" s="1"/>
  <c r="Y27" i="142"/>
  <c r="H7" i="142"/>
  <c r="R16" i="141"/>
  <c r="BI13" i="149" s="1"/>
  <c r="R20" i="141"/>
  <c r="BI17" i="149" s="1"/>
  <c r="T23" i="141"/>
  <c r="BK20" i="149" s="1"/>
  <c r="P25" i="141"/>
  <c r="T27" i="141"/>
  <c r="BK24" i="149" s="1"/>
  <c r="R28" i="141"/>
  <c r="BI25" i="149" s="1"/>
  <c r="P29" i="141"/>
  <c r="T31" i="141"/>
  <c r="BK28" i="149" s="1"/>
  <c r="R32" i="141"/>
  <c r="BI29" i="149" s="1"/>
  <c r="P33" i="141"/>
  <c r="AF163" i="142"/>
  <c r="AE162" i="142"/>
  <c r="AD161" i="142"/>
  <c r="AC160" i="142"/>
  <c r="AB159" i="142"/>
  <c r="AA158" i="142"/>
  <c r="AA157" i="142"/>
  <c r="Z156" i="142"/>
  <c r="AF154" i="142"/>
  <c r="AE153" i="142"/>
  <c r="AD152" i="142"/>
  <c r="AC151" i="142"/>
  <c r="AB150" i="142"/>
  <c r="AB149" i="142"/>
  <c r="AA148" i="142"/>
  <c r="Z147" i="142"/>
  <c r="AF145" i="142"/>
  <c r="AE144" i="142"/>
  <c r="AD143" i="142"/>
  <c r="AC142" i="142"/>
  <c r="AC141" i="142"/>
  <c r="AB140" i="142"/>
  <c r="AA139" i="142"/>
  <c r="Z138" i="142"/>
  <c r="AF136" i="142"/>
  <c r="AE135" i="142"/>
  <c r="AD134" i="142"/>
  <c r="AD133" i="142"/>
  <c r="AC132" i="142"/>
  <c r="AB131" i="142"/>
  <c r="AA130" i="142"/>
  <c r="Z129" i="142"/>
  <c r="AF127" i="142"/>
  <c r="AE126" i="142"/>
  <c r="AE125" i="142"/>
  <c r="AD124" i="142"/>
  <c r="AC123" i="142"/>
  <c r="AB122" i="142"/>
  <c r="AE163" i="142"/>
  <c r="AD162" i="142"/>
  <c r="AC161" i="142"/>
  <c r="AB160" i="142"/>
  <c r="AA159" i="142"/>
  <c r="Z158" i="142"/>
  <c r="Z157" i="142"/>
  <c r="AF155" i="142"/>
  <c r="AE154" i="142"/>
  <c r="AD153" i="142"/>
  <c r="AC152" i="142"/>
  <c r="AB151" i="142"/>
  <c r="AA150" i="142"/>
  <c r="AA149" i="142"/>
  <c r="Z148" i="142"/>
  <c r="AF146" i="142"/>
  <c r="AE145" i="142"/>
  <c r="AD144" i="142"/>
  <c r="AC143" i="142"/>
  <c r="AB142" i="142"/>
  <c r="AB141" i="142"/>
  <c r="AA140" i="142"/>
  <c r="Z139" i="142"/>
  <c r="AF137" i="142"/>
  <c r="AE136" i="142"/>
  <c r="AD135" i="142"/>
  <c r="AC134" i="142"/>
  <c r="AC133" i="142"/>
  <c r="AB132" i="142"/>
  <c r="AA131" i="142"/>
  <c r="Z130" i="142"/>
  <c r="AF128" i="142"/>
  <c r="AE127" i="142"/>
  <c r="AD126" i="142"/>
  <c r="AD125" i="142"/>
  <c r="AC124" i="142"/>
  <c r="AB123" i="142"/>
  <c r="AA122" i="142"/>
  <c r="AD163" i="142"/>
  <c r="AC162" i="142"/>
  <c r="AB161" i="142"/>
  <c r="AA160" i="142"/>
  <c r="Z159" i="142"/>
  <c r="AF156" i="142"/>
  <c r="AE155" i="142"/>
  <c r="AD154" i="142"/>
  <c r="AC153" i="142"/>
  <c r="AB152" i="142"/>
  <c r="AA151" i="142"/>
  <c r="Z150" i="142"/>
  <c r="Z149" i="142"/>
  <c r="AF147" i="142"/>
  <c r="AE146" i="142"/>
  <c r="AD145" i="142"/>
  <c r="AC144" i="142"/>
  <c r="AB143" i="142"/>
  <c r="AA142" i="142"/>
  <c r="AA141" i="142"/>
  <c r="Z140" i="142"/>
  <c r="AF138" i="142"/>
  <c r="AE137" i="142"/>
  <c r="AD136" i="142"/>
  <c r="AC135" i="142"/>
  <c r="AB134" i="142"/>
  <c r="AB133" i="142"/>
  <c r="AA132" i="142"/>
  <c r="Z131" i="142"/>
  <c r="AF129" i="142"/>
  <c r="AE128" i="142"/>
  <c r="AD127" i="142"/>
  <c r="AC126" i="142"/>
  <c r="AC125" i="142"/>
  <c r="AB124" i="142"/>
  <c r="AA123" i="142"/>
  <c r="AC163" i="142"/>
  <c r="AB162" i="142"/>
  <c r="AA161" i="142"/>
  <c r="Z160" i="142"/>
  <c r="AF158" i="142"/>
  <c r="AF157" i="142"/>
  <c r="AE156" i="142"/>
  <c r="AD155" i="142"/>
  <c r="AC154" i="142"/>
  <c r="AB153" i="142"/>
  <c r="AA152" i="142"/>
  <c r="Z151" i="142"/>
  <c r="AF148" i="142"/>
  <c r="AE147" i="142"/>
  <c r="AD146" i="142"/>
  <c r="AC145" i="142"/>
  <c r="AB144" i="142"/>
  <c r="AA143" i="142"/>
  <c r="Z142" i="142"/>
  <c r="Z141" i="142"/>
  <c r="AF139" i="142"/>
  <c r="AE138" i="142"/>
  <c r="AD137" i="142"/>
  <c r="AC136" i="142"/>
  <c r="AB135" i="142"/>
  <c r="AA134" i="142"/>
  <c r="AA133" i="142"/>
  <c r="Z132" i="142"/>
  <c r="AF130" i="142"/>
  <c r="AE129" i="142"/>
  <c r="AD128" i="142"/>
  <c r="AC127" i="142"/>
  <c r="AB126" i="142"/>
  <c r="AB125" i="142"/>
  <c r="AA124" i="142"/>
  <c r="Z123" i="142"/>
  <c r="AB163" i="142"/>
  <c r="AE160" i="142"/>
  <c r="AA156" i="142"/>
  <c r="AB155" i="142"/>
  <c r="Z152" i="142"/>
  <c r="AF151" i="142"/>
  <c r="AC148" i="142"/>
  <c r="AC147" i="142"/>
  <c r="AF143" i="142"/>
  <c r="AE140" i="142"/>
  <c r="Z136" i="142"/>
  <c r="AF135" i="142"/>
  <c r="Z133" i="142"/>
  <c r="AF132" i="142"/>
  <c r="AA129" i="142"/>
  <c r="AB128" i="142"/>
  <c r="AA125" i="142"/>
  <c r="AD122" i="142"/>
  <c r="Z121" i="142"/>
  <c r="AF119" i="142"/>
  <c r="AE118" i="142"/>
  <c r="AE117" i="142"/>
  <c r="AD116" i="142"/>
  <c r="AC115" i="142"/>
  <c r="AB114" i="142"/>
  <c r="AA113" i="142"/>
  <c r="Z112" i="142"/>
  <c r="AF110" i="142"/>
  <c r="AF109" i="142"/>
  <c r="AE108" i="142"/>
  <c r="AD107" i="142"/>
  <c r="AC106" i="142"/>
  <c r="AB105" i="142"/>
  <c r="AA104" i="142"/>
  <c r="Z103" i="142"/>
  <c r="AF100" i="142"/>
  <c r="AE99" i="142"/>
  <c r="AD98" i="142"/>
  <c r="AC97" i="142"/>
  <c r="AB96" i="142"/>
  <c r="AA95" i="142"/>
  <c r="Z94" i="142"/>
  <c r="Z93" i="142"/>
  <c r="AF91" i="142"/>
  <c r="AE90" i="142"/>
  <c r="AA163" i="142"/>
  <c r="AD160" i="142"/>
  <c r="AF159" i="142"/>
  <c r="AA155" i="142"/>
  <c r="AB154" i="142"/>
  <c r="AE151" i="142"/>
  <c r="AB148" i="142"/>
  <c r="AB147" i="142"/>
  <c r="AC146" i="142"/>
  <c r="AE143" i="142"/>
  <c r="AD140" i="142"/>
  <c r="AE139" i="142"/>
  <c r="AA135" i="142"/>
  <c r="AE132" i="142"/>
  <c r="AA128" i="142"/>
  <c r="AB127" i="142"/>
  <c r="Z125" i="142"/>
  <c r="AC122" i="142"/>
  <c r="AF120" i="142"/>
  <c r="AE119" i="142"/>
  <c r="AD118" i="142"/>
  <c r="AD117" i="142"/>
  <c r="AC116" i="142"/>
  <c r="AB115" i="142"/>
  <c r="AA114" i="142"/>
  <c r="Z113" i="142"/>
  <c r="AF111" i="142"/>
  <c r="AE110" i="142"/>
  <c r="AE109" i="142"/>
  <c r="AD108" i="142"/>
  <c r="AC107" i="142"/>
  <c r="AB106" i="142"/>
  <c r="AA105" i="142"/>
  <c r="Z104" i="142"/>
  <c r="AF102" i="142"/>
  <c r="AF101" i="142"/>
  <c r="AE100" i="142"/>
  <c r="AD99" i="142"/>
  <c r="AC98" i="142"/>
  <c r="AB97" i="142"/>
  <c r="AA96" i="142"/>
  <c r="Z95" i="142"/>
  <c r="AF92" i="142"/>
  <c r="AE91" i="142"/>
  <c r="AD90" i="142"/>
  <c r="Z163" i="142"/>
  <c r="AF162" i="142"/>
  <c r="AE159" i="142"/>
  <c r="Z155" i="142"/>
  <c r="AA154" i="142"/>
  <c r="AD151" i="142"/>
  <c r="AF150" i="142"/>
  <c r="AA147" i="142"/>
  <c r="AB146" i="142"/>
  <c r="Z143" i="142"/>
  <c r="AF142" i="142"/>
  <c r="AC140" i="142"/>
  <c r="AD139" i="142"/>
  <c r="AD138" i="142"/>
  <c r="Z135" i="142"/>
  <c r="AD132" i="142"/>
  <c r="AF131" i="142"/>
  <c r="Z128" i="142"/>
  <c r="AA127" i="142"/>
  <c r="AF124" i="142"/>
  <c r="Z122" i="142"/>
  <c r="AF121" i="142"/>
  <c r="AE120" i="142"/>
  <c r="AD119" i="142"/>
  <c r="AC118" i="142"/>
  <c r="AC117" i="142"/>
  <c r="AB116" i="142"/>
  <c r="AA115" i="142"/>
  <c r="Z114" i="142"/>
  <c r="AF112" i="142"/>
  <c r="AE111" i="142"/>
  <c r="AD110" i="142"/>
  <c r="AD109" i="142"/>
  <c r="AC108" i="142"/>
  <c r="AB107" i="142"/>
  <c r="AA106" i="142"/>
  <c r="Z105" i="142"/>
  <c r="AF103" i="142"/>
  <c r="AE102" i="142"/>
  <c r="AE101" i="142"/>
  <c r="AD100" i="142"/>
  <c r="AC99" i="142"/>
  <c r="AB98" i="142"/>
  <c r="AA97" i="142"/>
  <c r="Z96" i="142"/>
  <c r="AF94" i="142"/>
  <c r="AF93" i="142"/>
  <c r="AE92" i="142"/>
  <c r="AD91" i="142"/>
  <c r="Z162" i="142"/>
  <c r="AC159" i="142"/>
  <c r="AD158" i="142"/>
  <c r="AE157" i="142"/>
  <c r="AA153" i="142"/>
  <c r="AD150" i="142"/>
  <c r="AF149" i="142"/>
  <c r="Z146" i="142"/>
  <c r="AA145" i="142"/>
  <c r="AD142" i="142"/>
  <c r="AB139" i="142"/>
  <c r="AB138" i="142"/>
  <c r="AC137" i="142"/>
  <c r="AE134" i="142"/>
  <c r="AD131" i="142"/>
  <c r="AE130" i="142"/>
  <c r="AA126" i="142"/>
  <c r="Z124" i="142"/>
  <c r="AF123" i="142"/>
  <c r="AD121" i="142"/>
  <c r="AC120" i="142"/>
  <c r="AB119" i="142"/>
  <c r="AA118" i="142"/>
  <c r="AA117" i="142"/>
  <c r="Z116" i="142"/>
  <c r="AF114" i="142"/>
  <c r="AE113" i="142"/>
  <c r="AD112" i="142"/>
  <c r="AC111" i="142"/>
  <c r="AB110" i="142"/>
  <c r="AB109" i="142"/>
  <c r="AA108" i="142"/>
  <c r="Z107" i="142"/>
  <c r="AF105" i="142"/>
  <c r="AE104" i="142"/>
  <c r="AD103" i="142"/>
  <c r="AC102" i="142"/>
  <c r="AC101" i="142"/>
  <c r="AB100" i="142"/>
  <c r="AA99" i="142"/>
  <c r="Z98" i="142"/>
  <c r="AF96" i="142"/>
  <c r="AE95" i="142"/>
  <c r="AD94" i="142"/>
  <c r="AD93" i="142"/>
  <c r="AC92" i="142"/>
  <c r="Z161" i="142"/>
  <c r="Z145" i="142"/>
  <c r="AF144" i="142"/>
  <c r="AE142" i="142"/>
  <c r="AF141" i="142"/>
  <c r="AF140" i="142"/>
  <c r="AB121" i="142"/>
  <c r="AD120" i="142"/>
  <c r="AB117" i="142"/>
  <c r="AC114" i="142"/>
  <c r="AD113" i="142"/>
  <c r="AC109" i="142"/>
  <c r="AE106" i="142"/>
  <c r="AA102" i="142"/>
  <c r="AD101" i="142"/>
  <c r="AA98" i="142"/>
  <c r="AB94" i="142"/>
  <c r="AE93" i="142"/>
  <c r="AC90" i="142"/>
  <c r="AB89" i="142"/>
  <c r="AA88" i="142"/>
  <c r="Z87" i="142"/>
  <c r="AF84" i="142"/>
  <c r="AE83" i="142"/>
  <c r="AD82" i="142"/>
  <c r="AC81" i="142"/>
  <c r="AB80" i="142"/>
  <c r="AA79" i="142"/>
  <c r="Z78" i="142"/>
  <c r="Z77" i="142"/>
  <c r="Z76" i="142"/>
  <c r="AF74" i="142"/>
  <c r="AE73" i="142"/>
  <c r="AD72" i="142"/>
  <c r="AC71" i="142"/>
  <c r="AB70" i="142"/>
  <c r="AB69" i="142"/>
  <c r="AB68" i="142"/>
  <c r="AA67" i="142"/>
  <c r="Z66" i="142"/>
  <c r="AF64" i="142"/>
  <c r="AE63" i="142"/>
  <c r="AD62" i="142"/>
  <c r="AD61" i="142"/>
  <c r="AC60" i="142"/>
  <c r="AB59" i="142"/>
  <c r="AA58" i="142"/>
  <c r="Z57" i="142"/>
  <c r="AF55" i="142"/>
  <c r="AA146" i="142"/>
  <c r="AA144" i="142"/>
  <c r="AE141" i="142"/>
  <c r="AA121" i="142"/>
  <c r="AB120" i="142"/>
  <c r="Z117" i="142"/>
  <c r="AF116" i="142"/>
  <c r="AC113" i="142"/>
  <c r="AE112" i="142"/>
  <c r="AA109" i="142"/>
  <c r="AD106" i="142"/>
  <c r="AE105" i="142"/>
  <c r="Z102" i="142"/>
  <c r="AB101" i="142"/>
  <c r="AF97" i="142"/>
  <c r="AA94" i="142"/>
  <c r="AC93" i="142"/>
  <c r="AB90" i="142"/>
  <c r="AA89" i="142"/>
  <c r="Z88" i="142"/>
  <c r="AF86" i="142"/>
  <c r="AF85" i="142"/>
  <c r="AE84" i="142"/>
  <c r="AD83" i="142"/>
  <c r="AC82" i="142"/>
  <c r="AB81" i="142"/>
  <c r="AA80" i="142"/>
  <c r="Z79" i="142"/>
  <c r="AF75" i="142"/>
  <c r="AE74" i="142"/>
  <c r="AD73" i="142"/>
  <c r="AC72" i="142"/>
  <c r="AB71" i="142"/>
  <c r="AA70" i="142"/>
  <c r="AA69" i="142"/>
  <c r="AA68" i="142"/>
  <c r="Z67" i="142"/>
  <c r="AF65" i="142"/>
  <c r="AE64" i="142"/>
  <c r="AD63" i="142"/>
  <c r="AC62" i="142"/>
  <c r="AC61" i="142"/>
  <c r="AB60" i="142"/>
  <c r="AA59" i="142"/>
  <c r="Z58" i="142"/>
  <c r="AF56" i="142"/>
  <c r="AE55" i="142"/>
  <c r="AD54" i="142"/>
  <c r="AD53" i="142"/>
  <c r="AC52" i="142"/>
  <c r="AB51" i="142"/>
  <c r="AA50" i="142"/>
  <c r="AD147" i="142"/>
  <c r="Z144" i="142"/>
  <c r="AD141" i="142"/>
  <c r="AF126" i="142"/>
  <c r="AA120" i="142"/>
  <c r="AC119" i="142"/>
  <c r="AE116" i="142"/>
  <c r="AB113" i="142"/>
  <c r="AC112" i="142"/>
  <c r="Z109" i="142"/>
  <c r="AF108" i="142"/>
  <c r="Z106" i="142"/>
  <c r="AD105" i="142"/>
  <c r="AF104" i="142"/>
  <c r="AA101" i="142"/>
  <c r="AC100" i="142"/>
  <c r="AE97" i="142"/>
  <c r="AB93" i="142"/>
  <c r="AD92" i="142"/>
  <c r="AA90" i="142"/>
  <c r="Z89" i="142"/>
  <c r="AF87" i="142"/>
  <c r="AE86" i="142"/>
  <c r="AE85" i="142"/>
  <c r="AD84" i="142"/>
  <c r="AC83" i="142"/>
  <c r="AB82" i="142"/>
  <c r="AA81" i="142"/>
  <c r="Z80" i="142"/>
  <c r="AF78" i="142"/>
  <c r="AF77" i="142"/>
  <c r="AF76" i="142"/>
  <c r="AE75" i="142"/>
  <c r="AD74" i="142"/>
  <c r="AC73" i="142"/>
  <c r="AB72" i="142"/>
  <c r="AA71" i="142"/>
  <c r="Z70" i="142"/>
  <c r="Z69" i="142"/>
  <c r="Z68" i="142"/>
  <c r="AF66" i="142"/>
  <c r="AE65" i="142"/>
  <c r="AD64" i="142"/>
  <c r="AC63" i="142"/>
  <c r="AB62" i="142"/>
  <c r="AB61" i="142"/>
  <c r="AA60" i="142"/>
  <c r="Z59" i="142"/>
  <c r="AE150" i="142"/>
  <c r="AE149" i="142"/>
  <c r="AE148" i="142"/>
  <c r="AE131" i="142"/>
  <c r="AD130" i="142"/>
  <c r="AD129" i="142"/>
  <c r="Z127" i="142"/>
  <c r="Z126" i="142"/>
  <c r="Z120" i="142"/>
  <c r="AA119" i="142"/>
  <c r="AA116" i="142"/>
  <c r="AB112" i="142"/>
  <c r="AD111" i="142"/>
  <c r="AB108" i="142"/>
  <c r="AC105" i="142"/>
  <c r="AD104" i="142"/>
  <c r="Z101" i="142"/>
  <c r="AA100" i="142"/>
  <c r="AD97" i="142"/>
  <c r="AE96" i="142"/>
  <c r="AA93" i="142"/>
  <c r="AB92" i="142"/>
  <c r="Z90" i="142"/>
  <c r="AF88" i="142"/>
  <c r="AE87" i="142"/>
  <c r="AD86" i="142"/>
  <c r="AD85" i="142"/>
  <c r="AC84" i="142"/>
  <c r="AB83" i="142"/>
  <c r="AA82" i="142"/>
  <c r="Z81" i="142"/>
  <c r="AF79" i="142"/>
  <c r="AE78" i="142"/>
  <c r="AE77" i="142"/>
  <c r="AE76" i="142"/>
  <c r="AD75" i="142"/>
  <c r="AC74" i="142"/>
  <c r="AB73" i="142"/>
  <c r="AA72" i="142"/>
  <c r="Z71" i="142"/>
  <c r="AF67" i="142"/>
  <c r="AE158" i="142"/>
  <c r="AD157" i="142"/>
  <c r="AD156" i="142"/>
  <c r="Z154" i="142"/>
  <c r="AF153" i="142"/>
  <c r="AA138" i="142"/>
  <c r="Z137" i="142"/>
  <c r="AF133" i="142"/>
  <c r="AE124" i="142"/>
  <c r="AD123" i="142"/>
  <c r="AE122" i="142"/>
  <c r="Z110" i="142"/>
  <c r="Z92" i="142"/>
  <c r="AA91" i="142"/>
  <c r="AF90" i="142"/>
  <c r="AF89" i="142"/>
  <c r="Z86" i="142"/>
  <c r="AB85" i="142"/>
  <c r="Z82" i="142"/>
  <c r="AF81" i="142"/>
  <c r="AA78" i="142"/>
  <c r="AC77" i="142"/>
  <c r="AA73" i="142"/>
  <c r="AD70" i="142"/>
  <c r="AF69" i="142"/>
  <c r="AC66" i="142"/>
  <c r="AB63" i="142"/>
  <c r="AF61" i="142"/>
  <c r="AE59" i="142"/>
  <c r="AD57" i="142"/>
  <c r="Z56" i="142"/>
  <c r="AC55" i="142"/>
  <c r="AA54" i="142"/>
  <c r="Z53" i="142"/>
  <c r="AE51" i="142"/>
  <c r="AC50" i="142"/>
  <c r="AA49" i="142"/>
  <c r="Z48" i="142"/>
  <c r="AF46" i="142"/>
  <c r="AF45" i="142"/>
  <c r="AF44" i="142"/>
  <c r="AE43" i="142"/>
  <c r="AD42" i="142"/>
  <c r="AC41" i="142"/>
  <c r="AB40" i="142"/>
  <c r="AA39" i="142"/>
  <c r="Z38" i="142"/>
  <c r="Z37" i="142"/>
  <c r="Z36" i="142"/>
  <c r="AF33" i="142"/>
  <c r="AE32" i="142"/>
  <c r="AD31" i="142"/>
  <c r="AD30" i="142"/>
  <c r="AC29" i="142"/>
  <c r="AB28" i="142"/>
  <c r="AA27" i="142"/>
  <c r="Z26" i="142"/>
  <c r="AF24" i="142"/>
  <c r="AE23" i="142"/>
  <c r="AE22" i="142"/>
  <c r="AD159" i="142"/>
  <c r="AC158" i="142"/>
  <c r="AC157" i="142"/>
  <c r="AC156" i="142"/>
  <c r="AC155" i="142"/>
  <c r="Z153" i="142"/>
  <c r="AC139" i="142"/>
  <c r="AE133" i="142"/>
  <c r="AF115" i="142"/>
  <c r="AF113" i="142"/>
  <c r="AF99" i="142"/>
  <c r="AD96" i="142"/>
  <c r="AF95" i="142"/>
  <c r="Z91" i="142"/>
  <c r="AE89" i="142"/>
  <c r="AA85" i="142"/>
  <c r="AB84" i="142"/>
  <c r="AE81" i="142"/>
  <c r="AB77" i="142"/>
  <c r="AD76" i="142"/>
  <c r="Z73" i="142"/>
  <c r="AC70" i="142"/>
  <c r="AE69" i="142"/>
  <c r="AB66" i="142"/>
  <c r="AD65" i="142"/>
  <c r="AA63" i="142"/>
  <c r="AE61" i="142"/>
  <c r="AD59" i="142"/>
  <c r="AC57" i="142"/>
  <c r="AB55" i="142"/>
  <c r="Z54" i="142"/>
  <c r="AF52" i="142"/>
  <c r="AD51" i="142"/>
  <c r="AB50" i="142"/>
  <c r="Z49" i="142"/>
  <c r="AF47" i="142"/>
  <c r="AE46" i="142"/>
  <c r="AE45" i="142"/>
  <c r="AE44" i="142"/>
  <c r="AD43" i="142"/>
  <c r="AC42" i="142"/>
  <c r="AB41" i="142"/>
  <c r="AA40" i="142"/>
  <c r="Z39" i="142"/>
  <c r="AF35" i="142"/>
  <c r="AF34" i="142"/>
  <c r="AE33" i="142"/>
  <c r="AD32" i="142"/>
  <c r="AC31" i="142"/>
  <c r="AC30" i="142"/>
  <c r="AB29" i="142"/>
  <c r="AA28" i="142"/>
  <c r="Z27" i="142"/>
  <c r="AF25" i="142"/>
  <c r="AE24" i="142"/>
  <c r="AD23" i="142"/>
  <c r="AD22" i="142"/>
  <c r="AC21" i="142"/>
  <c r="AA162" i="142"/>
  <c r="AF160" i="142"/>
  <c r="AB158" i="142"/>
  <c r="AB157" i="142"/>
  <c r="AB156" i="142"/>
  <c r="AF152" i="142"/>
  <c r="AC128" i="142"/>
  <c r="AF118" i="142"/>
  <c r="AE115" i="142"/>
  <c r="AE114" i="142"/>
  <c r="Z100" i="142"/>
  <c r="AB99" i="142"/>
  <c r="AF98" i="142"/>
  <c r="Z97" i="142"/>
  <c r="AC96" i="142"/>
  <c r="AD95" i="142"/>
  <c r="AE94" i="142"/>
  <c r="AD89" i="142"/>
  <c r="AE88" i="142"/>
  <c r="Z85" i="142"/>
  <c r="AA84" i="142"/>
  <c r="AD81" i="142"/>
  <c r="AF80" i="142"/>
  <c r="AA77" i="142"/>
  <c r="AC76" i="142"/>
  <c r="AF72" i="142"/>
  <c r="AD69" i="142"/>
  <c r="AF68" i="142"/>
  <c r="AA66" i="142"/>
  <c r="AC65" i="142"/>
  <c r="Z63" i="142"/>
  <c r="AA61" i="142"/>
  <c r="AC59" i="142"/>
  <c r="AF58" i="142"/>
  <c r="AB57" i="142"/>
  <c r="AA55" i="142"/>
  <c r="AE52" i="142"/>
  <c r="AC51" i="142"/>
  <c r="Z50" i="142"/>
  <c r="AF48" i="142"/>
  <c r="AE47" i="142"/>
  <c r="AD46" i="142"/>
  <c r="AD45" i="142"/>
  <c r="AD44" i="142"/>
  <c r="AC43" i="142"/>
  <c r="AB42" i="142"/>
  <c r="AA41" i="142"/>
  <c r="Z40" i="142"/>
  <c r="AF38" i="142"/>
  <c r="AF37" i="142"/>
  <c r="AF36" i="142"/>
  <c r="AE35" i="142"/>
  <c r="AE34" i="142"/>
  <c r="AD33" i="142"/>
  <c r="AC32" i="142"/>
  <c r="AB31" i="142"/>
  <c r="AB30" i="142"/>
  <c r="AA29" i="142"/>
  <c r="Z28" i="142"/>
  <c r="AF161" i="142"/>
  <c r="AE152" i="142"/>
  <c r="AC129" i="142"/>
  <c r="Z119" i="142"/>
  <c r="AB118" i="142"/>
  <c r="AD115" i="142"/>
  <c r="AD114" i="142"/>
  <c r="AC104" i="142"/>
  <c r="AE103" i="142"/>
  <c r="Z99" i="142"/>
  <c r="AE98" i="142"/>
  <c r="AC95" i="142"/>
  <c r="AC94" i="142"/>
  <c r="AC89" i="142"/>
  <c r="AD88" i="142"/>
  <c r="AD87" i="142"/>
  <c r="Z84" i="142"/>
  <c r="AF83" i="142"/>
  <c r="AE80" i="142"/>
  <c r="AB76" i="142"/>
  <c r="AC75" i="142"/>
  <c r="AE72" i="142"/>
  <c r="AC69" i="142"/>
  <c r="AE68" i="142"/>
  <c r="AB65" i="142"/>
  <c r="AF62" i="142"/>
  <c r="Z61" i="142"/>
  <c r="AE58" i="142"/>
  <c r="AA57" i="142"/>
  <c r="AE56" i="142"/>
  <c r="Z55" i="142"/>
  <c r="AF53" i="142"/>
  <c r="AD52" i="142"/>
  <c r="AA51" i="142"/>
  <c r="AF49" i="142"/>
  <c r="AE48" i="142"/>
  <c r="AD47" i="142"/>
  <c r="AC46" i="142"/>
  <c r="AC45" i="142"/>
  <c r="AC44" i="142"/>
  <c r="AB43" i="142"/>
  <c r="AA42" i="142"/>
  <c r="Z41" i="142"/>
  <c r="AF39" i="142"/>
  <c r="AE38" i="142"/>
  <c r="E10" i="142"/>
  <c r="Z20" i="142"/>
  <c r="AA21" i="142"/>
  <c r="AC22" i="142"/>
  <c r="AA24" i="142"/>
  <c r="AB26" i="142"/>
  <c r="AD28" i="142"/>
  <c r="AE30" i="142"/>
  <c r="AA32" i="142"/>
  <c r="AD34" i="142"/>
  <c r="Z35" i="142"/>
  <c r="AC37" i="142"/>
  <c r="AE41" i="142"/>
  <c r="Y42" i="142"/>
  <c r="AB44" i="142"/>
  <c r="Y45" i="142"/>
  <c r="AC47" i="142"/>
  <c r="AB48" i="142"/>
  <c r="AB49" i="142"/>
  <c r="AC53" i="142"/>
  <c r="AC54" i="142"/>
  <c r="AB64" i="142"/>
  <c r="AA65" i="142"/>
  <c r="AE66" i="142"/>
  <c r="AD67" i="142"/>
  <c r="AC68" i="142"/>
  <c r="AF73" i="142"/>
  <c r="AA74" i="142"/>
  <c r="Z75" i="142"/>
  <c r="AA76" i="142"/>
  <c r="AD78" i="142"/>
  <c r="AD79" i="142"/>
  <c r="AC80" i="142"/>
  <c r="AA83" i="142"/>
  <c r="E90" i="142"/>
  <c r="W90" i="142" s="1"/>
  <c r="Y90" i="142"/>
  <c r="AB91" i="142"/>
  <c r="AD102" i="142"/>
  <c r="AB103" i="142"/>
  <c r="AB104" i="142"/>
  <c r="E116" i="142"/>
  <c r="W116" i="142" s="1"/>
  <c r="Y116" i="142"/>
  <c r="AE121" i="142"/>
  <c r="Z134" i="142"/>
  <c r="AA136" i="142"/>
  <c r="AB137" i="142"/>
  <c r="Y72" i="142"/>
  <c r="U6" i="141"/>
  <c r="BL3" i="149" s="1"/>
  <c r="S7" i="141"/>
  <c r="BJ4" i="149" s="1"/>
  <c r="Q8" i="141"/>
  <c r="BH5" i="149" s="1"/>
  <c r="S19" i="141"/>
  <c r="BJ16" i="149" s="1"/>
  <c r="O29" i="141"/>
  <c r="U30" i="141"/>
  <c r="BL27" i="149" s="1"/>
  <c r="S31" i="141"/>
  <c r="BJ28" i="149" s="1"/>
  <c r="P9" i="141"/>
  <c r="P13" i="141"/>
  <c r="T15" i="141"/>
  <c r="BK12" i="149" s="1"/>
  <c r="P17" i="141"/>
  <c r="P21" i="141"/>
  <c r="U7" i="141"/>
  <c r="BL4" i="149" s="1"/>
  <c r="S8" i="141"/>
  <c r="BJ5" i="149" s="1"/>
  <c r="Q9" i="141"/>
  <c r="BH6" i="149" s="1"/>
  <c r="O10" i="141"/>
  <c r="U11" i="141"/>
  <c r="BL8" i="149" s="1"/>
  <c r="S12" i="141"/>
  <c r="BJ9" i="149" s="1"/>
  <c r="Q13" i="141"/>
  <c r="BH10" i="149" s="1"/>
  <c r="Q17" i="141"/>
  <c r="BH14" i="149" s="1"/>
  <c r="O18" i="141"/>
  <c r="U19" i="141"/>
  <c r="BL16" i="149" s="1"/>
  <c r="Q21" i="141"/>
  <c r="BH18" i="149" s="1"/>
  <c r="O22" i="141"/>
  <c r="U23" i="141"/>
  <c r="BL20" i="149" s="1"/>
  <c r="S24" i="141"/>
  <c r="BJ21" i="149" s="1"/>
  <c r="Q25" i="141"/>
  <c r="BH22" i="149" s="1"/>
  <c r="O26" i="141"/>
  <c r="U27" i="141"/>
  <c r="BL24" i="149" s="1"/>
  <c r="S28" i="141"/>
  <c r="BJ25" i="149" s="1"/>
  <c r="Q29" i="141"/>
  <c r="BH26" i="149" s="1"/>
  <c r="O30" i="141"/>
  <c r="U31" i="141"/>
  <c r="BL28" i="149" s="1"/>
  <c r="S32" i="141"/>
  <c r="BJ29" i="149" s="1"/>
  <c r="Q33" i="141"/>
  <c r="BH30" i="149" s="1"/>
  <c r="O34" i="141"/>
  <c r="AA20" i="142"/>
  <c r="AB21" i="142"/>
  <c r="AF22" i="142"/>
  <c r="AB24" i="142"/>
  <c r="AC26" i="142"/>
  <c r="E28" i="142"/>
  <c r="W28" i="142" s="1"/>
  <c r="AE28" i="142"/>
  <c r="Y29" i="142"/>
  <c r="AF30" i="142"/>
  <c r="AB32" i="142"/>
  <c r="AA35" i="142"/>
  <c r="AD37" i="142"/>
  <c r="AA38" i="142"/>
  <c r="AF41" i="142"/>
  <c r="Z42" i="142"/>
  <c r="Z45" i="142"/>
  <c r="Y47" i="142"/>
  <c r="AC48" i="142"/>
  <c r="AC49" i="142"/>
  <c r="E53" i="142"/>
  <c r="W53" i="142" s="1"/>
  <c r="AE53" i="142"/>
  <c r="AE54" i="142"/>
  <c r="Y55" i="142"/>
  <c r="AA56" i="142"/>
  <c r="E64" i="142"/>
  <c r="W64" i="142" s="1"/>
  <c r="AC64" i="142"/>
  <c r="AE67" i="142"/>
  <c r="AD68" i="142"/>
  <c r="E70" i="142"/>
  <c r="W70" i="142" s="1"/>
  <c r="AB74" i="142"/>
  <c r="AA75" i="142"/>
  <c r="AE79" i="142"/>
  <c r="AD80" i="142"/>
  <c r="Y89" i="142"/>
  <c r="AC91" i="142"/>
  <c r="Y93" i="142"/>
  <c r="E93" i="142"/>
  <c r="W93" i="142" s="1"/>
  <c r="AC103" i="142"/>
  <c r="AF134" i="142"/>
  <c r="AB136" i="142"/>
  <c r="O9" i="141"/>
  <c r="U10" i="141"/>
  <c r="BL7" i="149" s="1"/>
  <c r="S11" i="141"/>
  <c r="BJ8" i="149" s="1"/>
  <c r="Q12" i="141"/>
  <c r="BH9" i="149" s="1"/>
  <c r="O17" i="141"/>
  <c r="Q32" i="141"/>
  <c r="BH29" i="149" s="1"/>
  <c r="O33" i="141"/>
  <c r="U34" i="141"/>
  <c r="BL31" i="149" s="1"/>
  <c r="R8" i="141"/>
  <c r="BI5" i="149" s="1"/>
  <c r="R12" i="141"/>
  <c r="BI9" i="149" s="1"/>
  <c r="O14" i="141"/>
  <c r="U15" i="141"/>
  <c r="BL12" i="149" s="1"/>
  <c r="S16" i="141"/>
  <c r="BJ13" i="149" s="1"/>
  <c r="S20" i="141"/>
  <c r="BJ17" i="149" s="1"/>
  <c r="P6" i="141"/>
  <c r="T8" i="141"/>
  <c r="BK5" i="149" s="1"/>
  <c r="R9" i="141"/>
  <c r="BI6" i="149" s="1"/>
  <c r="P10" i="141"/>
  <c r="T12" i="141"/>
  <c r="BK9" i="149" s="1"/>
  <c r="R13" i="141"/>
  <c r="BI10" i="149" s="1"/>
  <c r="P14" i="141"/>
  <c r="T16" i="141"/>
  <c r="BK13" i="149" s="1"/>
  <c r="R17" i="141"/>
  <c r="BI14" i="149" s="1"/>
  <c r="P18" i="141"/>
  <c r="T20" i="141"/>
  <c r="BK17" i="149" s="1"/>
  <c r="R21" i="141"/>
  <c r="BI18" i="149" s="1"/>
  <c r="P22" i="141"/>
  <c r="T24" i="141"/>
  <c r="BK21" i="149" s="1"/>
  <c r="R25" i="141"/>
  <c r="BI22" i="149" s="1"/>
  <c r="P26" i="141"/>
  <c r="T28" i="141"/>
  <c r="BK25" i="149" s="1"/>
  <c r="R29" i="141"/>
  <c r="BI26" i="149" s="1"/>
  <c r="P30" i="141"/>
  <c r="T32" i="141"/>
  <c r="BK29" i="149" s="1"/>
  <c r="R33" i="141"/>
  <c r="BI30" i="149" s="1"/>
  <c r="P34" i="141"/>
  <c r="AB20" i="142"/>
  <c r="AD21" i="142"/>
  <c r="AC24" i="142"/>
  <c r="Z25" i="142"/>
  <c r="Y26" i="142"/>
  <c r="AD26" i="142"/>
  <c r="AF28" i="142"/>
  <c r="Z29" i="142"/>
  <c r="AF32" i="142"/>
  <c r="Z33" i="142"/>
  <c r="AB35" i="142"/>
  <c r="Y37" i="142"/>
  <c r="AE37" i="142"/>
  <c r="AB38" i="142"/>
  <c r="AB39" i="142"/>
  <c r="AE42" i="142"/>
  <c r="AA45" i="142"/>
  <c r="AD48" i="142"/>
  <c r="AD49" i="142"/>
  <c r="AD50" i="142"/>
  <c r="AF54" i="142"/>
  <c r="AD55" i="142"/>
  <c r="AB56" i="142"/>
  <c r="Y58" i="142"/>
  <c r="Z60" i="142"/>
  <c r="E67" i="142"/>
  <c r="W67" i="142" s="1"/>
  <c r="Y67" i="142"/>
  <c r="AB75" i="142"/>
  <c r="E114" i="142"/>
  <c r="W114" i="142" s="1"/>
  <c r="E39" i="142"/>
  <c r="W39" i="142" s="1"/>
  <c r="Y39" i="142"/>
  <c r="Y94" i="142"/>
  <c r="E94" i="142"/>
  <c r="W94" i="142" s="1"/>
  <c r="O13" i="141"/>
  <c r="U14" i="141"/>
  <c r="BL11" i="149" s="1"/>
  <c r="S15" i="141"/>
  <c r="BJ12" i="149" s="1"/>
  <c r="Q16" i="141"/>
  <c r="BH13" i="149" s="1"/>
  <c r="U18" i="141"/>
  <c r="BL15" i="149" s="1"/>
  <c r="Q20" i="141"/>
  <c r="BH17" i="149" s="1"/>
  <c r="O21" i="141"/>
  <c r="U22" i="141"/>
  <c r="BL19" i="149" s="1"/>
  <c r="S23" i="141"/>
  <c r="BJ20" i="149" s="1"/>
  <c r="Q24" i="141"/>
  <c r="BH21" i="149" s="1"/>
  <c r="O25" i="141"/>
  <c r="U26" i="141"/>
  <c r="BL23" i="149" s="1"/>
  <c r="S27" i="141"/>
  <c r="BJ24" i="149" s="1"/>
  <c r="Q28" i="141"/>
  <c r="BH25" i="149" s="1"/>
  <c r="T7" i="141"/>
  <c r="BK4" i="149" s="1"/>
  <c r="T11" i="141"/>
  <c r="BK8" i="149" s="1"/>
  <c r="T19" i="141"/>
  <c r="BK16" i="149" s="1"/>
  <c r="R24" i="141"/>
  <c r="BI21" i="149" s="1"/>
  <c r="Q6" i="141"/>
  <c r="BH3" i="149" s="1"/>
  <c r="U8" i="141"/>
  <c r="BL5" i="149" s="1"/>
  <c r="S9" i="141"/>
  <c r="BJ6" i="149" s="1"/>
  <c r="Q10" i="141"/>
  <c r="BH7" i="149" s="1"/>
  <c r="O11" i="141"/>
  <c r="U12" i="141"/>
  <c r="BL9" i="149" s="1"/>
  <c r="S13" i="141"/>
  <c r="BJ10" i="149" s="1"/>
  <c r="Q14" i="141"/>
  <c r="BH11" i="149" s="1"/>
  <c r="O15" i="141"/>
  <c r="U16" i="141"/>
  <c r="BL13" i="149" s="1"/>
  <c r="S17" i="141"/>
  <c r="BJ14" i="149" s="1"/>
  <c r="Q18" i="141"/>
  <c r="BH15" i="149" s="1"/>
  <c r="O19" i="141"/>
  <c r="U20" i="141"/>
  <c r="BL17" i="149" s="1"/>
  <c r="S21" i="141"/>
  <c r="BJ18" i="149" s="1"/>
  <c r="Q22" i="141"/>
  <c r="BH19" i="149" s="1"/>
  <c r="O23" i="141"/>
  <c r="U24" i="141"/>
  <c r="BL21" i="149" s="1"/>
  <c r="S25" i="141"/>
  <c r="BJ22" i="149" s="1"/>
  <c r="Q26" i="141"/>
  <c r="BH23" i="149" s="1"/>
  <c r="O27" i="141"/>
  <c r="U28" i="141"/>
  <c r="BL25" i="149" s="1"/>
  <c r="S29" i="141"/>
  <c r="BJ26" i="149" s="1"/>
  <c r="Q30" i="141"/>
  <c r="BH27" i="149" s="1"/>
  <c r="O31" i="141"/>
  <c r="U32" i="141"/>
  <c r="BL29" i="149" s="1"/>
  <c r="S33" i="141"/>
  <c r="BJ30" i="149" s="1"/>
  <c r="Q34" i="141"/>
  <c r="BH31" i="149" s="1"/>
  <c r="AC20" i="142"/>
  <c r="AE21" i="142"/>
  <c r="Z23" i="142"/>
  <c r="AD24" i="142"/>
  <c r="AA25" i="142"/>
  <c r="AE26" i="142"/>
  <c r="AB27" i="142"/>
  <c r="AD29" i="142"/>
  <c r="Z31" i="142"/>
  <c r="AA33" i="142"/>
  <c r="AC35" i="142"/>
  <c r="AA36" i="142"/>
  <c r="AC38" i="142"/>
  <c r="AC39" i="142"/>
  <c r="E41" i="142"/>
  <c r="W41" i="142" s="1"/>
  <c r="AF42" i="142"/>
  <c r="AB45" i="142"/>
  <c r="Y48" i="142"/>
  <c r="AE49" i="142"/>
  <c r="AE50" i="142"/>
  <c r="Y51" i="142"/>
  <c r="E54" i="142"/>
  <c r="W54" i="142" s="1"/>
  <c r="Y54" i="142"/>
  <c r="AC56" i="142"/>
  <c r="AE57" i="142"/>
  <c r="AB58" i="142"/>
  <c r="AD60" i="142"/>
  <c r="Y66" i="142"/>
  <c r="Y77" i="142"/>
  <c r="E91" i="142"/>
  <c r="W91" i="142" s="1"/>
  <c r="AA110" i="142"/>
  <c r="Z111" i="142"/>
  <c r="AA112" i="142"/>
  <c r="Z115" i="142"/>
  <c r="AE161" i="142"/>
  <c r="E79" i="142"/>
  <c r="W79" i="142" s="1"/>
  <c r="Y79" i="142"/>
  <c r="E68" i="142"/>
  <c r="W68" i="142" s="1"/>
  <c r="E80" i="142"/>
  <c r="W80" i="142" s="1"/>
  <c r="E109" i="142"/>
  <c r="W109" i="142" s="1"/>
  <c r="Y109" i="142"/>
  <c r="Y65" i="142"/>
  <c r="Y68" i="142"/>
  <c r="Y80" i="142"/>
  <c r="Y82" i="142"/>
  <c r="E88" i="142"/>
  <c r="W88" i="142" s="1"/>
  <c r="Y88" i="142"/>
  <c r="E106" i="142"/>
  <c r="W106" i="142" s="1"/>
  <c r="Y106" i="142"/>
  <c r="Y120" i="142"/>
  <c r="E120" i="142"/>
  <c r="W120" i="142" s="1"/>
  <c r="Y151" i="142"/>
  <c r="Y57" i="142"/>
  <c r="E59" i="142"/>
  <c r="W59" i="142" s="1"/>
  <c r="Y60" i="142"/>
  <c r="E69" i="142"/>
  <c r="W69" i="142" s="1"/>
  <c r="Y76" i="142"/>
  <c r="E89" i="142"/>
  <c r="W89" i="142" s="1"/>
  <c r="E95" i="142"/>
  <c r="W95" i="142" s="1"/>
  <c r="Y95" i="142"/>
  <c r="Y101" i="142"/>
  <c r="E101" i="142"/>
  <c r="W101" i="142" s="1"/>
  <c r="E117" i="142"/>
  <c r="W117" i="142" s="1"/>
  <c r="Y117" i="142"/>
  <c r="Y141" i="142"/>
  <c r="E96" i="142"/>
  <c r="W96" i="142" s="1"/>
  <c r="E104" i="142"/>
  <c r="W104" i="142" s="1"/>
  <c r="Y104" i="142"/>
  <c r="Y111" i="142"/>
  <c r="E115" i="142"/>
  <c r="W115" i="142" s="1"/>
  <c r="Y115" i="142"/>
  <c r="Y137" i="142"/>
  <c r="Y143" i="142"/>
  <c r="E157" i="142"/>
  <c r="W157" i="142" s="1"/>
  <c r="Y157" i="142"/>
  <c r="Y92" i="142"/>
  <c r="E97" i="142"/>
  <c r="W97" i="142" s="1"/>
  <c r="Y130" i="142"/>
  <c r="E160" i="142"/>
  <c r="W160" i="142" s="1"/>
  <c r="Y160" i="142"/>
  <c r="E105" i="142"/>
  <c r="W105" i="142" s="1"/>
  <c r="Y112" i="142"/>
  <c r="Y128" i="142"/>
  <c r="E148" i="142"/>
  <c r="W148" i="142" s="1"/>
  <c r="Y148" i="142"/>
  <c r="E152" i="142"/>
  <c r="Y152" i="142"/>
  <c r="Y129" i="142"/>
  <c r="E149" i="142"/>
  <c r="W149" i="142" s="1"/>
  <c r="Y156" i="142"/>
  <c r="E124" i="142"/>
  <c r="W124" i="142" s="1"/>
  <c r="E150" i="142"/>
  <c r="W150" i="142" s="1"/>
  <c r="E158" i="142"/>
  <c r="W158" i="142" s="1"/>
  <c r="Y158" i="142"/>
  <c r="Y138" i="142"/>
  <c r="Y150" i="142"/>
  <c r="E122" i="142"/>
  <c r="W122" i="142" s="1"/>
  <c r="Y139" i="142"/>
  <c r="Y146" i="142"/>
  <c r="E159" i="142"/>
  <c r="W159" i="142" s="1"/>
  <c r="Y159" i="142"/>
  <c r="Y161" i="142"/>
  <c r="Y131" i="142"/>
  <c r="AN10" i="149"/>
  <c r="AM4" i="149"/>
  <c r="AN4" i="149" s="1"/>
  <c r="AN15" i="149"/>
  <c r="AN6" i="149"/>
  <c r="AM12" i="149"/>
  <c r="AN12" i="149" s="1"/>
  <c r="I8" i="141"/>
  <c r="I16" i="141"/>
  <c r="AN32" i="149"/>
  <c r="I9" i="141"/>
  <c r="I13" i="141"/>
  <c r="I17" i="141"/>
  <c r="I25" i="141"/>
  <c r="AN30" i="149"/>
  <c r="I14" i="141"/>
  <c r="AM8" i="149"/>
  <c r="AN8" i="149" s="1"/>
  <c r="I21" i="141"/>
  <c r="AN11" i="149"/>
  <c r="AM13" i="149"/>
  <c r="AN13" i="149" s="1"/>
  <c r="AM22" i="149"/>
  <c r="AN22" i="149" s="1"/>
  <c r="AN7" i="149"/>
  <c r="I22" i="141"/>
  <c r="AM5" i="149"/>
  <c r="AN5" i="149" s="1"/>
  <c r="AM20" i="149"/>
  <c r="AN20" i="149" s="1"/>
  <c r="AN17" i="149"/>
  <c r="I6" i="141"/>
  <c r="AN28" i="149"/>
  <c r="AM24" i="149"/>
  <c r="AN24" i="149" s="1"/>
  <c r="AN18" i="149"/>
  <c r="AN9" i="149"/>
  <c r="I19" i="141"/>
  <c r="AN14" i="149"/>
  <c r="AL23" i="149"/>
  <c r="AN23" i="149" s="1"/>
  <c r="I26" i="141"/>
  <c r="E37" i="141"/>
  <c r="H37" i="141" s="1"/>
  <c r="I20" i="141"/>
  <c r="AL21" i="149"/>
  <c r="AN21" i="149" s="1"/>
  <c r="I24" i="141"/>
  <c r="I10" i="141"/>
  <c r="I18" i="141"/>
  <c r="AL31" i="149"/>
  <c r="AN31" i="149" s="1"/>
  <c r="AL25" i="149"/>
  <c r="AN25" i="149" s="1"/>
  <c r="AL33" i="149"/>
  <c r="AN33" i="149" s="1"/>
  <c r="I12" i="141"/>
  <c r="AL19" i="149"/>
  <c r="AN19" i="149" s="1"/>
  <c r="AL29" i="149"/>
  <c r="AN29" i="149" s="1"/>
  <c r="B21" i="142"/>
  <c r="B22" i="142"/>
  <c r="B20" i="142"/>
  <c r="B24" i="142"/>
  <c r="C20" i="142"/>
  <c r="B23" i="142"/>
  <c r="B25" i="142"/>
  <c r="D36" i="141" l="1"/>
  <c r="AJ33" i="149" s="1"/>
  <c r="BH36" i="141"/>
  <c r="BL33" i="149"/>
  <c r="BL34" i="149" s="1"/>
  <c r="V36" i="141"/>
  <c r="BM33" i="149" s="1"/>
  <c r="V35" i="141"/>
  <c r="BM32" i="149" s="1"/>
  <c r="BH35" i="141"/>
  <c r="H2" i="140"/>
  <c r="I2" i="140" s="1"/>
  <c r="J2" i="140" s="1"/>
  <c r="K2" i="140" s="1"/>
  <c r="L2" i="140" s="1"/>
  <c r="M2" i="140" s="1"/>
  <c r="N2" i="140" s="1"/>
  <c r="O2" i="140" s="1"/>
  <c r="P2" i="140" s="1"/>
  <c r="Q2" i="140" s="1"/>
  <c r="R2" i="140" s="1"/>
  <c r="S2" i="140" s="1"/>
  <c r="T2" i="140" s="1"/>
  <c r="U2" i="140" s="1"/>
  <c r="V2" i="140" s="1"/>
  <c r="W2" i="140" s="1"/>
  <c r="X2" i="140" s="1"/>
  <c r="Y2" i="140" s="1"/>
  <c r="Z2" i="140" s="1"/>
  <c r="AA2" i="140" s="1"/>
  <c r="AB2" i="140" s="1"/>
  <c r="AC2" i="140" s="1"/>
  <c r="AD2" i="140" s="1"/>
  <c r="B56" i="140"/>
  <c r="D34" i="141"/>
  <c r="AJ31" i="149" s="1"/>
  <c r="D35" i="141"/>
  <c r="AJ32" i="149" s="1"/>
  <c r="F37" i="141"/>
  <c r="K37" i="141" s="1"/>
  <c r="BI36" i="141" s="1"/>
  <c r="B6" i="140"/>
  <c r="D27" i="141"/>
  <c r="AJ24" i="149" s="1"/>
  <c r="D29" i="141"/>
  <c r="AJ26" i="149" s="1"/>
  <c r="D30" i="141"/>
  <c r="AJ27" i="149" s="1"/>
  <c r="D28" i="141"/>
  <c r="AJ25" i="149" s="1"/>
  <c r="D33" i="141"/>
  <c r="AJ30" i="149" s="1"/>
  <c r="D32" i="141"/>
  <c r="AJ29" i="149" s="1"/>
  <c r="D31" i="141"/>
  <c r="AJ28" i="149" s="1"/>
  <c r="V6" i="141"/>
  <c r="BM3" i="149" s="1"/>
  <c r="AI5" i="149"/>
  <c r="AH6" i="149"/>
  <c r="B10" i="141"/>
  <c r="C9" i="141"/>
  <c r="L9" i="141" s="1"/>
  <c r="AI4" i="149"/>
  <c r="M16" i="142"/>
  <c r="AG41" i="142"/>
  <c r="AH41" i="142" s="1"/>
  <c r="AG22" i="142"/>
  <c r="AH22" i="142" s="1"/>
  <c r="AG136" i="142"/>
  <c r="AH136" i="142" s="1"/>
  <c r="AG30" i="142"/>
  <c r="AH30" i="142" s="1"/>
  <c r="AG149" i="142"/>
  <c r="AH149" i="142" s="1"/>
  <c r="AG93" i="142"/>
  <c r="AH93" i="142" s="1"/>
  <c r="AG83" i="142"/>
  <c r="AH83" i="142" s="1"/>
  <c r="Y18" i="142"/>
  <c r="AB4" i="142" s="1"/>
  <c r="AG109" i="142"/>
  <c r="AH109" i="142" s="1"/>
  <c r="AG20" i="142"/>
  <c r="AH20" i="142" s="1"/>
  <c r="AG42" i="142"/>
  <c r="AH42" i="142" s="1"/>
  <c r="AG53" i="142"/>
  <c r="AH53" i="142" s="1"/>
  <c r="AG28" i="142"/>
  <c r="AH28" i="142" s="1"/>
  <c r="AG100" i="142"/>
  <c r="AH100" i="142" s="1"/>
  <c r="AG73" i="142"/>
  <c r="AH73" i="142" s="1"/>
  <c r="AG94" i="142"/>
  <c r="AH94" i="142" s="1"/>
  <c r="AG141" i="142"/>
  <c r="AH141" i="142" s="1"/>
  <c r="AG65" i="142"/>
  <c r="AH65" i="142" s="1"/>
  <c r="AG115" i="142"/>
  <c r="AH115" i="142" s="1"/>
  <c r="AG58" i="142"/>
  <c r="AH58" i="142" s="1"/>
  <c r="AA18" i="142"/>
  <c r="AC6" i="142" s="1"/>
  <c r="AE18" i="142"/>
  <c r="AC10" i="142" s="1"/>
  <c r="AG75" i="142"/>
  <c r="AH75" i="142" s="1"/>
  <c r="AG69" i="142"/>
  <c r="AH69" i="142" s="1"/>
  <c r="AG113" i="142"/>
  <c r="AH113" i="142" s="1"/>
  <c r="AB18" i="142"/>
  <c r="AC7" i="142" s="1"/>
  <c r="AG39" i="142"/>
  <c r="AH39" i="142" s="1"/>
  <c r="AG61" i="142"/>
  <c r="AH61" i="142" s="1"/>
  <c r="AG43" i="142"/>
  <c r="AH43" i="142" s="1"/>
  <c r="AG23" i="142"/>
  <c r="AH23" i="142" s="1"/>
  <c r="AG31" i="142"/>
  <c r="AH31" i="142" s="1"/>
  <c r="AG51" i="142"/>
  <c r="AH51" i="142" s="1"/>
  <c r="AD18" i="142"/>
  <c r="AC9" i="142" s="1"/>
  <c r="Z18" i="142"/>
  <c r="AC5" i="142" s="1"/>
  <c r="AG84" i="142"/>
  <c r="AH84" i="142" s="1"/>
  <c r="AG103" i="142"/>
  <c r="AH103" i="142" s="1"/>
  <c r="AG85" i="142"/>
  <c r="AH85" i="142" s="1"/>
  <c r="AG91" i="142"/>
  <c r="AH91" i="142" s="1"/>
  <c r="AG153" i="142"/>
  <c r="AH153" i="142" s="1"/>
  <c r="AG64" i="142"/>
  <c r="AH64" i="142" s="1"/>
  <c r="AG57" i="142"/>
  <c r="AH57" i="142" s="1"/>
  <c r="AG111" i="142"/>
  <c r="AH111" i="142" s="1"/>
  <c r="AG114" i="142"/>
  <c r="AH114" i="142" s="1"/>
  <c r="AG158" i="142"/>
  <c r="AH158" i="142" s="1"/>
  <c r="AF18" i="142"/>
  <c r="AC11" i="142" s="1"/>
  <c r="BF26" i="149"/>
  <c r="V29" i="141"/>
  <c r="BM26" i="149" s="1"/>
  <c r="AG120" i="142"/>
  <c r="AH120" i="142" s="1"/>
  <c r="AG150" i="142"/>
  <c r="AH150" i="142" s="1"/>
  <c r="AG130" i="142"/>
  <c r="AH130" i="142" s="1"/>
  <c r="BG13" i="149"/>
  <c r="BH16" i="141"/>
  <c r="BG27" i="149"/>
  <c r="BH30" i="141"/>
  <c r="AG36" i="142"/>
  <c r="AH36" i="142" s="1"/>
  <c r="AG76" i="142"/>
  <c r="AH76" i="142" s="1"/>
  <c r="AG102" i="142"/>
  <c r="AH102" i="142" s="1"/>
  <c r="AG123" i="142"/>
  <c r="AH123" i="142" s="1"/>
  <c r="BG29" i="149"/>
  <c r="BH32" i="141"/>
  <c r="BG20" i="149"/>
  <c r="BH23" i="141"/>
  <c r="AG44" i="142"/>
  <c r="AH44" i="142" s="1"/>
  <c r="BF16" i="149"/>
  <c r="V19" i="141"/>
  <c r="BM16" i="149" s="1"/>
  <c r="AG86" i="142"/>
  <c r="AH86" i="142" s="1"/>
  <c r="BG33" i="149"/>
  <c r="BG12" i="149"/>
  <c r="BH15" i="141"/>
  <c r="AG71" i="142"/>
  <c r="AH71" i="142" s="1"/>
  <c r="AG21" i="142"/>
  <c r="AH21" i="142" s="1"/>
  <c r="AG27" i="142"/>
  <c r="AH27" i="142" s="1"/>
  <c r="BF7" i="149"/>
  <c r="V10" i="141"/>
  <c r="BM7" i="149" s="1"/>
  <c r="AG38" i="142"/>
  <c r="AH38" i="142" s="1"/>
  <c r="AG49" i="142"/>
  <c r="AH49" i="142" s="1"/>
  <c r="AG46" i="142"/>
  <c r="AH46" i="142" s="1"/>
  <c r="AG137" i="142"/>
  <c r="AH137" i="142" s="1"/>
  <c r="AG59" i="142"/>
  <c r="AH59" i="142" s="1"/>
  <c r="AG68" i="142"/>
  <c r="AH68" i="142" s="1"/>
  <c r="AG50" i="142"/>
  <c r="AH50" i="142" s="1"/>
  <c r="AG95" i="142"/>
  <c r="AH95" i="142" s="1"/>
  <c r="AG155" i="142"/>
  <c r="AH155" i="142" s="1"/>
  <c r="AG125" i="142"/>
  <c r="AH125" i="142" s="1"/>
  <c r="AG135" i="142"/>
  <c r="AH135" i="142" s="1"/>
  <c r="BG16" i="149"/>
  <c r="BH19" i="141"/>
  <c r="BG25" i="149"/>
  <c r="BH28" i="141"/>
  <c r="BF29" i="149"/>
  <c r="V32" i="141"/>
  <c r="BM29" i="149" s="1"/>
  <c r="BJ34" i="149"/>
  <c r="AG34" i="142"/>
  <c r="AH34" i="142" s="1"/>
  <c r="BG4" i="149"/>
  <c r="BH7" i="141"/>
  <c r="E18" i="142"/>
  <c r="AG70" i="142"/>
  <c r="AH70" i="142" s="1"/>
  <c r="AG25" i="142"/>
  <c r="AH25" i="142" s="1"/>
  <c r="BF18" i="149"/>
  <c r="V21" i="141"/>
  <c r="BM18" i="149" s="1"/>
  <c r="BG23" i="149"/>
  <c r="BH26" i="141"/>
  <c r="BF30" i="149"/>
  <c r="V33" i="141"/>
  <c r="BM30" i="149" s="1"/>
  <c r="AG80" i="142"/>
  <c r="AH80" i="142" s="1"/>
  <c r="BG6" i="149"/>
  <c r="BH9" i="141"/>
  <c r="AG45" i="142"/>
  <c r="AH45" i="142" s="1"/>
  <c r="AG118" i="142"/>
  <c r="AH118" i="142" s="1"/>
  <c r="AG81" i="142"/>
  <c r="AH81" i="142" s="1"/>
  <c r="AG90" i="142"/>
  <c r="AH90" i="142" s="1"/>
  <c r="AG124" i="142"/>
  <c r="AH124" i="142" s="1"/>
  <c r="AG142" i="142"/>
  <c r="AH142" i="142" s="1"/>
  <c r="AG159" i="142"/>
  <c r="AH159" i="142" s="1"/>
  <c r="AG133" i="142"/>
  <c r="AH133" i="142" s="1"/>
  <c r="AG131" i="142"/>
  <c r="AH131" i="142" s="1"/>
  <c r="AG140" i="142"/>
  <c r="AH140" i="142" s="1"/>
  <c r="BG22" i="149"/>
  <c r="BH25" i="141"/>
  <c r="BG8" i="149"/>
  <c r="BH11" i="141"/>
  <c r="BF17" i="149"/>
  <c r="V20" i="141"/>
  <c r="BM17" i="149" s="1"/>
  <c r="E164" i="142"/>
  <c r="AG108" i="142"/>
  <c r="AH108" i="142" s="1"/>
  <c r="BG18" i="149"/>
  <c r="BH21" i="141"/>
  <c r="AG148" i="142"/>
  <c r="AH148" i="142" s="1"/>
  <c r="P20" i="142"/>
  <c r="AC18" i="142"/>
  <c r="AC8" i="142" s="1"/>
  <c r="AG37" i="142"/>
  <c r="AH37" i="142" s="1"/>
  <c r="BG14" i="149"/>
  <c r="BH17" i="141"/>
  <c r="AG35" i="142"/>
  <c r="AH35" i="142" s="1"/>
  <c r="BG26" i="149"/>
  <c r="BH29" i="141"/>
  <c r="BF24" i="149"/>
  <c r="V27" i="141"/>
  <c r="BM24" i="149" s="1"/>
  <c r="AG88" i="142"/>
  <c r="AH88" i="142" s="1"/>
  <c r="AG87" i="142"/>
  <c r="AH87" i="142" s="1"/>
  <c r="AG112" i="142"/>
  <c r="AH112" i="142" s="1"/>
  <c r="AG122" i="142"/>
  <c r="AH122" i="142" s="1"/>
  <c r="AG160" i="142"/>
  <c r="AH160" i="142" s="1"/>
  <c r="AG152" i="142"/>
  <c r="AH152" i="142" s="1"/>
  <c r="BF33" i="149"/>
  <c r="AG52" i="142"/>
  <c r="AH52" i="142" s="1"/>
  <c r="AG60" i="142"/>
  <c r="AH60" i="142" s="1"/>
  <c r="BF27" i="149"/>
  <c r="V30" i="141"/>
  <c r="BM27" i="149" s="1"/>
  <c r="AG104" i="142"/>
  <c r="AH104" i="142" s="1"/>
  <c r="BG11" i="149"/>
  <c r="BH14" i="141"/>
  <c r="AG79" i="142"/>
  <c r="AH79" i="142" s="1"/>
  <c r="AG107" i="142"/>
  <c r="AH107" i="142" s="1"/>
  <c r="AG144" i="142"/>
  <c r="AH144" i="142" s="1"/>
  <c r="AG138" i="142"/>
  <c r="AH138" i="142" s="1"/>
  <c r="AG156" i="142"/>
  <c r="AH156" i="142" s="1"/>
  <c r="BG9" i="149"/>
  <c r="BH12" i="141"/>
  <c r="AG40" i="142"/>
  <c r="AH40" i="142" s="1"/>
  <c r="BF28" i="149"/>
  <c r="V31" i="141"/>
  <c r="BM28" i="149" s="1"/>
  <c r="BF20" i="149"/>
  <c r="V23" i="141"/>
  <c r="BM20" i="149" s="1"/>
  <c r="BF12" i="149"/>
  <c r="V15" i="141"/>
  <c r="BM12" i="149" s="1"/>
  <c r="BF4" i="149"/>
  <c r="V7" i="141"/>
  <c r="BM4" i="149" s="1"/>
  <c r="BH34" i="141"/>
  <c r="BG31" i="149"/>
  <c r="BF14" i="149"/>
  <c r="V17" i="141"/>
  <c r="BM14" i="149" s="1"/>
  <c r="BF15" i="149"/>
  <c r="V18" i="141"/>
  <c r="BM15" i="149" s="1"/>
  <c r="AG33" i="142"/>
  <c r="AH33" i="142" s="1"/>
  <c r="AG97" i="142"/>
  <c r="AH97" i="142" s="1"/>
  <c r="AG66" i="142"/>
  <c r="AH66" i="142" s="1"/>
  <c r="AG154" i="142"/>
  <c r="AH154" i="142" s="1"/>
  <c r="AG89" i="142"/>
  <c r="AH89" i="142" s="1"/>
  <c r="AG63" i="142"/>
  <c r="AH63" i="142" s="1"/>
  <c r="AG72" i="142"/>
  <c r="AH72" i="142" s="1"/>
  <c r="AG145" i="142"/>
  <c r="AH145" i="142" s="1"/>
  <c r="AG146" i="142"/>
  <c r="AH146" i="142" s="1"/>
  <c r="AG163" i="142"/>
  <c r="AH163" i="142" s="1"/>
  <c r="AG151" i="142"/>
  <c r="AH151" i="142" s="1"/>
  <c r="AG121" i="142"/>
  <c r="AH121" i="142" s="1"/>
  <c r="AG128" i="142"/>
  <c r="AH128" i="142" s="1"/>
  <c r="AG127" i="142"/>
  <c r="AH127" i="142" s="1"/>
  <c r="BG30" i="149"/>
  <c r="BH33" i="141"/>
  <c r="BK34" i="149"/>
  <c r="BF5" i="149"/>
  <c r="V8" i="141"/>
  <c r="BM5" i="149" s="1"/>
  <c r="BF13" i="149"/>
  <c r="V16" i="141"/>
  <c r="BM13" i="149" s="1"/>
  <c r="AG56" i="142"/>
  <c r="AH56" i="142" s="1"/>
  <c r="W152" i="142"/>
  <c r="C15" i="142"/>
  <c r="BF22" i="149"/>
  <c r="V25" i="141"/>
  <c r="BM22" i="149" s="1"/>
  <c r="BG7" i="149"/>
  <c r="BH10" i="141"/>
  <c r="AG55" i="142"/>
  <c r="AH55" i="142" s="1"/>
  <c r="AG119" i="142"/>
  <c r="AH119" i="142" s="1"/>
  <c r="AG139" i="142"/>
  <c r="AH139" i="142" s="1"/>
  <c r="BF9" i="149"/>
  <c r="V12" i="141"/>
  <c r="BM9" i="149" s="1"/>
  <c r="AG26" i="142"/>
  <c r="AH26" i="142" s="1"/>
  <c r="AG132" i="142"/>
  <c r="AH132" i="142" s="1"/>
  <c r="BG21" i="149"/>
  <c r="BH24" i="141"/>
  <c r="AG117" i="142"/>
  <c r="AH117" i="142" s="1"/>
  <c r="BF32" i="149"/>
  <c r="BF8" i="149"/>
  <c r="V11" i="141"/>
  <c r="BM8" i="149" s="1"/>
  <c r="BF10" i="149"/>
  <c r="V13" i="141"/>
  <c r="BM10" i="149" s="1"/>
  <c r="BG15" i="149"/>
  <c r="BH18" i="141"/>
  <c r="BF6" i="149"/>
  <c r="V9" i="141"/>
  <c r="BM6" i="149" s="1"/>
  <c r="AG96" i="142"/>
  <c r="AH96" i="142" s="1"/>
  <c r="AG67" i="142"/>
  <c r="AH67" i="142" s="1"/>
  <c r="AG105" i="142"/>
  <c r="AH105" i="142" s="1"/>
  <c r="AG143" i="142"/>
  <c r="AH143" i="142" s="1"/>
  <c r="BG24" i="149"/>
  <c r="BH27" i="141"/>
  <c r="AG48" i="142"/>
  <c r="AH48" i="142" s="1"/>
  <c r="BG3" i="149"/>
  <c r="BH6" i="141"/>
  <c r="BF19" i="149"/>
  <c r="V22" i="141"/>
  <c r="BM19" i="149" s="1"/>
  <c r="BG10" i="149"/>
  <c r="BH13" i="141"/>
  <c r="AG47" i="142"/>
  <c r="AH47" i="142" s="1"/>
  <c r="AG157" i="142"/>
  <c r="AH157" i="142" s="1"/>
  <c r="AG101" i="142"/>
  <c r="AH101" i="142" s="1"/>
  <c r="AG77" i="142"/>
  <c r="AH77" i="142" s="1"/>
  <c r="AG29" i="142"/>
  <c r="AH29" i="142" s="1"/>
  <c r="AG134" i="142"/>
  <c r="AH134" i="142" s="1"/>
  <c r="AG92" i="142"/>
  <c r="AH92" i="142" s="1"/>
  <c r="AG78" i="142"/>
  <c r="AH78" i="142" s="1"/>
  <c r="AG98" i="142"/>
  <c r="AH98" i="142" s="1"/>
  <c r="AG116" i="142"/>
  <c r="AH116" i="142" s="1"/>
  <c r="AG162" i="142"/>
  <c r="AH162" i="142" s="1"/>
  <c r="AG110" i="142"/>
  <c r="AH110" i="142" s="1"/>
  <c r="AG129" i="142"/>
  <c r="AH129" i="142" s="1"/>
  <c r="AG147" i="142"/>
  <c r="AH147" i="142" s="1"/>
  <c r="BG28" i="149"/>
  <c r="BH31" i="141"/>
  <c r="BH34" i="149"/>
  <c r="AG54" i="142"/>
  <c r="AH54" i="142" s="1"/>
  <c r="BG19" i="149"/>
  <c r="BH22" i="141"/>
  <c r="BF11" i="149"/>
  <c r="V14" i="141"/>
  <c r="BM11" i="149" s="1"/>
  <c r="AG74" i="142"/>
  <c r="AH74" i="142" s="1"/>
  <c r="BF31" i="149"/>
  <c r="V34" i="141"/>
  <c r="BM31" i="149" s="1"/>
  <c r="BF23" i="149"/>
  <c r="V26" i="141"/>
  <c r="BM23" i="149" s="1"/>
  <c r="BF3" i="149"/>
  <c r="AG62" i="142"/>
  <c r="AH62" i="142" s="1"/>
  <c r="AG99" i="142"/>
  <c r="AH99" i="142" s="1"/>
  <c r="AG24" i="142"/>
  <c r="AH24" i="142" s="1"/>
  <c r="AG32" i="142"/>
  <c r="AH32" i="142" s="1"/>
  <c r="AG82" i="142"/>
  <c r="AH82" i="142" s="1"/>
  <c r="AG106" i="142"/>
  <c r="AH106" i="142" s="1"/>
  <c r="AG126" i="142"/>
  <c r="AH126" i="142" s="1"/>
  <c r="AG161" i="142"/>
  <c r="AH161" i="142" s="1"/>
  <c r="BI34" i="149"/>
  <c r="BF21" i="149"/>
  <c r="V24" i="141"/>
  <c r="BM21" i="149" s="1"/>
  <c r="BG17" i="149"/>
  <c r="BH20" i="141"/>
  <c r="BG5" i="149"/>
  <c r="BH8" i="141"/>
  <c r="BF25" i="149"/>
  <c r="V28" i="141"/>
  <c r="BM25" i="149" s="1"/>
  <c r="D8" i="141"/>
  <c r="AJ5" i="149" s="1"/>
  <c r="D18" i="141"/>
  <c r="AJ15" i="149" s="1"/>
  <c r="D26" i="141"/>
  <c r="AJ23" i="149" s="1"/>
  <c r="D14" i="141"/>
  <c r="AJ11" i="149" s="1"/>
  <c r="G37" i="141"/>
  <c r="D6" i="141"/>
  <c r="AJ3" i="149" s="1"/>
  <c r="BD35" i="149" a="1"/>
  <c r="BD35" i="149" s="1"/>
  <c r="D7" i="141"/>
  <c r="AJ4" i="149" s="1"/>
  <c r="D23" i="141"/>
  <c r="AJ20" i="149" s="1"/>
  <c r="D12" i="141"/>
  <c r="AJ9" i="149" s="1"/>
  <c r="D24" i="141"/>
  <c r="AJ21" i="149" s="1"/>
  <c r="D9" i="141"/>
  <c r="AJ6" i="149" s="1"/>
  <c r="D25" i="141"/>
  <c r="AJ22" i="149" s="1"/>
  <c r="D11" i="141"/>
  <c r="AJ8" i="149" s="1"/>
  <c r="AN34" i="149"/>
  <c r="AK29" i="149" s="1"/>
  <c r="D13" i="141"/>
  <c r="AJ10" i="149" s="1"/>
  <c r="D19" i="141"/>
  <c r="AJ16" i="149" s="1"/>
  <c r="D10" i="141"/>
  <c r="AJ7" i="149" s="1"/>
  <c r="D21" i="141"/>
  <c r="AJ18" i="149" s="1"/>
  <c r="D22" i="141"/>
  <c r="AJ19" i="149" s="1"/>
  <c r="D20" i="141"/>
  <c r="AJ17" i="149" s="1"/>
  <c r="AL34" i="149"/>
  <c r="AY34" i="149" s="1"/>
  <c r="D15" i="141"/>
  <c r="AJ12" i="149" s="1"/>
  <c r="D16" i="141"/>
  <c r="AJ13" i="149" s="1"/>
  <c r="D17" i="141"/>
  <c r="AJ14" i="149" s="1"/>
  <c r="AJ20" i="142"/>
  <c r="C23" i="142"/>
  <c r="C26" i="142"/>
  <c r="B26" i="142"/>
  <c r="B27" i="142"/>
  <c r="B28" i="142"/>
  <c r="BI6" i="141" l="1"/>
  <c r="BI35" i="141"/>
  <c r="P23" i="142"/>
  <c r="BI8" i="141"/>
  <c r="BI12" i="141"/>
  <c r="BI16" i="141"/>
  <c r="BI20" i="141"/>
  <c r="BI32" i="141"/>
  <c r="BI9" i="141"/>
  <c r="BI13" i="141"/>
  <c r="BI17" i="141"/>
  <c r="BI21" i="141"/>
  <c r="BI25" i="141"/>
  <c r="BI29" i="141"/>
  <c r="BI33" i="141"/>
  <c r="BI10" i="141"/>
  <c r="BI14" i="141"/>
  <c r="BI18" i="141"/>
  <c r="BI22" i="141"/>
  <c r="BI26" i="141"/>
  <c r="BI30" i="141"/>
  <c r="BI34" i="141"/>
  <c r="BI7" i="141"/>
  <c r="BI11" i="141"/>
  <c r="BI15" i="141"/>
  <c r="BI19" i="141"/>
  <c r="BI23" i="141"/>
  <c r="BI27" i="141"/>
  <c r="BI31" i="141"/>
  <c r="BI24" i="141"/>
  <c r="BI28" i="141"/>
  <c r="B57" i="140"/>
  <c r="P26" i="142"/>
  <c r="B7" i="140"/>
  <c r="B11" i="141"/>
  <c r="C10" i="141"/>
  <c r="L10" i="141" s="1"/>
  <c r="AH7" i="149"/>
  <c r="AI6" i="149"/>
  <c r="AB5" i="142"/>
  <c r="AB6" i="142" s="1"/>
  <c r="AB7" i="142" s="1"/>
  <c r="AB8" i="142" s="1"/>
  <c r="AB9" i="142" s="1"/>
  <c r="AB10" i="142" s="1"/>
  <c r="AB11" i="142" s="1"/>
  <c r="AB12" i="142" s="1"/>
  <c r="AH18" i="142"/>
  <c r="BM34" i="149"/>
  <c r="BF34" i="149"/>
  <c r="BG34" i="149"/>
  <c r="AG18" i="142"/>
  <c r="E11" i="142" s="1"/>
  <c r="E12" i="142" s="1"/>
  <c r="AK33" i="149"/>
  <c r="AK21" i="149"/>
  <c r="AK19" i="149"/>
  <c r="AK31" i="149"/>
  <c r="AK3" i="149"/>
  <c r="AK23" i="149"/>
  <c r="AK25" i="149"/>
  <c r="AM34" i="149"/>
  <c r="AZ34" i="149"/>
  <c r="I37" i="141"/>
  <c r="AK32" i="149"/>
  <c r="AK24" i="149"/>
  <c r="AK16" i="149"/>
  <c r="AK8" i="149"/>
  <c r="AK10" i="149"/>
  <c r="AK18" i="149"/>
  <c r="AK26" i="149"/>
  <c r="AK9" i="149"/>
  <c r="AK15" i="149"/>
  <c r="AK28" i="149"/>
  <c r="AK11" i="149"/>
  <c r="AK14" i="149"/>
  <c r="AK12" i="149"/>
  <c r="AK4" i="149"/>
  <c r="AK22" i="149"/>
  <c r="AK6" i="149"/>
  <c r="AK5" i="149"/>
  <c r="AK20" i="149"/>
  <c r="AK27" i="149"/>
  <c r="AK17" i="149"/>
  <c r="AK13" i="149"/>
  <c r="AK30" i="149"/>
  <c r="AK7" i="149"/>
  <c r="AJ26" i="142"/>
  <c r="AJ23" i="142"/>
  <c r="B31" i="142"/>
  <c r="B29" i="142"/>
  <c r="C29" i="142"/>
  <c r="B30" i="142"/>
  <c r="B58" i="140" l="1"/>
  <c r="P29" i="142"/>
  <c r="B8" i="140"/>
  <c r="AI7" i="149"/>
  <c r="B12" i="141"/>
  <c r="C11" i="141"/>
  <c r="L11" i="141" s="1"/>
  <c r="AH8" i="149"/>
  <c r="F11" i="142"/>
  <c r="U2" i="142" s="1"/>
  <c r="E13" i="142"/>
  <c r="AB13" i="142"/>
  <c r="AC12" i="142"/>
  <c r="AK34" i="149"/>
  <c r="AJ29" i="142"/>
  <c r="B32" i="142"/>
  <c r="B33" i="142"/>
  <c r="C32" i="142"/>
  <c r="B34" i="142"/>
  <c r="B59" i="140" l="1"/>
  <c r="P32" i="142"/>
  <c r="B9" i="140"/>
  <c r="AI8" i="149"/>
  <c r="AH9" i="149"/>
  <c r="B13" i="141"/>
  <c r="C12" i="141"/>
  <c r="L12" i="141" s="1"/>
  <c r="F12" i="142"/>
  <c r="AJ32" i="142"/>
  <c r="C35" i="142"/>
  <c r="B36" i="142"/>
  <c r="B37" i="142"/>
  <c r="B35" i="142"/>
  <c r="B60" i="140" l="1"/>
  <c r="P35" i="142"/>
  <c r="B10" i="140"/>
  <c r="B14" i="141"/>
  <c r="AH10" i="149"/>
  <c r="C13" i="141"/>
  <c r="L13" i="141" s="1"/>
  <c r="AI9" i="149"/>
  <c r="AJ35" i="142"/>
  <c r="B39" i="142"/>
  <c r="B38" i="142"/>
  <c r="B40" i="142"/>
  <c r="C38" i="142"/>
  <c r="B61" i="140" l="1"/>
  <c r="P38" i="142"/>
  <c r="B11" i="140"/>
  <c r="B15" i="141"/>
  <c r="C14" i="141"/>
  <c r="L14" i="141" s="1"/>
  <c r="AH11" i="149"/>
  <c r="AI10" i="149"/>
  <c r="AJ38" i="142"/>
  <c r="B42" i="142"/>
  <c r="B41" i="142"/>
  <c r="B43" i="142"/>
  <c r="C41" i="142"/>
  <c r="B62" i="140" l="1"/>
  <c r="P41" i="142"/>
  <c r="B12" i="140"/>
  <c r="AI11" i="149"/>
  <c r="B16" i="141"/>
  <c r="C15" i="141"/>
  <c r="L15" i="141" s="1"/>
  <c r="AH12" i="149"/>
  <c r="AJ41" i="142"/>
  <c r="U23" i="142"/>
  <c r="AK20" i="142"/>
  <c r="AK23" i="142"/>
  <c r="D29" i="142"/>
  <c r="C42" i="142"/>
  <c r="G38" i="142"/>
  <c r="AK29" i="142"/>
  <c r="G23" i="142"/>
  <c r="C21" i="142"/>
  <c r="C24" i="142"/>
  <c r="U32" i="142"/>
  <c r="D20" i="142"/>
  <c r="U29" i="142"/>
  <c r="AK32" i="142"/>
  <c r="B45" i="142"/>
  <c r="D38" i="142"/>
  <c r="U38" i="142"/>
  <c r="AK41" i="142"/>
  <c r="C44" i="142"/>
  <c r="B46" i="142"/>
  <c r="U41" i="142"/>
  <c r="G32" i="142"/>
  <c r="U20" i="142"/>
  <c r="C27" i="142"/>
  <c r="G41" i="142"/>
  <c r="G20" i="142"/>
  <c r="U26" i="142"/>
  <c r="D26" i="142"/>
  <c r="C36" i="142"/>
  <c r="U35" i="142"/>
  <c r="D35" i="142"/>
  <c r="AK26" i="142"/>
  <c r="D32" i="142"/>
  <c r="G26" i="142"/>
  <c r="B44" i="142"/>
  <c r="C39" i="142"/>
  <c r="AK35" i="142"/>
  <c r="AK38" i="142"/>
  <c r="D41" i="142"/>
  <c r="C33" i="142"/>
  <c r="D23" i="142"/>
  <c r="G29" i="142"/>
  <c r="C30" i="142"/>
  <c r="G35" i="142"/>
  <c r="B63" i="140" l="1"/>
  <c r="P44" i="142"/>
  <c r="B13" i="140"/>
  <c r="P21" i="142"/>
  <c r="P27" i="142"/>
  <c r="V29" i="142"/>
  <c r="Q20" i="142"/>
  <c r="F20" i="142"/>
  <c r="T20" i="142" s="1"/>
  <c r="P39" i="142"/>
  <c r="P42" i="142"/>
  <c r="Q29" i="142"/>
  <c r="F29" i="142"/>
  <c r="T29" i="142" s="1"/>
  <c r="F38" i="142"/>
  <c r="T38" i="142" s="1"/>
  <c r="Q38" i="142"/>
  <c r="Q35" i="142"/>
  <c r="F35" i="142"/>
  <c r="P24" i="142"/>
  <c r="F41" i="142"/>
  <c r="T41" i="142" s="1"/>
  <c r="Q41" i="142"/>
  <c r="Q32" i="142"/>
  <c r="F32" i="142"/>
  <c r="T32" i="142" s="1"/>
  <c r="V35" i="142"/>
  <c r="F26" i="142"/>
  <c r="T26" i="142" s="1"/>
  <c r="Q26" i="142"/>
  <c r="V20" i="142"/>
  <c r="P36" i="142"/>
  <c r="F23" i="142"/>
  <c r="T23" i="142" s="1"/>
  <c r="Q23" i="142"/>
  <c r="V41" i="142"/>
  <c r="P30" i="142"/>
  <c r="V32" i="142"/>
  <c r="P33" i="142"/>
  <c r="V23" i="142"/>
  <c r="V38" i="142"/>
  <c r="V26" i="142"/>
  <c r="AH13" i="149"/>
  <c r="B17" i="141"/>
  <c r="C16" i="141"/>
  <c r="L16" i="141" s="1"/>
  <c r="AI12" i="149"/>
  <c r="AJ44" i="142"/>
  <c r="AJ24" i="142"/>
  <c r="AJ39" i="142"/>
  <c r="AJ36" i="142"/>
  <c r="AJ30" i="142"/>
  <c r="AJ21" i="142"/>
  <c r="AJ33" i="142"/>
  <c r="AJ27" i="142"/>
  <c r="AJ42" i="142"/>
  <c r="D21" i="142"/>
  <c r="D36" i="142"/>
  <c r="C47" i="142"/>
  <c r="U21" i="142"/>
  <c r="AK36" i="142"/>
  <c r="C34" i="142"/>
  <c r="C43" i="142"/>
  <c r="AK24" i="142"/>
  <c r="G39" i="142"/>
  <c r="AK39" i="142"/>
  <c r="AK21" i="142"/>
  <c r="D27" i="142"/>
  <c r="G42" i="142"/>
  <c r="U30" i="142"/>
  <c r="C28" i="142"/>
  <c r="AK42" i="142"/>
  <c r="D42" i="142"/>
  <c r="B49" i="142"/>
  <c r="U27" i="142"/>
  <c r="U44" i="142"/>
  <c r="U42" i="142"/>
  <c r="C31" i="142"/>
  <c r="AK27" i="142"/>
  <c r="G21" i="142"/>
  <c r="G44" i="142"/>
  <c r="C45" i="142"/>
  <c r="G36" i="142"/>
  <c r="D44" i="142"/>
  <c r="C22" i="142"/>
  <c r="D24" i="142"/>
  <c r="AK44" i="142"/>
  <c r="AK33" i="142"/>
  <c r="C25" i="142"/>
  <c r="C40" i="142"/>
  <c r="U33" i="142"/>
  <c r="D30" i="142"/>
  <c r="AK30" i="142"/>
  <c r="D39" i="142"/>
  <c r="B48" i="142"/>
  <c r="G27" i="142"/>
  <c r="U36" i="142"/>
  <c r="U24" i="142"/>
  <c r="G24" i="142"/>
  <c r="G33" i="142"/>
  <c r="U39" i="142"/>
  <c r="C37" i="142"/>
  <c r="G30" i="142"/>
  <c r="D33" i="142"/>
  <c r="B47" i="142"/>
  <c r="F36" i="142" l="1"/>
  <c r="T36" i="142" s="1"/>
  <c r="Q36" i="142"/>
  <c r="F33" i="142"/>
  <c r="T33" i="142" s="1"/>
  <c r="Q33" i="142"/>
  <c r="P45" i="142"/>
  <c r="B64" i="140"/>
  <c r="Q42" i="142"/>
  <c r="F42" i="142"/>
  <c r="T42" i="142" s="1"/>
  <c r="P47" i="142"/>
  <c r="F44" i="142"/>
  <c r="T44" i="142" s="1"/>
  <c r="Q44" i="142"/>
  <c r="V44" i="142"/>
  <c r="B14" i="140"/>
  <c r="F21" i="142"/>
  <c r="T21" i="142" s="1"/>
  <c r="Q21" i="142"/>
  <c r="Q27" i="142"/>
  <c r="F27" i="142"/>
  <c r="T27" i="142" s="1"/>
  <c r="Q24" i="142"/>
  <c r="F24" i="142"/>
  <c r="T24" i="142" s="1"/>
  <c r="Q39" i="142"/>
  <c r="F39" i="142"/>
  <c r="T39" i="142" s="1"/>
  <c r="F30" i="142"/>
  <c r="T30" i="142" s="1"/>
  <c r="Q30" i="142"/>
  <c r="P43" i="142"/>
  <c r="P40" i="142"/>
  <c r="P37" i="142"/>
  <c r="P34" i="142"/>
  <c r="P25" i="142"/>
  <c r="P31" i="142"/>
  <c r="V33" i="142"/>
  <c r="P28" i="142"/>
  <c r="V30" i="142"/>
  <c r="V36" i="142"/>
  <c r="V24" i="142"/>
  <c r="P22" i="142"/>
  <c r="V42" i="142"/>
  <c r="V39" i="142"/>
  <c r="V27" i="142"/>
  <c r="V21" i="142"/>
  <c r="T35" i="142"/>
  <c r="AI13" i="149"/>
  <c r="B18" i="141"/>
  <c r="AH14" i="149"/>
  <c r="C17" i="141"/>
  <c r="L17" i="141" s="1"/>
  <c r="AJ40" i="142"/>
  <c r="AJ43" i="142"/>
  <c r="AJ34" i="142"/>
  <c r="AJ45" i="142"/>
  <c r="AJ47" i="142"/>
  <c r="AJ25" i="142"/>
  <c r="AJ31" i="142"/>
  <c r="AJ28" i="142"/>
  <c r="AJ22" i="142"/>
  <c r="AJ37" i="142"/>
  <c r="U34" i="142"/>
  <c r="B51" i="142"/>
  <c r="U31" i="142"/>
  <c r="G25" i="142"/>
  <c r="AK40" i="142"/>
  <c r="D31" i="142"/>
  <c r="C46" i="142"/>
  <c r="U40" i="142"/>
  <c r="C50" i="142"/>
  <c r="AK45" i="142"/>
  <c r="AK31" i="142"/>
  <c r="AK47" i="142"/>
  <c r="AK25" i="142"/>
  <c r="AK37" i="142"/>
  <c r="G28" i="142"/>
  <c r="D25" i="142"/>
  <c r="D43" i="142"/>
  <c r="U22" i="142"/>
  <c r="D34" i="142"/>
  <c r="U37" i="142"/>
  <c r="AK34" i="142"/>
  <c r="B50" i="142"/>
  <c r="U28" i="142"/>
  <c r="D28" i="142"/>
  <c r="G37" i="142"/>
  <c r="D45" i="142"/>
  <c r="U47" i="142"/>
  <c r="U43" i="142"/>
  <c r="D40" i="142"/>
  <c r="G31" i="142"/>
  <c r="U25" i="142"/>
  <c r="G40" i="142"/>
  <c r="AK22" i="142"/>
  <c r="D47" i="142"/>
  <c r="AK28" i="142"/>
  <c r="D37" i="142"/>
  <c r="G34" i="142"/>
  <c r="B52" i="142"/>
  <c r="G45" i="142"/>
  <c r="AK43" i="142"/>
  <c r="C48" i="142"/>
  <c r="U45" i="142"/>
  <c r="G47" i="142"/>
  <c r="D22" i="142"/>
  <c r="G22" i="142"/>
  <c r="G43" i="142"/>
  <c r="F37" i="142" l="1"/>
  <c r="T37" i="142" s="1"/>
  <c r="Q37" i="142"/>
  <c r="F34" i="142"/>
  <c r="T34" i="142" s="1"/>
  <c r="Q34" i="142"/>
  <c r="Q45" i="142"/>
  <c r="F45" i="142"/>
  <c r="T45" i="142" s="1"/>
  <c r="P46" i="142"/>
  <c r="V45" i="142"/>
  <c r="P48" i="142"/>
  <c r="B65" i="140"/>
  <c r="Q43" i="142"/>
  <c r="F43" i="142"/>
  <c r="T43" i="142" s="1"/>
  <c r="P50" i="142"/>
  <c r="V47" i="142"/>
  <c r="F47" i="142"/>
  <c r="T47" i="142" s="1"/>
  <c r="Q47" i="142"/>
  <c r="B15" i="140"/>
  <c r="F22" i="142"/>
  <c r="T22" i="142" s="1"/>
  <c r="Q22" i="142"/>
  <c r="F31" i="142"/>
  <c r="T31" i="142" s="1"/>
  <c r="Q31" i="142"/>
  <c r="Q28" i="142"/>
  <c r="F28" i="142"/>
  <c r="T28" i="142" s="1"/>
  <c r="F40" i="142"/>
  <c r="T40" i="142" s="1"/>
  <c r="Q40" i="142"/>
  <c r="Q25" i="142"/>
  <c r="F25" i="142"/>
  <c r="T25" i="142" s="1"/>
  <c r="V43" i="142"/>
  <c r="V40" i="142"/>
  <c r="V37" i="142"/>
  <c r="V34" i="142"/>
  <c r="V25" i="142"/>
  <c r="V31" i="142"/>
  <c r="V22" i="142"/>
  <c r="V28" i="142"/>
  <c r="AI14" i="149"/>
  <c r="B19" i="141"/>
  <c r="C18" i="141"/>
  <c r="L18" i="141" s="1"/>
  <c r="AH15" i="149"/>
  <c r="AJ50" i="142"/>
  <c r="AJ46" i="142"/>
  <c r="AJ48" i="142"/>
  <c r="G48" i="142"/>
  <c r="D48" i="142"/>
  <c r="U46" i="142"/>
  <c r="B54" i="142"/>
  <c r="AK48" i="142"/>
  <c r="G50" i="142"/>
  <c r="AK50" i="142"/>
  <c r="C49" i="142"/>
  <c r="D50" i="142"/>
  <c r="U50" i="142"/>
  <c r="C51" i="142"/>
  <c r="AK46" i="142"/>
  <c r="D46" i="142"/>
  <c r="B55" i="142"/>
  <c r="U48" i="142"/>
  <c r="C53" i="142"/>
  <c r="G46" i="142"/>
  <c r="B53" i="142"/>
  <c r="F46" i="142" l="1"/>
  <c r="T46" i="142" s="1"/>
  <c r="Q46" i="142"/>
  <c r="F48" i="142"/>
  <c r="T48" i="142" s="1"/>
  <c r="Q48" i="142"/>
  <c r="V46" i="142"/>
  <c r="P49" i="142"/>
  <c r="V48" i="142"/>
  <c r="P51" i="142"/>
  <c r="B66" i="140"/>
  <c r="P53" i="142"/>
  <c r="F50" i="142"/>
  <c r="T50" i="142" s="1"/>
  <c r="Q50" i="142"/>
  <c r="V50" i="142"/>
  <c r="B16" i="140"/>
  <c r="AI15" i="149"/>
  <c r="B20" i="141"/>
  <c r="C19" i="141"/>
  <c r="L19" i="141" s="1"/>
  <c r="AH16" i="149"/>
  <c r="AJ51" i="142"/>
  <c r="AJ49" i="142"/>
  <c r="AJ53" i="142"/>
  <c r="AK49" i="142"/>
  <c r="G49" i="142"/>
  <c r="U53" i="142"/>
  <c r="AK53" i="142"/>
  <c r="U49" i="142"/>
  <c r="G53" i="142"/>
  <c r="B57" i="142"/>
  <c r="G51" i="142"/>
  <c r="D53" i="142"/>
  <c r="D49" i="142"/>
  <c r="B56" i="142"/>
  <c r="B58" i="142"/>
  <c r="C52" i="142"/>
  <c r="AK51" i="142"/>
  <c r="D51" i="142"/>
  <c r="C54" i="142"/>
  <c r="U51" i="142"/>
  <c r="C56" i="142"/>
  <c r="F49" i="142" l="1"/>
  <c r="T49" i="142" s="1"/>
  <c r="Q49" i="142"/>
  <c r="F51" i="142"/>
  <c r="T51" i="142" s="1"/>
  <c r="Q51" i="142"/>
  <c r="V49" i="142"/>
  <c r="V51" i="142"/>
  <c r="P52" i="142"/>
  <c r="P54" i="142"/>
  <c r="B67" i="140"/>
  <c r="P56" i="142"/>
  <c r="V53" i="142"/>
  <c r="F53" i="142"/>
  <c r="Q53" i="142"/>
  <c r="B17" i="140"/>
  <c r="AH17" i="149"/>
  <c r="B21" i="141"/>
  <c r="C20" i="141"/>
  <c r="L20" i="141" s="1"/>
  <c r="AI16" i="149"/>
  <c r="AJ52" i="142"/>
  <c r="AJ54" i="142"/>
  <c r="AJ56" i="142"/>
  <c r="D56" i="142"/>
  <c r="G54" i="142"/>
  <c r="U56" i="142"/>
  <c r="U52" i="142"/>
  <c r="AK56" i="142"/>
  <c r="D54" i="142"/>
  <c r="G56" i="142"/>
  <c r="AK52" i="142"/>
  <c r="U54" i="142"/>
  <c r="C55" i="142"/>
  <c r="B60" i="142"/>
  <c r="C57" i="142"/>
  <c r="B61" i="142"/>
  <c r="C59" i="142"/>
  <c r="B59" i="142"/>
  <c r="G52" i="142"/>
  <c r="D52" i="142"/>
  <c r="AK54" i="142"/>
  <c r="Q52" i="142" l="1"/>
  <c r="F52" i="142"/>
  <c r="T52" i="142" s="1"/>
  <c r="F54" i="142"/>
  <c r="T54" i="142" s="1"/>
  <c r="Q54" i="142"/>
  <c r="P55" i="142"/>
  <c r="V54" i="142"/>
  <c r="V52" i="142"/>
  <c r="P57" i="142"/>
  <c r="B68" i="140"/>
  <c r="F56" i="142"/>
  <c r="Q56" i="142"/>
  <c r="V56" i="142"/>
  <c r="P59" i="142"/>
  <c r="B18" i="140"/>
  <c r="T53" i="142"/>
  <c r="AI17" i="149"/>
  <c r="C21" i="141"/>
  <c r="L21" i="141" s="1"/>
  <c r="AH18" i="149"/>
  <c r="B22" i="141"/>
  <c r="AJ55" i="142"/>
  <c r="AJ59" i="142"/>
  <c r="AJ57" i="142"/>
  <c r="D55" i="142"/>
  <c r="C60" i="142"/>
  <c r="G57" i="142"/>
  <c r="U57" i="142"/>
  <c r="G55" i="142"/>
  <c r="D57" i="142"/>
  <c r="AK55" i="142"/>
  <c r="AK59" i="142"/>
  <c r="B63" i="142"/>
  <c r="D59" i="142"/>
  <c r="B62" i="142"/>
  <c r="C62" i="142"/>
  <c r="C58" i="142"/>
  <c r="AK57" i="142"/>
  <c r="G59" i="142"/>
  <c r="U59" i="142"/>
  <c r="B64" i="142"/>
  <c r="U55" i="142"/>
  <c r="F57" i="142" l="1"/>
  <c r="T57" i="142" s="1"/>
  <c r="Q57" i="142"/>
  <c r="F55" i="142"/>
  <c r="T55" i="142" s="1"/>
  <c r="Q55" i="142"/>
  <c r="P60" i="142"/>
  <c r="V57" i="142"/>
  <c r="P58" i="142"/>
  <c r="V55" i="142"/>
  <c r="B69" i="140"/>
  <c r="V59" i="142"/>
  <c r="F59" i="142"/>
  <c r="Q59" i="142"/>
  <c r="P62" i="142"/>
  <c r="B19" i="140"/>
  <c r="T56" i="142"/>
  <c r="B23" i="141"/>
  <c r="C22" i="141"/>
  <c r="L22" i="141" s="1"/>
  <c r="AH19" i="149"/>
  <c r="AI18" i="149"/>
  <c r="AJ62" i="142"/>
  <c r="AJ60" i="142"/>
  <c r="AJ58" i="142"/>
  <c r="C61" i="142"/>
  <c r="U58" i="142"/>
  <c r="B65" i="142"/>
  <c r="C65" i="142"/>
  <c r="D58" i="142"/>
  <c r="B66" i="142"/>
  <c r="AK58" i="142"/>
  <c r="B67" i="142"/>
  <c r="D60" i="142"/>
  <c r="U62" i="142"/>
  <c r="AK60" i="142"/>
  <c r="U60" i="142"/>
  <c r="G60" i="142"/>
  <c r="AK62" i="142"/>
  <c r="G58" i="142"/>
  <c r="C63" i="142"/>
  <c r="D62" i="142"/>
  <c r="G62" i="142"/>
  <c r="F58" i="142" l="1"/>
  <c r="R21" i="142" s="1"/>
  <c r="Q58" i="142"/>
  <c r="R20" i="142"/>
  <c r="Q60" i="142"/>
  <c r="F60" i="142"/>
  <c r="V58" i="142"/>
  <c r="P63" i="142"/>
  <c r="V60" i="142"/>
  <c r="P61" i="142"/>
  <c r="B70" i="140"/>
  <c r="V62" i="142"/>
  <c r="P65" i="142"/>
  <c r="F62" i="142"/>
  <c r="Q62" i="142"/>
  <c r="T59" i="142"/>
  <c r="B20" i="140"/>
  <c r="B24" i="141"/>
  <c r="C23" i="141"/>
  <c r="L23" i="141" s="1"/>
  <c r="AH20" i="149"/>
  <c r="AI19" i="149"/>
  <c r="AJ63" i="142"/>
  <c r="AJ65" i="142"/>
  <c r="AJ61" i="142"/>
  <c r="B69" i="142"/>
  <c r="AK63" i="142"/>
  <c r="G63" i="142"/>
  <c r="C68" i="142"/>
  <c r="U65" i="142"/>
  <c r="D65" i="142"/>
  <c r="D63" i="142"/>
  <c r="AK65" i="142"/>
  <c r="AK61" i="142"/>
  <c r="U63" i="142"/>
  <c r="C66" i="142"/>
  <c r="U61" i="142"/>
  <c r="D61" i="142"/>
  <c r="G65" i="142"/>
  <c r="G61" i="142"/>
  <c r="B68" i="142"/>
  <c r="C64" i="142"/>
  <c r="B70" i="142"/>
  <c r="R22" i="142" l="1"/>
  <c r="T58" i="142"/>
  <c r="R23" i="142"/>
  <c r="F61" i="142"/>
  <c r="T61" i="142" s="1"/>
  <c r="Q61" i="142"/>
  <c r="T60" i="142"/>
  <c r="F63" i="142"/>
  <c r="Q63" i="142"/>
  <c r="V61" i="142"/>
  <c r="P66" i="142"/>
  <c r="V63" i="142"/>
  <c r="P64" i="142"/>
  <c r="B71" i="140"/>
  <c r="P68" i="142"/>
  <c r="V65" i="142"/>
  <c r="F65" i="142"/>
  <c r="Q65" i="142"/>
  <c r="T62" i="142"/>
  <c r="B21" i="140"/>
  <c r="AH21" i="149"/>
  <c r="B25" i="141"/>
  <c r="C24" i="141"/>
  <c r="L24" i="141" s="1"/>
  <c r="AI20" i="149"/>
  <c r="AJ64" i="142"/>
  <c r="AJ66" i="142"/>
  <c r="AJ68" i="142"/>
  <c r="AK64" i="142"/>
  <c r="B71" i="142"/>
  <c r="C67" i="142"/>
  <c r="U68" i="142"/>
  <c r="U66" i="142"/>
  <c r="G66" i="142"/>
  <c r="G68" i="142"/>
  <c r="D64" i="142"/>
  <c r="U64" i="142"/>
  <c r="AK68" i="142"/>
  <c r="C71" i="142"/>
  <c r="AK66" i="142"/>
  <c r="C69" i="142"/>
  <c r="G64" i="142"/>
  <c r="D68" i="142"/>
  <c r="D66" i="142"/>
  <c r="B72" i="142"/>
  <c r="B73" i="142"/>
  <c r="R26" i="142" l="1"/>
  <c r="R25" i="142"/>
  <c r="R24" i="142"/>
  <c r="F66" i="142"/>
  <c r="T66" i="142" s="1"/>
  <c r="Q66" i="142"/>
  <c r="T63" i="142"/>
  <c r="Q64" i="142"/>
  <c r="F64" i="142"/>
  <c r="R28" i="142" s="1"/>
  <c r="P69" i="142"/>
  <c r="V64" i="142"/>
  <c r="P67" i="142"/>
  <c r="V66" i="142"/>
  <c r="B72" i="140"/>
  <c r="V68" i="142"/>
  <c r="P71" i="142"/>
  <c r="F68" i="142"/>
  <c r="Q68" i="142"/>
  <c r="B22" i="140"/>
  <c r="T65" i="142"/>
  <c r="AI21" i="149"/>
  <c r="B26" i="141"/>
  <c r="C25" i="141"/>
  <c r="L25" i="141" s="1"/>
  <c r="AH22" i="149"/>
  <c r="AJ69" i="142"/>
  <c r="AJ67" i="142"/>
  <c r="AJ71" i="142"/>
  <c r="AK71" i="142"/>
  <c r="D67" i="142"/>
  <c r="U67" i="142"/>
  <c r="D69" i="142"/>
  <c r="B74" i="142"/>
  <c r="B75" i="142"/>
  <c r="B76" i="142"/>
  <c r="G67" i="142"/>
  <c r="AK67" i="142"/>
  <c r="D71" i="142"/>
  <c r="C74" i="142"/>
  <c r="C72" i="142"/>
  <c r="U71" i="142"/>
  <c r="C70" i="142"/>
  <c r="AK69" i="142"/>
  <c r="G71" i="142"/>
  <c r="U69" i="142"/>
  <c r="G69" i="142"/>
  <c r="Q67" i="142" l="1"/>
  <c r="F67" i="142"/>
  <c r="R30" i="142" s="1"/>
  <c r="R29" i="142"/>
  <c r="Q69" i="142"/>
  <c r="F69" i="142"/>
  <c r="T69" i="142" s="1"/>
  <c r="T64" i="142"/>
  <c r="R27" i="142"/>
  <c r="P72" i="142"/>
  <c r="V67" i="142"/>
  <c r="V69" i="142"/>
  <c r="P70" i="142"/>
  <c r="B73" i="140"/>
  <c r="P74" i="142"/>
  <c r="V71" i="142"/>
  <c r="F71" i="142"/>
  <c r="Q71" i="142"/>
  <c r="B23" i="140"/>
  <c r="T68" i="142"/>
  <c r="AI22" i="149"/>
  <c r="B27" i="141"/>
  <c r="C27" i="141" s="1"/>
  <c r="L27" i="141" s="1"/>
  <c r="C26" i="141"/>
  <c r="L26" i="141" s="1"/>
  <c r="AH23" i="149"/>
  <c r="AJ70" i="142"/>
  <c r="AJ72" i="142"/>
  <c r="AK74" i="142"/>
  <c r="U74" i="142"/>
  <c r="B77" i="142"/>
  <c r="G72" i="142"/>
  <c r="C73" i="142"/>
  <c r="G70" i="142"/>
  <c r="AK70" i="142"/>
  <c r="U70" i="142"/>
  <c r="B79" i="142"/>
  <c r="D72" i="142"/>
  <c r="C77" i="142"/>
  <c r="B78" i="142"/>
  <c r="D74" i="142"/>
  <c r="AK72" i="142"/>
  <c r="D70" i="142"/>
  <c r="U72" i="142"/>
  <c r="C75" i="142"/>
  <c r="G74" i="142"/>
  <c r="AJ74" i="142"/>
  <c r="T67" i="142" l="1"/>
  <c r="R31" i="142"/>
  <c r="R32" i="142"/>
  <c r="F70" i="142"/>
  <c r="R33" i="142" s="1"/>
  <c r="Q70" i="142"/>
  <c r="Q72" i="142"/>
  <c r="F72" i="142"/>
  <c r="T72" i="142" s="1"/>
  <c r="V70" i="142"/>
  <c r="P75" i="142"/>
  <c r="V72" i="142"/>
  <c r="P73" i="142"/>
  <c r="B74" i="140"/>
  <c r="V74" i="142"/>
  <c r="P77" i="142"/>
  <c r="F74" i="142"/>
  <c r="Q74" i="142"/>
  <c r="T71" i="142"/>
  <c r="B24" i="140"/>
  <c r="AI23" i="149"/>
  <c r="B28" i="141"/>
  <c r="C28" i="141" s="1"/>
  <c r="L28" i="141" s="1"/>
  <c r="AH24" i="149"/>
  <c r="AJ73" i="142"/>
  <c r="AK73" i="142"/>
  <c r="U77" i="142"/>
  <c r="AK75" i="142"/>
  <c r="AJ77" i="142"/>
  <c r="C78" i="142"/>
  <c r="U73" i="142"/>
  <c r="AK77" i="142"/>
  <c r="G77" i="142"/>
  <c r="B82" i="142"/>
  <c r="U75" i="142"/>
  <c r="B80" i="142"/>
  <c r="B81" i="142"/>
  <c r="D77" i="142"/>
  <c r="G73" i="142"/>
  <c r="D73" i="142"/>
  <c r="C80" i="142"/>
  <c r="D75" i="142"/>
  <c r="G75" i="142"/>
  <c r="AJ75" i="142"/>
  <c r="C76" i="142"/>
  <c r="R34" i="142" l="1"/>
  <c r="R35" i="142"/>
  <c r="T70" i="142"/>
  <c r="F73" i="142"/>
  <c r="R37" i="142" s="1"/>
  <c r="Q73" i="142"/>
  <c r="F75" i="142"/>
  <c r="T75" i="142" s="1"/>
  <c r="Q75" i="142"/>
  <c r="V73" i="142"/>
  <c r="P78" i="142"/>
  <c r="V75" i="142"/>
  <c r="P76" i="142"/>
  <c r="B75" i="140"/>
  <c r="P80" i="142"/>
  <c r="F77" i="142"/>
  <c r="Q77" i="142"/>
  <c r="V77" i="142"/>
  <c r="T74" i="142"/>
  <c r="B25" i="140"/>
  <c r="AI24" i="149"/>
  <c r="AH25" i="149"/>
  <c r="B29" i="141"/>
  <c r="C29" i="141" s="1"/>
  <c r="L29" i="141" s="1"/>
  <c r="B84" i="142"/>
  <c r="C79" i="142"/>
  <c r="D80" i="142"/>
  <c r="D76" i="142"/>
  <c r="AK80" i="142"/>
  <c r="U78" i="142"/>
  <c r="C83" i="142"/>
  <c r="G76" i="142"/>
  <c r="G78" i="142"/>
  <c r="AJ78" i="142"/>
  <c r="AJ80" i="142"/>
  <c r="U76" i="142"/>
  <c r="U80" i="142"/>
  <c r="C81" i="142"/>
  <c r="B85" i="142"/>
  <c r="B83" i="142"/>
  <c r="G80" i="142"/>
  <c r="D78" i="142"/>
  <c r="AJ76" i="142"/>
  <c r="AK76" i="142"/>
  <c r="AK78" i="142"/>
  <c r="R38" i="142" l="1"/>
  <c r="F76" i="142"/>
  <c r="T76" i="142" s="1"/>
  <c r="Q76" i="142"/>
  <c r="F78" i="142"/>
  <c r="T78" i="142" s="1"/>
  <c r="Q78" i="142"/>
  <c r="T73" i="142"/>
  <c r="R36" i="142"/>
  <c r="V76" i="142"/>
  <c r="V78" i="142"/>
  <c r="P79" i="142"/>
  <c r="P81" i="142"/>
  <c r="B76" i="140"/>
  <c r="V80" i="142"/>
  <c r="F80" i="142"/>
  <c r="Q80" i="142"/>
  <c r="P83" i="142"/>
  <c r="T77" i="142"/>
  <c r="B26" i="140"/>
  <c r="AH26" i="149"/>
  <c r="B30" i="141"/>
  <c r="C30" i="141" s="1"/>
  <c r="L30" i="141" s="1"/>
  <c r="AI25" i="149"/>
  <c r="AK83" i="142"/>
  <c r="D83" i="142"/>
  <c r="AK79" i="142"/>
  <c r="C84" i="142"/>
  <c r="C86" i="142"/>
  <c r="U81" i="142"/>
  <c r="AJ79" i="142"/>
  <c r="B87" i="142"/>
  <c r="AJ83" i="142"/>
  <c r="D81" i="142"/>
  <c r="U79" i="142"/>
  <c r="AK81" i="142"/>
  <c r="U83" i="142"/>
  <c r="AJ81" i="142"/>
  <c r="G81" i="142"/>
  <c r="B88" i="142"/>
  <c r="G83" i="142"/>
  <c r="B86" i="142"/>
  <c r="C82" i="142"/>
  <c r="D79" i="142"/>
  <c r="G79" i="142"/>
  <c r="R40" i="142" l="1"/>
  <c r="R39" i="142"/>
  <c r="R41" i="142"/>
  <c r="F79" i="142"/>
  <c r="R42" i="142" s="1"/>
  <c r="Q79" i="142"/>
  <c r="F81" i="142"/>
  <c r="T81" i="142" s="1"/>
  <c r="Q81" i="142"/>
  <c r="P84" i="142"/>
  <c r="V81" i="142"/>
  <c r="V79" i="142"/>
  <c r="P82" i="142"/>
  <c r="B77" i="140"/>
  <c r="V83" i="142"/>
  <c r="F83" i="142"/>
  <c r="Q83" i="142"/>
  <c r="P86" i="142"/>
  <c r="B27" i="140"/>
  <c r="T80" i="142"/>
  <c r="B31" i="141"/>
  <c r="C31" i="141" s="1"/>
  <c r="L31" i="141" s="1"/>
  <c r="AH27" i="149"/>
  <c r="AI26" i="149"/>
  <c r="U86" i="142"/>
  <c r="AJ84" i="142"/>
  <c r="G84" i="142"/>
  <c r="C85" i="142"/>
  <c r="B91" i="142"/>
  <c r="G86" i="142"/>
  <c r="C89" i="142"/>
  <c r="U84" i="142"/>
  <c r="AJ82" i="142"/>
  <c r="B90" i="142"/>
  <c r="AK82" i="142"/>
  <c r="C87" i="142"/>
  <c r="D84" i="142"/>
  <c r="U82" i="142"/>
  <c r="D86" i="142"/>
  <c r="AK86" i="142"/>
  <c r="D82" i="142"/>
  <c r="AK84" i="142"/>
  <c r="AJ86" i="142"/>
  <c r="B89" i="142"/>
  <c r="G82" i="142"/>
  <c r="R43" i="142" l="1"/>
  <c r="R44" i="142"/>
  <c r="Q84" i="142"/>
  <c r="F84" i="142"/>
  <c r="T84" i="142" s="1"/>
  <c r="F82" i="142"/>
  <c r="T82" i="142" s="1"/>
  <c r="Q82" i="142"/>
  <c r="T79" i="142"/>
  <c r="P87" i="142"/>
  <c r="V84" i="142"/>
  <c r="V82" i="142"/>
  <c r="P85" i="142"/>
  <c r="B78" i="140"/>
  <c r="V86" i="142"/>
  <c r="P89" i="142"/>
  <c r="F86" i="142"/>
  <c r="Q86" i="142"/>
  <c r="B28" i="140"/>
  <c r="T83" i="142"/>
  <c r="AI27" i="149"/>
  <c r="B32" i="141"/>
  <c r="C32" i="141" s="1"/>
  <c r="L32" i="141" s="1"/>
  <c r="AH28" i="149"/>
  <c r="D87" i="142"/>
  <c r="B94" i="142"/>
  <c r="AK89" i="142"/>
  <c r="AJ87" i="142"/>
  <c r="AJ85" i="142"/>
  <c r="C92" i="142"/>
  <c r="D85" i="142"/>
  <c r="D89" i="142"/>
  <c r="B93" i="142"/>
  <c r="U87" i="142"/>
  <c r="G89" i="142"/>
  <c r="G87" i="142"/>
  <c r="B92" i="142"/>
  <c r="C88" i="142"/>
  <c r="AJ89" i="142"/>
  <c r="C90" i="142"/>
  <c r="AK87" i="142"/>
  <c r="AK85" i="142"/>
  <c r="G85" i="142"/>
  <c r="U85" i="142"/>
  <c r="U89" i="142"/>
  <c r="R46" i="142" l="1"/>
  <c r="R45" i="142"/>
  <c r="R47" i="142"/>
  <c r="F87" i="142"/>
  <c r="T87" i="142" s="1"/>
  <c r="Q87" i="142"/>
  <c r="F85" i="142"/>
  <c r="R49" i="142" s="1"/>
  <c r="Q85" i="142"/>
  <c r="V87" i="142"/>
  <c r="P90" i="142"/>
  <c r="V85" i="142"/>
  <c r="B17" i="142"/>
  <c r="P88" i="142"/>
  <c r="B79" i="140"/>
  <c r="P92" i="142"/>
  <c r="V89" i="142"/>
  <c r="F89" i="142"/>
  <c r="Q89" i="142"/>
  <c r="T86" i="142"/>
  <c r="B29" i="140"/>
  <c r="AI28" i="149"/>
  <c r="AH29" i="149"/>
  <c r="B33" i="141"/>
  <c r="U90" i="142"/>
  <c r="C93" i="142"/>
  <c r="G92" i="142"/>
  <c r="AK90" i="142"/>
  <c r="C95" i="142"/>
  <c r="AK88" i="142"/>
  <c r="U88" i="142"/>
  <c r="AJ88" i="142"/>
  <c r="B95" i="142"/>
  <c r="G88" i="142"/>
  <c r="D90" i="142"/>
  <c r="D88" i="142"/>
  <c r="C91" i="142"/>
  <c r="AJ92" i="142"/>
  <c r="AK92" i="142"/>
  <c r="AJ90" i="142"/>
  <c r="U92" i="142"/>
  <c r="G90" i="142"/>
  <c r="B97" i="142"/>
  <c r="D92" i="142"/>
  <c r="B96" i="142"/>
  <c r="R50" i="142" l="1"/>
  <c r="F90" i="142"/>
  <c r="T90" i="142" s="1"/>
  <c r="Q90" i="142"/>
  <c r="F88" i="142"/>
  <c r="R52" i="142" s="1"/>
  <c r="Q88" i="142"/>
  <c r="T85" i="142"/>
  <c r="R48" i="142"/>
  <c r="V90" i="142"/>
  <c r="V88" i="142"/>
  <c r="P91" i="142"/>
  <c r="P93" i="142"/>
  <c r="B80" i="140"/>
  <c r="C33" i="141"/>
  <c r="L33" i="141" s="1"/>
  <c r="B34" i="141"/>
  <c r="V92" i="142"/>
  <c r="P95" i="142"/>
  <c r="F92" i="142"/>
  <c r="Q92" i="142"/>
  <c r="B30" i="140"/>
  <c r="T89" i="142"/>
  <c r="AH30" i="149"/>
  <c r="AI29" i="149"/>
  <c r="B98" i="142"/>
  <c r="C98" i="142"/>
  <c r="AK91" i="142"/>
  <c r="AK95" i="142"/>
  <c r="G93" i="142"/>
  <c r="AJ95" i="142"/>
  <c r="AK93" i="142"/>
  <c r="C94" i="142"/>
  <c r="AJ91" i="142"/>
  <c r="C96" i="142"/>
  <c r="U93" i="142"/>
  <c r="D93" i="142"/>
  <c r="G91" i="142"/>
  <c r="D91" i="142"/>
  <c r="D95" i="142"/>
  <c r="B100" i="142"/>
  <c r="U91" i="142"/>
  <c r="U95" i="142"/>
  <c r="B99" i="142"/>
  <c r="AJ93" i="142"/>
  <c r="G95" i="142"/>
  <c r="R53" i="142" l="1"/>
  <c r="Q93" i="142"/>
  <c r="F93" i="142"/>
  <c r="T93" i="142" s="1"/>
  <c r="F91" i="142"/>
  <c r="R54" i="142" s="1"/>
  <c r="Q91" i="142"/>
  <c r="T88" i="142"/>
  <c r="R51" i="142"/>
  <c r="P96" i="142"/>
  <c r="V93" i="142"/>
  <c r="P94" i="142"/>
  <c r="V91" i="142"/>
  <c r="B81" i="140"/>
  <c r="C34" i="141"/>
  <c r="L34" i="141" s="1"/>
  <c r="B35" i="141"/>
  <c r="B36" i="141" s="1"/>
  <c r="C36" i="141" s="1"/>
  <c r="L36" i="141" s="1"/>
  <c r="P98" i="142"/>
  <c r="V95" i="142"/>
  <c r="F95" i="142"/>
  <c r="Q95" i="142"/>
  <c r="B31" i="140"/>
  <c r="T92" i="142"/>
  <c r="AI30" i="149"/>
  <c r="AH31" i="149"/>
  <c r="U96" i="142"/>
  <c r="D96" i="142"/>
  <c r="G94" i="142"/>
  <c r="C97" i="142"/>
  <c r="U98" i="142"/>
  <c r="B103" i="142"/>
  <c r="G96" i="142"/>
  <c r="D98" i="142"/>
  <c r="AK98" i="142"/>
  <c r="D94" i="142"/>
  <c r="B101" i="142"/>
  <c r="AK96" i="142"/>
  <c r="AK94" i="142"/>
  <c r="C101" i="142"/>
  <c r="B102" i="142"/>
  <c r="C99" i="142"/>
  <c r="AJ96" i="142"/>
  <c r="G98" i="142"/>
  <c r="AJ98" i="142"/>
  <c r="AJ94" i="142"/>
  <c r="U94" i="142"/>
  <c r="R55" i="142" l="1"/>
  <c r="T91" i="142"/>
  <c r="R56" i="142"/>
  <c r="F94" i="142"/>
  <c r="R58" i="142" s="1"/>
  <c r="Q94" i="142"/>
  <c r="F96" i="142"/>
  <c r="T96" i="142" s="1"/>
  <c r="Q96" i="142"/>
  <c r="P99" i="142"/>
  <c r="V94" i="142"/>
  <c r="V96" i="142"/>
  <c r="P97" i="142"/>
  <c r="B82" i="140"/>
  <c r="C35" i="141"/>
  <c r="L35" i="141" s="1"/>
  <c r="P101" i="142"/>
  <c r="V98" i="142"/>
  <c r="F98" i="142"/>
  <c r="Q98" i="142"/>
  <c r="B32" i="140"/>
  <c r="T95" i="142"/>
  <c r="AI31" i="149"/>
  <c r="AH32" i="149"/>
  <c r="B105" i="142"/>
  <c r="AK97" i="142"/>
  <c r="AJ97" i="142"/>
  <c r="D97" i="142"/>
  <c r="C102" i="142"/>
  <c r="AJ99" i="142"/>
  <c r="C104" i="142"/>
  <c r="G97" i="142"/>
  <c r="D101" i="142"/>
  <c r="AK99" i="142"/>
  <c r="AJ101" i="142"/>
  <c r="B104" i="142"/>
  <c r="AK101" i="142"/>
  <c r="C100" i="142"/>
  <c r="U101" i="142"/>
  <c r="B106" i="142"/>
  <c r="U99" i="142"/>
  <c r="U97" i="142"/>
  <c r="G101" i="142"/>
  <c r="D99" i="142"/>
  <c r="G99" i="142"/>
  <c r="R59" i="142" l="1"/>
  <c r="F99" i="142"/>
  <c r="T99" i="142" s="1"/>
  <c r="Q99" i="142"/>
  <c r="F97" i="142"/>
  <c r="R61" i="142" s="1"/>
  <c r="Q97" i="142"/>
  <c r="T94" i="142"/>
  <c r="R57" i="142"/>
  <c r="P100" i="142"/>
  <c r="V97" i="142"/>
  <c r="V99" i="142"/>
  <c r="P102" i="142"/>
  <c r="B83" i="140"/>
  <c r="V101" i="142"/>
  <c r="F101" i="142"/>
  <c r="Q101" i="142"/>
  <c r="P104" i="142"/>
  <c r="B33" i="140"/>
  <c r="T98" i="142"/>
  <c r="AH33" i="149"/>
  <c r="AI32" i="149"/>
  <c r="G102" i="142"/>
  <c r="AJ102" i="142"/>
  <c r="U100" i="142"/>
  <c r="B107" i="142"/>
  <c r="C103" i="142"/>
  <c r="D104" i="142"/>
  <c r="AK100" i="142"/>
  <c r="AJ100" i="142"/>
  <c r="D102" i="142"/>
  <c r="AK102" i="142"/>
  <c r="AJ104" i="142"/>
  <c r="B109" i="142"/>
  <c r="AK104" i="142"/>
  <c r="D100" i="142"/>
  <c r="C107" i="142"/>
  <c r="G100" i="142"/>
  <c r="G104" i="142"/>
  <c r="C105" i="142"/>
  <c r="B108" i="142"/>
  <c r="U102" i="142"/>
  <c r="U104" i="142"/>
  <c r="R62" i="142" l="1"/>
  <c r="Q100" i="142"/>
  <c r="F100" i="142"/>
  <c r="R63" i="142" s="1"/>
  <c r="F102" i="142"/>
  <c r="T102" i="142" s="1"/>
  <c r="Q102" i="142"/>
  <c r="T97" i="142"/>
  <c r="R60" i="142"/>
  <c r="V102" i="142"/>
  <c r="P103" i="142"/>
  <c r="V100" i="142"/>
  <c r="P105" i="142"/>
  <c r="B84" i="140"/>
  <c r="V104" i="142"/>
  <c r="P107" i="142"/>
  <c r="F104" i="142"/>
  <c r="Q104" i="142"/>
  <c r="T101" i="142"/>
  <c r="B34" i="140"/>
  <c r="C9" i="142"/>
  <c r="AI33" i="149"/>
  <c r="AK103" i="142"/>
  <c r="D107" i="142"/>
  <c r="G103" i="142"/>
  <c r="U103" i="142"/>
  <c r="C106" i="142"/>
  <c r="AJ107" i="142"/>
  <c r="AK107" i="142"/>
  <c r="AJ103" i="142"/>
  <c r="G107" i="142"/>
  <c r="B110" i="142"/>
  <c r="U105" i="142"/>
  <c r="AJ105" i="142"/>
  <c r="U107" i="142"/>
  <c r="C110" i="142"/>
  <c r="D103" i="142"/>
  <c r="B112" i="142"/>
  <c r="C108" i="142"/>
  <c r="G105" i="142"/>
  <c r="B111" i="142"/>
  <c r="D105" i="142"/>
  <c r="AK105" i="142"/>
  <c r="R65" i="142" l="1"/>
  <c r="R64" i="142"/>
  <c r="T100" i="142"/>
  <c r="Q105" i="142"/>
  <c r="F105" i="142"/>
  <c r="T105" i="142" s="1"/>
  <c r="Q103" i="142"/>
  <c r="F103" i="142"/>
  <c r="T103" i="142" s="1"/>
  <c r="P108" i="142"/>
  <c r="V103" i="142"/>
  <c r="V105" i="142"/>
  <c r="P106" i="142"/>
  <c r="B85" i="140"/>
  <c r="F107" i="142"/>
  <c r="Q107" i="142"/>
  <c r="V107" i="142"/>
  <c r="P110" i="142"/>
  <c r="B35" i="140"/>
  <c r="T104" i="142"/>
  <c r="U110" i="142"/>
  <c r="U106" i="142"/>
  <c r="G106" i="142"/>
  <c r="AK110" i="142"/>
  <c r="G108" i="142"/>
  <c r="D108" i="142"/>
  <c r="AK106" i="142"/>
  <c r="D110" i="142"/>
  <c r="AJ108" i="142"/>
  <c r="C109" i="142"/>
  <c r="D106" i="142"/>
  <c r="C113" i="142"/>
  <c r="B115" i="142"/>
  <c r="AJ106" i="142"/>
  <c r="C111" i="142"/>
  <c r="U108" i="142"/>
  <c r="B113" i="142"/>
  <c r="G110" i="142"/>
  <c r="AJ110" i="142"/>
  <c r="AK108" i="142"/>
  <c r="B114" i="142"/>
  <c r="R67" i="142" l="1"/>
  <c r="R68" i="142"/>
  <c r="R66" i="142"/>
  <c r="F106" i="142"/>
  <c r="R69" i="142" s="1"/>
  <c r="Q106" i="142"/>
  <c r="F108" i="142"/>
  <c r="T108" i="142" s="1"/>
  <c r="Q108" i="142"/>
  <c r="V106" i="142"/>
  <c r="P109" i="142"/>
  <c r="V108" i="142"/>
  <c r="P111" i="142"/>
  <c r="B86" i="140"/>
  <c r="P113" i="142"/>
  <c r="V110" i="142"/>
  <c r="F110" i="142"/>
  <c r="Q110" i="142"/>
  <c r="T107" i="142"/>
  <c r="B36" i="140"/>
  <c r="AJ113" i="142"/>
  <c r="AJ111" i="142"/>
  <c r="C114" i="142"/>
  <c r="G113" i="142"/>
  <c r="U113" i="142"/>
  <c r="D111" i="142"/>
  <c r="AJ109" i="142"/>
  <c r="C112" i="142"/>
  <c r="U109" i="142"/>
  <c r="AK113" i="142"/>
  <c r="AK111" i="142"/>
  <c r="D109" i="142"/>
  <c r="B117" i="142"/>
  <c r="D113" i="142"/>
  <c r="B116" i="142"/>
  <c r="AK109" i="142"/>
  <c r="G109" i="142"/>
  <c r="G111" i="142"/>
  <c r="C116" i="142"/>
  <c r="U111" i="142"/>
  <c r="B118" i="142"/>
  <c r="R70" i="142" l="1"/>
  <c r="T106" i="142"/>
  <c r="R71" i="142"/>
  <c r="F111" i="142"/>
  <c r="T111" i="142" s="1"/>
  <c r="Q111" i="142"/>
  <c r="Q109" i="142"/>
  <c r="F109" i="142"/>
  <c r="R72" i="142" s="1"/>
  <c r="V111" i="142"/>
  <c r="V109" i="142"/>
  <c r="P114" i="142"/>
  <c r="P112" i="142"/>
  <c r="B87" i="140"/>
  <c r="V113" i="142"/>
  <c r="F113" i="142"/>
  <c r="Q113" i="142"/>
  <c r="P116" i="142"/>
  <c r="B37" i="140"/>
  <c r="T110" i="142"/>
  <c r="AJ114" i="142"/>
  <c r="AK116" i="142"/>
  <c r="U114" i="142"/>
  <c r="C117" i="142"/>
  <c r="B120" i="142"/>
  <c r="U116" i="142"/>
  <c r="D116" i="142"/>
  <c r="AK112" i="142"/>
  <c r="U112" i="142"/>
  <c r="C115" i="142"/>
  <c r="G112" i="142"/>
  <c r="AK114" i="142"/>
  <c r="C119" i="142"/>
  <c r="AJ112" i="142"/>
  <c r="D112" i="142"/>
  <c r="G114" i="142"/>
  <c r="D114" i="142"/>
  <c r="B119" i="142"/>
  <c r="G116" i="142"/>
  <c r="AJ116" i="142"/>
  <c r="B121" i="142"/>
  <c r="R73" i="142" l="1"/>
  <c r="R74" i="142"/>
  <c r="F114" i="142"/>
  <c r="Q114" i="142"/>
  <c r="F112" i="142"/>
  <c r="R75" i="142" s="1"/>
  <c r="Q112" i="142"/>
  <c r="T109" i="142"/>
  <c r="V114" i="142"/>
  <c r="P117" i="142"/>
  <c r="P115" i="142"/>
  <c r="V112" i="142"/>
  <c r="B88" i="140"/>
  <c r="P119" i="142"/>
  <c r="V116" i="142"/>
  <c r="F116" i="142"/>
  <c r="Q116" i="142"/>
  <c r="B38" i="140"/>
  <c r="T113" i="142"/>
  <c r="B124" i="142"/>
  <c r="AK115" i="142"/>
  <c r="U117" i="142"/>
  <c r="D117" i="142"/>
  <c r="B122" i="142"/>
  <c r="G115" i="142"/>
  <c r="AK119" i="142"/>
  <c r="AJ117" i="142"/>
  <c r="D119" i="142"/>
  <c r="C118" i="142"/>
  <c r="C122" i="142"/>
  <c r="G119" i="142"/>
  <c r="C120" i="142"/>
  <c r="AJ119" i="142"/>
  <c r="G117" i="142"/>
  <c r="U119" i="142"/>
  <c r="AK117" i="142"/>
  <c r="D115" i="142"/>
  <c r="B123" i="142"/>
  <c r="U115" i="142"/>
  <c r="AJ115" i="142"/>
  <c r="R76" i="142" l="1"/>
  <c r="R77" i="142"/>
  <c r="T114" i="142"/>
  <c r="F115" i="142"/>
  <c r="Q115" i="142"/>
  <c r="Q117" i="142"/>
  <c r="F117" i="142"/>
  <c r="T117" i="142" s="1"/>
  <c r="T112" i="142"/>
  <c r="V115" i="142"/>
  <c r="P118" i="142"/>
  <c r="V117" i="142"/>
  <c r="P120" i="142"/>
  <c r="B89" i="140"/>
  <c r="F119" i="142"/>
  <c r="Q119" i="142"/>
  <c r="V119" i="142"/>
  <c r="P122" i="142"/>
  <c r="T116" i="142"/>
  <c r="B39" i="140"/>
  <c r="B126" i="142"/>
  <c r="D122" i="142"/>
  <c r="U120" i="142"/>
  <c r="U118" i="142"/>
  <c r="G118" i="142"/>
  <c r="B127" i="142"/>
  <c r="D120" i="142"/>
  <c r="G122" i="142"/>
  <c r="AK120" i="142"/>
  <c r="AJ118" i="142"/>
  <c r="C121" i="142"/>
  <c r="AK122" i="142"/>
  <c r="D118" i="142"/>
  <c r="G120" i="142"/>
  <c r="U122" i="142"/>
  <c r="AJ120" i="142"/>
  <c r="B125" i="142"/>
  <c r="C123" i="142"/>
  <c r="AK118" i="142"/>
  <c r="AJ122" i="142"/>
  <c r="C125" i="142"/>
  <c r="R80" i="142" l="1"/>
  <c r="R79" i="142"/>
  <c r="F120" i="142"/>
  <c r="T120" i="142" s="1"/>
  <c r="Q120" i="142"/>
  <c r="Q118" i="142"/>
  <c r="F118" i="142"/>
  <c r="R81" i="142" s="1"/>
  <c r="T115" i="142"/>
  <c r="R78" i="142"/>
  <c r="V120" i="142"/>
  <c r="P121" i="142"/>
  <c r="V118" i="142"/>
  <c r="P123" i="142"/>
  <c r="B90" i="140"/>
  <c r="V122" i="142"/>
  <c r="P125" i="142"/>
  <c r="F122" i="142"/>
  <c r="Q122" i="142"/>
  <c r="T119" i="142"/>
  <c r="B40" i="140"/>
  <c r="B130" i="142"/>
  <c r="B129" i="142"/>
  <c r="D125" i="142"/>
  <c r="U123" i="142"/>
  <c r="AJ121" i="142"/>
  <c r="G123" i="142"/>
  <c r="AJ123" i="142"/>
  <c r="AK125" i="142"/>
  <c r="U125" i="142"/>
  <c r="C126" i="142"/>
  <c r="U121" i="142"/>
  <c r="G121" i="142"/>
  <c r="AK121" i="142"/>
  <c r="AK123" i="142"/>
  <c r="C124" i="142"/>
  <c r="D123" i="142"/>
  <c r="C128" i="142"/>
  <c r="D121" i="142"/>
  <c r="AJ125" i="142"/>
  <c r="B128" i="142"/>
  <c r="G125" i="142"/>
  <c r="R83" i="142" l="1"/>
  <c r="R82" i="142"/>
  <c r="T118" i="142"/>
  <c r="Q121" i="142"/>
  <c r="F121" i="142"/>
  <c r="R85" i="142" s="1"/>
  <c r="F123" i="142"/>
  <c r="T123" i="142" s="1"/>
  <c r="Q123" i="142"/>
  <c r="V121" i="142"/>
  <c r="V123" i="142"/>
  <c r="P124" i="142"/>
  <c r="P126" i="142"/>
  <c r="B91" i="140"/>
  <c r="F125" i="142"/>
  <c r="Q125" i="142"/>
  <c r="P128" i="142"/>
  <c r="V125" i="142"/>
  <c r="B41" i="140"/>
  <c r="T122" i="142"/>
  <c r="U124" i="142"/>
  <c r="AJ128" i="142"/>
  <c r="U126" i="142"/>
  <c r="AK126" i="142"/>
  <c r="U128" i="142"/>
  <c r="AJ126" i="142"/>
  <c r="G126" i="142"/>
  <c r="C131" i="142"/>
  <c r="B133" i="142"/>
  <c r="B131" i="142"/>
  <c r="D128" i="142"/>
  <c r="C129" i="142"/>
  <c r="G124" i="142"/>
  <c r="D126" i="142"/>
  <c r="B132" i="142"/>
  <c r="AK128" i="142"/>
  <c r="G128" i="142"/>
  <c r="D124" i="142"/>
  <c r="AJ124" i="142"/>
  <c r="C127" i="142"/>
  <c r="AK124" i="142"/>
  <c r="R86" i="142" l="1"/>
  <c r="Q126" i="142"/>
  <c r="F126" i="142"/>
  <c r="T126" i="142" s="1"/>
  <c r="F124" i="142"/>
  <c r="R88" i="142" s="1"/>
  <c r="Q124" i="142"/>
  <c r="T121" i="142"/>
  <c r="R84" i="142"/>
  <c r="V126" i="142"/>
  <c r="P129" i="142"/>
  <c r="V124" i="142"/>
  <c r="P127" i="142"/>
  <c r="B92" i="140"/>
  <c r="P131" i="142"/>
  <c r="F128" i="142"/>
  <c r="Q128" i="142"/>
  <c r="V128" i="142"/>
  <c r="B42" i="140"/>
  <c r="T125" i="142"/>
  <c r="AJ131" i="142"/>
  <c r="G127" i="142"/>
  <c r="U129" i="142"/>
  <c r="C130" i="142"/>
  <c r="B134" i="142"/>
  <c r="AK129" i="142"/>
  <c r="D129" i="142"/>
  <c r="AJ129" i="142"/>
  <c r="D127" i="142"/>
  <c r="AK127" i="142"/>
  <c r="C132" i="142"/>
  <c r="B135" i="142"/>
  <c r="D131" i="142"/>
  <c r="G131" i="142"/>
  <c r="U127" i="142"/>
  <c r="AJ127" i="142"/>
  <c r="B136" i="142"/>
  <c r="U131" i="142"/>
  <c r="G129" i="142"/>
  <c r="AK131" i="142"/>
  <c r="C134" i="142"/>
  <c r="R89" i="142" l="1"/>
  <c r="F129" i="142"/>
  <c r="T129" i="142" s="1"/>
  <c r="Q129" i="142"/>
  <c r="F127" i="142"/>
  <c r="R90" i="142" s="1"/>
  <c r="Q127" i="142"/>
  <c r="T124" i="142"/>
  <c r="R87" i="142"/>
  <c r="P130" i="142"/>
  <c r="V127" i="142"/>
  <c r="V129" i="142"/>
  <c r="P132" i="142"/>
  <c r="B93" i="140"/>
  <c r="V131" i="142"/>
  <c r="P134" i="142"/>
  <c r="F131" i="142"/>
  <c r="Q131" i="142"/>
  <c r="T128" i="142"/>
  <c r="B43" i="140"/>
  <c r="AK134" i="142"/>
  <c r="D134" i="142"/>
  <c r="C133" i="142"/>
  <c r="AJ130" i="142"/>
  <c r="G134" i="142"/>
  <c r="U130" i="142"/>
  <c r="B138" i="142"/>
  <c r="C137" i="142"/>
  <c r="B137" i="142"/>
  <c r="AK132" i="142"/>
  <c r="B139" i="142"/>
  <c r="G132" i="142"/>
  <c r="G130" i="142"/>
  <c r="D132" i="142"/>
  <c r="AJ132" i="142"/>
  <c r="U132" i="142"/>
  <c r="C135" i="142"/>
  <c r="D130" i="142"/>
  <c r="U134" i="142"/>
  <c r="AK130" i="142"/>
  <c r="AJ134" i="142"/>
  <c r="T127" i="142" l="1"/>
  <c r="R92" i="142"/>
  <c r="R91" i="142"/>
  <c r="Q130" i="142"/>
  <c r="F130" i="142"/>
  <c r="R93" i="142" s="1"/>
  <c r="F132" i="142"/>
  <c r="T132" i="142" s="1"/>
  <c r="Q132" i="142"/>
  <c r="V132" i="142"/>
  <c r="P135" i="142"/>
  <c r="V130" i="142"/>
  <c r="P133" i="142"/>
  <c r="B94" i="140"/>
  <c r="F134" i="142"/>
  <c r="Q134" i="142"/>
  <c r="V134" i="142"/>
  <c r="P137" i="142"/>
  <c r="B44" i="140"/>
  <c r="T131" i="142"/>
  <c r="AK137" i="142"/>
  <c r="G133" i="142"/>
  <c r="G137" i="142"/>
  <c r="D133" i="142"/>
  <c r="U133" i="142"/>
  <c r="AJ135" i="142"/>
  <c r="AJ133" i="142"/>
  <c r="C136" i="142"/>
  <c r="B140" i="142"/>
  <c r="AK133" i="142"/>
  <c r="B142" i="142"/>
  <c r="AK135" i="142"/>
  <c r="U137" i="142"/>
  <c r="C140" i="142"/>
  <c r="G135" i="142"/>
  <c r="B141" i="142"/>
  <c r="D137" i="142"/>
  <c r="AJ137" i="142"/>
  <c r="D135" i="142"/>
  <c r="U135" i="142"/>
  <c r="C138" i="142"/>
  <c r="F133" i="142" l="1"/>
  <c r="T133" i="142" s="1"/>
  <c r="Q133" i="142"/>
  <c r="F135" i="142"/>
  <c r="T135" i="142" s="1"/>
  <c r="Q135" i="142"/>
  <c r="R94" i="142"/>
  <c r="R95" i="142"/>
  <c r="T130" i="142"/>
  <c r="P138" i="142"/>
  <c r="V135" i="142"/>
  <c r="P136" i="142"/>
  <c r="V133" i="142"/>
  <c r="B95" i="140"/>
  <c r="V137" i="142"/>
  <c r="F137" i="142"/>
  <c r="Q137" i="142"/>
  <c r="P140" i="142"/>
  <c r="B45" i="140"/>
  <c r="T134" i="142"/>
  <c r="AJ140" i="142"/>
  <c r="D140" i="142"/>
  <c r="B145" i="142"/>
  <c r="D138" i="142"/>
  <c r="D136" i="142"/>
  <c r="U136" i="142"/>
  <c r="AJ136" i="142"/>
  <c r="B143" i="142"/>
  <c r="C141" i="142"/>
  <c r="U138" i="142"/>
  <c r="B144" i="142"/>
  <c r="AJ138" i="142"/>
  <c r="G136" i="142"/>
  <c r="G140" i="142"/>
  <c r="AK140" i="142"/>
  <c r="G138" i="142"/>
  <c r="AK136" i="142"/>
  <c r="C139" i="142"/>
  <c r="C143" i="142"/>
  <c r="AK138" i="142"/>
  <c r="U140" i="142"/>
  <c r="R97" i="142" l="1"/>
  <c r="R98" i="142"/>
  <c r="R96" i="142"/>
  <c r="F136" i="142"/>
  <c r="R99" i="142" s="1"/>
  <c r="Q136" i="142"/>
  <c r="Q138" i="142"/>
  <c r="F138" i="142"/>
  <c r="T138" i="142" s="1"/>
  <c r="P141" i="142"/>
  <c r="V138" i="142"/>
  <c r="V136" i="142"/>
  <c r="P139" i="142"/>
  <c r="B96" i="140"/>
  <c r="F140" i="142"/>
  <c r="Q140" i="142"/>
  <c r="V140" i="142"/>
  <c r="P143" i="142"/>
  <c r="T137" i="142"/>
  <c r="B46" i="140"/>
  <c r="AJ141" i="142"/>
  <c r="AJ143" i="142"/>
  <c r="U143" i="142"/>
  <c r="AJ139" i="142"/>
  <c r="U141" i="142"/>
  <c r="AK139" i="142"/>
  <c r="D141" i="142"/>
  <c r="C146" i="142"/>
  <c r="G141" i="142"/>
  <c r="G143" i="142"/>
  <c r="B146" i="142"/>
  <c r="G139" i="142"/>
  <c r="B148" i="142"/>
  <c r="D143" i="142"/>
  <c r="B147" i="142"/>
  <c r="D139" i="142"/>
  <c r="AK141" i="142"/>
  <c r="C144" i="142"/>
  <c r="U139" i="142"/>
  <c r="C142" i="142"/>
  <c r="AK143" i="142"/>
  <c r="F141" i="142" l="1"/>
  <c r="T141" i="142" s="1"/>
  <c r="Q141" i="142"/>
  <c r="T136" i="142"/>
  <c r="R101" i="142"/>
  <c r="R100" i="142"/>
  <c r="Q139" i="142"/>
  <c r="F139" i="142"/>
  <c r="R102" i="142" s="1"/>
  <c r="V141" i="142"/>
  <c r="P144" i="142"/>
  <c r="V139" i="142"/>
  <c r="P142" i="142"/>
  <c r="B97" i="140"/>
  <c r="V143" i="142"/>
  <c r="F143" i="142"/>
  <c r="Q143" i="142"/>
  <c r="P146" i="142"/>
  <c r="B47" i="140"/>
  <c r="T140" i="142"/>
  <c r="AJ144" i="142"/>
  <c r="AJ146" i="142"/>
  <c r="AJ142" i="142"/>
  <c r="D146" i="142"/>
  <c r="D144" i="142"/>
  <c r="C147" i="142"/>
  <c r="AK144" i="142"/>
  <c r="AK142" i="142"/>
  <c r="B151" i="142"/>
  <c r="B149" i="142"/>
  <c r="C149" i="142"/>
  <c r="G142" i="142"/>
  <c r="U144" i="142"/>
  <c r="B150" i="142"/>
  <c r="G144" i="142"/>
  <c r="D142" i="142"/>
  <c r="U142" i="142"/>
  <c r="C145" i="142"/>
  <c r="AK146" i="142"/>
  <c r="G146" i="142"/>
  <c r="U146" i="142"/>
  <c r="Q142" i="142" l="1"/>
  <c r="F142" i="142"/>
  <c r="T142" i="142" s="1"/>
  <c r="R103" i="142"/>
  <c r="R104" i="142"/>
  <c r="Q144" i="142"/>
  <c r="F144" i="142"/>
  <c r="T144" i="142" s="1"/>
  <c r="T139" i="142"/>
  <c r="P147" i="142"/>
  <c r="V142" i="142"/>
  <c r="P145" i="142"/>
  <c r="V144" i="142"/>
  <c r="B98" i="140"/>
  <c r="P149" i="142"/>
  <c r="F146" i="142"/>
  <c r="Q146" i="142"/>
  <c r="V146" i="142"/>
  <c r="B48" i="140"/>
  <c r="T143" i="142"/>
  <c r="AJ149" i="142"/>
  <c r="AJ147" i="142"/>
  <c r="AJ145" i="142"/>
  <c r="B153" i="142"/>
  <c r="AK147" i="142"/>
  <c r="B152" i="142"/>
  <c r="D147" i="142"/>
  <c r="B154" i="142"/>
  <c r="G147" i="142"/>
  <c r="G149" i="142"/>
  <c r="C148" i="142"/>
  <c r="AK149" i="142"/>
  <c r="U145" i="142"/>
  <c r="AK145" i="142"/>
  <c r="C150" i="142"/>
  <c r="U147" i="142"/>
  <c r="D149" i="142"/>
  <c r="G145" i="142"/>
  <c r="D145" i="142"/>
  <c r="C152" i="142"/>
  <c r="U149" i="142"/>
  <c r="R106" i="142" l="1"/>
  <c r="R105" i="142"/>
  <c r="R107" i="142"/>
  <c r="F145" i="142"/>
  <c r="R108" i="142" s="1"/>
  <c r="Q145" i="142"/>
  <c r="F147" i="142"/>
  <c r="T147" i="142" s="1"/>
  <c r="Q147" i="142"/>
  <c r="V147" i="142"/>
  <c r="P150" i="142"/>
  <c r="V145" i="142"/>
  <c r="P148" i="142"/>
  <c r="B99" i="140"/>
  <c r="F149" i="142"/>
  <c r="Q149" i="142"/>
  <c r="P152" i="142"/>
  <c r="V149" i="142"/>
  <c r="B49" i="140"/>
  <c r="T146" i="142"/>
  <c r="AJ152" i="142"/>
  <c r="AJ148" i="142"/>
  <c r="AJ150" i="142"/>
  <c r="U152" i="142"/>
  <c r="B155" i="142"/>
  <c r="C153" i="142"/>
  <c r="G150" i="142"/>
  <c r="AK150" i="142"/>
  <c r="U150" i="142"/>
  <c r="D150" i="142"/>
  <c r="G148" i="142"/>
  <c r="AK152" i="142"/>
  <c r="C151" i="142"/>
  <c r="G152" i="142"/>
  <c r="U148" i="142"/>
  <c r="B156" i="142"/>
  <c r="B157" i="142"/>
  <c r="C155" i="142"/>
  <c r="D152" i="142"/>
  <c r="D148" i="142"/>
  <c r="AK148" i="142"/>
  <c r="T145" i="142" l="1"/>
  <c r="R110" i="142"/>
  <c r="R109" i="142"/>
  <c r="F148" i="142"/>
  <c r="R111" i="142" s="1"/>
  <c r="Q148" i="142"/>
  <c r="F150" i="142"/>
  <c r="T150" i="142" s="1"/>
  <c r="Q150" i="142"/>
  <c r="P153" i="142"/>
  <c r="V148" i="142"/>
  <c r="V150" i="142"/>
  <c r="P151" i="142"/>
  <c r="B100" i="140"/>
  <c r="V152" i="142"/>
  <c r="P155" i="142"/>
  <c r="F152" i="142"/>
  <c r="Q152" i="142"/>
  <c r="B50" i="140"/>
  <c r="T149" i="142"/>
  <c r="AJ153" i="142"/>
  <c r="AJ155" i="142"/>
  <c r="AJ151" i="142"/>
  <c r="D153" i="142"/>
  <c r="B158" i="142"/>
  <c r="G155" i="142"/>
  <c r="U155" i="142"/>
  <c r="AK153" i="142"/>
  <c r="B159" i="142"/>
  <c r="AK155" i="142"/>
  <c r="G153" i="142"/>
  <c r="C158" i="142"/>
  <c r="AK151" i="142"/>
  <c r="C154" i="142"/>
  <c r="D151" i="142"/>
  <c r="U151" i="142"/>
  <c r="C156" i="142"/>
  <c r="G151" i="142"/>
  <c r="D155" i="142"/>
  <c r="C161" i="142"/>
  <c r="U153" i="142"/>
  <c r="B160" i="142"/>
  <c r="R112" i="142" l="1"/>
  <c r="R113" i="142"/>
  <c r="T148" i="142"/>
  <c r="F153" i="142"/>
  <c r="T153" i="142" s="1"/>
  <c r="Q153" i="142"/>
  <c r="F151" i="142"/>
  <c r="T151" i="142" s="1"/>
  <c r="Q151" i="142"/>
  <c r="V153" i="142"/>
  <c r="V151" i="142"/>
  <c r="C17" i="142"/>
  <c r="P154" i="142"/>
  <c r="P156" i="142"/>
  <c r="V155" i="142"/>
  <c r="P158" i="142"/>
  <c r="F155" i="142"/>
  <c r="Q155" i="142"/>
  <c r="T152" i="142"/>
  <c r="AJ158" i="142"/>
  <c r="AJ156" i="142"/>
  <c r="AJ154" i="142"/>
  <c r="B163" i="142"/>
  <c r="G154" i="142"/>
  <c r="U154" i="142"/>
  <c r="D154" i="142"/>
  <c r="G158" i="142"/>
  <c r="AK154" i="142"/>
  <c r="G156" i="142"/>
  <c r="C157" i="142"/>
  <c r="AK156" i="142"/>
  <c r="C159" i="142"/>
  <c r="D156" i="142"/>
  <c r="B161" i="142"/>
  <c r="U158" i="142"/>
  <c r="C162" i="142"/>
  <c r="B162" i="142"/>
  <c r="AK158" i="142"/>
  <c r="U156" i="142"/>
  <c r="D158" i="142"/>
  <c r="R115" i="142" l="1"/>
  <c r="R116" i="142"/>
  <c r="R114" i="142"/>
  <c r="F154" i="142"/>
  <c r="T154" i="142" s="1"/>
  <c r="Q154" i="142"/>
  <c r="F156" i="142"/>
  <c r="T156" i="142" s="1"/>
  <c r="Q156" i="142"/>
  <c r="P157" i="142"/>
  <c r="V156" i="142"/>
  <c r="V154" i="142"/>
  <c r="P159" i="142"/>
  <c r="P161" i="142"/>
  <c r="F158" i="142"/>
  <c r="Q158" i="142"/>
  <c r="V158" i="142"/>
  <c r="P162" i="142"/>
  <c r="T155" i="142"/>
  <c r="AJ161" i="142"/>
  <c r="AJ162" i="142"/>
  <c r="AJ157" i="142"/>
  <c r="AJ159" i="142"/>
  <c r="G161" i="142"/>
  <c r="AK161" i="142"/>
  <c r="U162" i="142"/>
  <c r="G159" i="142"/>
  <c r="G162" i="142"/>
  <c r="U159" i="142"/>
  <c r="C160" i="142"/>
  <c r="G157" i="142"/>
  <c r="AK157" i="142"/>
  <c r="D157" i="142"/>
  <c r="D162" i="142"/>
  <c r="AK162" i="142"/>
  <c r="C163" i="142"/>
  <c r="D161" i="142"/>
  <c r="D159" i="142"/>
  <c r="U157" i="142"/>
  <c r="U161" i="142"/>
  <c r="AK159" i="142"/>
  <c r="F159" i="142" l="1"/>
  <c r="T159" i="142" s="1"/>
  <c r="Q159" i="142"/>
  <c r="R117" i="142"/>
  <c r="R118" i="142"/>
  <c r="R119" i="142"/>
  <c r="Q157" i="142"/>
  <c r="F157" i="142"/>
  <c r="T157" i="142" s="1"/>
  <c r="V157" i="142"/>
  <c r="V159" i="142"/>
  <c r="P163" i="142"/>
  <c r="P160" i="142"/>
  <c r="F161" i="142"/>
  <c r="Q161" i="142"/>
  <c r="V161" i="142"/>
  <c r="F162" i="142"/>
  <c r="Q162" i="142"/>
  <c r="V162" i="142"/>
  <c r="T158" i="142"/>
  <c r="AJ160" i="142"/>
  <c r="AJ163" i="142"/>
  <c r="U160" i="142"/>
  <c r="AK163" i="142"/>
  <c r="AK160" i="142"/>
  <c r="G160" i="142"/>
  <c r="U163" i="142"/>
  <c r="G163" i="142"/>
  <c r="D160" i="142"/>
  <c r="D163" i="142"/>
  <c r="Q160" i="142" l="1"/>
  <c r="F160" i="142"/>
  <c r="T160" i="142" s="1"/>
  <c r="AK18" i="142"/>
  <c r="R121" i="142"/>
  <c r="R122" i="142"/>
  <c r="E14" i="142"/>
  <c r="Q163" i="142"/>
  <c r="D164" i="142"/>
  <c r="F163" i="142"/>
  <c r="D18" i="142"/>
  <c r="F18" i="142" s="1"/>
  <c r="R120" i="142"/>
  <c r="AJ18" i="142"/>
  <c r="P19" i="142"/>
  <c r="V163" i="142"/>
  <c r="U18" i="142"/>
  <c r="V160" i="142"/>
  <c r="G18" i="142"/>
  <c r="E15" i="142"/>
  <c r="T162" i="142"/>
  <c r="T161" i="142"/>
  <c r="R124" i="142" l="1"/>
  <c r="R159" i="142"/>
  <c r="Q19" i="142"/>
  <c r="R125" i="142"/>
  <c r="R123" i="142"/>
  <c r="R160" i="142"/>
  <c r="R143" i="142"/>
  <c r="R147" i="142"/>
  <c r="R156" i="142"/>
  <c r="R135" i="142"/>
  <c r="R152" i="142"/>
  <c r="R134" i="142"/>
  <c r="R136" i="142"/>
  <c r="R157" i="142"/>
  <c r="R133" i="142"/>
  <c r="R126" i="142"/>
  <c r="R155" i="142"/>
  <c r="R141" i="142"/>
  <c r="R129" i="142"/>
  <c r="R138" i="142"/>
  <c r="R148" i="142"/>
  <c r="R140" i="142"/>
  <c r="R132" i="142"/>
  <c r="R128" i="142"/>
  <c r="R144" i="142"/>
  <c r="R149" i="142"/>
  <c r="R161" i="142"/>
  <c r="R139" i="142"/>
  <c r="R131" i="142"/>
  <c r="R130" i="142"/>
  <c r="R163" i="142"/>
  <c r="R153" i="142"/>
  <c r="R162" i="142"/>
  <c r="R127" i="142"/>
  <c r="R151" i="142"/>
  <c r="R145" i="142"/>
  <c r="R137" i="142"/>
  <c r="R158" i="142"/>
  <c r="T163" i="142"/>
  <c r="T18" i="142" s="1"/>
  <c r="R154" i="142"/>
  <c r="R146" i="142"/>
  <c r="R150" i="142"/>
  <c r="R142" i="142"/>
  <c r="V18" i="142"/>
  <c r="F15" i="142" s="1"/>
  <c r="R19" i="1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Gilson Farias</author>
  </authors>
  <commentList>
    <comment ref="AE4" authorId="0" shapeId="0" xr:uid="{00000000-0006-0000-0400-000001000000}">
      <text>
        <r>
          <rPr>
            <sz val="9"/>
            <color indexed="81"/>
            <rFont val="Segoe UI"/>
            <family val="2"/>
          </rPr>
          <t>Somente para Jornada 5X2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Gilson Farias</author>
    <author>Rafael Augusto Virgilio</author>
  </authors>
  <commentList>
    <comment ref="H3" authorId="0" shapeId="0" xr:uid="{00000000-0006-0000-0500-000001000000}">
      <text>
        <r>
          <rPr>
            <sz val="9"/>
            <color indexed="81"/>
            <rFont val="Segoe UI"/>
            <family val="2"/>
          </rPr>
          <t>Somente para Jornada 5X2</t>
        </r>
      </text>
    </comment>
    <comment ref="H18" authorId="0" shapeId="0" xr:uid="{00000000-0006-0000-0500-000002000000}">
      <text>
        <r>
          <rPr>
            <sz val="9"/>
            <color indexed="81"/>
            <rFont val="Segoe UI"/>
            <family val="2"/>
          </rPr>
          <t>Somente para Jornada 5X2</t>
        </r>
      </text>
    </comment>
    <comment ref="M18" authorId="1" shapeId="0" xr:uid="{00000000-0006-0000-0500-000003000000}">
      <text>
        <r>
          <rPr>
            <b/>
            <sz val="9"/>
            <color indexed="81"/>
            <rFont val="Segoe UI"/>
            <family val="2"/>
          </rPr>
          <t>Rafael Augusto Virgilio:</t>
        </r>
        <r>
          <rPr>
            <sz val="9"/>
            <color indexed="81"/>
            <rFont val="Segoe UI"/>
            <family val="2"/>
          </rPr>
          <t xml:space="preserve">
% Proporcionalização da escala.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Gilson Farias</author>
  </authors>
  <commentList>
    <comment ref="B34" authorId="0" shapeId="0" xr:uid="{00000000-0006-0000-0900-000001000000}">
      <text>
        <r>
          <rPr>
            <sz val="9"/>
            <color indexed="81"/>
            <rFont val="Segoe UI"/>
            <family val="2"/>
          </rPr>
          <t>Somente para Jornada 5X2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psagomes\Documents\Minhas fontes de dados\sqlcorp68 WFM.odc" keepAlive="1" name="sqlcorp68 WFM" type="5" refreshedVersion="5" background="1" refreshOnLoad="1" saveData="1">
    <dbPr connection="Provider=MSOLAP.6;Integrated Security=SSPI;Persist Security Info=True;Initial Catalog=WFM;Data Source=sqlcorp68;MDX Compatibility=1;Safety Options=2;MDX Missing Member Mode=Error" command="WFM" commandType="1"/>
    <olapPr sendLocale="1" rowDrillCount="1000"/>
  </connection>
</connections>
</file>

<file path=xl/sharedStrings.xml><?xml version="1.0" encoding="utf-8"?>
<sst xmlns="http://schemas.openxmlformats.org/spreadsheetml/2006/main" count="3985" uniqueCount="1376">
  <si>
    <t>T</t>
  </si>
  <si>
    <t>N</t>
  </si>
  <si>
    <t/>
  </si>
  <si>
    <t>TurboTab</t>
  </si>
  <si>
    <t>UDs</t>
  </si>
  <si>
    <t>LOG</t>
  </si>
  <si>
    <t>Version</t>
  </si>
  <si>
    <t>item</t>
  </si>
  <si>
    <t>x</t>
  </si>
  <si>
    <t>y</t>
  </si>
  <si>
    <t>w</t>
  </si>
  <si>
    <t>h</t>
  </si>
  <si>
    <t>text</t>
  </si>
  <si>
    <t>init/result</t>
  </si>
  <si>
    <t>8/4/93</t>
  </si>
  <si>
    <t>mth</t>
  </si>
  <si>
    <t>release 1.20</t>
  </si>
  <si>
    <t>Date</t>
  </si>
  <si>
    <t>07/20/97</t>
  </si>
  <si>
    <t>11/1/93</t>
  </si>
  <si>
    <t>corrected error mess</t>
  </si>
  <si>
    <t>TTName</t>
  </si>
  <si>
    <t>11/18/93</t>
  </si>
  <si>
    <t xml:space="preserve">mth </t>
  </si>
  <si>
    <t>corrected install</t>
  </si>
  <si>
    <t>10/20/94</t>
  </si>
  <si>
    <t>8000 version</t>
  </si>
  <si>
    <t>see LOG for history</t>
  </si>
  <si>
    <t>02/23/95</t>
  </si>
  <si>
    <t>corrected Traffic E_N -&gt; T_N</t>
  </si>
  <si>
    <t>MaxN</t>
  </si>
  <si>
    <t>mth 1/18/97</t>
  </si>
  <si>
    <t>parameterized MaxN messages</t>
  </si>
  <si>
    <t>MaxNTest</t>
  </si>
  <si>
    <t>disabled copy check</t>
  </si>
  <si>
    <t>N_too_Big</t>
  </si>
  <si>
    <t>1/18/97</t>
  </si>
  <si>
    <t>raised limit to 20000</t>
  </si>
  <si>
    <t>A_too_Big</t>
  </si>
  <si>
    <t>6/30/97</t>
  </si>
  <si>
    <t>corrected invC problem for Pois and Erl-C</t>
  </si>
  <si>
    <t>CCS_too_Big</t>
  </si>
  <si>
    <t>mth 2/23/95</t>
  </si>
  <si>
    <t>/7/24/97</t>
  </si>
  <si>
    <t>added trapzd</t>
  </si>
  <si>
    <t>added Golden for InvErlC</t>
  </si>
  <si>
    <t>mco01.AutoOpen</t>
  </si>
  <si>
    <t>changed prompt on DelayQ</t>
  </si>
  <si>
    <t>auto_open</t>
  </si>
  <si>
    <t>mco00s.MacroName</t>
  </si>
  <si>
    <t>__ReadOnly</t>
  </si>
  <si>
    <t>name needed by addin manager</t>
  </si>
  <si>
    <t>__LongName</t>
  </si>
  <si>
    <t>InstTTab</t>
  </si>
  <si>
    <t>INIT</t>
  </si>
  <si>
    <t>InitDialog</t>
  </si>
  <si>
    <t>ExcelUser</t>
  </si>
  <si>
    <t>Install Turbo Tables</t>
  </si>
  <si>
    <t>ExcelCompany</t>
  </si>
  <si>
    <t>Licensed to</t>
  </si>
  <si>
    <t>=Globals()</t>
  </si>
  <si>
    <t>Company</t>
  </si>
  <si>
    <t>=   IF(AND(EXACT(RegName,ExcelUser),EXACT(RegCompany,ExcelCompany)))</t>
  </si>
  <si>
    <t>Install  program to</t>
  </si>
  <si>
    <t>InstProg</t>
  </si>
  <si>
    <t>=   ELSE()</t>
  </si>
  <si>
    <t>C:\WIN\EXCEL\XLSTART</t>
  </si>
  <si>
    <t>InstallPath</t>
  </si>
  <si>
    <t>=      DIALOG.BOX(BadTTab)</t>
  </si>
  <si>
    <t>Load examples to</t>
  </si>
  <si>
    <t>InstExamples</t>
  </si>
  <si>
    <t>=   END.IF()</t>
  </si>
  <si>
    <t>C:\WIN\EXCEL</t>
  </si>
  <si>
    <t>ExamplePath</t>
  </si>
  <si>
    <t xml:space="preserve">Erlang </t>
  </si>
  <si>
    <t>InstErl</t>
  </si>
  <si>
    <t>CCS</t>
  </si>
  <si>
    <t>InstCCS</t>
  </si>
  <si>
    <t>OK</t>
  </si>
  <si>
    <t>Cancel</t>
  </si>
  <si>
    <t>Installed</t>
  </si>
  <si>
    <t>LoadTTab</t>
  </si>
  <si>
    <t>VerMod</t>
  </si>
  <si>
    <t>172</t>
  </si>
  <si>
    <t>Loading Turbo Tables</t>
  </si>
  <si>
    <t>SaveXLS</t>
  </si>
  <si>
    <t>=STEP()</t>
  </si>
  <si>
    <t>RegName</t>
  </si>
  <si>
    <t>RegCompany</t>
  </si>
  <si>
    <t>BadTTab</t>
  </si>
  <si>
    <t>Excel licensed to</t>
  </si>
  <si>
    <t>This copy of TurboTables is not licensed for use with this Excel Worksheet</t>
  </si>
  <si>
    <t>Call 1-800-CALL-HTL or (301)236-0780 to obtain your own copy</t>
  </si>
  <si>
    <t xml:space="preserve"> NLines ( A , B [,Formulae])</t>
  </si>
  <si>
    <t xml:space="preserve"> GOS ( A , N [,Formulae])</t>
  </si>
  <si>
    <t xml:space="preserve"> Trunk (A , N, [Formulae])</t>
  </si>
  <si>
    <t xml:space="preserve"> Traffic( N , B [,Formulae])</t>
  </si>
  <si>
    <t xml:space="preserve"> NAgents( A, B, T, [C])</t>
  </si>
  <si>
    <t xml:space="preserve"> DelayQ ( A, N, T, [C])</t>
  </si>
  <si>
    <t xml:space="preserve"> ASA ( A, N, [C ,[1]])</t>
  </si>
  <si>
    <t>A</t>
  </si>
  <si>
    <t xml:space="preserve"> Erlangs</t>
  </si>
  <si>
    <t>B</t>
  </si>
  <si>
    <t xml:space="preserve"> Grade of service required</t>
  </si>
  <si>
    <t xml:space="preserve"> Number of lines/Agents</t>
  </si>
  <si>
    <t xml:space="preserve"> Normalized time</t>
  </si>
  <si>
    <t>C</t>
  </si>
  <si>
    <t xml:space="preserve"> Conversation time (mins or secs)</t>
  </si>
  <si>
    <t>Formulae</t>
  </si>
  <si>
    <t xml:space="preserve"> POIS"|"ERLB"|"ERLC" ("POIS" is default except for Delay which is "ERLC")</t>
  </si>
  <si>
    <t>Exact</t>
  </si>
  <si>
    <t>=0 No-rouned  =1 No-no rounding  =3 Yes-no rounding</t>
  </si>
  <si>
    <t>F6</t>
  </si>
  <si>
    <t>=0  First-time through</t>
  </si>
  <si>
    <t>GOSC</t>
  </si>
  <si>
    <t>OPEN17</t>
  </si>
  <si>
    <t>mcs10.path.</t>
  </si>
  <si>
    <t>=$B$170</t>
  </si>
  <si>
    <t>OPEN19</t>
  </si>
  <si>
    <t>mcs10.next.</t>
  </si>
  <si>
    <t>=$B$174</t>
  </si>
  <si>
    <t>mcs11.SetFileAttr.</t>
  </si>
  <si>
    <t>=$B$177:$B$215</t>
  </si>
  <si>
    <t>GOSC_A</t>
  </si>
  <si>
    <t>mcs11.item.</t>
  </si>
  <si>
    <t>=$B$181</t>
  </si>
  <si>
    <t>GOSC_N</t>
  </si>
  <si>
    <t>mcs11.oldpath.</t>
  </si>
  <si>
    <t>=$B$182</t>
  </si>
  <si>
    <t>GOSC_Form</t>
  </si>
  <si>
    <t>POIS</t>
  </si>
  <si>
    <t>mcs11.xll.</t>
  </si>
  <si>
    <t>=$B$183</t>
  </si>
  <si>
    <t>mcs11.key.</t>
  </si>
  <si>
    <t>=$B$191</t>
  </si>
  <si>
    <t>mcs11c.dllkey.</t>
  </si>
  <si>
    <t>=$B$201</t>
  </si>
  <si>
    <t>mcs11c.fastkey.</t>
  </si>
  <si>
    <t>=$B$202</t>
  </si>
  <si>
    <t>GOS</t>
  </si>
  <si>
    <t>E_A</t>
  </si>
  <si>
    <t>E_N</t>
  </si>
  <si>
    <t>E_FormTemp</t>
  </si>
  <si>
    <t>ERLB</t>
  </si>
  <si>
    <t>E_Form</t>
  </si>
  <si>
    <t>E_ExactTemp</t>
  </si>
  <si>
    <t>E_Exact</t>
  </si>
  <si>
    <t>E_F6Temp</t>
  </si>
  <si>
    <t>E_F6</t>
  </si>
  <si>
    <t>@IF(@N($E_E0)&gt;99999,0,1/@N($E_E0))</t>
  </si>
  <si>
    <t>@GotoIf(@EXACT(@S($E_FORM),"ERLC"),$E_OCC)</t>
  </si>
  <si>
    <t>@N($E_A)/@N($E_N)</t>
  </si>
  <si>
    <t>C_B</t>
  </si>
  <si>
    <t>@N($E_ERLB)/(1-@N($E_OCC)*(1-@N($E_ERLB)))</t>
  </si>
  <si>
    <t>@GotoIf(@N($E_EXACT)&gt;0,B131..C131)</t>
  </si>
  <si>
    <t>@Assign($E_ERLC,@ROUND(@N($E_ERLC),4))</t>
  </si>
  <si>
    <t>_ErlBMain</t>
  </si>
  <si>
    <t>E_X</t>
  </si>
  <si>
    <t>mth 7/13/97</t>
  </si>
  <si>
    <t>@Return(@N($E_ERLC))</t>
  </si>
  <si>
    <t>@GotoIf(@N($E_EXACT)&gt;0,B125..C125)</t>
  </si>
  <si>
    <t>@Assign($E_ERLB,@ROUND(@N($E_ERLB),4))</t>
  </si>
  <si>
    <t>@Return(@N($E_ERLB))</t>
  </si>
  <si>
    <t>@GotoIf(@N($E_F6)=0#OR#@N($E_N)&gt;=1,B113..D113)</t>
  </si>
  <si>
    <t>0+0</t>
  </si>
  <si>
    <t>1+0</t>
  </si>
  <si>
    <t>mth 7/13/98</t>
  </si>
  <si>
    <t>mth 7/13/99</t>
  </si>
  <si>
    <t>mth 7/13/100</t>
  </si>
  <si>
    <t>=ELSE.IF(E_N&lt;=200)</t>
  </si>
  <si>
    <t>@GotoIf(@N($E_N)=0,$E_END)</t>
  </si>
  <si>
    <t>=    IF(E_A&lt;=E_N)</t>
  </si>
  <si>
    <t>=        _ErlbTrap()</t>
  </si>
  <si>
    <t>@Assign($E_E0,1+@N($E_COUNT)*@N($E_E0)/@N($E_A))</t>
  </si>
  <si>
    <t>=    ELSE()</t>
  </si>
  <si>
    <t>@GotoIf(@N($E_E0)&gt;99999,$E_END)</t>
  </si>
  <si>
    <t>=        _ErlBLAG15()</t>
  </si>
  <si>
    <t>@GotoIf(@Assign($E_COUNT,@N($E_COUNT)+1)&lt;=@N($E_N),$E_LOOP)</t>
  </si>
  <si>
    <t>=    END.IF()</t>
  </si>
  <si>
    <t>=ELSE.IF(E_A&lt;1.0486*E_N-4.6)</t>
  </si>
  <si>
    <t>@Assign(B114..D114,1+@N($E_N)*@N($B$114..$D$114)/@N($E_A))</t>
  </si>
  <si>
    <t>=    _ErlbTrap()</t>
  </si>
  <si>
    <t>@GotoIf(@TRUE,$E_END)</t>
  </si>
  <si>
    <t>=ELSE()</t>
  </si>
  <si>
    <t>=    _ErlBLAG15()</t>
  </si>
  <si>
    <t>=END.IF()</t>
  </si>
  <si>
    <t>@Assign($E_E0,1)</t>
  </si>
  <si>
    <t>E_ERLB</t>
  </si>
  <si>
    <t>@N($E_N)</t>
  </si>
  <si>
    <t>E_OCC</t>
  </si>
  <si>
    <t>@Assign(H_AHIGH,@N(H_COUNT)*@N(H_AHIGH)/@N($E_A))</t>
  </si>
  <si>
    <t>E_ERLC</t>
  </si>
  <si>
    <t>@Assign($E_E0,@N($E_E0)+@N(H_AHIGH))</t>
  </si>
  <si>
    <t>@GotoIf(@N($H_AHIGH)&lt;0.000001,H_END)</t>
  </si>
  <si>
    <t>@GotoIf(@Assign(H_COUNT,@N(H_COUNT)-1)&gt;0,H_LOOP)</t>
  </si>
  <si>
    <t>@LN(@SQRT(2*@PI*@N($E_N))*(1+1/12/@N($E_N)))</t>
  </si>
  <si>
    <t>@MIN(@N($TRAP_XMAX),1)</t>
  </si>
  <si>
    <t>@IF(@N($TRAP_XMAX)&gt;1,@SQRT((20-@N($TRAP_C))*2/@N($E_N)),@SQRT((10-@N($TRAP_C))*2/@N($E_N)))</t>
  </si>
  <si>
    <t>(@N($TRAP_X0)-1+@N($TRAP_D))/8</t>
  </si>
  <si>
    <t>@Assign($B$114..$D$114,99999)</t>
  </si>
  <si>
    <t>_ErlBReg</t>
  </si>
  <si>
    <t>@GotoIf(@N($TRAP_DX)&lt;0,$B$120..$D$120)</t>
  </si>
  <si>
    <t>E_COUNT</t>
  </si>
  <si>
    <t>@N($TRAP_DX)*@N($E_N)</t>
  </si>
  <si>
    <t>E_E0</t>
  </si>
  <si>
    <t>@Assign($TRAP_X,1-@N($TRAP_D))</t>
  </si>
  <si>
    <t>@EXP(@N($E_N)*(@LN(@N($TRAP_X))+(1-@N($TRAP_X)))-@N(TRAP_C))/2</t>
  </si>
  <si>
    <t>@Assign($TRAP_X,@N($TRAP_X)+@N($TRAP_DX))</t>
  </si>
  <si>
    <t>@EXP(@N($E_N)*(@LN(@N($TRAP_X))+(1-@N($TRAP_X)))-@N($TRAP_C))</t>
  </si>
  <si>
    <t>@Assign($TRAP_S,@N(TRAP_S)+@N(B165..C165))</t>
  </si>
  <si>
    <t>@GotoIf(@Assign($TRAP_N,@N($TRAP_N)+1)&lt;=7,TRAP_L)</t>
  </si>
  <si>
    <t>_ErlBHighA</t>
  </si>
  <si>
    <t>@Assign($TRAP_S,(@N($TRAP_S)+@N(TRAP_X1)/2)*@N($TRAP_DX1))</t>
  </si>
  <si>
    <t>H_AHigh</t>
  </si>
  <si>
    <t>H_Count</t>
  </si>
  <si>
    <t>@GotoIf(@N($TRAP_XMAX)&lt;=1,TRAP_END)</t>
  </si>
  <si>
    <t>@Assign($TRAP_DX,(@N($TRAP_XMAX)-1)/5)</t>
  </si>
  <si>
    <t>@Assign($TRAP_DX1,@N($TRAP_DX)*@N($E_N))</t>
  </si>
  <si>
    <t>@Assign(TRAP_S1,@N($TRAP_X1)/2)</t>
  </si>
  <si>
    <t>_ErlbTrap</t>
  </si>
  <si>
    <t>new 7/19/97</t>
  </si>
  <si>
    <t>Trap_X</t>
  </si>
  <si>
    <t>Trap_Const</t>
  </si>
  <si>
    <t>Trap_Nfact</t>
  </si>
  <si>
    <t>Low A test (11.5 is ln(1e-5))</t>
  </si>
  <si>
    <t>zMax</t>
  </si>
  <si>
    <t>Trap_A0</t>
  </si>
  <si>
    <t>Trap_B0</t>
  </si>
  <si>
    <t>Trap_C0</t>
  </si>
  <si>
    <t>LN(1e-4)=-9.21</t>
  </si>
  <si>
    <t>Trap_Radical</t>
  </si>
  <si>
    <t>zUpperLimit</t>
  </si>
  <si>
    <t>Trap_E0</t>
  </si>
  <si>
    <t>zLowerLimit</t>
  </si>
  <si>
    <t>qsimp</t>
  </si>
  <si>
    <t>from Num Rec In C 4.2</t>
  </si>
  <si>
    <t>From</t>
  </si>
  <si>
    <t>To</t>
  </si>
  <si>
    <t>qsimp_Lower</t>
  </si>
  <si>
    <t>qsimp_Upper</t>
  </si>
  <si>
    <t>qsimp_os</t>
  </si>
  <si>
    <t>qsimp_s</t>
  </si>
  <si>
    <t>qsimp_ost</t>
  </si>
  <si>
    <t>qsimp_st</t>
  </si>
  <si>
    <t>max of 32 steps</t>
  </si>
  <si>
    <t>return after 32 steps</t>
  </si>
  <si>
    <t>TRAPZD</t>
  </si>
  <si>
    <t>Steps</t>
  </si>
  <si>
    <t>Trapzd_Lower</t>
  </si>
  <si>
    <t>Trapzd_Upper</t>
  </si>
  <si>
    <t>Trapzd_steps</t>
  </si>
  <si>
    <t>Trapzd_S</t>
  </si>
  <si>
    <t>Used as static variable/reset by N=1 case</t>
  </si>
  <si>
    <t>Trapzd_tnm</t>
  </si>
  <si>
    <t>Trapzd_del</t>
  </si>
  <si>
    <t>trapzd_x</t>
  </si>
  <si>
    <t>trapzd_Sum</t>
  </si>
  <si>
    <t>trapzd_N</t>
  </si>
  <si>
    <t>TrapFN</t>
  </si>
  <si>
    <t>TrapFN_X</t>
  </si>
  <si>
    <t>_ErlBLAG15</t>
  </si>
  <si>
    <t>@N($E_N)-1</t>
  </si>
  <si>
    <t>@N($E_A)/(@N($E_N)-1)</t>
  </si>
  <si>
    <t>@LN(@SQRT(2*@PI*@N($P_N0))*(1+1/12/@N($P_N0)))</t>
  </si>
  <si>
    <t>@EXP(@N($P_N0)*(@LN(@N($P_X))+(1-@N($P_X)))-@N($P_C))</t>
  </si>
  <si>
    <t>@Assign($P_DB,@N($P_X0))</t>
  </si>
  <si>
    <t>@Assign($P_TEST,0.0000001)</t>
  </si>
  <si>
    <t>REVISED</t>
  </si>
  <si>
    <t>@GotoIf(@N($E_A)&lt;@N($E_N),_POISSFORWARD)</t>
  </si>
  <si>
    <t>@Assign($P_S,@N($P_X0))</t>
  </si>
  <si>
    <t>@N($P_N0)</t>
  </si>
  <si>
    <t>@Assign($P_X0,@N($P_X0)*@N($P_L)/@N($E_A))</t>
  </si>
  <si>
    <t>@Assign($P_S,@N($P_S)+@N($P_X0))</t>
  </si>
  <si>
    <t>@GotoIf(@N($P_X0)&lt;@N($P_TEST),B263..C263)</t>
  </si>
  <si>
    <t>_PoissMain</t>
  </si>
  <si>
    <t>'=STEP()</t>
  </si>
  <si>
    <t>@GotoIf(@Assign($P_L,@N($P_L)-1)&gt;=1,B258..C258)</t>
  </si>
  <si>
    <t>P_B</t>
  </si>
  <si>
    <t>@Assign($P_B,1-@N($P_S))</t>
  </si>
  <si>
    <t>@GotoIf(@N($E_EXACT)&gt;0,B268..C268)</t>
  </si>
  <si>
    <t>P_DB</t>
  </si>
  <si>
    <t>@Assign($P_B,@ROUND(@N($P_B),4))</t>
  </si>
  <si>
    <t>P_S</t>
  </si>
  <si>
    <t>@Return(@N($P_B))</t>
  </si>
  <si>
    <t>@GotoIf(@N($E_A)&gt;80,B276..C276)</t>
  </si>
  <si>
    <t>@Assign($P_X0,@EXP(-@N($E_A)))</t>
  </si>
  <si>
    <t>P_TEST</t>
  </si>
  <si>
    <t>@Assign($P_N0,1)</t>
  </si>
  <si>
    <t>P_N0</t>
  </si>
  <si>
    <t>@GotoIf(@TRUE,L29000)</t>
  </si>
  <si>
    <t>P_X</t>
  </si>
  <si>
    <t>@Assign($P_N0,@INT(@N($E_A)*(1-@SQRT((36-@LN(2*@PI*@N($E_A)))/(@N($E_A))))))</t>
  </si>
  <si>
    <t>P_C</t>
  </si>
  <si>
    <t>@Assign($P_X,@N($E_A)/@N($P_N0))</t>
  </si>
  <si>
    <t>P_X0</t>
  </si>
  <si>
    <t>@Assign($P_C,@LN(@SQRT(2*@PI*@N($P_N0))*(1+1/12/@N($P_N0))))</t>
  </si>
  <si>
    <t>@Assign($P_X0,@EXP((@N($P_N0)*@LN(@N($P_X))+(@N($P_N0)-@N($E_A))-@N($P_C))))</t>
  </si>
  <si>
    <t>@Assign($P_N0,@N($P_N0)+1)</t>
  </si>
  <si>
    <t>=        IF(TRUE)</t>
  </si>
  <si>
    <t>=            _PoisErlB()</t>
  </si>
  <si>
    <t>=        ELSE.IF(TRUE)</t>
  </si>
  <si>
    <t>@GotoIf(@N($E_N)=1,B290..C290)</t>
  </si>
  <si>
    <t>@Assign($P_L,@N($P_N0))</t>
  </si>
  <si>
    <t>@Assign($P_X0,@N($P_X0)*@N($E_A)/@N($P_L))</t>
  </si>
  <si>
    <t>P_L</t>
  </si>
  <si>
    <t>@GotoIf(@Assign($P_L,@N($P_L)+1)&lt;@N($E_N),B286..C286)</t>
  </si>
  <si>
    <t>=            STEP()</t>
  </si>
  <si>
    <t>@GotoIf(@N($E_EXACT)=0,$P_END)</t>
  </si>
  <si>
    <t>@Assign($P_N0,@N($E_N)-1)</t>
  </si>
  <si>
    <t>@Assign($P_C,@N($E_A)/(@N($E_N)-1))</t>
  </si>
  <si>
    <t>@Assign($P_DB,@LN(@SQRT(2*@PI*@N($P_N0))*(1+1/12/@N($P_N0))))</t>
  </si>
  <si>
    <t>P_END</t>
  </si>
  <si>
    <t>@GotoIf(@TRUE,$P_END)</t>
  </si>
  <si>
    <t>@Assign($P_S,0)</t>
  </si>
  <si>
    <t>_PoissExact</t>
  </si>
  <si>
    <t>@Assign($P_L,@N($P_N0)+1)</t>
  </si>
  <si>
    <t>@GotoIf(@N($P_X0)&lt;@N($P_TEST),L27000)</t>
  </si>
  <si>
    <t>@GotoIf(@Assign($P_L,@N($P_L)+1)&lt;9999,B303..C303)</t>
  </si>
  <si>
    <t>@Assign($P_B,@N($P_S))</t>
  </si>
  <si>
    <t>@Assign($P_S,@N($P_B))</t>
  </si>
  <si>
    <t>B[A,N]=1-A^(N-1)*EXP(-A)/ERLB[A,N-1]/FACT(N-1)</t>
  </si>
  <si>
    <t>_PoissForward</t>
  </si>
  <si>
    <t>_PoisErlB</t>
  </si>
  <si>
    <t>LGX00</t>
  </si>
  <si>
    <t>LGX01</t>
  </si>
  <si>
    <t>LGX02</t>
  </si>
  <si>
    <t>LGX03</t>
  </si>
  <si>
    <t>LGX04</t>
  </si>
  <si>
    <t>LGX05</t>
  </si>
  <si>
    <t>LGX06</t>
  </si>
  <si>
    <t>LGX07</t>
  </si>
  <si>
    <t>LGX08</t>
  </si>
  <si>
    <t>LGX09</t>
  </si>
  <si>
    <t>LGX10</t>
  </si>
  <si>
    <t>LGX11</t>
  </si>
  <si>
    <t>LGX12</t>
  </si>
  <si>
    <t>LGX13</t>
  </si>
  <si>
    <t>LGX14</t>
  </si>
  <si>
    <t>LGW00</t>
  </si>
  <si>
    <t>LGW01</t>
  </si>
  <si>
    <t>LGW02</t>
  </si>
  <si>
    <t>LGW03</t>
  </si>
  <si>
    <t>LGW04</t>
  </si>
  <si>
    <t>LGW05</t>
  </si>
  <si>
    <t>LGW06</t>
  </si>
  <si>
    <t>LGW07</t>
  </si>
  <si>
    <t>LGW08</t>
  </si>
  <si>
    <t>LGW09</t>
  </si>
  <si>
    <t>LGW10</t>
  </si>
  <si>
    <t>LGW11</t>
  </si>
  <si>
    <t>LGW12</t>
  </si>
  <si>
    <t>LGW13</t>
  </si>
  <si>
    <t>LGW14</t>
  </si>
  <si>
    <t>TestLag</t>
  </si>
  <si>
    <t>E_UseLag</t>
  </si>
  <si>
    <t>NLinesC</t>
  </si>
  <si>
    <t>NC_A</t>
  </si>
  <si>
    <t>NC_B0</t>
  </si>
  <si>
    <t>NC_Form</t>
  </si>
  <si>
    <t>NLines</t>
  </si>
  <si>
    <t>N_A</t>
  </si>
  <si>
    <t>N_B0</t>
  </si>
  <si>
    <t>mth 11/3/93</t>
  </si>
  <si>
    <t>N_FormTemp</t>
  </si>
  <si>
    <t>N_Form</t>
  </si>
  <si>
    <t>N_ExactTemp</t>
  </si>
  <si>
    <t>N_Exact</t>
  </si>
  <si>
    <t>N_F6Temp</t>
  </si>
  <si>
    <t>N_F6</t>
  </si>
  <si>
    <t>N_OUT</t>
  </si>
  <si>
    <t>N_Nstart1</t>
  </si>
  <si>
    <t>N_BTest</t>
  </si>
  <si>
    <t>LRESTART</t>
  </si>
  <si>
    <t>N_NFlag</t>
  </si>
  <si>
    <t>mth 10/26/94</t>
  </si>
  <si>
    <t>N_ERLB</t>
  </si>
  <si>
    <t>N_OCC</t>
  </si>
  <si>
    <t>N_DB</t>
  </si>
  <si>
    <t>N_BNew</t>
  </si>
  <si>
    <t>TrafficC</t>
  </si>
  <si>
    <t>TC_N</t>
  </si>
  <si>
    <t>TC_B0</t>
  </si>
  <si>
    <t>TC_Form</t>
  </si>
  <si>
    <t>7/9/97 changed from =IF(TC_A&gt;300000,RETURN(CCS_too_Big))</t>
  </si>
  <si>
    <t>Traffic</t>
  </si>
  <si>
    <t>T_N</t>
  </si>
  <si>
    <t>T_B0</t>
  </si>
  <si>
    <t>7/9/97 mth chnaged from =IF(E_T&lt;0,RETURN("N&lt;0"))</t>
  </si>
  <si>
    <t>neede for use with function wizard</t>
  </si>
  <si>
    <t>@GotoIf(@N($T_N)&gt;1,B544..C544)</t>
  </si>
  <si>
    <t>@Assign($T_A,@N($T_B0)/(1-@N($T_B0)))</t>
  </si>
  <si>
    <t>T_FormTemp</t>
  </si>
  <si>
    <t>@GotoIf(@TRUE,$T_END)</t>
  </si>
  <si>
    <t>T_Form</t>
  </si>
  <si>
    <t>@GotoIf(@N($T_N)&gt;2,L18910)</t>
  </si>
  <si>
    <t>@Assign($T_A,(@SQRT(1+2*(1/@N($T_B0)-1))+1)/(1/@N($T_B0)-1))</t>
  </si>
  <si>
    <t>@Assign($T_ATEST,1)</t>
  </si>
  <si>
    <t>T_ExactTemp</t>
  </si>
  <si>
    <t>@GotoIf(@N($T_N)&gt;400#AND#@N($T_B0)&gt;=0.05,$L19000)</t>
  </si>
  <si>
    <t>T_Exact</t>
  </si>
  <si>
    <t>@GotoIf(@N($T_N)&gt;800#AND#@N($T_B0)&gt;=0.04,$L19000)</t>
  </si>
  <si>
    <t>T_F6Temp</t>
  </si>
  <si>
    <t>@Assign($T_ATEST,@IF(@N($T_B0)&lt;0.3,0.05,@N($T_N)/1000))</t>
  </si>
  <si>
    <t>T_F6</t>
  </si>
  <si>
    <t>@Assign($T_A,@N($T_N))</t>
  </si>
  <si>
    <t>@Assign($T_B,@GOS(@N($T_A),@N($T_N),"ERLB",1))</t>
  </si>
  <si>
    <t>@Assign($T_DB,((@N($T_N)/@N($T_A)-1+@N($T_B))*@N($T_B)))</t>
  </si>
  <si>
    <t>@Assign($T_DA,@IF(@N($T_DB)&gt;0.00001,(@N($T_B0)-@N($T_B))/@N($T_DB),0))</t>
  </si>
  <si>
    <t>@Assign($T_DA,@MAX(-@N($T_N)/2,@N(T_DA)))</t>
  </si>
  <si>
    <t>@Assign($T_A,@N($T_A)+@N($T_DA))</t>
  </si>
  <si>
    <t>@GotoIf(@ABS(@N($T_DA))&gt;@N($T_ATEST),$L20000)</t>
  </si>
  <si>
    <t>@GotoIf(@N($T_EXACT)&gt;1,L21000)</t>
  </si>
  <si>
    <t>T_Round</t>
  </si>
  <si>
    <t>@Assign($T_B,@GOS(@N($T_A),@N($T_N),"ERLB",2))</t>
  </si>
  <si>
    <t>T_A</t>
  </si>
  <si>
    <t>T_DB</t>
  </si>
  <si>
    <t>@GotoIf(@ABS(@N($T_DA))&gt;0.1,$L21000)</t>
  </si>
  <si>
    <t>T_DA</t>
  </si>
  <si>
    <t>T_B</t>
  </si>
  <si>
    <t>T_Atest</t>
  </si>
  <si>
    <t>T_Steps</t>
  </si>
  <si>
    <t>_ErlBInv</t>
  </si>
  <si>
    <t>@GotoIf(@N($T_N)&gt;1,B582..C582)</t>
  </si>
  <si>
    <t>@Assign($T_A,-@LN(1-@N($T_B0)))</t>
  </si>
  <si>
    <t>@Assign($T_A,-@LN((1-@N($T_B0))/(1+@N($T_A))))</t>
  </si>
  <si>
    <t>1-(1+@N($T_A))*@EXP(-@N($T_A))</t>
  </si>
  <si>
    <t>@GotoIf(@ABS(@N(B585..C585)-@N($T_B0))&gt;0.0001,B584..C584)</t>
  </si>
  <si>
    <t>=        SET.VALUE(T_Atest,IF(T_B0&lt;0.3,0.05,T_N/1000))</t>
  </si>
  <si>
    <t>mth 7/12/97</t>
  </si>
  <si>
    <t>@Assign($T_ATEST,@IF(@N($T_B0)&lt;=0.3,0.05,@N($T_N)/10000))</t>
  </si>
  <si>
    <t>0.0001+0</t>
  </si>
  <si>
    <t>@N($T_N)-1</t>
  </si>
  <si>
    <t>@LN(@SQRT(2*@PI*@N($T_N0))*(1+1/12/@N($T_N0)))</t>
  </si>
  <si>
    <t>@Assign($T_B,@GOS(@N($T_A),@N($T_N),"POIS",1))</t>
  </si>
  <si>
    <t>@Assign($T_DB,@EXP((@N(T_N0)*@LN(@N($T_A)/@N($T_N0))+(@N(T_N0)-@N($T_A))-@N(T_C))))</t>
  </si>
  <si>
    <t>@Assign($T_DA,@MAX(-@N($T_N)/2,@N(B597..C597)))</t>
  </si>
  <si>
    <t>@GotoIf(@N($T_PTEST)=0.000001,B606..C606)</t>
  </si>
  <si>
    <t>@GotoIf(@ABS(@N($T_DA))&gt;=1,B606..C606)</t>
  </si>
  <si>
    <t>@Assign($T_PTEST,0.000001)</t>
  </si>
  <si>
    <t>@GotoIf(@TRUE,$L33000)</t>
  </si>
  <si>
    <t>@GotoIf((@ABS(@N($T_DA))&gt;@N($T_ATEST)),$L33000)</t>
  </si>
  <si>
    <t>_PoissInv</t>
  </si>
  <si>
    <t>@GotoIf(@N($T_N)&gt;1,B614..C614)</t>
  </si>
  <si>
    <t>@Assign($T_A,@N($T_B0))</t>
  </si>
  <si>
    <t>T_PTemp</t>
  </si>
  <si>
    <t>@Assign($B$492..$C$492,1)</t>
  </si>
  <si>
    <t>@GotoIf(@N($B$479..$C$479),$B$577..$C$577)</t>
  </si>
  <si>
    <t>@Assign($T_ATEST,@IF(@N($T_B0)&lt;=0.3#AND#@N($T_N)&gt;100,0.4,@N($T_N)/10000))</t>
  </si>
  <si>
    <t>@N($T_N)/1000</t>
  </si>
  <si>
    <t>2+0</t>
  </si>
  <si>
    <t>mt 7/9/97 added</t>
  </si>
  <si>
    <t>=    SET.VALUE(T_Atest,IF(T_B0&lt;=0.3,0.05,T_N/10000))</t>
  </si>
  <si>
    <t>@GotoIf(@N($T_B0)&gt;0.1,B624..C624)</t>
  </si>
  <si>
    <t>T_Ptest</t>
  </si>
  <si>
    <t>@Assign($T_A,(0.85+@N($C_X)*(0.287-0.166*@N($C_X)))*@N($T_N))</t>
  </si>
  <si>
    <t>@GotoIf(@TRUE,$C_ERLB)</t>
  </si>
  <si>
    <t>T_N0</t>
  </si>
  <si>
    <t>@Assign($T_A,@IF(@N($T_B0)&lt;=0.5,0.985*@N($T_N),0.998*@N($T_N)))</t>
  </si>
  <si>
    <t>T_C</t>
  </si>
  <si>
    <t>@GOS(@N($T_A),@N($T_N),"ERLB",1)</t>
  </si>
  <si>
    <t>@Assign($C_DAOLD,@N($T_A))</t>
  </si>
  <si>
    <t>@N($T_A)/@N($T_N)</t>
  </si>
  <si>
    <t>@N($C_ERLB)/(1-@N($C_OCC)*(1-@N($C_ERLB)))</t>
  </si>
  <si>
    <t>(1/@N($C_OCC)-@N($C_ERLC))*@N($C_ERLB)+(@N($C_ERLC))^2/@N($T_N)*(1/@N($C_ERLB)-1)</t>
  </si>
  <si>
    <t>@N($T_A)</t>
  </si>
  <si>
    <t>@IF(@N($C_DB)&gt;0.00001,(@N($T_B0)-@N($C_ERLC))/@N($C_DB),0)</t>
  </si>
  <si>
    <t>@IF(@N($C_DANEW)&gt;1,@ABS(@N($C_DAOLD)/2),@N($C_DANEW))</t>
  </si>
  <si>
    <t>@Assign($C_DAOLD,@N($C_DA))</t>
  </si>
  <si>
    <t>@Assign($T_A,@N($T_A)+@N($C_DA))</t>
  </si>
  <si>
    <t>@GotoIf(@N($C_ERLC)&lt;0.0001,$L55000)</t>
  </si>
  <si>
    <t>_ErlCInv</t>
  </si>
  <si>
    <t>T_LowerLimit</t>
  </si>
  <si>
    <t>_ErlCInvOld</t>
  </si>
  <si>
    <t>@GotoIf(@ABS(@N(C_DA))&gt;@N($T_ATEST),$C_ERLB)</t>
  </si>
  <si>
    <t>7/9/97 added</t>
  </si>
  <si>
    <t>@GotoIf(@N($T_EXACT)&gt;1,$L55000)</t>
  </si>
  <si>
    <t>@Assign($T_ATEST,@IF(@N($T_N)&lt;=300,@N($T_N)/10000,0.5))</t>
  </si>
  <si>
    <t>@Assign($C_ERLB,@GOS(@N($T_A),@N($T_N),"ERLB",2))</t>
  </si>
  <si>
    <t>@Assign($C_OCC,@N($T_A)/@N($T_N))</t>
  </si>
  <si>
    <t>7/7/97 mth MAX added</t>
  </si>
  <si>
    <t>@Assign($C_ERLC,@N($C_ERLB)/(1-@N($C_OCC)*(1-@N($C_ERLB))))</t>
  </si>
  <si>
    <t>T_X</t>
  </si>
  <si>
    <t>@Assign($C_DB,(1/@N($C_OCC)-@N($C_ERLC)+@N($C_ERLC)^2/@N($T_N)*(1-@N($C_ERLB)))*@N($C_ERLB))</t>
  </si>
  <si>
    <t>T_DAOLD</t>
  </si>
  <si>
    <t>@Assign($C_AOLD,@N($T_A))</t>
  </si>
  <si>
    <t>mth 7/21/97</t>
  </si>
  <si>
    <t>@Assign($C_DANEW,@IF(@N($C_DANEW)&gt;1,@ABS(@N($C_DAOLD)/2),@N($C_DANEW)))</t>
  </si>
  <si>
    <t>correctd from C_X mthj 6/30/97</t>
  </si>
  <si>
    <t>@GotoIf(@N($C_ERLC)&lt;0.0001,$L56000)</t>
  </si>
  <si>
    <t xml:space="preserve">mth 7/9/97 added </t>
  </si>
  <si>
    <t>C_ERLB</t>
  </si>
  <si>
    <t>=        SET.VALUE(T_DAOLD,T_A)</t>
  </si>
  <si>
    <t>mth 7/9/97 removed</t>
  </si>
  <si>
    <t>corrected from c_TAOld mth 6/30/97</t>
  </si>
  <si>
    <t>C_OCC</t>
  </si>
  <si>
    <t>C_ERLC</t>
  </si>
  <si>
    <t>C_DB</t>
  </si>
  <si>
    <t>C_AOLD</t>
  </si>
  <si>
    <t>C_DANEW</t>
  </si>
  <si>
    <t>C_DA</t>
  </si>
  <si>
    <t>=        IF(C_DANEW&gt;1,ABS(T_DAOLD/2),C_DANEW)</t>
  </si>
  <si>
    <t>=        SET.VALUE(T_DAOLD,C_DA)</t>
  </si>
  <si>
    <t>mth 7/9/97 changed from =        SET.VALUE(T_Atest,IF(T_N&lt;=300,T_N/10000,0.5))</t>
  </si>
  <si>
    <t>=            SET.VALUE(C_DANEW,IF(C_DANEW&gt;1,ABS((T_N-T_A)/2),C_DANEW))</t>
  </si>
  <si>
    <t>=            SET.VALUE(C_DANEW,IF(C_DANEW&gt;1,ABS(C_DAOLD/2),C_DANEW))</t>
  </si>
  <si>
    <t>=            SET.VALUE(C_DAOLD,C_DA)</t>
  </si>
  <si>
    <t>Gold_R</t>
  </si>
  <si>
    <t>mth 7/22/97</t>
  </si>
  <si>
    <t>Gold_C</t>
  </si>
  <si>
    <t>Golden</t>
  </si>
  <si>
    <t>from NumRecInC 10.1</t>
  </si>
  <si>
    <t>Gold_ax</t>
  </si>
  <si>
    <t>Gold_bx</t>
  </si>
  <si>
    <t>Gold_cx</t>
  </si>
  <si>
    <t>Gold_Func</t>
  </si>
  <si>
    <t>ERLC</t>
  </si>
  <si>
    <t>Gold_Param1</t>
  </si>
  <si>
    <t>Gold_Tol</t>
  </si>
  <si>
    <t>Gold_Param2</t>
  </si>
  <si>
    <t>gold_x0</t>
  </si>
  <si>
    <t>Gold_x1</t>
  </si>
  <si>
    <t>Gold_x2</t>
  </si>
  <si>
    <t>Gold_x3</t>
  </si>
  <si>
    <t>Gold_f1</t>
  </si>
  <si>
    <t>Gold_f2</t>
  </si>
  <si>
    <t>GoldFunc</t>
  </si>
  <si>
    <t>AgentsC</t>
  </si>
  <si>
    <t>AgentC_A</t>
  </si>
  <si>
    <t>AgentC_SLP</t>
  </si>
  <si>
    <t>AgentC_SLT</t>
  </si>
  <si>
    <t>AgentC_C</t>
  </si>
  <si>
    <t>Agents</t>
  </si>
  <si>
    <t>A_A</t>
  </si>
  <si>
    <t>A_SLP</t>
  </si>
  <si>
    <t>A_SLT</t>
  </si>
  <si>
    <t>A_C</t>
  </si>
  <si>
    <t>A_B0</t>
  </si>
  <si>
    <t>A_N</t>
  </si>
  <si>
    <t>A_EXP</t>
  </si>
  <si>
    <t>A_ERLB</t>
  </si>
  <si>
    <t>A_OCC</t>
  </si>
  <si>
    <t>A_ERLC</t>
  </si>
  <si>
    <t>A_BTest</t>
  </si>
  <si>
    <t>A_END</t>
  </si>
  <si>
    <t>DelayQC</t>
  </si>
  <si>
    <t>mth 7/24/97 chnaged from talk_time</t>
  </si>
  <si>
    <t>DelayQC_A</t>
  </si>
  <si>
    <t>DelayQC_N</t>
  </si>
  <si>
    <t>DelayQC_T</t>
  </si>
  <si>
    <t>DelayQC_C</t>
  </si>
  <si>
    <t>DelayQ</t>
  </si>
  <si>
    <t>D_A</t>
  </si>
  <si>
    <t>D_N</t>
  </si>
  <si>
    <t>D_T</t>
  </si>
  <si>
    <t>D_C</t>
  </si>
  <si>
    <t>D_Exact</t>
  </si>
  <si>
    <t>D_ERLC</t>
  </si>
  <si>
    <t>D_Q</t>
  </si>
  <si>
    <t>ASAC</t>
  </si>
  <si>
    <t>ASAC_A</t>
  </si>
  <si>
    <t>ASAC_N</t>
  </si>
  <si>
    <t>ASAC_C</t>
  </si>
  <si>
    <t>ASAC_Flag</t>
  </si>
  <si>
    <t>ASA</t>
  </si>
  <si>
    <t>S_A</t>
  </si>
  <si>
    <t>S_N</t>
  </si>
  <si>
    <t>S_C</t>
  </si>
  <si>
    <t>S_Flag</t>
  </si>
  <si>
    <t>S_ExactTemp</t>
  </si>
  <si>
    <t>S_Exact</t>
  </si>
  <si>
    <t>S_ERLC</t>
  </si>
  <si>
    <t>S_ASA</t>
  </si>
  <si>
    <t>S_ROUND</t>
  </si>
  <si>
    <t>TrunkC</t>
  </si>
  <si>
    <t>TrunkC_A</t>
  </si>
  <si>
    <t>TrunkC_N</t>
  </si>
  <si>
    <t>TrunkC_Form</t>
  </si>
  <si>
    <t>TrunkC_M</t>
  </si>
  <si>
    <t>Trunk</t>
  </si>
  <si>
    <t>Trunk_A</t>
  </si>
  <si>
    <t>Trunk_N</t>
  </si>
  <si>
    <t>Trunk_FORM</t>
  </si>
  <si>
    <t>Trunk_M</t>
  </si>
  <si>
    <t>Trunk_Exact</t>
  </si>
  <si>
    <t>Trunk_ERLB</t>
  </si>
  <si>
    <t>Trunk_T</t>
  </si>
  <si>
    <t>Trunk_Q</t>
  </si>
  <si>
    <t>Trunk_Pois</t>
  </si>
  <si>
    <t>Trunk_ERLC</t>
  </si>
  <si>
    <t>Trunk_END</t>
  </si>
  <si>
    <t>TMO</t>
  </si>
  <si>
    <t>VOL</t>
  </si>
  <si>
    <t>GAP</t>
  </si>
  <si>
    <t>NS</t>
  </si>
  <si>
    <t>ABS</t>
  </si>
  <si>
    <t>TO</t>
  </si>
  <si>
    <t>TREINA.</t>
  </si>
  <si>
    <t>OUTROS</t>
  </si>
  <si>
    <t>INDISP.</t>
  </si>
  <si>
    <t>PA DIM</t>
  </si>
  <si>
    <t>TX OCUP.</t>
  </si>
  <si>
    <t>FTE / PA</t>
  </si>
  <si>
    <t>P. ESC.</t>
  </si>
  <si>
    <t>ENTRADA</t>
  </si>
  <si>
    <t>INDICA</t>
  </si>
  <si>
    <t>VALOR</t>
  </si>
  <si>
    <t>VOLUME</t>
  </si>
  <si>
    <t>DMM</t>
  </si>
  <si>
    <t>DIA</t>
  </si>
  <si>
    <t>TIPO</t>
  </si>
  <si>
    <t>6h20min</t>
  </si>
  <si>
    <t>7h12min</t>
  </si>
  <si>
    <t>4h0min</t>
  </si>
  <si>
    <t>5h20min</t>
  </si>
  <si>
    <t>FTE</t>
  </si>
  <si>
    <t>NR17</t>
  </si>
  <si>
    <t>OVER C.</t>
  </si>
  <si>
    <t>HC / PA</t>
  </si>
  <si>
    <t>% Ocup.</t>
  </si>
  <si>
    <t>NS DIA</t>
  </si>
  <si>
    <t>Real</t>
  </si>
  <si>
    <t>Teórico</t>
  </si>
  <si>
    <t>Resumo de Dimensionamento</t>
  </si>
  <si>
    <t>Resumo de Indisponibilidades</t>
  </si>
  <si>
    <t>CURVA_FOR</t>
  </si>
  <si>
    <t>VOLUME MÊS</t>
  </si>
  <si>
    <t>TMO MÊS</t>
  </si>
  <si>
    <t>TRAF (K)</t>
  </si>
  <si>
    <t>HORA</t>
  </si>
  <si>
    <t>CUR_TRAF</t>
  </si>
  <si>
    <t>CUR_HC</t>
  </si>
  <si>
    <t>CURVA_DIM</t>
  </si>
  <si>
    <t>% VOL</t>
  </si>
  <si>
    <t>% TMO</t>
  </si>
  <si>
    <t>Dia</t>
  </si>
  <si>
    <t>NS (Meta)</t>
  </si>
  <si>
    <t>Time</t>
  </si>
  <si>
    <t>Indisponibilidades</t>
  </si>
  <si>
    <t>% DMM</t>
  </si>
  <si>
    <t>Totais</t>
  </si>
  <si>
    <t>TX OCUP</t>
  </si>
  <si>
    <t>HC</t>
  </si>
  <si>
    <t>HC4</t>
  </si>
  <si>
    <t>HC5</t>
  </si>
  <si>
    <t>HC6</t>
  </si>
  <si>
    <t>HC7</t>
  </si>
  <si>
    <t>TX_T</t>
  </si>
  <si>
    <t>TX_R</t>
  </si>
  <si>
    <t>Não</t>
  </si>
  <si>
    <t>Sim</t>
  </si>
  <si>
    <t>PAS</t>
  </si>
  <si>
    <t>CONS</t>
  </si>
  <si>
    <t>PA LOG.</t>
  </si>
  <si>
    <t>PA DIM.</t>
  </si>
  <si>
    <t>INDISP</t>
  </si>
  <si>
    <t>NS HE</t>
  </si>
  <si>
    <t>HC HE</t>
  </si>
  <si>
    <t>NS C/ HE</t>
  </si>
  <si>
    <t>HE</t>
  </si>
  <si>
    <t>C/ HE</t>
  </si>
  <si>
    <t>LOG.C/ HE</t>
  </si>
  <si>
    <t>Total Horas</t>
  </si>
  <si>
    <t>Total FTEs</t>
  </si>
  <si>
    <t>Reserva PA? &gt;&gt;</t>
  </si>
  <si>
    <r>
      <t xml:space="preserve">NEC </t>
    </r>
    <r>
      <rPr>
        <b/>
        <sz val="10"/>
        <rFont val="Bookman Old Style"/>
        <family val="1"/>
      </rPr>
      <t>BR.</t>
    </r>
  </si>
  <si>
    <r>
      <t xml:space="preserve">DIM </t>
    </r>
    <r>
      <rPr>
        <b/>
        <sz val="10"/>
        <rFont val="Bookman Old Style"/>
        <family val="1"/>
      </rPr>
      <t>BR.</t>
    </r>
  </si>
  <si>
    <t>Não Alterar essa guia</t>
  </si>
  <si>
    <t>NEC B.</t>
  </si>
  <si>
    <t>DIM B.</t>
  </si>
  <si>
    <t>PA HE</t>
  </si>
  <si>
    <t>PA OVER</t>
  </si>
  <si>
    <t>PA P. ESC.</t>
  </si>
  <si>
    <t>PA ABS</t>
  </si>
  <si>
    <t>PA TO</t>
  </si>
  <si>
    <t>PA NR17</t>
  </si>
  <si>
    <t>PA OTRS</t>
  </si>
  <si>
    <t>PA TRN.</t>
  </si>
  <si>
    <t>GAP B.</t>
  </si>
  <si>
    <t>NEC L.</t>
  </si>
  <si>
    <t>DIM L.</t>
  </si>
  <si>
    <t>GAP L.</t>
  </si>
  <si>
    <t>NEC LIQ</t>
  </si>
  <si>
    <t>GAP B</t>
  </si>
  <si>
    <t>NEC LIQ+NR17</t>
  </si>
  <si>
    <t>NEC L.+NR17</t>
  </si>
  <si>
    <t>DIM L.+NR17</t>
  </si>
  <si>
    <t>GAP L.+NR17</t>
  </si>
  <si>
    <t>PA LOG</t>
  </si>
  <si>
    <t>PA LOG+HE</t>
  </si>
  <si>
    <t>NEC L</t>
  </si>
  <si>
    <t>NEC L+NR17</t>
  </si>
  <si>
    <t>NEC B</t>
  </si>
  <si>
    <t>DIM  B</t>
  </si>
  <si>
    <t>HE DIM</t>
  </si>
  <si>
    <t>Descritivo</t>
  </si>
  <si>
    <t>Indicador</t>
  </si>
  <si>
    <t>Obs.</t>
  </si>
  <si>
    <t>Dia do mês</t>
  </si>
  <si>
    <t>Numero do DMM correspondente em tráfego</t>
  </si>
  <si>
    <t>Tipo de dia da semana</t>
  </si>
  <si>
    <t>% do DMM de tráfego</t>
  </si>
  <si>
    <t>Volume de chamadas</t>
  </si>
  <si>
    <t>Tempo médio de operação</t>
  </si>
  <si>
    <t>Conceito</t>
  </si>
  <si>
    <t>Necessidade FTE Líquida</t>
  </si>
  <si>
    <t>Necessidade FTE Líquida + Pausa NR17</t>
  </si>
  <si>
    <t>Necessidade FTE Bruta</t>
  </si>
  <si>
    <t>Dimensionado FTE Bruto</t>
  </si>
  <si>
    <t>GAP FTE Bruto</t>
  </si>
  <si>
    <t>Dimensionado FTE Hora Extra</t>
  </si>
  <si>
    <t>NS Correspondente</t>
  </si>
  <si>
    <t>NS Correspondente c/ Horas Extras Dimensionadas</t>
  </si>
  <si>
    <t>Total de pas logadas</t>
  </si>
  <si>
    <t>Total de pas logadas + pas logadas em hora extra</t>
  </si>
  <si>
    <t>Taxa de produtividade do agente teorica</t>
  </si>
  <si>
    <t>Taxa de produtividade do agente real</t>
  </si>
  <si>
    <t>Intervalo do dia</t>
  </si>
  <si>
    <t>GAP FTE Liquido</t>
  </si>
  <si>
    <t>Dimensionado FTE Líquido + Pausa NR17</t>
  </si>
  <si>
    <t>GAP FTE Liquido c/ Pausa NR17</t>
  </si>
  <si>
    <t>Total de PA Dimensionada</t>
  </si>
  <si>
    <t>Total de PA para over capacity</t>
  </si>
  <si>
    <t>Total de PA para perda de escala</t>
  </si>
  <si>
    <t>Total de PA para ABS</t>
  </si>
  <si>
    <t>Total de PA para TO</t>
  </si>
  <si>
    <t>Total de PA para NR17</t>
  </si>
  <si>
    <t>Total de PA para treinamento</t>
  </si>
  <si>
    <t>Total de PA para outros</t>
  </si>
  <si>
    <t>Total de PA logada</t>
  </si>
  <si>
    <t>Total de PA logada c/ hora extra</t>
  </si>
  <si>
    <t>Calculo de agents utilizando Erlang C</t>
  </si>
  <si>
    <t>Calculo de agents utilizando Erlang C + % Indisp. Pausa NR17</t>
  </si>
  <si>
    <t>Calculo de agents utilizando Erlang C + % Indisp. Totais</t>
  </si>
  <si>
    <t>Agentes dimensionados para atender o comportamento + Indisponibilidades Totais</t>
  </si>
  <si>
    <t>Delta entre Necessidade Bruta e Dimensionado Bruto</t>
  </si>
  <si>
    <t>Calculo DelayQ utilizando conceito de Erlang C (com agentes de HE + Dimensionados)</t>
  </si>
  <si>
    <t>Calculo DelayQ utilizando conceito de Erlang C (com agentes dimensionados)</t>
  </si>
  <si>
    <t>Total de Pas logadas com indisps indicadas que ocupam Pas (reserva)</t>
  </si>
  <si>
    <t>Total de Pas logadas com indisps indicadas que ocupam Pas + Pas de HE (reserva)</t>
  </si>
  <si>
    <t>Tempo projetado em trafego / capacidade maxima dos agentes necessários</t>
  </si>
  <si>
    <t>Tempo projetado em trafego / capacidade maxima dos agentes dimensionados</t>
  </si>
  <si>
    <t>Delta entre Necessidade Liquida e Dimensionado Liquido</t>
  </si>
  <si>
    <t>Agentes dimensionados para atender o comportamento sem indisponibilidades Totais</t>
  </si>
  <si>
    <t>HC Dimensionado Líquido</t>
  </si>
  <si>
    <t>HC Dimensionado Líquido + % de pausa NR17</t>
  </si>
  <si>
    <t>Trafego Dia / Trafego Mês</t>
  </si>
  <si>
    <t>Tráfego total em milhares</t>
  </si>
  <si>
    <t>Total de HC de 5h20min dimensionados</t>
  </si>
  <si>
    <t>Total de HC de 4h0min dimensionados</t>
  </si>
  <si>
    <t>Total de HC de 6h20min dimensionados</t>
  </si>
  <si>
    <t>Total de HC de 7h12min dimensionados</t>
  </si>
  <si>
    <t>Total PAS alocadas para o dimensionadas</t>
  </si>
  <si>
    <t>Total PAS alocadas para indisponibilidade Over Capacity</t>
  </si>
  <si>
    <t>Total PAS alocadas para indisponibilidade Perda de Escala</t>
  </si>
  <si>
    <t>Total PAS alocadas para indisponibilidade ABS</t>
  </si>
  <si>
    <t>Total PAS alocadas para indisponibilidade TO</t>
  </si>
  <si>
    <t>Total PAS alocadas para indisponibilidade NR17</t>
  </si>
  <si>
    <t>Total PAS alocadas para indisponibilidade treinamento</t>
  </si>
  <si>
    <t>Total PAS alocadas para indisponibilidade outros</t>
  </si>
  <si>
    <t>Total PAS alocadas para atendimento</t>
  </si>
  <si>
    <t>Total PAS alocadas para atendimento + PAS para HE</t>
  </si>
  <si>
    <t>Cons.</t>
  </si>
  <si>
    <t>Reserva PA</t>
  </si>
  <si>
    <t>ENTRADAS</t>
  </si>
  <si>
    <t>FATOR</t>
  </si>
  <si>
    <t>REGUA</t>
  </si>
  <si>
    <t>AD. NOT</t>
  </si>
  <si>
    <t>OCUP.</t>
  </si>
  <si>
    <t>PROCV(A20;CURVAS_INTRA!$A$103:$AD$150;PROCH($C$14;CURVAS_INTRA!$A$101:$AD$102;2;0);0)</t>
  </si>
  <si>
    <t>Dimensionado por:</t>
  </si>
  <si>
    <t>OCC TEORICO</t>
  </si>
  <si>
    <t>OCC REAL</t>
  </si>
  <si>
    <t>CH. / FTE</t>
  </si>
  <si>
    <t>MIN / FTE</t>
  </si>
  <si>
    <t>DIM / NEC</t>
  </si>
  <si>
    <t>HC 6H</t>
  </si>
  <si>
    <t>HC 7H</t>
  </si>
  <si>
    <t>PA PROV</t>
  </si>
  <si>
    <t>% HMM</t>
  </si>
  <si>
    <t>HC 5H</t>
  </si>
  <si>
    <t>INDICADOR</t>
  </si>
  <si>
    <t>H. ENT</t>
  </si>
  <si>
    <t>H. EX. I</t>
  </si>
  <si>
    <t>H. EX. F</t>
  </si>
  <si>
    <t>H. SAÍDA</t>
  </si>
  <si>
    <t>CH</t>
  </si>
  <si>
    <t>MANUAL</t>
  </si>
  <si>
    <t>NOME</t>
  </si>
  <si>
    <t>Erlang</t>
  </si>
  <si>
    <t>INT</t>
  </si>
  <si>
    <t>TX DE OCC REAL 2 &gt;&gt;</t>
  </si>
  <si>
    <t>&gt;&gt;</t>
  </si>
  <si>
    <t>Consist</t>
  </si>
  <si>
    <t>HC 6H20M</t>
  </si>
  <si>
    <t>HC 7H12M</t>
  </si>
  <si>
    <t>CONT</t>
  </si>
  <si>
    <t>DESC</t>
  </si>
  <si>
    <t>CUSTO</t>
  </si>
  <si>
    <t>HE 50%</t>
  </si>
  <si>
    <t>HE 100%</t>
  </si>
  <si>
    <t>JOR</t>
  </si>
  <si>
    <t>-</t>
  </si>
  <si>
    <t>Custo Operacional</t>
  </si>
  <si>
    <t>HC + PA</t>
  </si>
  <si>
    <t>ILA M</t>
  </si>
  <si>
    <t>ILA N</t>
  </si>
  <si>
    <t>ACM</t>
  </si>
  <si>
    <t>TIPO CONS. INT.</t>
  </si>
  <si>
    <t>TER</t>
  </si>
  <si>
    <t>QUA</t>
  </si>
  <si>
    <t>QUI</t>
  </si>
  <si>
    <t>SEX</t>
  </si>
  <si>
    <t>SÁB</t>
  </si>
  <si>
    <t>DOM</t>
  </si>
  <si>
    <t>SEG</t>
  </si>
  <si>
    <t>Semana</t>
  </si>
  <si>
    <t>SEM</t>
  </si>
  <si>
    <t>Sábado</t>
  </si>
  <si>
    <t>Domingo</t>
  </si>
  <si>
    <t>6h20min (5X2)</t>
  </si>
  <si>
    <t>HC 6H20M (5x2)</t>
  </si>
  <si>
    <t>Entrada</t>
  </si>
  <si>
    <t>Escala</t>
  </si>
  <si>
    <t>Carga Horária</t>
  </si>
  <si>
    <t>6x1</t>
  </si>
  <si>
    <t>Sabado</t>
  </si>
  <si>
    <t>SAB</t>
  </si>
  <si>
    <t>OPERADOR 1</t>
  </si>
  <si>
    <t>OPERADOR 2</t>
  </si>
  <si>
    <t>OPERADOR 3</t>
  </si>
  <si>
    <t>OPERADOR 4</t>
  </si>
  <si>
    <t>OPERADOR 5</t>
  </si>
  <si>
    <t>OPERADOR 6</t>
  </si>
  <si>
    <t>OPERADOR 7</t>
  </si>
  <si>
    <t>OPERADOR 8</t>
  </si>
  <si>
    <t>OPERADOR 9</t>
  </si>
  <si>
    <t>OPERADOR 10</t>
  </si>
  <si>
    <t>OPERADOR 11</t>
  </si>
  <si>
    <t>5x2</t>
  </si>
  <si>
    <t>semana</t>
  </si>
  <si>
    <t>SABADO</t>
  </si>
  <si>
    <t>DOMINGO</t>
  </si>
  <si>
    <t>SEM_01</t>
  </si>
  <si>
    <t>Abril</t>
  </si>
  <si>
    <t>SEM_feriado</t>
  </si>
  <si>
    <t>Maio</t>
  </si>
  <si>
    <t>OPERADOR 12</t>
  </si>
  <si>
    <t>OPERADOR 13</t>
  </si>
  <si>
    <t>OPERADOR 14</t>
  </si>
  <si>
    <t>OPERADOR 15</t>
  </si>
  <si>
    <t>MAIO</t>
  </si>
  <si>
    <t>JUNHO</t>
  </si>
  <si>
    <t>SEMANA</t>
  </si>
  <si>
    <t>JULHO</t>
  </si>
  <si>
    <t>AGOSTO</t>
  </si>
  <si>
    <t>Outubro</t>
  </si>
  <si>
    <t>OUTUBRO</t>
  </si>
  <si>
    <t>IDEAL</t>
  </si>
  <si>
    <t>FERIADO</t>
  </si>
  <si>
    <t>ABRIL</t>
  </si>
  <si>
    <t>FERIADO0204</t>
  </si>
  <si>
    <t>Junho2021</t>
  </si>
  <si>
    <t>Julho2021</t>
  </si>
  <si>
    <t>Agosto</t>
  </si>
  <si>
    <t>SEMANA - Contrato</t>
  </si>
  <si>
    <t>Setembro - TMO 347 - Contrato</t>
  </si>
  <si>
    <t>SEMANA - Necessidade - 37 PA's</t>
  </si>
  <si>
    <t>Setembro - TMO 347 - Necessidade</t>
  </si>
  <si>
    <t>Outubro - Contrato - 21</t>
  </si>
  <si>
    <t>novembro/21</t>
  </si>
  <si>
    <t>SEMANA - 27 Pa-s</t>
  </si>
  <si>
    <t>SEMANA - 22 Pa-s</t>
  </si>
  <si>
    <t>SEMANA - 12 Pa-s</t>
  </si>
  <si>
    <t>Dezembro/21</t>
  </si>
  <si>
    <t>SEMANA - 32 Pa-s</t>
  </si>
  <si>
    <t>SABADO - 8 PA's</t>
  </si>
  <si>
    <t>SABADO - 7 PA's</t>
  </si>
  <si>
    <t>Dezembro/21 - Volume reduzido DU cliente</t>
  </si>
  <si>
    <t>BAAS_JANEIRO_CONS</t>
  </si>
  <si>
    <t>BAAS_SEM</t>
  </si>
  <si>
    <t>BAAS_SAB/DOM</t>
  </si>
  <si>
    <t>JAN_BIB</t>
  </si>
  <si>
    <t>MAR_BIB</t>
  </si>
  <si>
    <t>Abr_bib</t>
  </si>
  <si>
    <t>maio_bib</t>
  </si>
  <si>
    <t>junlho_bib</t>
  </si>
  <si>
    <t>julho_bib</t>
  </si>
  <si>
    <t>agosto_bib</t>
  </si>
  <si>
    <t>Fevereiro_BIB</t>
  </si>
  <si>
    <t>Março_BIB</t>
  </si>
  <si>
    <t>;</t>
  </si>
  <si>
    <t>SAFRA_SEM</t>
  </si>
  <si>
    <t>P.PESSOAL</t>
  </si>
  <si>
    <t>SAFRA_SEG</t>
  </si>
  <si>
    <t>OPERADOR 16</t>
  </si>
  <si>
    <t>OPERADOR 17</t>
  </si>
  <si>
    <t>OPERADOR 18</t>
  </si>
  <si>
    <t>OPERADOR 19</t>
  </si>
  <si>
    <t>OPERADOR 20</t>
  </si>
  <si>
    <t>OPERADOR 21</t>
  </si>
  <si>
    <t>OPERADOR 22</t>
  </si>
  <si>
    <t>OPERADOR 23</t>
  </si>
  <si>
    <t>OPERADOR 24</t>
  </si>
  <si>
    <t>OPERADOR 25</t>
  </si>
  <si>
    <t>OPERADOR 26</t>
  </si>
  <si>
    <t>OPERADOR 27</t>
  </si>
  <si>
    <t>OPERADOR 28</t>
  </si>
  <si>
    <t>OPERADOR 29</t>
  </si>
  <si>
    <t>OPERADOR 30</t>
  </si>
  <si>
    <t>OPERADOR 31</t>
  </si>
  <si>
    <t>OPERADOR 32</t>
  </si>
  <si>
    <t>OPERADOR 33</t>
  </si>
  <si>
    <t>OPERADOR 34</t>
  </si>
  <si>
    <t>OPERADOR 35</t>
  </si>
  <si>
    <t>OPERADOR 36</t>
  </si>
  <si>
    <t>OPERADOR 37</t>
  </si>
  <si>
    <t>OPERADOR 38</t>
  </si>
  <si>
    <t>OPERADOR 39</t>
  </si>
  <si>
    <t>OPERADOR 40</t>
  </si>
  <si>
    <t>OPERADOR 41</t>
  </si>
  <si>
    <t>OPERADOR 42</t>
  </si>
  <si>
    <t>OPERADOR 43</t>
  </si>
  <si>
    <t>OPERADOR 44</t>
  </si>
  <si>
    <t>OPERADOR 45</t>
  </si>
  <si>
    <t>OPERADOR 46</t>
  </si>
  <si>
    <t>OPERADOR 47</t>
  </si>
  <si>
    <t>OPERADOR 48</t>
  </si>
  <si>
    <t>OPERADOR 49</t>
  </si>
  <si>
    <t>OPERADOR 50</t>
  </si>
  <si>
    <t>OPERADOR 51</t>
  </si>
  <si>
    <t>OPERADOR 52</t>
  </si>
  <si>
    <t>OPERADOR 53</t>
  </si>
  <si>
    <t>OPERADOR 54</t>
  </si>
  <si>
    <t>OPERADOR 55</t>
  </si>
  <si>
    <t>OPERADOR 56</t>
  </si>
  <si>
    <t>OPERADOR 57</t>
  </si>
  <si>
    <t>OPERADOR 58</t>
  </si>
  <si>
    <t>OPERADOR 59</t>
  </si>
  <si>
    <t>OPERADOR 60</t>
  </si>
  <si>
    <t>OPERADOR 61</t>
  </si>
  <si>
    <t>OPERADOR 62</t>
  </si>
  <si>
    <t>OPERADOR 63</t>
  </si>
  <si>
    <t>OPERADOR 64</t>
  </si>
  <si>
    <t>OPERADOR 65</t>
  </si>
  <si>
    <t>OPERADOR 66</t>
  </si>
  <si>
    <t>OPERADOR 67</t>
  </si>
  <si>
    <t>OPERADOR 68</t>
  </si>
  <si>
    <t>OPERADOR 69</t>
  </si>
  <si>
    <t>OPERADOR 70</t>
  </si>
  <si>
    <t>OPERADOR 71</t>
  </si>
  <si>
    <t>OPERADOR 72</t>
  </si>
  <si>
    <t>OPERADOR 73</t>
  </si>
  <si>
    <t>OPERADOR 74</t>
  </si>
  <si>
    <t>OPERADOR 75</t>
  </si>
  <si>
    <t>OPERADOR 76</t>
  </si>
  <si>
    <t>OPERADOR 77</t>
  </si>
  <si>
    <t>OPERADOR 78</t>
  </si>
  <si>
    <t>OPERADOR 79</t>
  </si>
  <si>
    <t>OPERADOR 80</t>
  </si>
  <si>
    <t>OPERADOR 81</t>
  </si>
  <si>
    <t>OPERADOR 82</t>
  </si>
  <si>
    <t>OPERADOR 83</t>
  </si>
  <si>
    <t>OPERADOR 84</t>
  </si>
  <si>
    <t>OPERADOR 85</t>
  </si>
  <si>
    <t>OPERADOR 86</t>
  </si>
  <si>
    <t>OPERADOR 87</t>
  </si>
  <si>
    <t>OPERADOR 88</t>
  </si>
  <si>
    <t>OPERADOR 89</t>
  </si>
  <si>
    <t>OPERADOR 90</t>
  </si>
  <si>
    <t>OPERADOR 91</t>
  </si>
  <si>
    <t>OPERADOR 92</t>
  </si>
  <si>
    <t>OPERADOR 93</t>
  </si>
  <si>
    <t>OPERADOR 94</t>
  </si>
  <si>
    <t>OPERADOR 95</t>
  </si>
  <si>
    <t>OPERADOR 96</t>
  </si>
  <si>
    <t>OPERADOR 97</t>
  </si>
  <si>
    <t>OPERADOR 98</t>
  </si>
  <si>
    <t>OPERADOR 99</t>
  </si>
  <si>
    <t>OPERADOR 100</t>
  </si>
  <si>
    <t>OPERADOR 101</t>
  </si>
  <si>
    <t>OPERADOR 102</t>
  </si>
  <si>
    <t>OPERADOR 103</t>
  </si>
  <si>
    <t>OPERADOR 104</t>
  </si>
  <si>
    <t>OPERADOR 105</t>
  </si>
  <si>
    <t>OPERADOR 106</t>
  </si>
  <si>
    <t>OPERADOR 107</t>
  </si>
  <si>
    <t>OPERADOR 108</t>
  </si>
  <si>
    <t>OPERADOR 109</t>
  </si>
  <si>
    <t>OPERADOR 110</t>
  </si>
  <si>
    <t>OPERADOR 111</t>
  </si>
  <si>
    <t>OPERADOR 112</t>
  </si>
  <si>
    <t>OPERADOR 113</t>
  </si>
  <si>
    <t>OPERADOR 114</t>
  </si>
  <si>
    <t>OPERADOR 115</t>
  </si>
  <si>
    <t>OPERADOR 116</t>
  </si>
  <si>
    <t>OPERADOR 117</t>
  </si>
  <si>
    <t>OPERADOR 118</t>
  </si>
  <si>
    <t>OPERADOR 119</t>
  </si>
  <si>
    <t>OPERADOR 120</t>
  </si>
  <si>
    <t>OPERADOR 121</t>
  </si>
  <si>
    <t>OPERADOR 122</t>
  </si>
  <si>
    <t>OPERADOR 123</t>
  </si>
  <si>
    <t>OPERADOR 124</t>
  </si>
  <si>
    <t>OPERADOR 125</t>
  </si>
  <si>
    <t>OPERADOR 126</t>
  </si>
  <si>
    <t>OPERADOR 127</t>
  </si>
  <si>
    <t>OPERADOR 128</t>
  </si>
  <si>
    <t>OPERADOR 129</t>
  </si>
  <si>
    <t>OPERADOR 130</t>
  </si>
  <si>
    <t>OPERADOR 131</t>
  </si>
  <si>
    <t>OPERADOR 132</t>
  </si>
  <si>
    <t>OPERADOR 133</t>
  </si>
  <si>
    <t>OPERADOR 134</t>
  </si>
  <si>
    <t>OPERADOR 135</t>
  </si>
  <si>
    <t>OPERADOR 136</t>
  </si>
  <si>
    <t>OPERADOR 137</t>
  </si>
  <si>
    <t>OPERADOR 138</t>
  </si>
  <si>
    <t>OPERADOR 139</t>
  </si>
  <si>
    <t>OPERADOR 140</t>
  </si>
  <si>
    <t>OPERADOR 141</t>
  </si>
  <si>
    <t>OPERADOR 142</t>
  </si>
  <si>
    <t>OPERADOR 143</t>
  </si>
  <si>
    <t>OPERADOR 144</t>
  </si>
  <si>
    <t>OPERADOR 145</t>
  </si>
  <si>
    <t>OPERADOR 146</t>
  </si>
  <si>
    <t>OPERADOR 147</t>
  </si>
  <si>
    <t>OPERADOR 148</t>
  </si>
  <si>
    <t>OPERADOR 149</t>
  </si>
  <si>
    <t>OPERADOR 150</t>
  </si>
  <si>
    <t>OPERADOR 151</t>
  </si>
  <si>
    <t>OPERADOR 152</t>
  </si>
  <si>
    <t>OPERADOR 153</t>
  </si>
  <si>
    <t>OPERADOR 154</t>
  </si>
  <si>
    <t>OPERADOR 155</t>
  </si>
  <si>
    <t>OPERADOR 156</t>
  </si>
  <si>
    <t>OPERADOR 157</t>
  </si>
  <si>
    <t>OPERADOR 158</t>
  </si>
  <si>
    <t>OPERADOR 159</t>
  </si>
  <si>
    <t>OPERADOR 160</t>
  </si>
  <si>
    <t>OPERADOR 161</t>
  </si>
  <si>
    <t>OPERADOR 162</t>
  </si>
  <si>
    <t>OPERADOR 163</t>
  </si>
  <si>
    <t>OPERADOR 164</t>
  </si>
  <si>
    <t>OPERADOR 165</t>
  </si>
  <si>
    <t>OPERADOR 166</t>
  </si>
  <si>
    <t>OPERADOR 167</t>
  </si>
  <si>
    <t>OPERADOR 168</t>
  </si>
  <si>
    <t>OPERADOR 169</t>
  </si>
  <si>
    <t>OPERADOR 170</t>
  </si>
  <si>
    <t>OPERADOR 171</t>
  </si>
  <si>
    <t>OPERADOR 172</t>
  </si>
  <si>
    <t>OPERADOR 173</t>
  </si>
  <si>
    <t>OPERADOR 174</t>
  </si>
  <si>
    <t>OPERADOR 175</t>
  </si>
  <si>
    <t>OPERADOR 176</t>
  </si>
  <si>
    <t>OPERADOR 177</t>
  </si>
  <si>
    <t>OPERADOR 178</t>
  </si>
  <si>
    <t>OPERADOR 179</t>
  </si>
  <si>
    <t>OPERADOR 180</t>
  </si>
  <si>
    <t>OPERADOR 181</t>
  </si>
  <si>
    <t>OPERADOR 182</t>
  </si>
  <si>
    <t>OPERADOR 183</t>
  </si>
  <si>
    <t>OPERADOR 184</t>
  </si>
  <si>
    <t>OPERADOR 185</t>
  </si>
  <si>
    <t>OPERADOR 186</t>
  </si>
  <si>
    <t>OPERADOR 187</t>
  </si>
  <si>
    <t>OPERADOR 188</t>
  </si>
  <si>
    <t>OPERADOR 189</t>
  </si>
  <si>
    <t>OPERADOR 190</t>
  </si>
  <si>
    <t>OPERADOR 191</t>
  </si>
  <si>
    <t>OPERADOR 192</t>
  </si>
  <si>
    <t>OPERADOR 193</t>
  </si>
  <si>
    <t>OPERADOR 194</t>
  </si>
  <si>
    <t>OPERADOR 195</t>
  </si>
  <si>
    <t>OPERADOR 196</t>
  </si>
  <si>
    <t>OPERADOR 197</t>
  </si>
  <si>
    <t>OPERADOR 198</t>
  </si>
  <si>
    <t>OPERADOR 199</t>
  </si>
  <si>
    <t>OPERADOR 200</t>
  </si>
  <si>
    <t>OPERADOR 201</t>
  </si>
  <si>
    <t>OPERADOR 202</t>
  </si>
  <si>
    <t>OPERADOR 203</t>
  </si>
  <si>
    <t>OPERADOR 204</t>
  </si>
  <si>
    <t>OPERADOR 205</t>
  </si>
  <si>
    <t>OPERADOR 206</t>
  </si>
  <si>
    <t>OPERADOR 207</t>
  </si>
  <si>
    <t>OPERADOR 208</t>
  </si>
  <si>
    <t>OPERADOR 209</t>
  </si>
  <si>
    <t>OPERADOR 210</t>
  </si>
  <si>
    <t>OPERADOR 211</t>
  </si>
  <si>
    <t>OPERADOR 212</t>
  </si>
  <si>
    <t>OPERADOR 213</t>
  </si>
  <si>
    <t>OPERADOR 214</t>
  </si>
  <si>
    <t>OPERADOR 215</t>
  </si>
  <si>
    <t>OPERADOR 216</t>
  </si>
  <si>
    <t>OPERADOR 217</t>
  </si>
  <si>
    <t>OPERADOR 218</t>
  </si>
  <si>
    <t>OPERADOR 219</t>
  </si>
  <si>
    <t>OPERADOR 220</t>
  </si>
  <si>
    <t>OPERADOR 221</t>
  </si>
  <si>
    <t>OPERADOR 222</t>
  </si>
  <si>
    <t>OPERADOR 223</t>
  </si>
  <si>
    <t>OPERADOR 224</t>
  </si>
  <si>
    <t>OPERADOR 225</t>
  </si>
  <si>
    <t>OPERADOR 226</t>
  </si>
  <si>
    <t>OPERADOR 227</t>
  </si>
  <si>
    <t>OPERADOR 228</t>
  </si>
  <si>
    <t>OPERADOR 229</t>
  </si>
  <si>
    <t>OPERADOR 230</t>
  </si>
  <si>
    <t>OPERADOR 231</t>
  </si>
  <si>
    <t>OPERADOR 232</t>
  </si>
  <si>
    <t>OPERADOR 233</t>
  </si>
  <si>
    <t>OPERADOR 234</t>
  </si>
  <si>
    <t>OPERADOR 235</t>
  </si>
  <si>
    <t>OPERADOR 236</t>
  </si>
  <si>
    <t>OPERADOR 237</t>
  </si>
  <si>
    <t>OPERADOR 238</t>
  </si>
  <si>
    <t>OPERADOR 239</t>
  </si>
  <si>
    <t>OPERADOR 240</t>
  </si>
  <si>
    <t>OPERADOR 241</t>
  </si>
  <si>
    <t>OPERADOR 242</t>
  </si>
  <si>
    <t>OPERADOR 243</t>
  </si>
  <si>
    <t>OPERADOR 244</t>
  </si>
  <si>
    <t>OPERADOR 245</t>
  </si>
  <si>
    <t>OPERADOR 246</t>
  </si>
  <si>
    <t>OPERADOR 247</t>
  </si>
  <si>
    <t>OPERADOR 248</t>
  </si>
  <si>
    <t>OPERADOR 249</t>
  </si>
  <si>
    <t>OPERADOR 250</t>
  </si>
  <si>
    <t>OPERADOR 251</t>
  </si>
  <si>
    <t>OPERADOR 252</t>
  </si>
  <si>
    <t>OPERADOR 253</t>
  </si>
  <si>
    <t>OPERADOR 254</t>
  </si>
  <si>
    <t>OPERADOR 255</t>
  </si>
  <si>
    <t>OPERADOR 256</t>
  </si>
  <si>
    <t>OPERADOR 257</t>
  </si>
  <si>
    <t>OPERADOR 258</t>
  </si>
  <si>
    <t>OPERADOR 259</t>
  </si>
  <si>
    <t>OPERADOR 260</t>
  </si>
  <si>
    <t>OPERADOR 261</t>
  </si>
  <si>
    <t>OPERADOR 262</t>
  </si>
  <si>
    <t>OPERADOR 263</t>
  </si>
  <si>
    <t>OPERADOR 264</t>
  </si>
  <si>
    <t>OPERADOR 265</t>
  </si>
  <si>
    <t>OPERADOR 266</t>
  </si>
  <si>
    <t>OPERADOR 267</t>
  </si>
  <si>
    <t>OPERADOR 268</t>
  </si>
  <si>
    <t>OPERADOR 269</t>
  </si>
  <si>
    <t>OPERADOR 270</t>
  </si>
  <si>
    <t>OPERADOR 271</t>
  </si>
  <si>
    <t>OPERADOR 272</t>
  </si>
  <si>
    <t>OPERADOR 273</t>
  </si>
  <si>
    <t>OPERADOR 274</t>
  </si>
  <si>
    <t>OPERADOR 275</t>
  </si>
  <si>
    <t>OPERADOR 276</t>
  </si>
  <si>
    <t>OPERADOR 277</t>
  </si>
  <si>
    <t>OPERADOR 278</t>
  </si>
  <si>
    <t>OPERADOR 279</t>
  </si>
  <si>
    <t>OPERADOR 280</t>
  </si>
  <si>
    <t>OPERADOR 281</t>
  </si>
  <si>
    <t>OPERADOR 282</t>
  </si>
  <si>
    <t>OPERADOR 283</t>
  </si>
  <si>
    <t>OPERADOR 284</t>
  </si>
  <si>
    <t>OPERADOR 285</t>
  </si>
  <si>
    <t>OPERADOR 286</t>
  </si>
  <si>
    <t>OPERADOR 287</t>
  </si>
  <si>
    <t>OPERADOR 288</t>
  </si>
  <si>
    <t>OPERADOR 289</t>
  </si>
  <si>
    <t>OPERADOR 290</t>
  </si>
  <si>
    <t>OPERADOR 291</t>
  </si>
  <si>
    <t>OPERADOR 292</t>
  </si>
  <si>
    <t>OPERADOR 293</t>
  </si>
  <si>
    <t>OPERADOR 294</t>
  </si>
  <si>
    <t>OPERADOR 295</t>
  </si>
  <si>
    <t>OPERADOR 296</t>
  </si>
  <si>
    <t>OPERADOR 297</t>
  </si>
  <si>
    <t>OPERADOR 298</t>
  </si>
  <si>
    <t>OPERADOR 299</t>
  </si>
  <si>
    <t>OPERADOR 300</t>
  </si>
  <si>
    <t>OPERADOR 301</t>
  </si>
  <si>
    <t>OPERADOR 302</t>
  </si>
  <si>
    <t>OPERADOR 303</t>
  </si>
  <si>
    <t>OPERADOR 304</t>
  </si>
  <si>
    <t>OPERADOR 305</t>
  </si>
  <si>
    <t>OPERADOR 306</t>
  </si>
  <si>
    <t>OPERADOR 307</t>
  </si>
  <si>
    <t>OPERADOR 308</t>
  </si>
  <si>
    <t>OPERADOR 309</t>
  </si>
  <si>
    <t>OPERADOR 310</t>
  </si>
  <si>
    <t>OPERADOR 311</t>
  </si>
  <si>
    <t>OPERADOR 312</t>
  </si>
  <si>
    <t>OPERADOR 313</t>
  </si>
  <si>
    <t>OPERADOR 314</t>
  </si>
  <si>
    <t>OPERADOR 315</t>
  </si>
  <si>
    <t>OPERADOR 316</t>
  </si>
  <si>
    <t>OPERADOR 317</t>
  </si>
  <si>
    <t>OPERADOR 318</t>
  </si>
  <si>
    <t>OPERADOR 319</t>
  </si>
  <si>
    <t>OPERADOR 320</t>
  </si>
  <si>
    <t>OPERADOR 321</t>
  </si>
  <si>
    <t>OPERADOR 322</t>
  </si>
  <si>
    <t>OPERADOR 323</t>
  </si>
  <si>
    <t>OPERADOR 324</t>
  </si>
  <si>
    <t>OPERADOR 325</t>
  </si>
  <si>
    <t>OPERADOR 326</t>
  </si>
  <si>
    <t>OPERADOR 327</t>
  </si>
  <si>
    <t>OPERADOR 328</t>
  </si>
  <si>
    <t>OPERADOR 329</t>
  </si>
  <si>
    <t>OPERADOR 330</t>
  </si>
  <si>
    <t>OPERADOR 331</t>
  </si>
  <si>
    <t>OPERADOR 332</t>
  </si>
  <si>
    <t>OPERADOR 333</t>
  </si>
  <si>
    <t>OPERADOR 334</t>
  </si>
  <si>
    <t>OPERADOR 335</t>
  </si>
  <si>
    <t>OPERADOR 336</t>
  </si>
  <si>
    <t>OPERADOR 337</t>
  </si>
  <si>
    <t>OPERADOR 338</t>
  </si>
  <si>
    <t>OPERADOR 339</t>
  </si>
  <si>
    <t>OPERADOR 340</t>
  </si>
  <si>
    <t>OPERADOR 341</t>
  </si>
  <si>
    <t>OPERADOR 342</t>
  </si>
  <si>
    <t>OPERADOR 343</t>
  </si>
  <si>
    <t>OPERADOR 344</t>
  </si>
  <si>
    <t>OPERADOR 345</t>
  </si>
  <si>
    <t>OPERADOR 346</t>
  </si>
  <si>
    <t>OPERADOR 347</t>
  </si>
  <si>
    <t>OPERADOR 348</t>
  </si>
  <si>
    <t>OPERADOR 349</t>
  </si>
  <si>
    <t>OPERADOR 350</t>
  </si>
  <si>
    <t>OPERADOR 351</t>
  </si>
  <si>
    <t>OPERADOR 352</t>
  </si>
  <si>
    <t>OPERADOR 353</t>
  </si>
  <si>
    <t>OPERADOR 354</t>
  </si>
  <si>
    <t>OPERADOR 355</t>
  </si>
  <si>
    <t>OPERADOR 356</t>
  </si>
  <si>
    <t>OPERADOR 357</t>
  </si>
  <si>
    <t>OPERADOR 358</t>
  </si>
  <si>
    <t>OPERADOR 359</t>
  </si>
  <si>
    <t>OPERADOR 360</t>
  </si>
  <si>
    <t>OPERADOR 361</t>
  </si>
  <si>
    <t>OPERADOR 362</t>
  </si>
  <si>
    <t>OPERADOR 363</t>
  </si>
  <si>
    <t>OPERADOR 364</t>
  </si>
  <si>
    <t>OPERADOR 365</t>
  </si>
  <si>
    <t>OPERADOR 366</t>
  </si>
  <si>
    <t>OPERADOR 367</t>
  </si>
  <si>
    <t>OPERADOR 368</t>
  </si>
  <si>
    <t>OPERADOR 369</t>
  </si>
  <si>
    <t>OPERADOR 370</t>
  </si>
  <si>
    <t>OPERADOR 371</t>
  </si>
  <si>
    <t>OPERADOR 372</t>
  </si>
  <si>
    <t>OPERADOR 373</t>
  </si>
  <si>
    <t>OPERADOR 374</t>
  </si>
  <si>
    <t>OPERADOR 375</t>
  </si>
  <si>
    <t>OPERADOR 376</t>
  </si>
  <si>
    <t>OPERADOR 377</t>
  </si>
  <si>
    <t>OPERADOR 378</t>
  </si>
  <si>
    <t>OPERADOR 379</t>
  </si>
  <si>
    <t>OPERADOR 380</t>
  </si>
  <si>
    <t>OPERADOR 381</t>
  </si>
  <si>
    <t>OPERADOR 382</t>
  </si>
  <si>
    <t>OPERADOR 383</t>
  </si>
  <si>
    <t>OPERADOR 384</t>
  </si>
  <si>
    <t>OPERADOR 385</t>
  </si>
  <si>
    <t>OPERADOR 386</t>
  </si>
  <si>
    <t>OPERADOR 387</t>
  </si>
  <si>
    <t>OPERADOR 388</t>
  </si>
  <si>
    <t>OPERADOR 389</t>
  </si>
  <si>
    <t>OPERADOR 390</t>
  </si>
  <si>
    <t>OPERADOR 391</t>
  </si>
  <si>
    <t>OPERADOR 392</t>
  </si>
  <si>
    <t>OPERADOR 393</t>
  </si>
  <si>
    <t>OPERADOR 394</t>
  </si>
  <si>
    <t>OPERADOR 395</t>
  </si>
  <si>
    <t>OPERADOR 396</t>
  </si>
  <si>
    <t>OPERADOR 397</t>
  </si>
  <si>
    <t>OPERADOR 398</t>
  </si>
  <si>
    <t>OPERADOR 399</t>
  </si>
  <si>
    <t>OPERADOR 400</t>
  </si>
  <si>
    <t>OPERADOR 401</t>
  </si>
  <si>
    <t>OPERADOR 402</t>
  </si>
  <si>
    <t>OPERADOR 403</t>
  </si>
  <si>
    <t>OPERADOR 404</t>
  </si>
  <si>
    <t>OPERADOR 405</t>
  </si>
  <si>
    <t>OPERADOR 406</t>
  </si>
  <si>
    <t>OPERADOR 407</t>
  </si>
  <si>
    <t>OPERADOR 408</t>
  </si>
  <si>
    <t>OPERADOR 409</t>
  </si>
  <si>
    <t>OPERADOR 410</t>
  </si>
  <si>
    <t>OPERADOR 411</t>
  </si>
  <si>
    <t>OPERADOR 412</t>
  </si>
  <si>
    <t>OPERADOR 413</t>
  </si>
  <si>
    <t>OPERADOR 414</t>
  </si>
  <si>
    <t>OPERADOR 415</t>
  </si>
  <si>
    <t>OPERADOR 416</t>
  </si>
  <si>
    <t>OPERADOR 417</t>
  </si>
  <si>
    <t>OPERADOR 418</t>
  </si>
  <si>
    <t>OPERADOR 419</t>
  </si>
  <si>
    <t>OPERADOR 420</t>
  </si>
  <si>
    <t>OPERADOR 421</t>
  </si>
  <si>
    <t>OPERADOR 422</t>
  </si>
  <si>
    <t>OPERADOR 423</t>
  </si>
  <si>
    <t>OPERADOR 424</t>
  </si>
  <si>
    <t>OPERADOR 425</t>
  </si>
  <si>
    <t>OPERADOR 426</t>
  </si>
  <si>
    <t>OPERADOR 427</t>
  </si>
  <si>
    <t>OPERADOR 428</t>
  </si>
  <si>
    <t>OPERADOR 429</t>
  </si>
  <si>
    <t>OPERADOR 430</t>
  </si>
  <si>
    <t>OPERADOR 431</t>
  </si>
  <si>
    <t>OPERADOR 432</t>
  </si>
  <si>
    <t>OPERADOR 433</t>
  </si>
  <si>
    <t>OPERADOR 434</t>
  </si>
  <si>
    <t>OPERADOR 435</t>
  </si>
  <si>
    <t>OPERADOR 436</t>
  </si>
  <si>
    <t>OPERADOR 437</t>
  </si>
  <si>
    <t>OPERADOR 438</t>
  </si>
  <si>
    <t>OPERADOR 439</t>
  </si>
  <si>
    <t>OPERADOR 440</t>
  </si>
  <si>
    <t>OPERADOR 441</t>
  </si>
  <si>
    <t>OPERADOR 442</t>
  </si>
  <si>
    <t>OPERADOR 443</t>
  </si>
  <si>
    <t>OPERADOR 444</t>
  </si>
  <si>
    <t>OPERADOR 445</t>
  </si>
  <si>
    <t>OPERADOR 446</t>
  </si>
  <si>
    <t>OPERADOR 447</t>
  </si>
  <si>
    <t>OPERADOR 448</t>
  </si>
  <si>
    <t>OPERADOR 449</t>
  </si>
  <si>
    <t>OPERADOR 450</t>
  </si>
  <si>
    <t>OPERADOR 451</t>
  </si>
  <si>
    <t>OPERADOR 452</t>
  </si>
  <si>
    <t>OPERADOR 453</t>
  </si>
  <si>
    <t>OPERADOR 454</t>
  </si>
  <si>
    <t>OPERADOR 455</t>
  </si>
  <si>
    <t>OPERADOR 456</t>
  </si>
  <si>
    <t>OPERADOR 457</t>
  </si>
  <si>
    <t>OPERADOR 458</t>
  </si>
  <si>
    <t>OPERADOR 459</t>
  </si>
  <si>
    <t>OPERADOR 460</t>
  </si>
  <si>
    <t>OPERADOR 461</t>
  </si>
  <si>
    <t>OPERADOR 462</t>
  </si>
  <si>
    <t>OPERADOR 463</t>
  </si>
  <si>
    <t>OPERADOR 464</t>
  </si>
  <si>
    <t>OPERADOR 465</t>
  </si>
  <si>
    <t>OPERADOR 466</t>
  </si>
  <si>
    <t>OPERADOR 467</t>
  </si>
  <si>
    <t>OPERADOR 468</t>
  </si>
  <si>
    <t>OPERADOR 469</t>
  </si>
  <si>
    <t>OPERADOR 470</t>
  </si>
  <si>
    <t>OPERADOR 471</t>
  </si>
  <si>
    <t>OPERADOR 472</t>
  </si>
  <si>
    <t>OPERADOR 473</t>
  </si>
  <si>
    <t>OPERADOR 474</t>
  </si>
  <si>
    <t>OPERADOR 475</t>
  </si>
  <si>
    <t>OPERADOR 476</t>
  </si>
  <si>
    <t>OPERADOR 477</t>
  </si>
  <si>
    <t>OPERADOR 478</t>
  </si>
  <si>
    <t>OPERADOR 479</t>
  </si>
  <si>
    <t>OPERADOR 480</t>
  </si>
  <si>
    <t>OPERADOR 481</t>
  </si>
  <si>
    <t>OPERADOR 482</t>
  </si>
  <si>
    <t>OPERADOR 483</t>
  </si>
  <si>
    <t>OPERADOR 484</t>
  </si>
  <si>
    <t>OPERADOR 485</t>
  </si>
  <si>
    <t>OPERADOR 486</t>
  </si>
  <si>
    <t>OPERADOR 487</t>
  </si>
  <si>
    <t>OPERADOR 488</t>
  </si>
  <si>
    <t>OPERADOR 489</t>
  </si>
  <si>
    <t>OPERADOR 490</t>
  </si>
  <si>
    <t>OPERADOR 491</t>
  </si>
  <si>
    <t>OPERADOR 492</t>
  </si>
  <si>
    <t>OPERADOR 493</t>
  </si>
  <si>
    <t>OPERADOR 494</t>
  </si>
  <si>
    <t>OPERADOR 495</t>
  </si>
  <si>
    <t>OPERADOR 496</t>
  </si>
  <si>
    <t>OPERADOR 497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</si>
</sst>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%"/>
    <numFmt numFmtId="166" formatCode="#,##0.000_);[Red]\(#,##0.000\)"/>
    <numFmt numFmtId="167" formatCode="#,##0.0000_);[Red]\(#,##0.0000\)"/>
    <numFmt numFmtId="168" formatCode="#,##0.00000_);[Red]\(#,##0.00000\)"/>
    <numFmt numFmtId="169" formatCode="#,##0.000000_);[Red]\(#,##0.000000\)"/>
    <numFmt numFmtId="170" formatCode="#,##0.000000000_);[Red]\(#,##0.000000000\)"/>
    <numFmt numFmtId="171" formatCode="0.0"/>
    <numFmt numFmtId="172" formatCode="h:mm;@"/>
    <numFmt numFmtId="173" formatCode="d/m\-ddd"/>
    <numFmt numFmtId="174" formatCode="0.000%"/>
    <numFmt numFmtId="175" formatCode="[$-F400]h:mm:ss\ AM/PM"/>
    <numFmt numFmtId="176" formatCode="[h]:mm:ss;@"/>
    <numFmt numFmtId="177" formatCode="_-* #,##0_-;\-* #,##0_-;_-* &quot;-&quot;??_-;_-@_-"/>
    <numFmt numFmtId="178" formatCode="_-* #,##0_-;\-* #,##0_-;_-* &quot;-&quot;?_-;_-@_-"/>
  </numFmts>
  <fonts count="86">
    <font>
      <sz val="10"/>
      <name val="Bookman Old Style"/>
    </font>
    <font>
      <sz val="10"/>
      <name val="Bookman Old Style"/>
      <family val="1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9"/>
      <color indexed="10"/>
      <name val="Geneva"/>
    </font>
    <font>
      <sz val="8"/>
      <color indexed="10"/>
      <name val="Arial Narrow"/>
      <family val="2"/>
    </font>
    <font>
      <sz val="8"/>
      <name val="Arial Narrow"/>
      <family val="2"/>
    </font>
    <font>
      <sz val="10"/>
      <name val="MS Sans Serif"/>
      <family val="2"/>
    </font>
    <font>
      <b/>
      <sz val="8"/>
      <name val="Arial Narrow"/>
      <family val="2"/>
    </font>
    <font>
      <sz val="8"/>
      <color indexed="10"/>
      <name val="Arial Narrow"/>
      <family val="2"/>
    </font>
    <font>
      <sz val="8"/>
      <color indexed="8"/>
      <name val="Arial Narrow"/>
      <family val="2"/>
    </font>
    <font>
      <sz val="8"/>
      <color indexed="32"/>
      <name val="Arial Narrow"/>
      <family val="2"/>
    </font>
    <font>
      <b/>
      <sz val="8"/>
      <color indexed="10"/>
      <name val="Arial Narrow"/>
      <family val="2"/>
    </font>
    <font>
      <b/>
      <sz val="8"/>
      <name val="Arial Narrow"/>
      <family val="2"/>
    </font>
    <font>
      <b/>
      <sz val="8"/>
      <color indexed="8"/>
      <name val="Arial Narrow"/>
      <family val="2"/>
    </font>
    <font>
      <sz val="8"/>
      <name val="Courier New"/>
      <family val="3"/>
    </font>
    <font>
      <sz val="8"/>
      <name val="Arial Narrow"/>
      <family val="2"/>
    </font>
    <font>
      <sz val="8"/>
      <color indexed="12"/>
      <name val="Arial Narrow"/>
      <family val="2"/>
    </font>
    <font>
      <sz val="10"/>
      <name val="Bookman Old Style"/>
      <family val="1"/>
    </font>
    <font>
      <sz val="10"/>
      <name val="Bookman Old Style"/>
      <family val="1"/>
    </font>
    <font>
      <sz val="10"/>
      <name val="Bookman Old Style"/>
      <family val="1"/>
    </font>
    <font>
      <sz val="11"/>
      <color theme="1"/>
      <name val="Calibri"/>
      <family val="2"/>
      <scheme val="minor"/>
    </font>
    <font>
      <sz val="9"/>
      <name val="Bookman Old Style"/>
      <family val="1"/>
    </font>
    <font>
      <b/>
      <sz val="9"/>
      <name val="Bookman Old Style"/>
      <family val="1"/>
    </font>
    <font>
      <b/>
      <sz val="9"/>
      <color rgb="FFFF0000"/>
      <name val="Bookman Old Style"/>
      <family val="1"/>
    </font>
    <font>
      <b/>
      <sz val="10"/>
      <name val="Bookman Old Style"/>
      <family val="1"/>
    </font>
    <font>
      <b/>
      <sz val="8"/>
      <color theme="0"/>
      <name val="Bookman Old Style"/>
      <family val="1"/>
    </font>
    <font>
      <sz val="10"/>
      <color rgb="FFFF0000"/>
      <name val="Bookman Old Style"/>
      <family val="1"/>
    </font>
    <font>
      <b/>
      <sz val="10"/>
      <color rgb="FFFF0000"/>
      <name val="Bookman Old Style"/>
      <family val="1"/>
    </font>
    <font>
      <b/>
      <sz val="9"/>
      <color rgb="FF0070C0"/>
      <name val="Bookman Old Style"/>
      <family val="1"/>
    </font>
    <font>
      <b/>
      <sz val="9"/>
      <color rgb="FF00B050"/>
      <name val="Bookman Old Style"/>
      <family val="1"/>
    </font>
    <font>
      <b/>
      <sz val="9"/>
      <color rgb="FFFFC000"/>
      <name val="Bookman Old Style"/>
      <family val="1"/>
    </font>
    <font>
      <sz val="10"/>
      <color rgb="FF0070C0"/>
      <name val="Bookman Old Style"/>
      <family val="1"/>
    </font>
    <font>
      <b/>
      <sz val="10"/>
      <color rgb="FF0070C0"/>
      <name val="Bookman Old Style"/>
      <family val="1"/>
    </font>
    <font>
      <b/>
      <sz val="8"/>
      <name val="Bookman Old Style"/>
      <family val="1"/>
    </font>
    <font>
      <b/>
      <sz val="10"/>
      <color theme="3" tint="0.39997558519241921"/>
      <name val="Bookman Old Style"/>
      <family val="1"/>
    </font>
    <font>
      <b/>
      <sz val="9"/>
      <color rgb="FF002060"/>
      <name val="Bookman Old Style"/>
      <family val="1"/>
    </font>
    <font>
      <b/>
      <sz val="10"/>
      <color theme="0"/>
      <name val="Bookman Old Style"/>
      <family val="1"/>
    </font>
    <font>
      <sz val="10"/>
      <color theme="1" tint="0.499984740745262"/>
      <name val="Bookman Old Style"/>
      <family val="1"/>
    </font>
    <font>
      <b/>
      <sz val="10"/>
      <color rgb="FF000000"/>
      <name val="Bookman Old Style"/>
      <family val="1"/>
    </font>
    <font>
      <sz val="10"/>
      <color rgb="FF000000"/>
      <name val="Bookman Old Style"/>
      <family val="1"/>
    </font>
    <font>
      <b/>
      <sz val="10"/>
      <color rgb="FFFFC000"/>
      <name val="Bookman Old Style"/>
      <family val="1"/>
    </font>
    <font>
      <b/>
      <sz val="10"/>
      <color rgb="FF00B050"/>
      <name val="Bookman Old Style"/>
      <family val="1"/>
    </font>
    <font>
      <b/>
      <sz val="9"/>
      <color theme="0"/>
      <name val="Bookman Old Style"/>
      <family val="1"/>
    </font>
    <font>
      <b/>
      <sz val="11"/>
      <name val="Bookman Old Style"/>
      <family val="1"/>
    </font>
    <font>
      <sz val="11"/>
      <name val="Bookman Old Style"/>
      <family val="1"/>
    </font>
    <font>
      <sz val="10"/>
      <color theme="0"/>
      <name val="Bookman Old Style"/>
      <family val="1"/>
    </font>
    <font>
      <b/>
      <sz val="8"/>
      <color rgb="FFFF0000"/>
      <name val="Bookman Old Style"/>
      <family val="1"/>
    </font>
    <font>
      <b/>
      <sz val="9"/>
      <color rgb="FF000000"/>
      <name val="Bookman Old Style"/>
      <family val="1"/>
    </font>
    <font>
      <b/>
      <sz val="11"/>
      <color theme="0"/>
      <name val="Bookman Old Style"/>
      <family val="1"/>
    </font>
    <font>
      <b/>
      <sz val="10"/>
      <color rgb="FF000080"/>
      <name val="Bookman Old Style"/>
      <family val="1"/>
    </font>
    <font>
      <sz val="11"/>
      <color rgb="FF002060"/>
      <name val="Bell MT"/>
      <family val="1"/>
    </font>
    <font>
      <b/>
      <sz val="10"/>
      <color theme="3"/>
      <name val="Bookman Old Style"/>
      <family val="1"/>
    </font>
    <font>
      <sz val="10"/>
      <color theme="3"/>
      <name val="Bookman Old Style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000000"/>
      <name val="Segoe UI"/>
      <family val="2"/>
    </font>
    <font>
      <sz val="10"/>
      <color rgb="FF0072C6"/>
      <name val="Segoe UI"/>
      <family val="2"/>
    </font>
    <font>
      <sz val="10"/>
      <name val="Times New Roman"/>
      <family val="1"/>
    </font>
    <font>
      <sz val="10"/>
      <color theme="2"/>
      <name val="Bookman Old Style"/>
      <family val="1"/>
    </font>
    <font>
      <sz val="9"/>
      <color rgb="FFFF0000"/>
      <name val="Bookman Old Style"/>
      <family val="1"/>
    </font>
    <font>
      <sz val="10"/>
      <name val="Bookman Old Style"/>
      <family val="1"/>
    </font>
    <font>
      <sz val="10"/>
      <name val="Trebuchet MS"/>
      <family val="2"/>
    </font>
    <font>
      <sz val="8"/>
      <name val="Trebuchet MS"/>
      <family val="2"/>
    </font>
    <font>
      <sz val="8"/>
      <color rgb="FFFF7900"/>
      <name val="Trebuchet MS"/>
      <family val="2"/>
    </font>
    <font>
      <b/>
      <sz val="8"/>
      <color rgb="FFFF7900"/>
      <name val="Trebuchet MS"/>
      <family val="2"/>
    </font>
    <font>
      <sz val="8"/>
      <color theme="0" tint="-0.499984740745262"/>
      <name val="Trebuchet MS"/>
      <family val="2"/>
    </font>
    <font>
      <sz val="8"/>
      <name val="Bookman Old Style"/>
      <family val="1"/>
    </font>
    <font>
      <sz val="10"/>
      <name val="Bookman Old Style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2"/>
        <bgColor indexed="64"/>
      </patternFill>
    </fill>
  </fills>
  <borders count="1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10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theme="3" tint="0.79998168889431442"/>
      </left>
      <right style="hair">
        <color theme="3" tint="0.79998168889431442"/>
      </right>
      <top style="hair">
        <color theme="3" tint="0.79998168889431442"/>
      </top>
      <bottom style="hair">
        <color theme="3" tint="0.79998168889431442"/>
      </bottom>
      <diagonal/>
    </border>
    <border>
      <left style="thin">
        <color theme="3" tint="0.79998168889431442"/>
      </left>
      <right style="hair">
        <color theme="3" tint="0.79998168889431442"/>
      </right>
      <top style="thin">
        <color theme="3" tint="0.79998168889431442"/>
      </top>
      <bottom style="hair">
        <color theme="3" tint="0.79998168889431442"/>
      </bottom>
      <diagonal/>
    </border>
    <border>
      <left style="hair">
        <color theme="3" tint="0.79998168889431442"/>
      </left>
      <right style="hair">
        <color theme="3" tint="0.79998168889431442"/>
      </right>
      <top style="thin">
        <color theme="3" tint="0.79998168889431442"/>
      </top>
      <bottom style="hair">
        <color theme="3" tint="0.79998168889431442"/>
      </bottom>
      <diagonal/>
    </border>
    <border>
      <left style="thin">
        <color theme="3" tint="0.79998168889431442"/>
      </left>
      <right style="hair">
        <color theme="3" tint="0.79998168889431442"/>
      </right>
      <top style="hair">
        <color theme="3" tint="0.79998168889431442"/>
      </top>
      <bottom style="hair">
        <color theme="3" tint="0.79998168889431442"/>
      </bottom>
      <diagonal/>
    </border>
    <border>
      <left style="thin">
        <color theme="3" tint="0.79998168889431442"/>
      </left>
      <right style="hair">
        <color theme="3" tint="0.79998168889431442"/>
      </right>
      <top style="hair">
        <color theme="3" tint="0.79998168889431442"/>
      </top>
      <bottom style="thin">
        <color theme="3" tint="0.79998168889431442"/>
      </bottom>
      <diagonal/>
    </border>
    <border>
      <left style="hair">
        <color theme="3" tint="0.79998168889431442"/>
      </left>
      <right style="hair">
        <color theme="3" tint="0.79998168889431442"/>
      </right>
      <top style="hair">
        <color theme="3" tint="0.79998168889431442"/>
      </top>
      <bottom style="thin">
        <color theme="3" tint="0.79998168889431442"/>
      </bottom>
      <diagonal/>
    </border>
    <border>
      <left style="thin">
        <color theme="3" tint="0.59996337778862885"/>
      </left>
      <right style="hair">
        <color theme="3" tint="0.59996337778862885"/>
      </right>
      <top/>
      <bottom style="thin">
        <color theme="3" tint="0.59996337778862885"/>
      </bottom>
      <diagonal/>
    </border>
    <border>
      <left style="hair">
        <color theme="3" tint="0.59996337778862885"/>
      </left>
      <right style="hair">
        <color theme="3" tint="0.59996337778862885"/>
      </right>
      <top/>
      <bottom style="thin">
        <color theme="3" tint="0.59996337778862885"/>
      </bottom>
      <diagonal/>
    </border>
    <border>
      <left style="hair">
        <color theme="3" tint="0.59996337778862885"/>
      </left>
      <right style="thin">
        <color theme="3" tint="0.59996337778862885"/>
      </right>
      <top/>
      <bottom style="thin">
        <color theme="3" tint="0.59996337778862885"/>
      </bottom>
      <diagonal/>
    </border>
    <border>
      <left style="hair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hair">
        <color theme="3" tint="0.79998168889431442"/>
      </bottom>
      <diagonal/>
    </border>
    <border>
      <left style="hair">
        <color theme="3" tint="0.79998168889431442"/>
      </left>
      <right style="thin">
        <color theme="3" tint="0.79998168889431442"/>
      </right>
      <top style="hair">
        <color theme="3" tint="0.79998168889431442"/>
      </top>
      <bottom style="hair">
        <color theme="3" tint="0.79998168889431442"/>
      </bottom>
      <diagonal/>
    </border>
    <border>
      <left style="hair">
        <color theme="3" tint="0.79998168889431442"/>
      </left>
      <right style="thin">
        <color theme="3" tint="0.79998168889431442"/>
      </right>
      <top style="hair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hair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hair">
        <color theme="3" tint="0.79998168889431442"/>
      </left>
      <right style="hair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hair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hair">
        <color theme="3" tint="0.79998168889431442"/>
      </left>
      <right style="hair">
        <color theme="3" tint="0.79998168889431442"/>
      </right>
      <top/>
      <bottom/>
      <diagonal/>
    </border>
    <border>
      <left style="thin">
        <color theme="3" tint="0.79998168889431442"/>
      </left>
      <right style="hair">
        <color theme="3" tint="0.79998168889431442"/>
      </right>
      <top style="thin">
        <color theme="3" tint="0.79998168889431442"/>
      </top>
      <bottom/>
      <diagonal/>
    </border>
    <border>
      <left style="hair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5117038483843"/>
      </left>
      <right style="hair">
        <color theme="3" tint="0.79995117038483843"/>
      </right>
      <top style="thin">
        <color theme="3" tint="0.79995117038483843"/>
      </top>
      <bottom style="hair">
        <color theme="3" tint="0.79995117038483843"/>
      </bottom>
      <diagonal/>
    </border>
    <border>
      <left style="hair">
        <color theme="3" tint="0.79995117038483843"/>
      </left>
      <right style="hair">
        <color theme="3" tint="0.79995117038483843"/>
      </right>
      <top style="thin">
        <color theme="3" tint="0.79995117038483843"/>
      </top>
      <bottom style="hair">
        <color theme="3" tint="0.79995117038483843"/>
      </bottom>
      <diagonal/>
    </border>
    <border>
      <left style="hair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hair">
        <color theme="3" tint="0.79995117038483843"/>
      </bottom>
      <diagonal/>
    </border>
    <border>
      <left style="thin">
        <color theme="3" tint="0.79995117038483843"/>
      </left>
      <right style="hair">
        <color theme="3" tint="0.79995117038483843"/>
      </right>
      <top style="hair">
        <color theme="3" tint="0.79995117038483843"/>
      </top>
      <bottom style="hair">
        <color theme="3" tint="0.79995117038483843"/>
      </bottom>
      <diagonal/>
    </border>
    <border>
      <left style="hair">
        <color theme="3" tint="0.79995117038483843"/>
      </left>
      <right style="hair">
        <color theme="3" tint="0.79995117038483843"/>
      </right>
      <top style="hair">
        <color theme="3" tint="0.79995117038483843"/>
      </top>
      <bottom style="hair">
        <color theme="3" tint="0.79995117038483843"/>
      </bottom>
      <diagonal/>
    </border>
    <border>
      <left style="thin">
        <color theme="3" tint="0.79995117038483843"/>
      </left>
      <right style="hair">
        <color theme="3" tint="0.79995117038483843"/>
      </right>
      <top style="hair">
        <color theme="3" tint="0.79995117038483843"/>
      </top>
      <bottom style="thin">
        <color theme="3" tint="0.79995117038483843"/>
      </bottom>
      <diagonal/>
    </border>
    <border>
      <left style="hair">
        <color theme="3" tint="0.79995117038483843"/>
      </left>
      <right style="hair">
        <color theme="3" tint="0.79995117038483843"/>
      </right>
      <top style="hair">
        <color theme="3" tint="0.79995117038483843"/>
      </top>
      <bottom style="thin">
        <color theme="3" tint="0.79995117038483843"/>
      </bottom>
      <diagonal/>
    </border>
    <border>
      <left style="hair">
        <color theme="3" tint="0.79995117038483843"/>
      </left>
      <right style="thin">
        <color theme="3" tint="0.79995117038483843"/>
      </right>
      <top style="hair">
        <color theme="3" tint="0.79995117038483843"/>
      </top>
      <bottom style="thin">
        <color theme="3" tint="0.79995117038483843"/>
      </bottom>
      <diagonal/>
    </border>
    <border>
      <left style="hair">
        <color theme="3" tint="0.79995117038483843"/>
      </left>
      <right style="thin">
        <color theme="3" tint="0.79995117038483843"/>
      </right>
      <top style="hair">
        <color theme="3" tint="0.79995117038483843"/>
      </top>
      <bottom style="hair">
        <color theme="3" tint="0.79995117038483843"/>
      </bottom>
      <diagonal/>
    </border>
    <border>
      <left style="thin">
        <color theme="3" tint="0.79995117038483843"/>
      </left>
      <right style="hair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hair">
        <color theme="3" tint="0.79995117038483843"/>
      </left>
      <right style="hair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hair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hair">
        <color theme="3" tint="0.79995117038483843"/>
      </left>
      <right style="hair">
        <color theme="3" tint="0.79995117038483843"/>
      </right>
      <top style="thin">
        <color theme="3" tint="0.79995117038483843"/>
      </top>
      <bottom/>
      <diagonal/>
    </border>
    <border>
      <left style="hair">
        <color theme="3" tint="0.79995117038483843"/>
      </left>
      <right style="thin">
        <color theme="3" tint="0.79995117038483843"/>
      </right>
      <top style="thin">
        <color theme="3" tint="0.79995117038483843"/>
      </top>
      <bottom/>
      <diagonal/>
    </border>
    <border>
      <left style="thin">
        <color theme="3" tint="0.79992065187536243"/>
      </left>
      <right style="hair">
        <color theme="3" tint="0.79992065187536243"/>
      </right>
      <top style="thin">
        <color theme="3" tint="0.79992065187536243"/>
      </top>
      <bottom style="hair">
        <color theme="3" tint="0.79992065187536243"/>
      </bottom>
      <diagonal/>
    </border>
    <border>
      <left style="hair">
        <color theme="3" tint="0.79992065187536243"/>
      </left>
      <right style="hair">
        <color theme="3" tint="0.79992065187536243"/>
      </right>
      <top style="thin">
        <color theme="3" tint="0.79992065187536243"/>
      </top>
      <bottom style="hair">
        <color theme="3" tint="0.79992065187536243"/>
      </bottom>
      <diagonal/>
    </border>
    <border>
      <left style="hair">
        <color theme="3" tint="0.79992065187536243"/>
      </left>
      <right style="thin">
        <color theme="3" tint="0.79992065187536243"/>
      </right>
      <top style="thin">
        <color theme="3" tint="0.79992065187536243"/>
      </top>
      <bottom style="hair">
        <color theme="3" tint="0.79992065187536243"/>
      </bottom>
      <diagonal/>
    </border>
    <border>
      <left style="thin">
        <color theme="3" tint="0.79992065187536243"/>
      </left>
      <right style="hair">
        <color theme="3" tint="0.79992065187536243"/>
      </right>
      <top style="hair">
        <color theme="3" tint="0.79992065187536243"/>
      </top>
      <bottom style="hair">
        <color theme="3" tint="0.79992065187536243"/>
      </bottom>
      <diagonal/>
    </border>
    <border>
      <left style="hair">
        <color theme="3" tint="0.79992065187536243"/>
      </left>
      <right style="hair">
        <color theme="3" tint="0.79992065187536243"/>
      </right>
      <top style="hair">
        <color theme="3" tint="0.79992065187536243"/>
      </top>
      <bottom style="hair">
        <color theme="3" tint="0.79992065187536243"/>
      </bottom>
      <diagonal/>
    </border>
    <border>
      <left style="hair">
        <color theme="3" tint="0.79992065187536243"/>
      </left>
      <right style="thin">
        <color theme="3" tint="0.79992065187536243"/>
      </right>
      <top style="hair">
        <color theme="3" tint="0.79992065187536243"/>
      </top>
      <bottom style="hair">
        <color theme="3" tint="0.79992065187536243"/>
      </bottom>
      <diagonal/>
    </border>
    <border>
      <left style="thin">
        <color theme="3" tint="0.79992065187536243"/>
      </left>
      <right style="hair">
        <color theme="3" tint="0.79992065187536243"/>
      </right>
      <top style="hair">
        <color theme="3" tint="0.79992065187536243"/>
      </top>
      <bottom style="thin">
        <color theme="3" tint="0.79992065187536243"/>
      </bottom>
      <diagonal/>
    </border>
    <border>
      <left style="hair">
        <color theme="3" tint="0.79992065187536243"/>
      </left>
      <right style="hair">
        <color theme="3" tint="0.79992065187536243"/>
      </right>
      <top style="hair">
        <color theme="3" tint="0.79992065187536243"/>
      </top>
      <bottom style="thin">
        <color theme="3" tint="0.79992065187536243"/>
      </bottom>
      <diagonal/>
    </border>
    <border>
      <left style="hair">
        <color theme="3" tint="0.79992065187536243"/>
      </left>
      <right style="thin">
        <color theme="3" tint="0.79992065187536243"/>
      </right>
      <top style="hair">
        <color theme="3" tint="0.79992065187536243"/>
      </top>
      <bottom style="thin">
        <color theme="3" tint="0.79992065187536243"/>
      </bottom>
      <diagonal/>
    </border>
    <border>
      <left style="hair">
        <color theme="3" tint="0.79995117038483843"/>
      </left>
      <right/>
      <top style="thin">
        <color theme="3" tint="0.79995117038483843"/>
      </top>
      <bottom style="thin">
        <color theme="3" tint="0.79995117038483843"/>
      </bottom>
      <diagonal/>
    </border>
    <border>
      <left/>
      <right style="hair">
        <color theme="3" tint="0.79998168889431442"/>
      </right>
      <top/>
      <bottom style="hair">
        <color theme="3" tint="0.79998168889431442"/>
      </bottom>
      <diagonal/>
    </border>
    <border>
      <left style="hair">
        <color theme="3" tint="0.79998168889431442"/>
      </left>
      <right style="thin">
        <color theme="3" tint="0.79998168889431442"/>
      </right>
      <top/>
      <bottom style="hair">
        <color theme="3" tint="0.79998168889431442"/>
      </bottom>
      <diagonal/>
    </border>
    <border>
      <left style="thin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hair">
        <color theme="3" tint="0.79995117038483843"/>
      </bottom>
      <diagonal/>
    </border>
    <border>
      <left style="thin">
        <color theme="3" tint="0.79995117038483843"/>
      </left>
      <right style="thin">
        <color theme="3" tint="0.79995117038483843"/>
      </right>
      <top style="hair">
        <color theme="3" tint="0.79995117038483843"/>
      </top>
      <bottom style="hair">
        <color theme="3" tint="0.79995117038483843"/>
      </bottom>
      <diagonal/>
    </border>
    <border>
      <left style="thin">
        <color theme="3" tint="0.79995117038483843"/>
      </left>
      <right style="thin">
        <color theme="3" tint="0.79995117038483843"/>
      </right>
      <top style="hair">
        <color theme="3" tint="0.79995117038483843"/>
      </top>
      <bottom style="thin">
        <color theme="3" tint="0.79995117038483843"/>
      </bottom>
      <diagonal/>
    </border>
    <border>
      <left style="thin">
        <color theme="3" tint="0.79998168889431442"/>
      </left>
      <right style="hair">
        <color theme="3" tint="0.79998168889431442"/>
      </right>
      <top/>
      <bottom/>
      <diagonal/>
    </border>
    <border>
      <left style="hair">
        <color theme="3" tint="0.79992065187536243"/>
      </left>
      <right style="hair">
        <color theme="3" tint="0.79992065187536243"/>
      </right>
      <top style="thin">
        <color theme="3" tint="0.79992065187536243"/>
      </top>
      <bottom style="thin">
        <color theme="3" tint="0.79992065187536243"/>
      </bottom>
      <diagonal/>
    </border>
    <border>
      <left style="hair">
        <color theme="3" tint="0.79992065187536243"/>
      </left>
      <right style="thin">
        <color theme="3" tint="0.79992065187536243"/>
      </right>
      <top style="thin">
        <color theme="3" tint="0.79992065187536243"/>
      </top>
      <bottom style="thin">
        <color theme="3" tint="0.79992065187536243"/>
      </bottom>
      <diagonal/>
    </border>
    <border>
      <left style="hair">
        <color theme="3" tint="0.79995117038483843"/>
      </left>
      <right/>
      <top style="hair">
        <color theme="3" tint="0.79995117038483843"/>
      </top>
      <bottom style="hair">
        <color theme="3" tint="0.79995117038483843"/>
      </bottom>
      <diagonal/>
    </border>
    <border>
      <left/>
      <right/>
      <top style="hair">
        <color theme="3" tint="0.79995117038483843"/>
      </top>
      <bottom style="hair">
        <color theme="3" tint="0.79995117038483843"/>
      </bottom>
      <diagonal/>
    </border>
    <border>
      <left/>
      <right style="thin">
        <color theme="3" tint="0.79995117038483843"/>
      </right>
      <top style="hair">
        <color theme="3" tint="0.79995117038483843"/>
      </top>
      <bottom style="hair">
        <color theme="3" tint="0.79995117038483843"/>
      </bottom>
      <diagonal/>
    </border>
    <border>
      <left style="thin">
        <color theme="6" tint="0.59996337778862885"/>
      </left>
      <right style="hair">
        <color theme="6" tint="0.59996337778862885"/>
      </right>
      <top style="thin">
        <color theme="6" tint="0.59996337778862885"/>
      </top>
      <bottom style="hair">
        <color theme="6" tint="0.59996337778862885"/>
      </bottom>
      <diagonal/>
    </border>
    <border>
      <left style="hair">
        <color theme="6" tint="0.59996337778862885"/>
      </left>
      <right style="hair">
        <color theme="6" tint="0.59996337778862885"/>
      </right>
      <top style="thin">
        <color theme="6" tint="0.59996337778862885"/>
      </top>
      <bottom style="hair">
        <color theme="6" tint="0.59996337778862885"/>
      </bottom>
      <diagonal/>
    </border>
    <border>
      <left style="hair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hair">
        <color theme="6" tint="0.59996337778862885"/>
      </bottom>
      <diagonal/>
    </border>
    <border>
      <left style="thin">
        <color theme="6" tint="0.59996337778862885"/>
      </left>
      <right style="hair">
        <color theme="6" tint="0.59996337778862885"/>
      </right>
      <top style="hair">
        <color theme="6" tint="0.59996337778862885"/>
      </top>
      <bottom style="hair">
        <color theme="6" tint="0.59996337778862885"/>
      </bottom>
      <diagonal/>
    </border>
    <border>
      <left style="hair">
        <color theme="6" tint="0.59996337778862885"/>
      </left>
      <right style="hair">
        <color theme="6" tint="0.59996337778862885"/>
      </right>
      <top style="hair">
        <color theme="6" tint="0.59996337778862885"/>
      </top>
      <bottom style="hair">
        <color theme="6" tint="0.59996337778862885"/>
      </bottom>
      <diagonal/>
    </border>
    <border>
      <left style="hair">
        <color theme="6" tint="0.59996337778862885"/>
      </left>
      <right style="thin">
        <color theme="6" tint="0.59996337778862885"/>
      </right>
      <top style="hair">
        <color theme="6" tint="0.59996337778862885"/>
      </top>
      <bottom style="hair">
        <color theme="6" tint="0.59996337778862885"/>
      </bottom>
      <diagonal/>
    </border>
    <border>
      <left/>
      <right style="hair">
        <color theme="3" tint="0.79995117038483843"/>
      </right>
      <top style="hair">
        <color theme="3" tint="0.79995117038483843"/>
      </top>
      <bottom style="hair">
        <color theme="3" tint="0.79995117038483843"/>
      </bottom>
      <diagonal/>
    </border>
    <border>
      <left/>
      <right style="hair">
        <color theme="3" tint="0.79995117038483843"/>
      </right>
      <top style="hair">
        <color theme="3" tint="0.79995117038483843"/>
      </top>
      <bottom style="thin">
        <color theme="3" tint="0.79995117038483843"/>
      </bottom>
      <diagonal/>
    </border>
    <border>
      <left/>
      <right style="hair">
        <color theme="3" tint="0.79995117038483843"/>
      </right>
      <top style="thin">
        <color theme="3" tint="0.79995117038483843"/>
      </top>
      <bottom style="hair">
        <color theme="3" tint="0.79995117038483843"/>
      </bottom>
      <diagonal/>
    </border>
    <border>
      <left style="hair">
        <color theme="3" tint="0.79995117038483843"/>
      </left>
      <right style="hair">
        <color theme="3" tint="0.79995117038483843"/>
      </right>
      <top style="hair">
        <color theme="3" tint="0.79995117038483843"/>
      </top>
      <bottom/>
      <diagonal/>
    </border>
    <border>
      <left style="hair">
        <color theme="3" tint="0.79995117038483843"/>
      </left>
      <right style="thin">
        <color theme="3" tint="0.79992065187536243"/>
      </right>
      <top style="thin">
        <color theme="3" tint="0.79992065187536243"/>
      </top>
      <bottom style="thin">
        <color theme="3" tint="0.79992065187536243"/>
      </bottom>
      <diagonal/>
    </border>
    <border>
      <left style="thin">
        <color theme="3" tint="0.79998168889431442"/>
      </left>
      <right style="hair">
        <color theme="3" tint="0.79998168889431442"/>
      </right>
      <top/>
      <bottom style="hair">
        <color theme="3" tint="0.79998168889431442"/>
      </bottom>
      <diagonal/>
    </border>
    <border>
      <left style="hair">
        <color theme="3" tint="0.79998168889431442"/>
      </left>
      <right style="hair">
        <color theme="3" tint="0.79998168889431442"/>
      </right>
      <top/>
      <bottom style="hair">
        <color theme="3" tint="0.79998168889431442"/>
      </bottom>
      <diagonal/>
    </border>
    <border>
      <left style="thin">
        <color theme="3" tint="0.39994506668294322"/>
      </left>
      <right style="hair">
        <color theme="3" tint="0.39994506668294322"/>
      </right>
      <top style="thin">
        <color theme="3" tint="0.39994506668294322"/>
      </top>
      <bottom style="hair">
        <color theme="3" tint="0.39994506668294322"/>
      </bottom>
      <diagonal/>
    </border>
    <border>
      <left style="thin">
        <color theme="3" tint="0.39994506668294322"/>
      </left>
      <right style="hair">
        <color theme="3" tint="0.39994506668294322"/>
      </right>
      <top style="hair">
        <color theme="3" tint="0.39994506668294322"/>
      </top>
      <bottom style="hair">
        <color theme="3" tint="0.39994506668294322"/>
      </bottom>
      <diagonal/>
    </border>
    <border>
      <left style="hair">
        <color theme="3" tint="0.39994506668294322"/>
      </left>
      <right style="thin">
        <color theme="3" tint="0.39994506668294322"/>
      </right>
      <top style="hair">
        <color theme="3" tint="0.39994506668294322"/>
      </top>
      <bottom style="hair">
        <color theme="3" tint="0.39994506668294322"/>
      </bottom>
      <diagonal/>
    </border>
    <border>
      <left style="thin">
        <color theme="3" tint="0.39994506668294322"/>
      </left>
      <right style="hair">
        <color theme="3" tint="0.39994506668294322"/>
      </right>
      <top style="hair">
        <color theme="3" tint="0.39994506668294322"/>
      </top>
      <bottom style="thin">
        <color theme="3" tint="0.39994506668294322"/>
      </bottom>
      <diagonal/>
    </border>
    <border>
      <left style="hair">
        <color theme="3" tint="0.39994506668294322"/>
      </left>
      <right style="thin">
        <color theme="3" tint="0.39994506668294322"/>
      </right>
      <top style="hair">
        <color theme="3" tint="0.39994506668294322"/>
      </top>
      <bottom style="thin">
        <color theme="3" tint="0.39994506668294322"/>
      </bottom>
      <diagonal/>
    </border>
    <border>
      <left style="thin">
        <color theme="3" tint="0.39994506668294322"/>
      </left>
      <right style="hair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hair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3" tint="0.79995117038483843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hair">
        <color rgb="FF0070C0"/>
      </bottom>
      <diagonal/>
    </border>
    <border>
      <left style="thin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thin">
        <color rgb="FF0070C0"/>
      </right>
      <top style="hair">
        <color rgb="FF0070C0"/>
      </top>
      <bottom style="hair">
        <color rgb="FF0070C0"/>
      </bottom>
      <diagonal/>
    </border>
    <border>
      <left style="thin">
        <color rgb="FF0070C0"/>
      </left>
      <right style="hair">
        <color rgb="FF0070C0"/>
      </right>
      <top style="hair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hair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thin">
        <color rgb="FF0070C0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hair">
        <color theme="3" tint="0.39994506668294322"/>
      </left>
      <right/>
      <top style="thin">
        <color theme="3" tint="0.39994506668294322"/>
      </top>
      <bottom style="hair">
        <color theme="3" tint="0.39994506668294322"/>
      </bottom>
      <diagonal/>
    </border>
    <border>
      <left style="hair">
        <color rgb="FF00B050"/>
      </left>
      <right style="hair">
        <color rgb="FF00B050"/>
      </right>
      <top style="thin">
        <color rgb="FF00B050"/>
      </top>
      <bottom style="hair">
        <color rgb="FF00B050"/>
      </bottom>
      <diagonal/>
    </border>
    <border>
      <left style="hair">
        <color rgb="FF00B050"/>
      </left>
      <right style="thin">
        <color rgb="FF00B050"/>
      </right>
      <top style="thin">
        <color rgb="FF00B050"/>
      </top>
      <bottom style="hair">
        <color rgb="FF00B050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hair">
        <color rgb="FF00B050"/>
      </bottom>
      <diagonal/>
    </border>
    <border>
      <left style="hair">
        <color rgb="FF00B050"/>
      </left>
      <right style="thin">
        <color rgb="FF00B050"/>
      </right>
      <top style="hair">
        <color rgb="FF00B050"/>
      </top>
      <bottom style="hair">
        <color rgb="FF00B050"/>
      </bottom>
      <diagonal/>
    </border>
    <border>
      <left style="hair">
        <color rgb="FF00B050"/>
      </left>
      <right style="hair">
        <color rgb="FF00B050"/>
      </right>
      <top style="hair">
        <color rgb="FF00B050"/>
      </top>
      <bottom style="thin">
        <color rgb="FF00B050"/>
      </bottom>
      <diagonal/>
    </border>
    <border>
      <left style="hair">
        <color rgb="FF00B050"/>
      </left>
      <right style="thin">
        <color rgb="FF00B050"/>
      </right>
      <top style="hair">
        <color rgb="FF00B050"/>
      </top>
      <bottom style="thin">
        <color rgb="FF00B050"/>
      </bottom>
      <diagonal/>
    </border>
    <border>
      <left style="thin">
        <color theme="3" tint="0.39994506668294322"/>
      </left>
      <right style="thin">
        <color theme="3" tint="0.79989013336588644"/>
      </right>
      <top style="thin">
        <color theme="3" tint="0.39994506668294322"/>
      </top>
      <bottom style="thin">
        <color theme="3" tint="0.79989013336588644"/>
      </bottom>
      <diagonal/>
    </border>
    <border>
      <left style="thin">
        <color theme="3" tint="0.79989013336588644"/>
      </left>
      <right style="thin">
        <color theme="3" tint="0.39994506668294322"/>
      </right>
      <top style="thin">
        <color theme="3" tint="0.39994506668294322"/>
      </top>
      <bottom style="thin">
        <color theme="3" tint="0.79989013336588644"/>
      </bottom>
      <diagonal/>
    </border>
    <border>
      <left style="thin">
        <color theme="3" tint="0.39994506668294322"/>
      </left>
      <right style="thin">
        <color theme="3" tint="0.79989013336588644"/>
      </right>
      <top style="thin">
        <color theme="3" tint="0.79989013336588644"/>
      </top>
      <bottom style="thin">
        <color theme="3" tint="0.79989013336588644"/>
      </bottom>
      <diagonal/>
    </border>
    <border>
      <left style="thin">
        <color theme="3" tint="0.39994506668294322"/>
      </left>
      <right style="thin">
        <color theme="3" tint="0.79989013336588644"/>
      </right>
      <top style="thin">
        <color theme="3" tint="0.79989013336588644"/>
      </top>
      <bottom style="thin">
        <color theme="3" tint="0.39994506668294322"/>
      </bottom>
      <diagonal/>
    </border>
    <border>
      <left style="thin">
        <color rgb="FF0070C0"/>
      </left>
      <right/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 style="hair">
        <color theme="3" tint="0.79995117038483843"/>
      </left>
      <right style="hair">
        <color theme="3" tint="0.79995117038483843"/>
      </right>
      <top/>
      <bottom style="thin">
        <color theme="3" tint="0.79995117038483843"/>
      </bottom>
      <diagonal/>
    </border>
    <border>
      <left style="hair">
        <color theme="3" tint="0.79992065187536243"/>
      </left>
      <right/>
      <top style="hair">
        <color theme="3" tint="0.79992065187536243"/>
      </top>
      <bottom style="hair">
        <color theme="3" tint="0.79992065187536243"/>
      </bottom>
      <diagonal/>
    </border>
    <border>
      <left/>
      <right style="thin">
        <color theme="3" tint="0.79992065187536243"/>
      </right>
      <top style="hair">
        <color theme="3" tint="0.79992065187536243"/>
      </top>
      <bottom style="hair">
        <color theme="3" tint="0.79992065187536243"/>
      </bottom>
      <diagonal/>
    </border>
    <border>
      <left/>
      <right style="hair">
        <color rgb="FF00B050"/>
      </right>
      <top style="thin">
        <color rgb="FF00B050"/>
      </top>
      <bottom style="hair">
        <color rgb="FF00B050"/>
      </bottom>
      <diagonal/>
    </border>
    <border>
      <left/>
      <right style="hair">
        <color rgb="FF00B050"/>
      </right>
      <top style="hair">
        <color rgb="FF00B050"/>
      </top>
      <bottom style="hair">
        <color rgb="FF00B050"/>
      </bottom>
      <diagonal/>
    </border>
    <border>
      <left/>
      <right style="hair">
        <color rgb="FF00B050"/>
      </right>
      <top style="hair">
        <color rgb="FF00B050"/>
      </top>
      <bottom style="thin">
        <color rgb="FF00B050"/>
      </bottom>
      <diagonal/>
    </border>
    <border>
      <left style="thin">
        <color theme="3" tint="0.79995117038483843"/>
      </left>
      <right style="hair">
        <color theme="3" tint="0.79995117038483843"/>
      </right>
      <top style="thin">
        <color theme="3" tint="0.79995117038483843"/>
      </top>
      <bottom style="thin">
        <color indexed="64"/>
      </bottom>
      <diagonal/>
    </border>
    <border>
      <left style="hair">
        <color theme="3" tint="0.79995117038483843"/>
      </left>
      <right style="hair">
        <color theme="3" tint="0.79995117038483843"/>
      </right>
      <top style="thin">
        <color theme="3" tint="0.79995117038483843"/>
      </top>
      <bottom style="thin">
        <color indexed="64"/>
      </bottom>
      <diagonal/>
    </border>
    <border>
      <left style="hair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thin">
        <color indexed="64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hair">
        <color theme="3" tint="0.79998168889431442"/>
      </bottom>
      <diagonal/>
    </border>
    <border>
      <left/>
      <right style="thin">
        <color theme="3" tint="0.79998168889431442"/>
      </right>
      <top style="hair">
        <color theme="3" tint="0.79998168889431442"/>
      </top>
      <bottom style="hair">
        <color theme="3" tint="0.79998168889431442"/>
      </bottom>
      <diagonal/>
    </border>
    <border>
      <left style="thin">
        <color theme="3" tint="0.79995117038483843"/>
      </left>
      <right style="hair">
        <color theme="3" tint="0.79995117038483843"/>
      </right>
      <top style="hair">
        <color theme="3" tint="0.79995117038483843"/>
      </top>
      <bottom/>
      <diagonal/>
    </border>
    <border>
      <left style="thin">
        <color theme="3" tint="0.79992065187536243"/>
      </left>
      <right style="hair">
        <color theme="3" tint="0.79992065187536243"/>
      </right>
      <top/>
      <bottom style="hair">
        <color theme="3" tint="0.79992065187536243"/>
      </bottom>
      <diagonal/>
    </border>
    <border>
      <left style="hair">
        <color theme="3" tint="0.79992065187536243"/>
      </left>
      <right style="hair">
        <color theme="3" tint="0.79992065187536243"/>
      </right>
      <top/>
      <bottom style="hair">
        <color theme="3" tint="0.79992065187536243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hair">
        <color theme="3" tint="0.59996337778862885"/>
      </bottom>
      <diagonal/>
    </border>
    <border>
      <left style="thin">
        <color theme="3" tint="0.59996337778862885"/>
      </left>
      <right style="thin">
        <color theme="3" tint="0.59996337778862885"/>
      </right>
      <top style="hair">
        <color theme="3" tint="0.59996337778862885"/>
      </top>
      <bottom style="hair">
        <color theme="3" tint="0.59996337778862885"/>
      </bottom>
      <diagonal/>
    </border>
    <border>
      <left style="thin">
        <color theme="3" tint="0.39994506668294322"/>
      </left>
      <right style="hair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1454817346722"/>
      </left>
      <right style="hair">
        <color theme="3" tint="0.39991454817346722"/>
      </right>
      <top style="thin">
        <color theme="3" tint="0.39991454817346722"/>
      </top>
      <bottom style="hair">
        <color theme="3" tint="0.39991454817346722"/>
      </bottom>
      <diagonal/>
    </border>
    <border>
      <left style="hair">
        <color theme="3" tint="0.39991454817346722"/>
      </left>
      <right style="hair">
        <color theme="3" tint="0.39991454817346722"/>
      </right>
      <top style="thin">
        <color theme="3" tint="0.39991454817346722"/>
      </top>
      <bottom style="hair">
        <color theme="3" tint="0.39991454817346722"/>
      </bottom>
      <diagonal/>
    </border>
    <border>
      <left style="hair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hair">
        <color theme="3" tint="0.39991454817346722"/>
      </bottom>
      <diagonal/>
    </border>
    <border>
      <left style="thin">
        <color theme="3" tint="0.39991454817346722"/>
      </left>
      <right style="hair">
        <color theme="3" tint="0.39991454817346722"/>
      </right>
      <top style="hair">
        <color theme="3" tint="0.39991454817346722"/>
      </top>
      <bottom style="hair">
        <color theme="3" tint="0.39991454817346722"/>
      </bottom>
      <diagonal/>
    </border>
    <border>
      <left style="hair">
        <color theme="3" tint="0.39991454817346722"/>
      </left>
      <right style="hair">
        <color theme="3" tint="0.39991454817346722"/>
      </right>
      <top style="hair">
        <color theme="3" tint="0.39991454817346722"/>
      </top>
      <bottom style="hair">
        <color theme="3" tint="0.39991454817346722"/>
      </bottom>
      <diagonal/>
    </border>
    <border>
      <left style="hair">
        <color theme="3" tint="0.39991454817346722"/>
      </left>
      <right style="thin">
        <color theme="3" tint="0.39991454817346722"/>
      </right>
      <top style="hair">
        <color theme="3" tint="0.39991454817346722"/>
      </top>
      <bottom style="hair">
        <color theme="3" tint="0.39991454817346722"/>
      </bottom>
      <diagonal/>
    </border>
    <border>
      <left style="thin">
        <color theme="3" tint="0.39991454817346722"/>
      </left>
      <right style="hair">
        <color theme="3" tint="0.39991454817346722"/>
      </right>
      <top style="hair">
        <color theme="3" tint="0.39991454817346722"/>
      </top>
      <bottom style="thin">
        <color theme="3" tint="0.39991454817346722"/>
      </bottom>
      <diagonal/>
    </border>
    <border>
      <left style="hair">
        <color theme="3" tint="0.39991454817346722"/>
      </left>
      <right style="hair">
        <color theme="3" tint="0.39991454817346722"/>
      </right>
      <top style="hair">
        <color theme="3" tint="0.39991454817346722"/>
      </top>
      <bottom style="thin">
        <color theme="3" tint="0.39991454817346722"/>
      </bottom>
      <diagonal/>
    </border>
    <border>
      <left style="hair">
        <color theme="3" tint="0.39991454817346722"/>
      </left>
      <right style="thin">
        <color theme="3" tint="0.39991454817346722"/>
      </right>
      <top style="hair">
        <color theme="3" tint="0.39991454817346722"/>
      </top>
      <bottom style="thin">
        <color theme="3" tint="0.39991454817346722"/>
      </bottom>
      <diagonal/>
    </border>
    <border>
      <left style="thin">
        <color theme="3" tint="0.79989013336588644"/>
      </left>
      <right style="hair">
        <color theme="3" tint="0.79989013336588644"/>
      </right>
      <top style="thin">
        <color theme="3" tint="0.79989013336588644"/>
      </top>
      <bottom/>
      <diagonal/>
    </border>
    <border>
      <left style="hair">
        <color theme="3" tint="0.79989013336588644"/>
      </left>
      <right style="hair">
        <color theme="3" tint="0.79989013336588644"/>
      </right>
      <top style="thin">
        <color theme="3" tint="0.79989013336588644"/>
      </top>
      <bottom/>
      <diagonal/>
    </border>
    <border>
      <left style="hair">
        <color theme="3" tint="0.79989013336588644"/>
      </left>
      <right style="thin">
        <color theme="3" tint="0.79989013336588644"/>
      </right>
      <top style="thin">
        <color theme="3" tint="0.79989013336588644"/>
      </top>
      <bottom/>
      <diagonal/>
    </border>
    <border>
      <left style="thin">
        <color theme="3" tint="0.79985961485641044"/>
      </left>
      <right style="hair">
        <color theme="3" tint="0.79985961485641044"/>
      </right>
      <top style="thin">
        <color theme="3" tint="0.79985961485641044"/>
      </top>
      <bottom style="hair">
        <color theme="3" tint="0.79985961485641044"/>
      </bottom>
      <diagonal/>
    </border>
    <border>
      <left style="hair">
        <color theme="3" tint="0.79985961485641044"/>
      </left>
      <right style="hair">
        <color theme="3" tint="0.79985961485641044"/>
      </right>
      <top style="thin">
        <color theme="3" tint="0.79985961485641044"/>
      </top>
      <bottom style="hair">
        <color theme="3" tint="0.79985961485641044"/>
      </bottom>
      <diagonal/>
    </border>
    <border>
      <left style="hair">
        <color theme="3" tint="0.79985961485641044"/>
      </left>
      <right style="thin">
        <color theme="3" tint="0.79985961485641044"/>
      </right>
      <top style="thin">
        <color theme="3" tint="0.79985961485641044"/>
      </top>
      <bottom style="hair">
        <color theme="3" tint="0.79985961485641044"/>
      </bottom>
      <diagonal/>
    </border>
    <border>
      <left style="thin">
        <color theme="3" tint="0.79985961485641044"/>
      </left>
      <right style="hair">
        <color theme="3" tint="0.79985961485641044"/>
      </right>
      <top style="hair">
        <color theme="3" tint="0.79985961485641044"/>
      </top>
      <bottom style="hair">
        <color theme="3" tint="0.79985961485641044"/>
      </bottom>
      <diagonal/>
    </border>
    <border>
      <left style="hair">
        <color theme="3" tint="0.79985961485641044"/>
      </left>
      <right style="hair">
        <color theme="3" tint="0.79985961485641044"/>
      </right>
      <top style="hair">
        <color theme="3" tint="0.79985961485641044"/>
      </top>
      <bottom style="hair">
        <color theme="3" tint="0.79985961485641044"/>
      </bottom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/>
      <right style="thin">
        <color theme="3" tint="0.79989013336588644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rgb="FFFF7900"/>
      </left>
      <right style="thin">
        <color rgb="FFFF7900"/>
      </right>
      <top style="thin">
        <color rgb="FFFF7900"/>
      </top>
      <bottom/>
      <diagonal/>
    </border>
    <border>
      <left style="thin">
        <color rgb="FFFF7900"/>
      </left>
      <right style="thin">
        <color rgb="FFFF7900"/>
      </right>
      <top/>
      <bottom style="thin">
        <color rgb="FFFF7900"/>
      </bottom>
      <diagonal/>
    </border>
  </borders>
  <cellStyleXfs count="77">
    <xf numFmtId="0" fontId="0" fillId="0" borderId="0">
      <alignment vertical="top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21" fillId="0" borderId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9" fillId="7" borderId="1" applyNumberFormat="0" applyAlignment="0" applyProtection="0"/>
    <xf numFmtId="0" fontId="2" fillId="0" borderId="0">
      <alignment vertical="top"/>
    </xf>
    <xf numFmtId="0" fontId="10" fillId="3" borderId="0" applyNumberFormat="0" applyBorder="0" applyAlignment="0" applyProtection="0"/>
    <xf numFmtId="0" fontId="22" fillId="0" borderId="4">
      <protection locked="0" hidden="1"/>
    </xf>
    <xf numFmtId="0" fontId="11" fillId="22" borderId="0" applyNumberFormat="0" applyBorder="0" applyAlignment="0" applyProtection="0"/>
    <xf numFmtId="0" fontId="12" fillId="0" borderId="0"/>
    <xf numFmtId="0" fontId="38" fillId="0" borderId="0"/>
    <xf numFmtId="0" fontId="23" fillId="0" borderId="0"/>
    <xf numFmtId="0" fontId="12" fillId="23" borderId="5" applyNumberFormat="0" applyFont="0" applyAlignment="0" applyProtection="0"/>
    <xf numFmtId="9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24" fillId="0" borderId="0" applyNumberFormat="0" applyFont="0" applyFill="0" applyBorder="0" applyAlignment="0" applyProtection="0">
      <alignment horizontal="left"/>
    </xf>
    <xf numFmtId="4" fontId="24" fillId="0" borderId="0" applyFont="0" applyFill="0" applyBorder="0" applyAlignment="0" applyProtection="0"/>
    <xf numFmtId="0" fontId="13" fillId="16" borderId="6" applyNumberFormat="0" applyAlignment="0" applyProtection="0"/>
    <xf numFmtId="164" fontId="36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40" fontId="2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9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" fillId="0" borderId="0">
      <alignment vertical="top"/>
    </xf>
    <xf numFmtId="44" fontId="1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78" fillId="0" borderId="0" applyFont="0" applyFill="0" applyBorder="0" applyAlignment="0" applyProtection="0"/>
    <xf numFmtId="0" fontId="79" fillId="0" borderId="0"/>
    <xf numFmtId="43" fontId="85" fillId="0" borderId="0" applyFont="0" applyFill="0" applyBorder="0" applyAlignment="0" applyProtection="0"/>
  </cellStyleXfs>
  <cellXfs count="603">
    <xf numFmtId="0" fontId="0" fillId="0" borderId="0" xfId="0" applyAlignment="1"/>
    <xf numFmtId="0" fontId="22" fillId="0" borderId="11" xfId="33" applyBorder="1" applyProtection="1">
      <protection hidden="1"/>
    </xf>
    <xf numFmtId="167" fontId="25" fillId="0" borderId="12" xfId="50" applyNumberFormat="1" applyFont="1" applyBorder="1" applyAlignment="1" applyProtection="1">
      <alignment horizontal="left"/>
      <protection hidden="1"/>
    </xf>
    <xf numFmtId="0" fontId="22" fillId="0" borderId="0" xfId="33" applyBorder="1">
      <protection locked="0" hidden="1"/>
    </xf>
    <xf numFmtId="0" fontId="23" fillId="0" borderId="0" xfId="37" applyProtection="1">
      <protection locked="0" hidden="1"/>
    </xf>
    <xf numFmtId="0" fontId="25" fillId="0" borderId="0" xfId="37" applyFont="1" applyProtection="1">
      <protection locked="0" hidden="1"/>
    </xf>
    <xf numFmtId="167" fontId="23" fillId="0" borderId="12" xfId="50" quotePrefix="1" applyNumberFormat="1" applyFont="1" applyBorder="1" applyAlignment="1" applyProtection="1">
      <alignment horizontal="left"/>
      <protection hidden="1"/>
    </xf>
    <xf numFmtId="0" fontId="23" fillId="0" borderId="13" xfId="37" applyBorder="1" applyProtection="1">
      <protection locked="0" hidden="1"/>
    </xf>
    <xf numFmtId="14" fontId="23" fillId="0" borderId="0" xfId="37" quotePrefix="1" applyNumberFormat="1" applyAlignment="1" applyProtection="1">
      <alignment horizontal="left"/>
      <protection locked="0" hidden="1"/>
    </xf>
    <xf numFmtId="167" fontId="23" fillId="0" borderId="14" xfId="50" quotePrefix="1" applyNumberFormat="1" applyFont="1" applyBorder="1" applyAlignment="1" applyProtection="1">
      <alignment horizontal="left"/>
      <protection hidden="1"/>
    </xf>
    <xf numFmtId="15" fontId="23" fillId="0" borderId="0" xfId="37" quotePrefix="1" applyNumberFormat="1" applyAlignment="1" applyProtection="1">
      <alignment horizontal="left"/>
      <protection locked="0" hidden="1"/>
    </xf>
    <xf numFmtId="0" fontId="23" fillId="0" borderId="0" xfId="37" quotePrefix="1" applyAlignment="1" applyProtection="1">
      <alignment horizontal="left"/>
      <protection locked="0" hidden="1"/>
    </xf>
    <xf numFmtId="167" fontId="23" fillId="0" borderId="14" xfId="50" applyNumberFormat="1" applyFont="1" applyBorder="1" applyAlignment="1" applyProtection="1">
      <alignment horizontal="left"/>
      <protection hidden="1"/>
    </xf>
    <xf numFmtId="0" fontId="22" fillId="0" borderId="0" xfId="33" quotePrefix="1" applyBorder="1" applyAlignment="1">
      <alignment horizontal="left"/>
      <protection locked="0" hidden="1"/>
    </xf>
    <xf numFmtId="14" fontId="23" fillId="0" borderId="0" xfId="37" quotePrefix="1" applyNumberFormat="1" applyProtection="1">
      <protection locked="0" hidden="1"/>
    </xf>
    <xf numFmtId="167" fontId="23" fillId="0" borderId="15" xfId="50" applyNumberFormat="1" applyFont="1" applyBorder="1" applyAlignment="1" applyProtection="1">
      <alignment horizontal="left"/>
      <protection hidden="1"/>
    </xf>
    <xf numFmtId="17" fontId="23" fillId="0" borderId="0" xfId="37" quotePrefix="1" applyNumberFormat="1" applyProtection="1">
      <protection locked="0" hidden="1"/>
    </xf>
    <xf numFmtId="167" fontId="23" fillId="0" borderId="0" xfId="50" quotePrefix="1" applyNumberFormat="1" applyFont="1" applyAlignment="1" applyProtection="1">
      <alignment horizontal="left"/>
      <protection hidden="1"/>
    </xf>
    <xf numFmtId="167" fontId="23" fillId="0" borderId="12" xfId="50" applyNumberFormat="1" applyFont="1" applyBorder="1" applyAlignment="1" applyProtection="1">
      <alignment horizontal="left"/>
      <protection hidden="1"/>
    </xf>
    <xf numFmtId="14" fontId="23" fillId="0" borderId="0" xfId="37" applyNumberFormat="1" applyProtection="1">
      <protection locked="0" hidden="1"/>
    </xf>
    <xf numFmtId="167" fontId="23" fillId="0" borderId="0" xfId="50" applyNumberFormat="1" applyFont="1" applyAlignment="1" applyProtection="1">
      <alignment horizontal="left"/>
      <protection hidden="1"/>
    </xf>
    <xf numFmtId="0" fontId="22" fillId="0" borderId="11" xfId="33" quotePrefix="1" applyBorder="1" applyAlignment="1" applyProtection="1">
      <alignment horizontal="left"/>
      <protection hidden="1"/>
    </xf>
    <xf numFmtId="167" fontId="25" fillId="0" borderId="12" xfId="50" applyNumberFormat="1" applyFont="1" applyFill="1" applyBorder="1" applyAlignment="1" applyProtection="1">
      <alignment horizontal="left"/>
      <protection hidden="1"/>
    </xf>
    <xf numFmtId="167" fontId="23" fillId="0" borderId="15" xfId="50" applyNumberFormat="1" applyFont="1" applyFill="1" applyBorder="1" applyAlignment="1" applyProtection="1">
      <alignment horizontal="left"/>
      <protection hidden="1"/>
    </xf>
    <xf numFmtId="167" fontId="23" fillId="0" borderId="12" xfId="50" applyNumberFormat="1" applyFont="1" applyFill="1" applyBorder="1" applyAlignment="1" applyProtection="1">
      <alignment horizontal="left"/>
      <protection hidden="1"/>
    </xf>
    <xf numFmtId="0" fontId="22" fillId="0" borderId="0" xfId="33" applyBorder="1" applyProtection="1">
      <protection hidden="1"/>
    </xf>
    <xf numFmtId="0" fontId="23" fillId="0" borderId="4" xfId="37" applyBorder="1" applyProtection="1">
      <protection locked="0" hidden="1"/>
    </xf>
    <xf numFmtId="0" fontId="23" fillId="0" borderId="12" xfId="37" applyBorder="1" applyProtection="1">
      <protection locked="0" hidden="1"/>
    </xf>
    <xf numFmtId="0" fontId="23" fillId="0" borderId="16" xfId="37" applyBorder="1" applyProtection="1">
      <protection locked="0" hidden="1"/>
    </xf>
    <xf numFmtId="0" fontId="23" fillId="0" borderId="11" xfId="37" applyBorder="1" applyProtection="1">
      <protection locked="0" hidden="1"/>
    </xf>
    <xf numFmtId="0" fontId="23" fillId="0" borderId="14" xfId="37" applyBorder="1" applyProtection="1">
      <protection locked="0" hidden="1"/>
    </xf>
    <xf numFmtId="167" fontId="23" fillId="0" borderId="14" xfId="50" applyNumberFormat="1" applyFont="1" applyFill="1" applyBorder="1" applyAlignment="1" applyProtection="1">
      <alignment horizontal="left"/>
      <protection hidden="1"/>
    </xf>
    <xf numFmtId="167" fontId="23" fillId="0" borderId="14" xfId="50" quotePrefix="1" applyNumberFormat="1" applyFont="1" applyFill="1" applyBorder="1" applyAlignment="1" applyProtection="1">
      <alignment horizontal="left"/>
      <protection hidden="1"/>
    </xf>
    <xf numFmtId="0" fontId="23" fillId="0" borderId="0" xfId="37" applyProtection="1">
      <protection hidden="1"/>
    </xf>
    <xf numFmtId="0" fontId="23" fillId="0" borderId="17" xfId="37" applyBorder="1" applyProtection="1">
      <protection locked="0" hidden="1"/>
    </xf>
    <xf numFmtId="0" fontId="23" fillId="0" borderId="15" xfId="37" applyBorder="1" applyProtection="1">
      <protection locked="0" hidden="1"/>
    </xf>
    <xf numFmtId="0" fontId="23" fillId="0" borderId="18" xfId="37" applyBorder="1" applyProtection="1">
      <protection locked="0" hidden="1"/>
    </xf>
    <xf numFmtId="167" fontId="23" fillId="0" borderId="13" xfId="50" applyNumberFormat="1" applyFont="1" applyBorder="1" applyAlignment="1" applyProtection="1">
      <alignment horizontal="left"/>
      <protection hidden="1"/>
    </xf>
    <xf numFmtId="0" fontId="23" fillId="0" borderId="19" xfId="37" applyBorder="1" applyProtection="1">
      <protection locked="0" hidden="1"/>
    </xf>
    <xf numFmtId="167" fontId="26" fillId="0" borderId="14" xfId="50" quotePrefix="1" applyNumberFormat="1" applyFont="1" applyBorder="1" applyAlignment="1" applyProtection="1">
      <alignment horizontal="left"/>
      <protection hidden="1"/>
    </xf>
    <xf numFmtId="167" fontId="23" fillId="0" borderId="0" xfId="50" applyNumberFormat="1" applyFont="1" applyAlignment="1" applyProtection="1">
      <alignment horizontal="left"/>
    </xf>
    <xf numFmtId="167" fontId="23" fillId="0" borderId="0" xfId="50" applyNumberFormat="1" applyFont="1" applyFill="1" applyBorder="1" applyAlignment="1" applyProtection="1">
      <alignment horizontal="left"/>
      <protection hidden="1"/>
    </xf>
    <xf numFmtId="167" fontId="27" fillId="0" borderId="14" xfId="50" quotePrefix="1" applyNumberFormat="1" applyFont="1" applyBorder="1" applyAlignment="1" applyProtection="1">
      <alignment horizontal="left"/>
      <protection hidden="1"/>
    </xf>
    <xf numFmtId="0" fontId="28" fillId="0" borderId="11" xfId="33" applyFont="1" applyBorder="1" applyProtection="1">
      <protection hidden="1"/>
    </xf>
    <xf numFmtId="167" fontId="28" fillId="0" borderId="14" xfId="50" quotePrefix="1" applyNumberFormat="1" applyFont="1" applyBorder="1" applyAlignment="1" applyProtection="1">
      <alignment horizontal="left"/>
      <protection hidden="1"/>
    </xf>
    <xf numFmtId="0" fontId="28" fillId="0" borderId="0" xfId="33" applyFont="1" applyBorder="1">
      <protection locked="0" hidden="1"/>
    </xf>
    <xf numFmtId="0" fontId="28" fillId="0" borderId="0" xfId="37" applyFont="1" applyProtection="1">
      <protection locked="0" hidden="1"/>
    </xf>
    <xf numFmtId="0" fontId="23" fillId="0" borderId="0" xfId="37"/>
    <xf numFmtId="0" fontId="29" fillId="0" borderId="4" xfId="33" quotePrefix="1" applyFont="1" applyAlignment="1" applyProtection="1">
      <alignment horizontal="left"/>
      <protection hidden="1"/>
    </xf>
    <xf numFmtId="167" fontId="26" fillId="0" borderId="12" xfId="50" applyNumberFormat="1" applyFont="1" applyBorder="1" applyAlignment="1" applyProtection="1">
      <alignment horizontal="left"/>
      <protection hidden="1"/>
    </xf>
    <xf numFmtId="0" fontId="23" fillId="0" borderId="0" xfId="37" applyAlignment="1" applyProtection="1">
      <alignment horizontal="left"/>
      <protection hidden="1"/>
    </xf>
    <xf numFmtId="0" fontId="22" fillId="0" borderId="11" xfId="33" applyBorder="1" applyAlignment="1" applyProtection="1">
      <alignment horizontal="left"/>
      <protection hidden="1"/>
    </xf>
    <xf numFmtId="0" fontId="23" fillId="0" borderId="0" xfId="37" quotePrefix="1" applyAlignment="1">
      <alignment horizontal="left"/>
    </xf>
    <xf numFmtId="169" fontId="23" fillId="0" borderId="14" xfId="50" applyNumberFormat="1" applyFont="1" applyBorder="1" applyAlignment="1" applyProtection="1">
      <alignment horizontal="left"/>
      <protection hidden="1"/>
    </xf>
    <xf numFmtId="0" fontId="23" fillId="0" borderId="11" xfId="37" applyBorder="1" applyProtection="1">
      <protection hidden="1"/>
    </xf>
    <xf numFmtId="0" fontId="22" fillId="0" borderId="17" xfId="33" applyBorder="1" applyProtection="1">
      <protection hidden="1"/>
    </xf>
    <xf numFmtId="0" fontId="30" fillId="0" borderId="4" xfId="37" applyFont="1" applyBorder="1"/>
    <xf numFmtId="167" fontId="23" fillId="0" borderId="12" xfId="50" applyNumberFormat="1" applyFont="1" applyBorder="1" applyAlignment="1" applyProtection="1">
      <alignment horizontal="left"/>
    </xf>
    <xf numFmtId="0" fontId="23" fillId="0" borderId="11" xfId="37" quotePrefix="1" applyBorder="1" applyAlignment="1">
      <alignment horizontal="left"/>
    </xf>
    <xf numFmtId="0" fontId="23" fillId="0" borderId="11" xfId="37" applyBorder="1"/>
    <xf numFmtId="167" fontId="23" fillId="0" borderId="14" xfId="50" applyNumberFormat="1" applyFont="1" applyBorder="1" applyAlignment="1" applyProtection="1">
      <alignment horizontal="left"/>
    </xf>
    <xf numFmtId="166" fontId="23" fillId="0" borderId="14" xfId="50" applyNumberFormat="1" applyFont="1" applyBorder="1" applyAlignment="1" applyProtection="1">
      <alignment horizontal="left"/>
      <protection hidden="1"/>
    </xf>
    <xf numFmtId="167" fontId="23" fillId="0" borderId="14" xfId="50" quotePrefix="1" applyNumberFormat="1" applyFont="1" applyBorder="1" applyAlignment="1" applyProtection="1">
      <alignment horizontal="left"/>
    </xf>
    <xf numFmtId="0" fontId="23" fillId="0" borderId="17" xfId="37" applyBorder="1"/>
    <xf numFmtId="167" fontId="23" fillId="0" borderId="15" xfId="50" applyNumberFormat="1" applyFont="1" applyBorder="1" applyAlignment="1" applyProtection="1">
      <alignment horizontal="left"/>
    </xf>
    <xf numFmtId="168" fontId="23" fillId="0" borderId="14" xfId="50" applyNumberFormat="1" applyFont="1" applyBorder="1" applyAlignment="1" applyProtection="1">
      <alignment horizontal="left"/>
      <protection hidden="1"/>
    </xf>
    <xf numFmtId="38" fontId="23" fillId="0" borderId="14" xfId="50" applyNumberFormat="1" applyFont="1" applyBorder="1" applyAlignment="1" applyProtection="1">
      <alignment horizontal="left"/>
      <protection hidden="1"/>
    </xf>
    <xf numFmtId="167" fontId="26" fillId="0" borderId="14" xfId="50" applyNumberFormat="1" applyFont="1" applyBorder="1" applyAlignment="1" applyProtection="1">
      <alignment horizontal="left"/>
    </xf>
    <xf numFmtId="166" fontId="23" fillId="0" borderId="14" xfId="50" applyNumberFormat="1" applyFont="1" applyBorder="1" applyAlignment="1" applyProtection="1">
      <alignment horizontal="left"/>
    </xf>
    <xf numFmtId="169" fontId="23" fillId="0" borderId="14" xfId="50" applyNumberFormat="1" applyFont="1" applyBorder="1" applyAlignment="1" applyProtection="1">
      <alignment horizontal="left"/>
    </xf>
    <xf numFmtId="167" fontId="23" fillId="0" borderId="0" xfId="50" applyNumberFormat="1" applyFont="1" applyBorder="1" applyAlignment="1" applyProtection="1">
      <alignment horizontal="left"/>
      <protection hidden="1"/>
    </xf>
    <xf numFmtId="0" fontId="31" fillId="0" borderId="11" xfId="33" applyFont="1" applyBorder="1" applyProtection="1">
      <protection hidden="1"/>
    </xf>
    <xf numFmtId="167" fontId="22" fillId="0" borderId="14" xfId="50" quotePrefix="1" applyNumberFormat="1" applyFont="1" applyBorder="1" applyAlignment="1" applyProtection="1">
      <alignment horizontal="left"/>
      <protection hidden="1"/>
    </xf>
    <xf numFmtId="167" fontId="26" fillId="0" borderId="0" xfId="50" applyNumberFormat="1" applyFont="1" applyAlignment="1" applyProtection="1">
      <alignment horizontal="left"/>
    </xf>
    <xf numFmtId="167" fontId="32" fillId="0" borderId="0" xfId="50" applyNumberFormat="1" applyFont="1" applyBorder="1" applyAlignment="1" applyProtection="1">
      <alignment horizontal="left"/>
      <protection hidden="1"/>
    </xf>
    <xf numFmtId="167" fontId="23" fillId="0" borderId="20" xfId="50" applyNumberFormat="1" applyFont="1" applyBorder="1" applyAlignment="1" applyProtection="1">
      <alignment horizontal="left"/>
      <protection hidden="1"/>
    </xf>
    <xf numFmtId="0" fontId="23" fillId="0" borderId="0" xfId="37" applyAlignment="1" applyProtection="1">
      <alignment horizontal="left"/>
      <protection locked="0" hidden="1"/>
    </xf>
    <xf numFmtId="0" fontId="23" fillId="0" borderId="20" xfId="37" applyBorder="1" applyAlignment="1" applyProtection="1">
      <alignment horizontal="left"/>
      <protection locked="0" hidden="1"/>
    </xf>
    <xf numFmtId="167" fontId="23" fillId="0" borderId="20" xfId="50" quotePrefix="1" applyNumberFormat="1" applyFont="1" applyBorder="1" applyAlignment="1" applyProtection="1">
      <alignment horizontal="left"/>
      <protection hidden="1"/>
    </xf>
    <xf numFmtId="167" fontId="23" fillId="0" borderId="21" xfId="50" applyNumberFormat="1" applyFont="1" applyBorder="1" applyAlignment="1" applyProtection="1">
      <alignment horizontal="left"/>
      <protection hidden="1"/>
    </xf>
    <xf numFmtId="0" fontId="23" fillId="0" borderId="14" xfId="37" applyBorder="1" applyAlignment="1" applyProtection="1">
      <alignment horizontal="left"/>
      <protection hidden="1"/>
    </xf>
    <xf numFmtId="0" fontId="33" fillId="0" borderId="0" xfId="33" applyFont="1" applyBorder="1">
      <protection locked="0" hidden="1"/>
    </xf>
    <xf numFmtId="167" fontId="23" fillId="0" borderId="15" xfId="50" quotePrefix="1" applyNumberFormat="1" applyFont="1" applyBorder="1" applyAlignment="1" applyProtection="1">
      <alignment horizontal="left"/>
      <protection hidden="1"/>
    </xf>
    <xf numFmtId="170" fontId="23" fillId="0" borderId="12" xfId="50" applyNumberFormat="1" applyFont="1" applyBorder="1" applyAlignment="1" applyProtection="1">
      <alignment horizontal="left"/>
      <protection hidden="1"/>
    </xf>
    <xf numFmtId="170" fontId="23" fillId="0" borderId="14" xfId="50" applyNumberFormat="1" applyFont="1" applyBorder="1" applyAlignment="1" applyProtection="1">
      <alignment horizontal="left"/>
      <protection hidden="1"/>
    </xf>
    <xf numFmtId="167" fontId="26" fillId="0" borderId="14" xfId="50" applyNumberFormat="1" applyFont="1" applyBorder="1" applyAlignment="1" applyProtection="1">
      <alignment horizontal="left"/>
      <protection hidden="1"/>
    </xf>
    <xf numFmtId="167" fontId="34" fillId="0" borderId="14" xfId="50" quotePrefix="1" applyNumberFormat="1" applyFont="1" applyBorder="1" applyAlignment="1" applyProtection="1">
      <alignment horizontal="left"/>
      <protection hidden="1"/>
    </xf>
    <xf numFmtId="0" fontId="23" fillId="0" borderId="0" xfId="37" applyAlignment="1">
      <alignment horizontal="left"/>
    </xf>
    <xf numFmtId="0" fontId="22" fillId="0" borderId="22" xfId="33" quotePrefix="1" applyBorder="1" applyAlignment="1" applyProtection="1">
      <alignment horizontal="left"/>
      <protection hidden="1"/>
    </xf>
    <xf numFmtId="167" fontId="23" fillId="0" borderId="23" xfId="50" applyNumberFormat="1" applyFont="1" applyBorder="1" applyAlignment="1" applyProtection="1">
      <alignment horizontal="left"/>
      <protection hidden="1"/>
    </xf>
    <xf numFmtId="0" fontId="22" fillId="0" borderId="24" xfId="33" applyBorder="1" applyProtection="1">
      <protection hidden="1"/>
    </xf>
    <xf numFmtId="167" fontId="23" fillId="0" borderId="25" xfId="50" applyNumberFormat="1" applyFont="1" applyBorder="1" applyAlignment="1" applyProtection="1">
      <alignment horizontal="left"/>
      <protection hidden="1"/>
    </xf>
    <xf numFmtId="167" fontId="23" fillId="0" borderId="25" xfId="50" applyNumberFormat="1" applyFont="1" applyBorder="1" applyAlignment="1" applyProtection="1">
      <alignment horizontal="left"/>
      <protection locked="0" hidden="1"/>
    </xf>
    <xf numFmtId="167" fontId="23" fillId="0" borderId="26" xfId="50" applyNumberFormat="1" applyFont="1" applyBorder="1" applyAlignment="1" applyProtection="1">
      <alignment horizontal="left"/>
      <protection hidden="1"/>
    </xf>
    <xf numFmtId="0" fontId="22" fillId="0" borderId="27" xfId="33" applyBorder="1" applyProtection="1">
      <protection hidden="1"/>
    </xf>
    <xf numFmtId="0" fontId="23" fillId="0" borderId="14" xfId="37" quotePrefix="1" applyBorder="1" applyAlignment="1" applyProtection="1">
      <alignment horizontal="left"/>
      <protection hidden="1"/>
    </xf>
    <xf numFmtId="167" fontId="23" fillId="0" borderId="28" xfId="50" applyNumberFormat="1" applyFont="1" applyBorder="1" applyAlignment="1" applyProtection="1">
      <alignment horizontal="left"/>
      <protection hidden="1"/>
    </xf>
    <xf numFmtId="0" fontId="30" fillId="0" borderId="24" xfId="33" applyFont="1" applyBorder="1" applyProtection="1">
      <protection hidden="1"/>
    </xf>
    <xf numFmtId="0" fontId="23" fillId="0" borderId="29" xfId="37" applyBorder="1" applyAlignment="1" applyProtection="1">
      <alignment horizontal="left"/>
      <protection locked="0" hidden="1"/>
    </xf>
    <xf numFmtId="0" fontId="23" fillId="0" borderId="24" xfId="37" applyBorder="1" applyProtection="1">
      <protection locked="0" hidden="1"/>
    </xf>
    <xf numFmtId="168" fontId="23" fillId="0" borderId="25" xfId="50" applyNumberFormat="1" applyFont="1" applyBorder="1" applyAlignment="1" applyProtection="1">
      <alignment horizontal="left"/>
      <protection hidden="1"/>
    </xf>
    <xf numFmtId="0" fontId="22" fillId="0" borderId="24" xfId="33" quotePrefix="1" applyBorder="1" applyAlignment="1" applyProtection="1">
      <alignment horizontal="left"/>
      <protection hidden="1"/>
    </xf>
    <xf numFmtId="0" fontId="26" fillId="0" borderId="24" xfId="37" applyFont="1" applyBorder="1" applyProtection="1">
      <protection locked="0" hidden="1"/>
    </xf>
    <xf numFmtId="168" fontId="23" fillId="0" borderId="28" xfId="37" applyNumberFormat="1" applyBorder="1" applyAlignment="1" applyProtection="1">
      <alignment horizontal="left"/>
      <protection locked="0" hidden="1"/>
    </xf>
    <xf numFmtId="168" fontId="23" fillId="0" borderId="30" xfId="37" applyNumberFormat="1" applyBorder="1" applyAlignment="1" applyProtection="1">
      <alignment horizontal="left"/>
      <protection locked="0" hidden="1"/>
    </xf>
    <xf numFmtId="168" fontId="23" fillId="0" borderId="29" xfId="50" applyNumberFormat="1" applyFont="1" applyBorder="1" applyAlignment="1" applyProtection="1">
      <alignment horizontal="left"/>
      <protection hidden="1"/>
    </xf>
    <xf numFmtId="168" fontId="23" fillId="0" borderId="28" xfId="50" applyNumberFormat="1" applyFont="1" applyBorder="1" applyAlignment="1" applyProtection="1">
      <alignment horizontal="left"/>
      <protection hidden="1"/>
    </xf>
    <xf numFmtId="168" fontId="23" fillId="0" borderId="25" xfId="37" applyNumberFormat="1" applyBorder="1" applyAlignment="1" applyProtection="1">
      <alignment horizontal="left"/>
      <protection locked="0" hidden="1"/>
    </xf>
    <xf numFmtId="168" fontId="23" fillId="0" borderId="29" xfId="37" applyNumberFormat="1" applyBorder="1" applyAlignment="1" applyProtection="1">
      <alignment horizontal="left"/>
      <protection locked="0" hidden="1"/>
    </xf>
    <xf numFmtId="168" fontId="23" fillId="0" borderId="30" xfId="50" applyNumberFormat="1" applyFont="1" applyBorder="1" applyAlignment="1" applyProtection="1">
      <alignment horizontal="left"/>
      <protection hidden="1"/>
    </xf>
    <xf numFmtId="0" fontId="29" fillId="0" borderId="24" xfId="33" applyFont="1" applyBorder="1" applyProtection="1">
      <protection hidden="1"/>
    </xf>
    <xf numFmtId="168" fontId="23" fillId="0" borderId="26" xfId="50" applyNumberFormat="1" applyFont="1" applyBorder="1" applyAlignment="1" applyProtection="1">
      <alignment horizontal="left"/>
      <protection hidden="1"/>
    </xf>
    <xf numFmtId="0" fontId="23" fillId="0" borderId="14" xfId="37" applyBorder="1" applyAlignment="1" applyProtection="1">
      <alignment horizontal="left"/>
      <protection locked="0" hidden="1"/>
    </xf>
    <xf numFmtId="0" fontId="27" fillId="0" borderId="0" xfId="33" applyFont="1" applyBorder="1">
      <protection locked="0" hidden="1"/>
    </xf>
    <xf numFmtId="0" fontId="23" fillId="0" borderId="15" xfId="37" applyBorder="1" applyAlignment="1" applyProtection="1">
      <alignment horizontal="left"/>
      <protection locked="0" hidden="1"/>
    </xf>
    <xf numFmtId="0" fontId="22" fillId="0" borderId="11" xfId="33" applyBorder="1">
      <protection locked="0" hidden="1"/>
    </xf>
    <xf numFmtId="167" fontId="23" fillId="0" borderId="0" xfId="50" applyNumberFormat="1" applyFont="1" applyAlignment="1" applyProtection="1">
      <alignment horizontal="left"/>
      <protection locked="0" hidden="1"/>
    </xf>
    <xf numFmtId="0" fontId="39" fillId="0" borderId="0" xfId="0" applyFont="1" applyAlignment="1"/>
    <xf numFmtId="20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 vertical="center"/>
    </xf>
    <xf numFmtId="165" fontId="39" fillId="0" borderId="0" xfId="39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0" fillId="29" borderId="0" xfId="0" applyFont="1" applyFill="1" applyAlignment="1">
      <alignment horizontal="center"/>
    </xf>
    <xf numFmtId="9" fontId="39" fillId="0" borderId="0" xfId="0" applyNumberFormat="1" applyFont="1" applyAlignment="1"/>
    <xf numFmtId="20" fontId="46" fillId="0" borderId="0" xfId="0" applyNumberFormat="1" applyFont="1" applyAlignment="1">
      <alignment horizontal="center" vertical="center"/>
    </xf>
    <xf numFmtId="0" fontId="0" fillId="0" borderId="18" xfId="0" applyBorder="1" applyAlignment="1"/>
    <xf numFmtId="10" fontId="0" fillId="30" borderId="33" xfId="39" applyNumberFormat="1" applyFont="1" applyFill="1" applyBorder="1" applyAlignment="1">
      <alignment horizontal="center" vertical="center"/>
    </xf>
    <xf numFmtId="10" fontId="0" fillId="30" borderId="31" xfId="39" applyNumberFormat="1" applyFont="1" applyFill="1" applyBorder="1" applyAlignment="1">
      <alignment horizontal="center" vertical="center"/>
    </xf>
    <xf numFmtId="20" fontId="41" fillId="0" borderId="0" xfId="0" applyNumberFormat="1" applyFont="1" applyAlignment="1">
      <alignment horizontal="center" vertical="center"/>
    </xf>
    <xf numFmtId="20" fontId="47" fillId="0" borderId="0" xfId="0" applyNumberFormat="1" applyFont="1" applyAlignment="1">
      <alignment horizontal="center" vertical="center"/>
    </xf>
    <xf numFmtId="20" fontId="48" fillId="0" borderId="0" xfId="0" applyNumberFormat="1" applyFont="1" applyAlignment="1">
      <alignment horizontal="center" vertical="center"/>
    </xf>
    <xf numFmtId="0" fontId="0" fillId="0" borderId="54" xfId="0" applyBorder="1" applyAlignment="1">
      <alignment horizontal="center" vertical="center"/>
    </xf>
    <xf numFmtId="3" fontId="0" fillId="0" borderId="54" xfId="0" applyNumberFormat="1" applyBorder="1" applyAlignment="1">
      <alignment horizontal="center" vertical="center"/>
    </xf>
    <xf numFmtId="0" fontId="35" fillId="0" borderId="57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3" fontId="0" fillId="0" borderId="57" xfId="0" applyNumberFormat="1" applyBorder="1" applyAlignment="1">
      <alignment horizontal="center" vertical="center"/>
    </xf>
    <xf numFmtId="0" fontId="35" fillId="0" borderId="59" xfId="0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3" fontId="0" fillId="0" borderId="59" xfId="0" applyNumberFormat="1" applyBorder="1" applyAlignment="1">
      <alignment horizontal="center" vertical="center"/>
    </xf>
    <xf numFmtId="10" fontId="0" fillId="30" borderId="32" xfId="39" applyNumberFormat="1" applyFont="1" applyFill="1" applyBorder="1" applyAlignment="1">
      <alignment horizontal="center" vertical="center"/>
    </xf>
    <xf numFmtId="10" fontId="0" fillId="30" borderId="34" xfId="39" applyNumberFormat="1" applyFont="1" applyFill="1" applyBorder="1" applyAlignment="1">
      <alignment horizontal="center" vertical="center"/>
    </xf>
    <xf numFmtId="10" fontId="35" fillId="30" borderId="31" xfId="39" quotePrefix="1" applyNumberFormat="1" applyFont="1" applyFill="1" applyBorder="1" applyAlignment="1">
      <alignment horizontal="center" vertical="center"/>
    </xf>
    <xf numFmtId="10" fontId="42" fillId="0" borderId="40" xfId="39" applyNumberFormat="1" applyFont="1" applyBorder="1" applyAlignment="1">
      <alignment horizontal="center" vertical="center"/>
    </xf>
    <xf numFmtId="10" fontId="42" fillId="0" borderId="41" xfId="39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50" fillId="0" borderId="0" xfId="0" applyFont="1" applyAlignment="1">
      <alignment horizontal="center" vertical="center"/>
    </xf>
    <xf numFmtId="16" fontId="0" fillId="0" borderId="53" xfId="0" applyNumberFormat="1" applyBorder="1" applyAlignment="1">
      <alignment horizontal="center" vertical="center"/>
    </xf>
    <xf numFmtId="10" fontId="0" fillId="0" borderId="54" xfId="39" applyNumberFormat="1" applyFont="1" applyBorder="1" applyAlignment="1">
      <alignment horizontal="center" vertical="center"/>
    </xf>
    <xf numFmtId="16" fontId="0" fillId="0" borderId="56" xfId="0" applyNumberFormat="1" applyBorder="1" applyAlignment="1">
      <alignment horizontal="center" vertical="center"/>
    </xf>
    <xf numFmtId="10" fontId="0" fillId="0" borderId="57" xfId="39" applyNumberFormat="1" applyFont="1" applyBorder="1" applyAlignment="1">
      <alignment horizontal="center" vertical="center"/>
    </xf>
    <xf numFmtId="16" fontId="0" fillId="0" borderId="58" xfId="0" applyNumberFormat="1" applyBorder="1" applyAlignment="1">
      <alignment horizontal="center" vertical="center"/>
    </xf>
    <xf numFmtId="10" fontId="0" fillId="0" borderId="59" xfId="39" applyNumberFormat="1" applyFont="1" applyBorder="1" applyAlignment="1">
      <alignment horizontal="center" vertical="center"/>
    </xf>
    <xf numFmtId="20" fontId="0" fillId="0" borderId="68" xfId="0" applyNumberFormat="1" applyBorder="1" applyAlignment="1">
      <alignment horizontal="center" vertical="center"/>
    </xf>
    <xf numFmtId="3" fontId="0" fillId="0" borderId="68" xfId="0" applyNumberFormat="1" applyBorder="1" applyAlignment="1">
      <alignment horizontal="center" vertical="center"/>
    </xf>
    <xf numFmtId="9" fontId="0" fillId="0" borderId="68" xfId="39" applyFont="1" applyBorder="1" applyAlignment="1">
      <alignment horizontal="center" vertical="center"/>
    </xf>
    <xf numFmtId="165" fontId="0" fillId="0" borderId="68" xfId="39" applyNumberFormat="1" applyFont="1" applyBorder="1" applyAlignment="1">
      <alignment horizontal="center" vertical="center"/>
    </xf>
    <xf numFmtId="165" fontId="0" fillId="0" borderId="69" xfId="39" applyNumberFormat="1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20" fontId="0" fillId="0" borderId="71" xfId="0" applyNumberFormat="1" applyBorder="1" applyAlignment="1">
      <alignment horizontal="center" vertical="center"/>
    </xf>
    <xf numFmtId="3" fontId="0" fillId="0" borderId="71" xfId="0" applyNumberFormat="1" applyBorder="1" applyAlignment="1">
      <alignment horizontal="center" vertical="center"/>
    </xf>
    <xf numFmtId="9" fontId="0" fillId="0" borderId="71" xfId="39" applyFont="1" applyBorder="1" applyAlignment="1">
      <alignment horizontal="center" vertical="center"/>
    </xf>
    <xf numFmtId="165" fontId="0" fillId="0" borderId="71" xfId="39" applyNumberFormat="1" applyFont="1" applyBorder="1" applyAlignment="1">
      <alignment horizontal="center" vertical="center"/>
    </xf>
    <xf numFmtId="165" fontId="0" fillId="0" borderId="72" xfId="39" applyNumberFormat="1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20" fontId="0" fillId="0" borderId="74" xfId="0" applyNumberFormat="1" applyBorder="1" applyAlignment="1">
      <alignment horizontal="center" vertical="center"/>
    </xf>
    <xf numFmtId="3" fontId="0" fillId="0" borderId="74" xfId="0" applyNumberFormat="1" applyBorder="1" applyAlignment="1">
      <alignment horizontal="center" vertical="center"/>
    </xf>
    <xf numFmtId="9" fontId="0" fillId="0" borderId="74" xfId="39" applyFont="1" applyBorder="1" applyAlignment="1">
      <alignment horizontal="center" vertical="center"/>
    </xf>
    <xf numFmtId="165" fontId="0" fillId="0" borderId="74" xfId="39" applyNumberFormat="1" applyFont="1" applyBorder="1" applyAlignment="1">
      <alignment horizontal="center" vertical="center"/>
    </xf>
    <xf numFmtId="165" fontId="0" fillId="0" borderId="75" xfId="39" applyNumberFormat="1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/>
    <xf numFmtId="0" fontId="41" fillId="31" borderId="0" xfId="0" applyFont="1" applyFill="1" applyAlignment="1">
      <alignment horizontal="center" vertical="center"/>
    </xf>
    <xf numFmtId="0" fontId="40" fillId="31" borderId="0" xfId="0" applyFont="1" applyFill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 vertical="center"/>
    </xf>
    <xf numFmtId="1" fontId="45" fillId="30" borderId="0" xfId="0" applyNumberFormat="1" applyFont="1" applyFill="1" applyAlignment="1">
      <alignment horizontal="center" vertical="center"/>
    </xf>
    <xf numFmtId="0" fontId="45" fillId="0" borderId="0" xfId="0" applyFont="1" applyAlignment="1">
      <alignment horizontal="right" vertical="center"/>
    </xf>
    <xf numFmtId="0" fontId="52" fillId="0" borderId="54" xfId="0" applyFont="1" applyBorder="1" applyAlignment="1">
      <alignment horizontal="center" vertical="center"/>
    </xf>
    <xf numFmtId="1" fontId="35" fillId="0" borderId="57" xfId="0" applyNumberFormat="1" applyFont="1" applyBorder="1" applyAlignment="1">
      <alignment horizontal="center" vertical="center"/>
    </xf>
    <xf numFmtId="1" fontId="35" fillId="0" borderId="59" xfId="0" applyNumberFormat="1" applyFont="1" applyBorder="1" applyAlignment="1">
      <alignment horizontal="center" vertical="center"/>
    </xf>
    <xf numFmtId="9" fontId="35" fillId="0" borderId="53" xfId="39" applyFont="1" applyBorder="1" applyAlignment="1">
      <alignment horizontal="center" vertical="center"/>
    </xf>
    <xf numFmtId="1" fontId="35" fillId="0" borderId="54" xfId="0" applyNumberFormat="1" applyFont="1" applyBorder="1" applyAlignment="1">
      <alignment horizontal="center" vertical="center"/>
    </xf>
    <xf numFmtId="0" fontId="35" fillId="0" borderId="55" xfId="0" applyFont="1" applyBorder="1" applyAlignment="1">
      <alignment horizontal="center" vertical="center"/>
    </xf>
    <xf numFmtId="0" fontId="35" fillId="0" borderId="61" xfId="0" applyFont="1" applyBorder="1" applyAlignment="1">
      <alignment horizontal="center" vertical="center"/>
    </xf>
    <xf numFmtId="0" fontId="35" fillId="0" borderId="60" xfId="0" applyFont="1" applyBorder="1" applyAlignment="1">
      <alignment horizontal="center" vertical="center"/>
    </xf>
    <xf numFmtId="0" fontId="45" fillId="30" borderId="62" xfId="0" applyFont="1" applyFill="1" applyBorder="1" applyAlignment="1">
      <alignment horizontal="center" vertical="center"/>
    </xf>
    <xf numFmtId="1" fontId="45" fillId="30" borderId="63" xfId="0" applyNumberFormat="1" applyFont="1" applyFill="1" applyBorder="1" applyAlignment="1">
      <alignment horizontal="center" vertical="center"/>
    </xf>
    <xf numFmtId="1" fontId="45" fillId="30" borderId="64" xfId="0" applyNumberFormat="1" applyFont="1" applyFill="1" applyBorder="1" applyAlignment="1">
      <alignment horizontal="center" vertical="center"/>
    </xf>
    <xf numFmtId="0" fontId="43" fillId="27" borderId="63" xfId="0" applyFont="1" applyFill="1" applyBorder="1" applyAlignment="1">
      <alignment horizontal="center" vertical="center"/>
    </xf>
    <xf numFmtId="0" fontId="43" fillId="26" borderId="63" xfId="0" applyFont="1" applyFill="1" applyBorder="1" applyAlignment="1">
      <alignment horizontal="center" vertical="center"/>
    </xf>
    <xf numFmtId="0" fontId="43" fillId="24" borderId="63" xfId="0" applyFont="1" applyFill="1" applyBorder="1" applyAlignment="1">
      <alignment horizontal="center" vertical="center"/>
    </xf>
    <xf numFmtId="0" fontId="43" fillId="28" borderId="63" xfId="0" applyFont="1" applyFill="1" applyBorder="1" applyAlignment="1">
      <alignment horizontal="center" vertical="center"/>
    </xf>
    <xf numFmtId="0" fontId="43" fillId="27" borderId="63" xfId="0" applyFont="1" applyFill="1" applyBorder="1" applyAlignment="1">
      <alignment horizontal="center" vertical="center" shrinkToFit="1"/>
    </xf>
    <xf numFmtId="0" fontId="43" fillId="26" borderId="63" xfId="0" applyFont="1" applyFill="1" applyBorder="1" applyAlignment="1">
      <alignment horizontal="center" vertical="center" shrinkToFit="1"/>
    </xf>
    <xf numFmtId="0" fontId="43" fillId="24" borderId="63" xfId="0" applyFont="1" applyFill="1" applyBorder="1" applyAlignment="1">
      <alignment horizontal="center" vertical="center" shrinkToFit="1"/>
    </xf>
    <xf numFmtId="0" fontId="43" fillId="28" borderId="76" xfId="0" applyFont="1" applyFill="1" applyBorder="1" applyAlignment="1">
      <alignment horizontal="center" vertical="center" shrinkToFit="1"/>
    </xf>
    <xf numFmtId="9" fontId="35" fillId="0" borderId="77" xfId="39" applyFont="1" applyBorder="1" applyAlignment="1">
      <alignment horizontal="center" vertical="center"/>
    </xf>
    <xf numFmtId="9" fontId="35" fillId="0" borderId="78" xfId="39" applyFont="1" applyBorder="1" applyAlignment="1">
      <alignment horizontal="center" vertical="center"/>
    </xf>
    <xf numFmtId="0" fontId="40" fillId="0" borderId="56" xfId="0" applyFont="1" applyBorder="1" applyAlignment="1">
      <alignment horizontal="center" vertical="center"/>
    </xf>
    <xf numFmtId="0" fontId="40" fillId="0" borderId="61" xfId="0" applyFont="1" applyBorder="1" applyAlignment="1">
      <alignment horizontal="center" vertical="center"/>
    </xf>
    <xf numFmtId="0" fontId="48" fillId="0" borderId="6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7" fillId="0" borderId="64" xfId="0" applyFont="1" applyBorder="1" applyAlignment="1">
      <alignment horizontal="center" vertical="center"/>
    </xf>
    <xf numFmtId="0" fontId="43" fillId="27" borderId="54" xfId="0" applyFont="1" applyFill="1" applyBorder="1" applyAlignment="1">
      <alignment horizontal="center" vertical="center"/>
    </xf>
    <xf numFmtId="0" fontId="43" fillId="26" borderId="54" xfId="0" applyFont="1" applyFill="1" applyBorder="1" applyAlignment="1">
      <alignment horizontal="center" vertical="center"/>
    </xf>
    <xf numFmtId="0" fontId="43" fillId="24" borderId="54" xfId="0" applyFont="1" applyFill="1" applyBorder="1" applyAlignment="1">
      <alignment horizontal="center" vertical="center"/>
    </xf>
    <xf numFmtId="0" fontId="43" fillId="28" borderId="55" xfId="0" applyFont="1" applyFill="1" applyBorder="1" applyAlignment="1">
      <alignment horizontal="center" vertical="center"/>
    </xf>
    <xf numFmtId="10" fontId="44" fillId="0" borderId="59" xfId="39" applyNumberFormat="1" applyFont="1" applyFill="1" applyBorder="1" applyAlignment="1">
      <alignment horizontal="center" vertical="center"/>
    </xf>
    <xf numFmtId="10" fontId="44" fillId="0" borderId="60" xfId="39" applyNumberFormat="1" applyFont="1" applyBorder="1" applyAlignment="1">
      <alignment horizontal="center" vertical="center"/>
    </xf>
    <xf numFmtId="1" fontId="45" fillId="30" borderId="53" xfId="0" applyNumberFormat="1" applyFont="1" applyFill="1" applyBorder="1" applyAlignment="1">
      <alignment horizontal="center" vertical="center"/>
    </xf>
    <xf numFmtId="1" fontId="45" fillId="30" borderId="54" xfId="0" applyNumberFormat="1" applyFont="1" applyFill="1" applyBorder="1" applyAlignment="1">
      <alignment horizontal="center" vertical="center"/>
    </xf>
    <xf numFmtId="1" fontId="45" fillId="30" borderId="55" xfId="0" applyNumberFormat="1" applyFont="1" applyFill="1" applyBorder="1" applyAlignment="1">
      <alignment horizontal="center" vertical="center"/>
    </xf>
    <xf numFmtId="1" fontId="1" fillId="0" borderId="53" xfId="0" applyNumberFormat="1" applyFont="1" applyBorder="1" applyAlignment="1">
      <alignment horizontal="center" vertical="center"/>
    </xf>
    <xf numFmtId="1" fontId="1" fillId="0" borderId="54" xfId="0" applyNumberFormat="1" applyFont="1" applyBorder="1" applyAlignment="1">
      <alignment horizontal="center" vertical="center"/>
    </xf>
    <xf numFmtId="1" fontId="0" fillId="0" borderId="55" xfId="0" applyNumberFormat="1" applyBorder="1" applyAlignment="1">
      <alignment horizontal="center"/>
    </xf>
    <xf numFmtId="1" fontId="1" fillId="0" borderId="56" xfId="0" applyNumberFormat="1" applyFont="1" applyBorder="1" applyAlignment="1">
      <alignment horizontal="center" vertical="center"/>
    </xf>
    <xf numFmtId="1" fontId="1" fillId="0" borderId="57" xfId="0" applyNumberFormat="1" applyFont="1" applyBorder="1" applyAlignment="1">
      <alignment horizontal="center" vertical="center"/>
    </xf>
    <xf numFmtId="1" fontId="0" fillId="0" borderId="61" xfId="0" applyNumberFormat="1" applyBorder="1" applyAlignment="1">
      <alignment horizontal="center"/>
    </xf>
    <xf numFmtId="1" fontId="1" fillId="0" borderId="58" xfId="0" applyNumberFormat="1" applyFont="1" applyBorder="1" applyAlignment="1">
      <alignment horizontal="center" vertical="center"/>
    </xf>
    <xf numFmtId="1" fontId="1" fillId="0" borderId="59" xfId="0" applyNumberFormat="1" applyFont="1" applyBorder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20" fontId="46" fillId="0" borderId="79" xfId="0" applyNumberFormat="1" applyFont="1" applyBorder="1" applyAlignment="1">
      <alignment horizontal="center" vertical="center"/>
    </xf>
    <xf numFmtId="20" fontId="46" fillId="0" borderId="80" xfId="0" applyNumberFormat="1" applyFont="1" applyBorder="1" applyAlignment="1">
      <alignment horizontal="center" vertical="center"/>
    </xf>
    <xf numFmtId="20" fontId="46" fillId="0" borderId="81" xfId="0" applyNumberFormat="1" applyFont="1" applyBorder="1" applyAlignment="1">
      <alignment horizontal="center" vertical="center"/>
    </xf>
    <xf numFmtId="10" fontId="0" fillId="30" borderId="71" xfId="39" applyNumberFormat="1" applyFont="1" applyFill="1" applyBorder="1" applyAlignment="1">
      <alignment horizontal="center" vertical="center"/>
    </xf>
    <xf numFmtId="10" fontId="0" fillId="0" borderId="67" xfId="39" applyNumberFormat="1" applyFont="1" applyFill="1" applyBorder="1" applyAlignment="1">
      <alignment horizontal="center" vertical="center"/>
    </xf>
    <xf numFmtId="10" fontId="0" fillId="0" borderId="68" xfId="39" applyNumberFormat="1" applyFont="1" applyFill="1" applyBorder="1" applyAlignment="1">
      <alignment horizontal="center" vertical="center"/>
    </xf>
    <xf numFmtId="10" fontId="42" fillId="0" borderId="69" xfId="39" applyNumberFormat="1" applyFont="1" applyFill="1" applyBorder="1" applyAlignment="1">
      <alignment horizontal="center" vertical="center"/>
    </xf>
    <xf numFmtId="10" fontId="0" fillId="0" borderId="70" xfId="39" applyNumberFormat="1" applyFont="1" applyFill="1" applyBorder="1" applyAlignment="1">
      <alignment horizontal="center" vertical="center"/>
    </xf>
    <xf numFmtId="10" fontId="0" fillId="0" borderId="71" xfId="39" applyNumberFormat="1" applyFont="1" applyFill="1" applyBorder="1" applyAlignment="1">
      <alignment horizontal="center" vertical="center"/>
    </xf>
    <xf numFmtId="10" fontId="42" fillId="0" borderId="72" xfId="39" applyNumberFormat="1" applyFont="1" applyFill="1" applyBorder="1" applyAlignment="1">
      <alignment horizontal="center" vertical="center"/>
    </xf>
    <xf numFmtId="10" fontId="35" fillId="0" borderId="71" xfId="39" quotePrefix="1" applyNumberFormat="1" applyFont="1" applyFill="1" applyBorder="1" applyAlignment="1">
      <alignment horizontal="center" vertical="center"/>
    </xf>
    <xf numFmtId="0" fontId="45" fillId="30" borderId="83" xfId="0" applyFont="1" applyFill="1" applyBorder="1" applyAlignment="1">
      <alignment horizontal="center" vertical="center"/>
    </xf>
    <xf numFmtId="0" fontId="45" fillId="30" borderId="84" xfId="0" applyFont="1" applyFill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55" fillId="0" borderId="0" xfId="0" applyFont="1" applyAlignment="1">
      <alignment horizontal="center" vertical="center"/>
    </xf>
    <xf numFmtId="1" fontId="49" fillId="30" borderId="61" xfId="0" applyNumberFormat="1" applyFont="1" applyFill="1" applyBorder="1" applyAlignment="1">
      <alignment horizontal="center" vertical="center"/>
    </xf>
    <xf numFmtId="1" fontId="49" fillId="30" borderId="60" xfId="0" applyNumberFormat="1" applyFont="1" applyFill="1" applyBorder="1" applyAlignment="1">
      <alignment horizontal="center" vertical="center"/>
    </xf>
    <xf numFmtId="0" fontId="43" fillId="28" borderId="88" xfId="0" applyFont="1" applyFill="1" applyBorder="1" applyAlignment="1">
      <alignment horizontal="center" vertical="center"/>
    </xf>
    <xf numFmtId="0" fontId="43" fillId="28" borderId="89" xfId="0" applyFont="1" applyFill="1" applyBorder="1" applyAlignment="1">
      <alignment horizontal="center" vertical="center"/>
    </xf>
    <xf numFmtId="0" fontId="43" fillId="28" borderId="90" xfId="0" applyFont="1" applyFill="1" applyBorder="1" applyAlignment="1">
      <alignment horizontal="center" vertical="center"/>
    </xf>
    <xf numFmtId="0" fontId="59" fillId="0" borderId="91" xfId="0" applyFont="1" applyBorder="1" applyAlignment="1">
      <alignment horizontal="center" vertical="center"/>
    </xf>
    <xf numFmtId="9" fontId="59" fillId="0" borderId="92" xfId="39" applyFont="1" applyBorder="1" applyAlignment="1">
      <alignment horizontal="center" vertical="center"/>
    </xf>
    <xf numFmtId="165" fontId="60" fillId="28" borderId="0" xfId="39" applyNumberFormat="1" applyFont="1" applyFill="1" applyAlignment="1">
      <alignment horizontal="center" vertical="center"/>
    </xf>
    <xf numFmtId="165" fontId="60" fillId="33" borderId="0" xfId="39" applyNumberFormat="1" applyFont="1" applyFill="1" applyAlignment="1">
      <alignment horizontal="center" vertical="center"/>
    </xf>
    <xf numFmtId="0" fontId="40" fillId="0" borderId="94" xfId="0" applyFont="1" applyBorder="1" applyAlignment="1">
      <alignment horizontal="left" vertical="center"/>
    </xf>
    <xf numFmtId="0" fontId="41" fillId="0" borderId="95" xfId="0" applyFont="1" applyBorder="1" applyAlignment="1">
      <alignment horizontal="left" vertical="center"/>
    </xf>
    <xf numFmtId="0" fontId="54" fillId="32" borderId="94" xfId="0" applyFont="1" applyFill="1" applyBorder="1" applyAlignment="1">
      <alignment horizontal="center" vertical="center"/>
    </xf>
    <xf numFmtId="0" fontId="42" fillId="0" borderId="70" xfId="0" applyFont="1" applyBorder="1" applyAlignment="1">
      <alignment horizontal="left" vertical="center"/>
    </xf>
    <xf numFmtId="0" fontId="42" fillId="0" borderId="71" xfId="0" applyFont="1" applyBorder="1" applyAlignment="1">
      <alignment horizontal="left" vertical="center"/>
    </xf>
    <xf numFmtId="1" fontId="1" fillId="0" borderId="71" xfId="0" applyNumberFormat="1" applyFont="1" applyBorder="1" applyAlignment="1">
      <alignment horizontal="center" vertical="center"/>
    </xf>
    <xf numFmtId="0" fontId="0" fillId="0" borderId="72" xfId="0" applyBorder="1" applyAlignment="1"/>
    <xf numFmtId="0" fontId="45" fillId="0" borderId="71" xfId="0" applyFont="1" applyBorder="1" applyAlignment="1">
      <alignment horizontal="left" vertical="center"/>
    </xf>
    <xf numFmtId="0" fontId="1" fillId="0" borderId="71" xfId="0" applyFont="1" applyBorder="1" applyAlignment="1">
      <alignment horizontal="center" vertical="center"/>
    </xf>
    <xf numFmtId="0" fontId="40" fillId="0" borderId="70" xfId="0" applyFont="1" applyBorder="1" applyAlignment="1">
      <alignment horizontal="left" vertical="center"/>
    </xf>
    <xf numFmtId="9" fontId="42" fillId="30" borderId="71" xfId="39" applyFont="1" applyFill="1" applyBorder="1" applyAlignment="1">
      <alignment horizontal="center" vertical="center"/>
    </xf>
    <xf numFmtId="0" fontId="58" fillId="0" borderId="71" xfId="0" applyFont="1" applyBorder="1" applyAlignment="1">
      <alignment horizontal="left" vertical="center"/>
    </xf>
    <xf numFmtId="0" fontId="42" fillId="30" borderId="71" xfId="0" applyFont="1" applyFill="1" applyBorder="1" applyAlignment="1">
      <alignment horizontal="center" vertical="center"/>
    </xf>
    <xf numFmtId="0" fontId="50" fillId="0" borderId="71" xfId="0" applyFont="1" applyBorder="1" applyAlignment="1">
      <alignment horizontal="left" vertical="center"/>
    </xf>
    <xf numFmtId="0" fontId="45" fillId="0" borderId="70" xfId="0" applyFont="1" applyBorder="1" applyAlignment="1">
      <alignment horizontal="left" vertical="center"/>
    </xf>
    <xf numFmtId="0" fontId="59" fillId="0" borderId="71" xfId="0" applyFont="1" applyBorder="1" applyAlignment="1">
      <alignment horizontal="left" vertical="center"/>
    </xf>
    <xf numFmtId="0" fontId="51" fillId="0" borderId="70" xfId="0" applyFont="1" applyBorder="1" applyAlignment="1">
      <alignment horizontal="left" vertical="center"/>
    </xf>
    <xf numFmtId="1" fontId="60" fillId="28" borderId="72" xfId="39" applyNumberFormat="1" applyFont="1" applyFill="1" applyBorder="1" applyAlignment="1">
      <alignment horizontal="center" vertical="center"/>
    </xf>
    <xf numFmtId="0" fontId="1" fillId="0" borderId="70" xfId="0" applyFont="1" applyBorder="1" applyAlignment="1"/>
    <xf numFmtId="2" fontId="1" fillId="0" borderId="71" xfId="0" applyNumberFormat="1" applyFont="1" applyBorder="1" applyAlignment="1">
      <alignment horizontal="center" vertical="center"/>
    </xf>
    <xf numFmtId="0" fontId="1" fillId="0" borderId="71" xfId="0" applyFont="1" applyBorder="1" applyAlignment="1"/>
    <xf numFmtId="165" fontId="1" fillId="0" borderId="71" xfId="39" applyNumberFormat="1" applyFont="1" applyBorder="1" applyAlignment="1">
      <alignment horizontal="center" vertical="center"/>
    </xf>
    <xf numFmtId="0" fontId="42" fillId="0" borderId="74" xfId="0" applyFont="1" applyBorder="1" applyAlignment="1">
      <alignment horizontal="left" vertical="center"/>
    </xf>
    <xf numFmtId="165" fontId="60" fillId="28" borderId="75" xfId="39" applyNumberFormat="1" applyFont="1" applyFill="1" applyBorder="1" applyAlignment="1">
      <alignment horizontal="center" vertical="center"/>
    </xf>
    <xf numFmtId="0" fontId="60" fillId="28" borderId="69" xfId="0" applyFont="1" applyFill="1" applyBorder="1" applyAlignment="1">
      <alignment horizontal="center" vertical="center"/>
    </xf>
    <xf numFmtId="0" fontId="60" fillId="28" borderId="89" xfId="0" applyFont="1" applyFill="1" applyBorder="1" applyAlignment="1">
      <alignment horizontal="center" vertical="center"/>
    </xf>
    <xf numFmtId="1" fontId="35" fillId="0" borderId="97" xfId="0" applyNumberFormat="1" applyFont="1" applyBorder="1" applyAlignment="1">
      <alignment horizontal="center" vertical="center"/>
    </xf>
    <xf numFmtId="1" fontId="1" fillId="0" borderId="98" xfId="0" applyNumberFormat="1" applyFont="1" applyBorder="1" applyAlignment="1">
      <alignment horizontal="center" vertical="center"/>
    </xf>
    <xf numFmtId="0" fontId="54" fillId="27" borderId="55" xfId="0" applyFont="1" applyFill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 vertical="center"/>
    </xf>
    <xf numFmtId="9" fontId="1" fillId="0" borderId="93" xfId="39" applyFont="1" applyBorder="1" applyAlignment="1">
      <alignment horizontal="center" vertical="center"/>
    </xf>
    <xf numFmtId="0" fontId="54" fillId="28" borderId="94" xfId="0" applyFont="1" applyFill="1" applyBorder="1" applyAlignment="1">
      <alignment horizontal="center" vertical="center"/>
    </xf>
    <xf numFmtId="1" fontId="0" fillId="0" borderId="72" xfId="0" applyNumberFormat="1" applyBorder="1" applyAlignment="1">
      <alignment horizontal="center" vertical="center"/>
    </xf>
    <xf numFmtId="0" fontId="40" fillId="29" borderId="18" xfId="0" applyFont="1" applyFill="1" applyBorder="1" applyAlignment="1">
      <alignment horizontal="center"/>
    </xf>
    <xf numFmtId="9" fontId="39" fillId="0" borderId="18" xfId="0" applyNumberFormat="1" applyFont="1" applyBorder="1" applyAlignment="1"/>
    <xf numFmtId="20" fontId="60" fillId="28" borderId="0" xfId="0" applyNumberFormat="1" applyFont="1" applyFill="1" applyAlignment="1">
      <alignment horizontal="center" vertical="center"/>
    </xf>
    <xf numFmtId="0" fontId="61" fillId="0" borderId="18" xfId="0" applyFont="1" applyBorder="1" applyAlignment="1"/>
    <xf numFmtId="0" fontId="53" fillId="30" borderId="51" xfId="0" applyFont="1" applyFill="1" applyBorder="1" applyAlignment="1">
      <alignment horizontal="center" vertical="center"/>
    </xf>
    <xf numFmtId="0" fontId="53" fillId="30" borderId="65" xfId="0" applyFont="1" applyFill="1" applyBorder="1" applyAlignment="1">
      <alignment horizontal="center" vertical="center"/>
    </xf>
    <xf numFmtId="1" fontId="0" fillId="0" borderId="55" xfId="0" applyNumberFormat="1" applyBorder="1" applyAlignment="1">
      <alignment horizontal="center" vertical="center"/>
    </xf>
    <xf numFmtId="1" fontId="0" fillId="0" borderId="61" xfId="0" applyNumberFormat="1" applyBorder="1" applyAlignment="1">
      <alignment horizontal="center" vertical="center"/>
    </xf>
    <xf numFmtId="1" fontId="0" fillId="0" borderId="60" xfId="0" applyNumberForma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165" fontId="0" fillId="0" borderId="53" xfId="0" applyNumberFormat="1" applyBorder="1" applyAlignment="1">
      <alignment horizontal="center"/>
    </xf>
    <xf numFmtId="165" fontId="0" fillId="0" borderId="54" xfId="0" applyNumberFormat="1" applyBorder="1" applyAlignment="1">
      <alignment horizontal="center"/>
    </xf>
    <xf numFmtId="165" fontId="0" fillId="0" borderId="55" xfId="0" applyNumberFormat="1" applyBorder="1" applyAlignment="1">
      <alignment horizontal="center"/>
    </xf>
    <xf numFmtId="165" fontId="0" fillId="0" borderId="56" xfId="0" applyNumberFormat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0" fillId="0" borderId="61" xfId="0" applyNumberFormat="1" applyBorder="1" applyAlignment="1">
      <alignment horizontal="center"/>
    </xf>
    <xf numFmtId="165" fontId="0" fillId="0" borderId="58" xfId="0" applyNumberFormat="1" applyBorder="1" applyAlignment="1">
      <alignment horizontal="center"/>
    </xf>
    <xf numFmtId="165" fontId="0" fillId="0" borderId="59" xfId="0" applyNumberFormat="1" applyBorder="1" applyAlignment="1">
      <alignment horizontal="center"/>
    </xf>
    <xf numFmtId="165" fontId="0" fillId="0" borderId="60" xfId="0" applyNumberFormat="1" applyBorder="1" applyAlignment="1">
      <alignment horizontal="center"/>
    </xf>
    <xf numFmtId="0" fontId="60" fillId="28" borderId="65" xfId="0" applyFont="1" applyFill="1" applyBorder="1" applyAlignment="1">
      <alignment horizontal="center" vertical="center"/>
    </xf>
    <xf numFmtId="165" fontId="0" fillId="0" borderId="54" xfId="39" applyNumberFormat="1" applyFont="1" applyBorder="1" applyAlignment="1">
      <alignment horizontal="center" vertical="center"/>
    </xf>
    <xf numFmtId="165" fontId="0" fillId="0" borderId="57" xfId="39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0" borderId="34" xfId="0" applyBorder="1" applyAlignment="1"/>
    <xf numFmtId="0" fontId="53" fillId="25" borderId="31" xfId="0" applyFont="1" applyFill="1" applyBorder="1" applyAlignment="1">
      <alignment horizontal="center" vertical="center"/>
    </xf>
    <xf numFmtId="0" fontId="1" fillId="0" borderId="31" xfId="0" applyFont="1" applyBorder="1" applyAlignment="1"/>
    <xf numFmtId="0" fontId="0" fillId="0" borderId="41" xfId="0" applyBorder="1" applyAlignment="1"/>
    <xf numFmtId="0" fontId="1" fillId="0" borderId="41" xfId="0" applyFont="1" applyBorder="1" applyAlignment="1"/>
    <xf numFmtId="0" fontId="50" fillId="0" borderId="34" xfId="0" applyFont="1" applyBorder="1" applyAlignment="1">
      <alignment horizontal="center" vertical="center"/>
    </xf>
    <xf numFmtId="0" fontId="53" fillId="30" borderId="31" xfId="0" applyFont="1" applyFill="1" applyBorder="1" applyAlignment="1">
      <alignment horizontal="center" vertical="center"/>
    </xf>
    <xf numFmtId="0" fontId="0" fillId="0" borderId="31" xfId="0" applyBorder="1" applyAlignment="1"/>
    <xf numFmtId="0" fontId="60" fillId="28" borderId="31" xfId="0" applyFont="1" applyFill="1" applyBorder="1" applyAlignment="1">
      <alignment horizontal="center" vertical="center"/>
    </xf>
    <xf numFmtId="0" fontId="0" fillId="0" borderId="35" xfId="0" applyBorder="1" applyAlignment="1"/>
    <xf numFmtId="0" fontId="53" fillId="25" borderId="36" xfId="0" applyFont="1" applyFill="1" applyBorder="1" applyAlignment="1">
      <alignment horizontal="center" vertical="center"/>
    </xf>
    <xf numFmtId="0" fontId="1" fillId="0" borderId="36" xfId="0" applyFont="1" applyBorder="1" applyAlignment="1"/>
    <xf numFmtId="0" fontId="1" fillId="0" borderId="42" xfId="0" applyFont="1" applyBorder="1" applyAlignment="1"/>
    <xf numFmtId="0" fontId="0" fillId="0" borderId="99" xfId="0" applyBorder="1" applyAlignment="1"/>
    <xf numFmtId="0" fontId="53" fillId="25" borderId="100" xfId="0" applyFont="1" applyFill="1" applyBorder="1" applyAlignment="1">
      <alignment horizontal="center" vertical="center"/>
    </xf>
    <xf numFmtId="0" fontId="1" fillId="0" borderId="100" xfId="0" applyFont="1" applyBorder="1" applyAlignment="1"/>
    <xf numFmtId="0" fontId="1" fillId="0" borderId="78" xfId="0" applyFont="1" applyBorder="1" applyAlignment="1"/>
    <xf numFmtId="0" fontId="54" fillId="33" borderId="44" xfId="0" applyFont="1" applyFill="1" applyBorder="1" applyAlignment="1">
      <alignment horizontal="center" vertical="center"/>
    </xf>
    <xf numFmtId="0" fontId="54" fillId="33" borderId="45" xfId="0" applyFont="1" applyFill="1" applyBorder="1" applyAlignment="1">
      <alignment horizontal="center" vertical="center"/>
    </xf>
    <xf numFmtId="9" fontId="0" fillId="0" borderId="0" xfId="0" applyNumberFormat="1" applyAlignment="1"/>
    <xf numFmtId="10" fontId="0" fillId="0" borderId="0" xfId="39" applyNumberFormat="1" applyFont="1" applyAlignment="1"/>
    <xf numFmtId="0" fontId="0" fillId="0" borderId="0" xfId="0" applyAlignment="1">
      <alignment horizontal="center"/>
    </xf>
    <xf numFmtId="1" fontId="45" fillId="0" borderId="71" xfId="0" applyNumberFormat="1" applyFont="1" applyBorder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shrinkToFit="1"/>
    </xf>
    <xf numFmtId="0" fontId="63" fillId="0" borderId="0" xfId="0" applyFont="1" applyAlignment="1"/>
    <xf numFmtId="1" fontId="54" fillId="30" borderId="0" xfId="0" applyNumberFormat="1" applyFont="1" applyFill="1" applyAlignment="1">
      <alignment horizontal="center" vertical="center"/>
    </xf>
    <xf numFmtId="9" fontId="39" fillId="0" borderId="0" xfId="39" applyFont="1" applyAlignment="1"/>
    <xf numFmtId="0" fontId="1" fillId="0" borderId="12" xfId="0" applyFont="1" applyBorder="1" applyAlignment="1"/>
    <xf numFmtId="0" fontId="45" fillId="0" borderId="71" xfId="0" applyFont="1" applyBorder="1" applyAlignment="1">
      <alignment horizontal="center" vertical="center"/>
    </xf>
    <xf numFmtId="0" fontId="64" fillId="0" borderId="70" xfId="0" applyFont="1" applyBorder="1" applyAlignment="1"/>
    <xf numFmtId="10" fontId="50" fillId="29" borderId="58" xfId="39" applyNumberFormat="1" applyFont="1" applyFill="1" applyBorder="1" applyAlignment="1">
      <alignment horizontal="center" vertical="center"/>
    </xf>
    <xf numFmtId="1" fontId="59" fillId="0" borderId="91" xfId="0" applyNumberFormat="1" applyFont="1" applyBorder="1" applyAlignment="1">
      <alignment horizontal="center" vertical="center"/>
    </xf>
    <xf numFmtId="3" fontId="0" fillId="30" borderId="71" xfId="0" applyNumberFormat="1" applyFill="1" applyBorder="1" applyAlignment="1">
      <alignment horizontal="center" vertical="center"/>
    </xf>
    <xf numFmtId="1" fontId="0" fillId="30" borderId="71" xfId="0" applyNumberFormat="1" applyFill="1" applyBorder="1" applyAlignment="1">
      <alignment horizontal="center" vertical="center"/>
    </xf>
    <xf numFmtId="10" fontId="0" fillId="30" borderId="57" xfId="39" applyNumberFormat="1" applyFont="1" applyFill="1" applyBorder="1" applyAlignment="1">
      <alignment horizontal="center" vertical="center"/>
    </xf>
    <xf numFmtId="10" fontId="0" fillId="30" borderId="61" xfId="39" applyNumberFormat="1" applyFont="1" applyFill="1" applyBorder="1" applyAlignment="1">
      <alignment horizontal="center" vertical="center"/>
    </xf>
    <xf numFmtId="9" fontId="44" fillId="0" borderId="0" xfId="0" applyNumberFormat="1" applyFont="1" applyAlignment="1">
      <alignment horizontal="center" vertical="center"/>
    </xf>
    <xf numFmtId="1" fontId="35" fillId="34" borderId="57" xfId="0" applyNumberFormat="1" applyFont="1" applyFill="1" applyBorder="1" applyAlignment="1">
      <alignment horizontal="center" vertical="center"/>
    </xf>
    <xf numFmtId="1" fontId="49" fillId="34" borderId="61" xfId="0" applyNumberFormat="1" applyFont="1" applyFill="1" applyBorder="1" applyAlignment="1">
      <alignment horizontal="center" vertical="center"/>
    </xf>
    <xf numFmtId="9" fontId="45" fillId="0" borderId="0" xfId="39" applyFont="1" applyAlignment="1">
      <alignment horizontal="center" vertical="center"/>
    </xf>
    <xf numFmtId="1" fontId="1" fillId="35" borderId="71" xfId="0" applyNumberFormat="1" applyFont="1" applyFill="1" applyBorder="1" applyAlignment="1">
      <alignment horizontal="center" vertical="center"/>
    </xf>
    <xf numFmtId="0" fontId="45" fillId="29" borderId="0" xfId="0" applyFont="1" applyFill="1" applyAlignment="1">
      <alignment horizontal="center" vertical="center"/>
    </xf>
    <xf numFmtId="165" fontId="0" fillId="0" borderId="0" xfId="39" applyNumberFormat="1" applyFont="1" applyAlignment="1"/>
    <xf numFmtId="0" fontId="1" fillId="0" borderId="15" xfId="0" applyFont="1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165" fontId="0" fillId="0" borderId="103" xfId="0" applyNumberFormat="1" applyBorder="1" applyAlignment="1">
      <alignment horizontal="center" vertical="center"/>
    </xf>
    <xf numFmtId="165" fontId="0" fillId="0" borderId="105" xfId="0" applyNumberFormat="1" applyBorder="1" applyAlignment="1">
      <alignment horizontal="center" vertical="center"/>
    </xf>
    <xf numFmtId="1" fontId="45" fillId="36" borderId="64" xfId="0" applyNumberFormat="1" applyFont="1" applyFill="1" applyBorder="1" applyAlignment="1">
      <alignment horizontal="center" vertical="center"/>
    </xf>
    <xf numFmtId="165" fontId="42" fillId="0" borderId="74" xfId="39" applyNumberFormat="1" applyFont="1" applyBorder="1" applyAlignment="1">
      <alignment horizontal="center" vertical="center"/>
    </xf>
    <xf numFmtId="0" fontId="54" fillId="37" borderId="94" xfId="0" applyFont="1" applyFill="1" applyBorder="1" applyAlignment="1">
      <alignment horizontal="center" vertical="center"/>
    </xf>
    <xf numFmtId="20" fontId="0" fillId="0" borderId="0" xfId="0" applyNumberFormat="1" applyAlignment="1"/>
    <xf numFmtId="0" fontId="53" fillId="25" borderId="50" xfId="0" applyFont="1" applyFill="1" applyBorder="1" applyAlignment="1">
      <alignment horizontal="center" vertical="center"/>
    </xf>
    <xf numFmtId="0" fontId="0" fillId="0" borderId="108" xfId="0" applyBorder="1" applyAlignment="1"/>
    <xf numFmtId="0" fontId="61" fillId="0" borderId="108" xfId="0" applyFont="1" applyBorder="1" applyAlignment="1">
      <alignment horizontal="left"/>
    </xf>
    <xf numFmtId="0" fontId="44" fillId="29" borderId="0" xfId="0" applyFont="1" applyFill="1" applyAlignment="1">
      <alignment horizontal="center"/>
    </xf>
    <xf numFmtId="1" fontId="63" fillId="0" borderId="0" xfId="0" applyNumberFormat="1" applyFont="1" applyAlignment="1"/>
    <xf numFmtId="16" fontId="1" fillId="0" borderId="0" xfId="0" applyNumberFormat="1" applyFont="1" applyAlignment="1"/>
    <xf numFmtId="10" fontId="51" fillId="0" borderId="0" xfId="39" applyNumberFormat="1" applyFont="1" applyFill="1" applyBorder="1" applyAlignment="1">
      <alignment horizontal="center" vertical="center"/>
    </xf>
    <xf numFmtId="3" fontId="0" fillId="0" borderId="118" xfId="0" applyNumberFormat="1" applyBorder="1" applyAlignment="1">
      <alignment horizontal="center" vertical="center"/>
    </xf>
    <xf numFmtId="165" fontId="0" fillId="0" borderId="118" xfId="39" applyNumberFormat="1" applyFont="1" applyBorder="1" applyAlignment="1">
      <alignment horizontal="center" vertical="center"/>
    </xf>
    <xf numFmtId="9" fontId="0" fillId="0" borderId="118" xfId="39" applyFont="1" applyBorder="1" applyAlignment="1">
      <alignment horizontal="center" vertical="center"/>
    </xf>
    <xf numFmtId="3" fontId="0" fillId="0" borderId="119" xfId="0" applyNumberFormat="1" applyBorder="1" applyAlignment="1">
      <alignment horizontal="center" vertical="center"/>
    </xf>
    <xf numFmtId="0" fontId="54" fillId="38" borderId="47" xfId="0" applyFont="1" applyFill="1" applyBorder="1" applyAlignment="1">
      <alignment horizontal="left" vertical="center"/>
    </xf>
    <xf numFmtId="0" fontId="63" fillId="38" borderId="48" xfId="0" applyFont="1" applyFill="1" applyBorder="1" applyAlignment="1"/>
    <xf numFmtId="0" fontId="63" fillId="38" borderId="49" xfId="0" applyFont="1" applyFill="1" applyBorder="1" applyAlignment="1"/>
    <xf numFmtId="0" fontId="60" fillId="38" borderId="52" xfId="0" applyFont="1" applyFill="1" applyBorder="1" applyAlignment="1">
      <alignment horizontal="center" vertical="center"/>
    </xf>
    <xf numFmtId="0" fontId="60" fillId="38" borderId="45" xfId="0" applyFont="1" applyFill="1" applyBorder="1" applyAlignment="1">
      <alignment horizontal="center" vertical="center"/>
    </xf>
    <xf numFmtId="0" fontId="60" fillId="38" borderId="0" xfId="0" applyFont="1" applyFill="1" applyAlignment="1">
      <alignment horizontal="center" vertical="center"/>
    </xf>
    <xf numFmtId="0" fontId="60" fillId="38" borderId="82" xfId="0" applyFont="1" applyFill="1" applyBorder="1" applyAlignment="1">
      <alignment horizontal="center" vertical="center"/>
    </xf>
    <xf numFmtId="0" fontId="60" fillId="38" borderId="50" xfId="0" applyFont="1" applyFill="1" applyBorder="1" applyAlignment="1">
      <alignment horizontal="center" vertical="center"/>
    </xf>
    <xf numFmtId="0" fontId="60" fillId="38" borderId="43" xfId="0" applyFont="1" applyFill="1" applyBorder="1" applyAlignment="1">
      <alignment horizontal="center" vertical="center"/>
    </xf>
    <xf numFmtId="0" fontId="60" fillId="38" borderId="44" xfId="0" applyFont="1" applyFill="1" applyBorder="1" applyAlignment="1">
      <alignment horizontal="center" vertical="center"/>
    </xf>
    <xf numFmtId="0" fontId="0" fillId="38" borderId="37" xfId="0" applyFill="1" applyBorder="1" applyAlignment="1"/>
    <xf numFmtId="0" fontId="0" fillId="38" borderId="38" xfId="0" applyFill="1" applyBorder="1" applyAlignment="1"/>
    <xf numFmtId="0" fontId="0" fillId="38" borderId="39" xfId="0" applyFill="1" applyBorder="1" applyAlignment="1"/>
    <xf numFmtId="0" fontId="54" fillId="38" borderId="96" xfId="0" applyFont="1" applyFill="1" applyBorder="1" applyAlignment="1">
      <alignment horizontal="center" vertical="center"/>
    </xf>
    <xf numFmtId="0" fontId="60" fillId="38" borderId="53" xfId="0" applyFont="1" applyFill="1" applyBorder="1" applyAlignment="1">
      <alignment horizontal="center" vertical="center"/>
    </xf>
    <xf numFmtId="0" fontId="60" fillId="38" borderId="55" xfId="0" applyFont="1" applyFill="1" applyBorder="1" applyAlignment="1">
      <alignment horizontal="center" vertical="center"/>
    </xf>
    <xf numFmtId="0" fontId="63" fillId="38" borderId="58" xfId="0" applyFont="1" applyFill="1" applyBorder="1" applyAlignment="1">
      <alignment horizontal="center" vertical="center"/>
    </xf>
    <xf numFmtId="0" fontId="63" fillId="38" borderId="59" xfId="0" applyFont="1" applyFill="1" applyBorder="1" applyAlignment="1">
      <alignment horizontal="center" vertical="center"/>
    </xf>
    <xf numFmtId="0" fontId="63" fillId="38" borderId="60" xfId="0" applyFont="1" applyFill="1" applyBorder="1" applyAlignment="1">
      <alignment horizontal="center" vertical="center"/>
    </xf>
    <xf numFmtId="0" fontId="69" fillId="0" borderId="54" xfId="0" applyFont="1" applyBorder="1" applyAlignment="1">
      <alignment horizontal="center" vertical="center"/>
    </xf>
    <xf numFmtId="0" fontId="54" fillId="38" borderId="62" xfId="0" applyFont="1" applyFill="1" applyBorder="1" applyAlignment="1">
      <alignment horizontal="center" vertical="center"/>
    </xf>
    <xf numFmtId="0" fontId="60" fillId="38" borderId="51" xfId="0" applyFont="1" applyFill="1" applyBorder="1" applyAlignment="1">
      <alignment horizontal="center" vertical="center"/>
    </xf>
    <xf numFmtId="0" fontId="60" fillId="38" borderId="62" xfId="0" applyFont="1" applyFill="1" applyBorder="1" applyAlignment="1">
      <alignment horizontal="center" vertical="center"/>
    </xf>
    <xf numFmtId="0" fontId="60" fillId="38" borderId="63" xfId="0" applyFont="1" applyFill="1" applyBorder="1" applyAlignment="1">
      <alignment horizontal="center" vertical="center"/>
    </xf>
    <xf numFmtId="0" fontId="60" fillId="38" borderId="64" xfId="0" applyFont="1" applyFill="1" applyBorder="1" applyAlignment="1">
      <alignment horizontal="center" vertical="center"/>
    </xf>
    <xf numFmtId="0" fontId="60" fillId="38" borderId="65" xfId="0" applyFont="1" applyFill="1" applyBorder="1" applyAlignment="1">
      <alignment horizontal="center" vertical="center"/>
    </xf>
    <xf numFmtId="0" fontId="60" fillId="38" borderId="66" xfId="0" applyFont="1" applyFill="1" applyBorder="1" applyAlignment="1">
      <alignment horizontal="center" vertical="center"/>
    </xf>
    <xf numFmtId="0" fontId="68" fillId="29" borderId="113" xfId="0" applyFont="1" applyFill="1" applyBorder="1" applyAlignment="1">
      <alignment horizontal="left" vertical="center"/>
    </xf>
    <xf numFmtId="0" fontId="68" fillId="29" borderId="115" xfId="0" applyFont="1" applyFill="1" applyBorder="1" applyAlignment="1">
      <alignment horizontal="left" vertical="center"/>
    </xf>
    <xf numFmtId="0" fontId="60" fillId="38" borderId="106" xfId="0" applyFont="1" applyFill="1" applyBorder="1" applyAlignment="1">
      <alignment horizontal="center" vertical="center"/>
    </xf>
    <xf numFmtId="0" fontId="60" fillId="38" borderId="107" xfId="0" applyFont="1" applyFill="1" applyBorder="1" applyAlignment="1">
      <alignment horizontal="center" vertical="center"/>
    </xf>
    <xf numFmtId="1" fontId="0" fillId="0" borderId="118" xfId="0" applyNumberFormat="1" applyBorder="1" applyAlignment="1">
      <alignment horizontal="center" vertical="center"/>
    </xf>
    <xf numFmtId="0" fontId="54" fillId="28" borderId="0" xfId="0" applyFont="1" applyFill="1" applyAlignment="1">
      <alignment horizontal="center"/>
    </xf>
    <xf numFmtId="165" fontId="0" fillId="0" borderId="121" xfId="0" applyNumberFormat="1" applyBorder="1" applyAlignment="1">
      <alignment horizontal="center" vertical="center"/>
    </xf>
    <xf numFmtId="9" fontId="42" fillId="30" borderId="120" xfId="0" applyNumberFormat="1" applyFont="1" applyFill="1" applyBorder="1" applyAlignment="1">
      <alignment horizontal="center" vertical="center"/>
    </xf>
    <xf numFmtId="20" fontId="0" fillId="0" borderId="122" xfId="0" applyNumberFormat="1" applyBorder="1" applyAlignment="1">
      <alignment horizontal="center" vertical="center"/>
    </xf>
    <xf numFmtId="20" fontId="0" fillId="0" borderId="124" xfId="0" applyNumberFormat="1" applyBorder="1" applyAlignment="1">
      <alignment horizontal="center" vertical="center"/>
    </xf>
    <xf numFmtId="0" fontId="0" fillId="0" borderId="123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7" xfId="0" applyBorder="1" applyAlignment="1">
      <alignment horizontal="center" vertical="center"/>
    </xf>
    <xf numFmtId="1" fontId="42" fillId="0" borderId="0" xfId="0" applyNumberFormat="1" applyFont="1" applyAlignment="1">
      <alignment horizontal="left" vertical="center"/>
    </xf>
    <xf numFmtId="20" fontId="0" fillId="0" borderId="130" xfId="0" applyNumberFormat="1" applyBorder="1" applyAlignment="1">
      <alignment horizontal="center" vertical="center"/>
    </xf>
    <xf numFmtId="20" fontId="0" fillId="29" borderId="128" xfId="0" applyNumberFormat="1" applyFill="1" applyBorder="1" applyAlignment="1">
      <alignment horizontal="center" vertical="center"/>
    </xf>
    <xf numFmtId="20" fontId="0" fillId="29" borderId="130" xfId="0" applyNumberFormat="1" applyFill="1" applyBorder="1" applyAlignment="1">
      <alignment horizontal="center" vertical="center"/>
    </xf>
    <xf numFmtId="20" fontId="0" fillId="29" borderId="131" xfId="0" applyNumberFormat="1" applyFill="1" applyBorder="1" applyAlignment="1">
      <alignment horizontal="center" vertical="center"/>
    </xf>
    <xf numFmtId="0" fontId="1" fillId="30" borderId="129" xfId="0" applyFont="1" applyFill="1" applyBorder="1" applyAlignment="1">
      <alignment horizontal="center" vertical="center"/>
    </xf>
    <xf numFmtId="0" fontId="69" fillId="0" borderId="62" xfId="0" applyFont="1" applyBorder="1" applyAlignment="1">
      <alignment horizontal="center" vertical="center"/>
    </xf>
    <xf numFmtId="10" fontId="69" fillId="0" borderId="63" xfId="0" applyNumberFormat="1" applyFont="1" applyBorder="1" applyAlignment="1">
      <alignment horizontal="center" vertical="center"/>
    </xf>
    <xf numFmtId="3" fontId="69" fillId="0" borderId="63" xfId="0" applyNumberFormat="1" applyFont="1" applyBorder="1" applyAlignment="1">
      <alignment horizontal="center" vertical="center"/>
    </xf>
    <xf numFmtId="165" fontId="69" fillId="0" borderId="63" xfId="39" applyNumberFormat="1" applyFont="1" applyBorder="1" applyAlignment="1">
      <alignment horizontal="center" vertical="center"/>
    </xf>
    <xf numFmtId="0" fontId="70" fillId="0" borderId="0" xfId="0" applyFont="1" applyAlignment="1"/>
    <xf numFmtId="0" fontId="62" fillId="35" borderId="132" xfId="0" applyFont="1" applyFill="1" applyBorder="1" applyAlignment="1">
      <alignment vertical="center"/>
    </xf>
    <xf numFmtId="0" fontId="0" fillId="35" borderId="133" xfId="0" applyFill="1" applyBorder="1" applyAlignment="1">
      <alignment horizontal="center" vertical="center"/>
    </xf>
    <xf numFmtId="172" fontId="60" fillId="38" borderId="0" xfId="0" applyNumberFormat="1" applyFont="1" applyFill="1" applyAlignment="1">
      <alignment horizontal="center" vertical="center"/>
    </xf>
    <xf numFmtId="0" fontId="52" fillId="0" borderId="0" xfId="0" applyFont="1" applyAlignment="1">
      <alignment vertical="center"/>
    </xf>
    <xf numFmtId="9" fontId="69" fillId="0" borderId="134" xfId="39" applyFont="1" applyBorder="1" applyAlignment="1">
      <alignment horizontal="center" vertical="center"/>
    </xf>
    <xf numFmtId="9" fontId="0" fillId="0" borderId="67" xfId="39" applyFont="1" applyBorder="1" applyAlignment="1">
      <alignment horizontal="center" vertical="center"/>
    </xf>
    <xf numFmtId="9" fontId="0" fillId="0" borderId="69" xfId="39" applyFont="1" applyBorder="1" applyAlignment="1">
      <alignment horizontal="center" vertical="center"/>
    </xf>
    <xf numFmtId="9" fontId="0" fillId="0" borderId="70" xfId="39" applyFont="1" applyBorder="1" applyAlignment="1">
      <alignment horizontal="center" vertical="center"/>
    </xf>
    <xf numFmtId="9" fontId="0" fillId="0" borderId="72" xfId="39" applyFont="1" applyBorder="1" applyAlignment="1">
      <alignment horizontal="center" vertical="center"/>
    </xf>
    <xf numFmtId="9" fontId="0" fillId="0" borderId="73" xfId="39" applyFont="1" applyBorder="1" applyAlignment="1">
      <alignment horizontal="center" vertical="center"/>
    </xf>
    <xf numFmtId="9" fontId="0" fillId="0" borderId="75" xfId="39" applyFont="1" applyBorder="1" applyAlignment="1">
      <alignment horizontal="center" vertical="center"/>
    </xf>
    <xf numFmtId="0" fontId="60" fillId="38" borderId="117" xfId="0" quotePrefix="1" applyFont="1" applyFill="1" applyBorder="1" applyAlignment="1">
      <alignment horizontal="center" vertical="center"/>
    </xf>
    <xf numFmtId="4" fontId="0" fillId="0" borderId="118" xfId="0" applyNumberFormat="1" applyBorder="1" applyAlignment="1">
      <alignment horizontal="center" vertical="center"/>
    </xf>
    <xf numFmtId="0" fontId="68" fillId="30" borderId="113" xfId="0" applyFont="1" applyFill="1" applyBorder="1" applyAlignment="1">
      <alignment horizontal="left" vertical="center"/>
    </xf>
    <xf numFmtId="165" fontId="0" fillId="30" borderId="118" xfId="39" applyNumberFormat="1" applyFont="1" applyFill="1" applyBorder="1" applyAlignment="1">
      <alignment horizontal="center" vertical="center"/>
    </xf>
    <xf numFmtId="165" fontId="0" fillId="35" borderId="118" xfId="39" applyNumberFormat="1" applyFont="1" applyFill="1" applyBorder="1" applyAlignment="1">
      <alignment horizontal="center" vertical="center"/>
    </xf>
    <xf numFmtId="20" fontId="0" fillId="0" borderId="137" xfId="0" applyNumberFormat="1" applyBorder="1" applyAlignment="1">
      <alignment horizontal="center" vertical="center"/>
    </xf>
    <xf numFmtId="20" fontId="0" fillId="0" borderId="138" xfId="0" applyNumberFormat="1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139" xfId="0" applyBorder="1" applyAlignment="1">
      <alignment horizontal="center" vertical="center"/>
    </xf>
    <xf numFmtId="0" fontId="54" fillId="38" borderId="117" xfId="0" applyFont="1" applyFill="1" applyBorder="1" applyAlignment="1">
      <alignment horizontal="center"/>
    </xf>
    <xf numFmtId="0" fontId="54" fillId="38" borderId="112" xfId="0" applyFont="1" applyFill="1" applyBorder="1" applyAlignment="1">
      <alignment horizontal="center"/>
    </xf>
    <xf numFmtId="0" fontId="0" fillId="0" borderId="113" xfId="0" applyBorder="1" applyAlignment="1">
      <alignment horizontal="center"/>
    </xf>
    <xf numFmtId="172" fontId="0" fillId="0" borderId="118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172" fontId="0" fillId="0" borderId="119" xfId="0" applyNumberFormat="1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6" xfId="0" applyBorder="1" applyAlignment="1">
      <alignment horizontal="center"/>
    </xf>
    <xf numFmtId="20" fontId="0" fillId="0" borderId="114" xfId="0" applyNumberFormat="1" applyBorder="1" applyAlignment="1">
      <alignment horizontal="center"/>
    </xf>
    <xf numFmtId="0" fontId="41" fillId="0" borderId="140" xfId="0" applyFont="1" applyBorder="1" applyAlignment="1">
      <alignment horizontal="center" vertical="center"/>
    </xf>
    <xf numFmtId="0" fontId="48" fillId="0" borderId="141" xfId="0" applyFont="1" applyBorder="1" applyAlignment="1">
      <alignment horizontal="center" vertical="center"/>
    </xf>
    <xf numFmtId="0" fontId="46" fillId="0" borderId="141" xfId="0" applyFont="1" applyBorder="1" applyAlignment="1">
      <alignment horizontal="center" vertical="center"/>
    </xf>
    <xf numFmtId="0" fontId="47" fillId="0" borderId="142" xfId="0" applyFont="1" applyBorder="1" applyAlignment="1">
      <alignment horizontal="center" vertical="center"/>
    </xf>
    <xf numFmtId="3" fontId="42" fillId="30" borderId="46" xfId="0" applyNumberFormat="1" applyFont="1" applyFill="1" applyBorder="1" applyAlignment="1">
      <alignment horizontal="center" shrinkToFit="1"/>
    </xf>
    <xf numFmtId="3" fontId="42" fillId="30" borderId="46" xfId="0" applyNumberFormat="1" applyFont="1" applyFill="1" applyBorder="1" applyAlignment="1">
      <alignment horizontal="center"/>
    </xf>
    <xf numFmtId="0" fontId="60" fillId="38" borderId="143" xfId="0" applyFont="1" applyFill="1" applyBorder="1" applyAlignment="1">
      <alignment horizontal="center" vertical="center"/>
    </xf>
    <xf numFmtId="10" fontId="42" fillId="0" borderId="144" xfId="39" applyNumberFormat="1" applyFont="1" applyBorder="1" applyAlignment="1">
      <alignment horizontal="center" vertical="center"/>
    </xf>
    <xf numFmtId="10" fontId="42" fillId="0" borderId="145" xfId="39" applyNumberFormat="1" applyFont="1" applyBorder="1" applyAlignment="1">
      <alignment horizontal="center" vertical="center"/>
    </xf>
    <xf numFmtId="0" fontId="60" fillId="38" borderId="54" xfId="0" applyFont="1" applyFill="1" applyBorder="1" applyAlignment="1">
      <alignment horizontal="center" vertical="center"/>
    </xf>
    <xf numFmtId="10" fontId="0" fillId="30" borderId="56" xfId="39" applyNumberFormat="1" applyFont="1" applyFill="1" applyBorder="1" applyAlignment="1">
      <alignment horizontal="center" vertical="center"/>
    </xf>
    <xf numFmtId="10" fontId="42" fillId="0" borderId="61" xfId="39" applyNumberFormat="1" applyFont="1" applyBorder="1" applyAlignment="1">
      <alignment horizontal="center" vertical="center"/>
    </xf>
    <xf numFmtId="10" fontId="35" fillId="30" borderId="57" xfId="39" quotePrefix="1" applyNumberFormat="1" applyFont="1" applyFill="1" applyBorder="1" applyAlignment="1">
      <alignment horizontal="center" vertical="center"/>
    </xf>
    <xf numFmtId="9" fontId="0" fillId="0" borderId="0" xfId="39" applyFont="1" applyAlignment="1"/>
    <xf numFmtId="1" fontId="35" fillId="0" borderId="61" xfId="0" applyNumberFormat="1" applyFont="1" applyBorder="1" applyAlignment="1">
      <alignment horizontal="center" vertical="center"/>
    </xf>
    <xf numFmtId="20" fontId="74" fillId="0" borderId="0" xfId="0" applyNumberFormat="1" applyFont="1" applyAlignment="1"/>
    <xf numFmtId="165" fontId="75" fillId="0" borderId="0" xfId="39" applyNumberFormat="1" applyFont="1" applyAlignment="1">
      <alignment horizontal="center"/>
    </xf>
    <xf numFmtId="0" fontId="42" fillId="0" borderId="0" xfId="0" applyFont="1" applyAlignment="1">
      <alignment horizontal="right"/>
    </xf>
    <xf numFmtId="0" fontId="42" fillId="0" borderId="0" xfId="0" applyFont="1" applyAlignment="1">
      <alignment horizontal="right" vertical="center"/>
    </xf>
    <xf numFmtId="9" fontId="1" fillId="30" borderId="129" xfId="39" applyFont="1" applyFill="1" applyBorder="1" applyAlignment="1">
      <alignment horizontal="center" vertical="center"/>
    </xf>
    <xf numFmtId="9" fontId="42" fillId="0" borderId="0" xfId="39" applyFont="1" applyAlignment="1">
      <alignment horizontal="center" vertical="center"/>
    </xf>
    <xf numFmtId="9" fontId="42" fillId="35" borderId="13" xfId="0" applyNumberFormat="1" applyFont="1" applyFill="1" applyBorder="1" applyAlignment="1">
      <alignment horizontal="center" vertical="center"/>
    </xf>
    <xf numFmtId="20" fontId="41" fillId="39" borderId="0" xfId="0" applyNumberFormat="1" applyFont="1" applyFill="1" applyAlignment="1">
      <alignment horizontal="center" vertical="center"/>
    </xf>
    <xf numFmtId="0" fontId="54" fillId="38" borderId="147" xfId="0" applyFont="1" applyFill="1" applyBorder="1" applyAlignment="1">
      <alignment horizontal="center" vertical="center"/>
    </xf>
    <xf numFmtId="0" fontId="54" fillId="38" borderId="148" xfId="0" applyFont="1" applyFill="1" applyBorder="1" applyAlignment="1">
      <alignment horizontal="center" vertical="center"/>
    </xf>
    <xf numFmtId="10" fontId="0" fillId="0" borderId="0" xfId="0" applyNumberFormat="1" applyAlignment="1"/>
    <xf numFmtId="0" fontId="69" fillId="40" borderId="63" xfId="0" applyFont="1" applyFill="1" applyBorder="1" applyAlignment="1">
      <alignment horizontal="center" vertical="center"/>
    </xf>
    <xf numFmtId="0" fontId="60" fillId="38" borderId="149" xfId="0" applyFont="1" applyFill="1" applyBorder="1" applyAlignment="1">
      <alignment horizontal="center" vertical="center"/>
    </xf>
    <xf numFmtId="10" fontId="0" fillId="0" borderId="150" xfId="39" applyNumberFormat="1" applyFont="1" applyBorder="1" applyAlignment="1">
      <alignment horizontal="center" vertical="center"/>
    </xf>
    <xf numFmtId="0" fontId="61" fillId="0" borderId="108" xfId="0" applyFont="1" applyBorder="1" applyAlignment="1"/>
    <xf numFmtId="0" fontId="62" fillId="0" borderId="108" xfId="0" applyFont="1" applyBorder="1" applyAlignment="1"/>
    <xf numFmtId="14" fontId="0" fillId="0" borderId="0" xfId="0" applyNumberFormat="1" applyAlignment="1"/>
    <xf numFmtId="173" fontId="1" fillId="30" borderId="71" xfId="0" applyNumberFormat="1" applyFont="1" applyFill="1" applyBorder="1" applyAlignment="1">
      <alignment horizontal="center" vertical="center"/>
    </xf>
    <xf numFmtId="0" fontId="1" fillId="29" borderId="0" xfId="0" applyFont="1" applyFill="1" applyAlignment="1"/>
    <xf numFmtId="1" fontId="0" fillId="29" borderId="0" xfId="0" applyNumberFormat="1" applyFill="1" applyAlignment="1"/>
    <xf numFmtId="171" fontId="0" fillId="0" borderId="0" xfId="0" applyNumberFormat="1" applyAlignment="1"/>
    <xf numFmtId="0" fontId="60" fillId="38" borderId="151" xfId="0" applyFont="1" applyFill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44" fontId="0" fillId="30" borderId="154" xfId="74" applyFont="1" applyFill="1" applyBorder="1" applyAlignment="1"/>
    <xf numFmtId="44" fontId="0" fillId="30" borderId="157" xfId="74" applyFont="1" applyFill="1" applyBorder="1" applyAlignment="1"/>
    <xf numFmtId="44" fontId="0" fillId="30" borderId="160" xfId="74" applyFont="1" applyFill="1" applyBorder="1" applyAlignment="1"/>
    <xf numFmtId="0" fontId="1" fillId="0" borderId="158" xfId="0" applyFont="1" applyBorder="1" applyAlignment="1">
      <alignment horizontal="center" vertical="center"/>
    </xf>
    <xf numFmtId="0" fontId="0" fillId="0" borderId="153" xfId="0" applyBorder="1" applyAlignment="1">
      <alignment horizontal="center"/>
    </xf>
    <xf numFmtId="0" fontId="0" fillId="0" borderId="156" xfId="0" applyBorder="1" applyAlignment="1">
      <alignment horizontal="center"/>
    </xf>
    <xf numFmtId="0" fontId="1" fillId="0" borderId="156" xfId="0" applyFont="1" applyBorder="1" applyAlignment="1">
      <alignment horizontal="center"/>
    </xf>
    <xf numFmtId="0" fontId="1" fillId="0" borderId="159" xfId="0" applyFont="1" applyBorder="1" applyAlignment="1">
      <alignment horizontal="center"/>
    </xf>
    <xf numFmtId="0" fontId="42" fillId="0" borderId="0" xfId="0" applyFont="1" applyAlignment="1">
      <alignment horizontal="left" indent="2"/>
    </xf>
    <xf numFmtId="0" fontId="77" fillId="0" borderId="0" xfId="0" applyFont="1" applyAlignment="1"/>
    <xf numFmtId="0" fontId="60" fillId="38" borderId="161" xfId="0" applyFont="1" applyFill="1" applyBorder="1" applyAlignment="1">
      <alignment horizontal="center" vertical="center"/>
    </xf>
    <xf numFmtId="0" fontId="60" fillId="38" borderId="162" xfId="0" applyFont="1" applyFill="1" applyBorder="1" applyAlignment="1">
      <alignment horizontal="center" vertical="center"/>
    </xf>
    <xf numFmtId="0" fontId="60" fillId="38" borderId="163" xfId="0" applyFont="1" applyFill="1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3" fontId="0" fillId="0" borderId="165" xfId="0" applyNumberFormat="1" applyBorder="1" applyAlignment="1">
      <alignment horizontal="center" vertical="center"/>
    </xf>
    <xf numFmtId="1" fontId="0" fillId="0" borderId="165" xfId="0" applyNumberFormat="1" applyBorder="1" applyAlignment="1">
      <alignment horizontal="center" vertical="center"/>
    </xf>
    <xf numFmtId="165" fontId="0" fillId="30" borderId="165" xfId="39" applyNumberFormat="1" applyFont="1" applyFill="1" applyBorder="1" applyAlignment="1">
      <alignment horizontal="center" vertical="center"/>
    </xf>
    <xf numFmtId="1" fontId="0" fillId="30" borderId="165" xfId="0" applyNumberFormat="1" applyFill="1" applyBorder="1" applyAlignment="1">
      <alignment horizontal="center" vertical="center"/>
    </xf>
    <xf numFmtId="10" fontId="0" fillId="30" borderId="165" xfId="39" applyNumberFormat="1" applyFont="1" applyFill="1" applyBorder="1" applyAlignment="1">
      <alignment horizontal="center" vertical="center"/>
    </xf>
    <xf numFmtId="0" fontId="51" fillId="30" borderId="166" xfId="0" applyFont="1" applyFill="1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3" fontId="0" fillId="0" borderId="168" xfId="0" applyNumberFormat="1" applyBorder="1" applyAlignment="1">
      <alignment horizontal="center" vertical="center"/>
    </xf>
    <xf numFmtId="1" fontId="0" fillId="0" borderId="168" xfId="0" applyNumberFormat="1" applyBorder="1" applyAlignment="1">
      <alignment horizontal="center" vertical="center"/>
    </xf>
    <xf numFmtId="10" fontId="0" fillId="30" borderId="168" xfId="39" applyNumberFormat="1" applyFont="1" applyFill="1" applyBorder="1" applyAlignment="1">
      <alignment horizontal="center" vertical="center"/>
    </xf>
    <xf numFmtId="10" fontId="1" fillId="30" borderId="168" xfId="39" applyNumberFormat="1" applyFont="1" applyFill="1" applyBorder="1" applyAlignment="1">
      <alignment horizontal="center" vertical="center"/>
    </xf>
    <xf numFmtId="3" fontId="51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1" fontId="51" fillId="35" borderId="0" xfId="0" applyNumberFormat="1" applyFont="1" applyFill="1" applyAlignment="1">
      <alignment horizontal="center" vertical="center"/>
    </xf>
    <xf numFmtId="0" fontId="42" fillId="39" borderId="0" xfId="0" applyFont="1" applyFill="1" applyAlignment="1">
      <alignment horizontal="left" vertical="center"/>
    </xf>
    <xf numFmtId="165" fontId="69" fillId="0" borderId="134" xfId="39" applyNumberFormat="1" applyFont="1" applyBorder="1" applyAlignment="1">
      <alignment horizontal="center" vertical="center"/>
    </xf>
    <xf numFmtId="174" fontId="69" fillId="0" borderId="134" xfId="39" applyNumberFormat="1" applyFont="1" applyBorder="1" applyAlignment="1">
      <alignment horizontal="center" vertical="center"/>
    </xf>
    <xf numFmtId="9" fontId="51" fillId="35" borderId="0" xfId="39" applyFont="1" applyFill="1" applyBorder="1" applyAlignment="1">
      <alignment horizontal="center" vertical="center"/>
    </xf>
    <xf numFmtId="14" fontId="40" fillId="31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54" fillId="0" borderId="43" xfId="0" applyFont="1" applyBorder="1" applyAlignment="1">
      <alignment horizontal="center" vertical="center"/>
    </xf>
    <xf numFmtId="0" fontId="63" fillId="0" borderId="0" xfId="0" quotePrefix="1" applyFont="1" applyAlignment="1"/>
    <xf numFmtId="0" fontId="60" fillId="38" borderId="117" xfId="0" quotePrefix="1" applyFont="1" applyFill="1" applyBorder="1" applyAlignment="1">
      <alignment horizontal="center" vertical="center" wrapText="1"/>
    </xf>
    <xf numFmtId="0" fontId="42" fillId="0" borderId="111" xfId="0" applyFont="1" applyBorder="1" applyAlignment="1">
      <alignment vertical="center"/>
    </xf>
    <xf numFmtId="0" fontId="41" fillId="0" borderId="62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3" fillId="27" borderId="63" xfId="0" applyFont="1" applyFill="1" applyBorder="1" applyAlignment="1">
      <alignment horizontal="left" vertical="center"/>
    </xf>
    <xf numFmtId="0" fontId="80" fillId="0" borderId="0" xfId="75" applyFont="1"/>
    <xf numFmtId="175" fontId="81" fillId="0" borderId="171" xfId="75" applyNumberFormat="1" applyFont="1" applyBorder="1" applyAlignment="1">
      <alignment horizontal="center"/>
    </xf>
    <xf numFmtId="0" fontId="81" fillId="0" borderId="171" xfId="75" applyFont="1" applyBorder="1" applyAlignment="1">
      <alignment horizontal="center"/>
    </xf>
    <xf numFmtId="175" fontId="82" fillId="0" borderId="172" xfId="75" applyNumberFormat="1" applyFont="1" applyBorder="1" applyAlignment="1">
      <alignment horizontal="center"/>
    </xf>
    <xf numFmtId="0" fontId="82" fillId="0" borderId="172" xfId="75" applyFont="1" applyBorder="1" applyAlignment="1">
      <alignment horizontal="center"/>
    </xf>
    <xf numFmtId="175" fontId="83" fillId="0" borderId="0" xfId="75" applyNumberFormat="1" applyFont="1" applyAlignment="1">
      <alignment horizontal="center"/>
    </xf>
    <xf numFmtId="0" fontId="83" fillId="0" borderId="0" xfId="75" applyFont="1" applyAlignment="1">
      <alignment horizontal="center"/>
    </xf>
    <xf numFmtId="175" fontId="80" fillId="0" borderId="0" xfId="75" applyNumberFormat="1" applyFont="1" applyAlignment="1">
      <alignment horizontal="center"/>
    </xf>
    <xf numFmtId="0" fontId="80" fillId="0" borderId="0" xfId="75" applyFont="1" applyAlignment="1">
      <alignment horizontal="center"/>
    </xf>
    <xf numFmtId="175" fontId="63" fillId="0" borderId="0" xfId="0" applyNumberFormat="1" applyFont="1" applyAlignment="1"/>
    <xf numFmtId="16" fontId="1" fillId="30" borderId="164" xfId="0" applyNumberFormat="1" applyFont="1" applyFill="1" applyBorder="1" applyAlignment="1">
      <alignment horizontal="center" vertical="center"/>
    </xf>
    <xf numFmtId="0" fontId="1" fillId="0" borderId="165" xfId="0" applyFont="1" applyBorder="1" applyAlignment="1">
      <alignment horizontal="center" vertical="center"/>
    </xf>
    <xf numFmtId="0" fontId="51" fillId="30" borderId="168" xfId="0" applyFont="1" applyFill="1" applyBorder="1" applyAlignment="1">
      <alignment horizontal="center" vertical="center"/>
    </xf>
    <xf numFmtId="16" fontId="1" fillId="0" borderId="167" xfId="0" applyNumberFormat="1" applyFont="1" applyBorder="1" applyAlignment="1">
      <alignment horizontal="center" vertical="center"/>
    </xf>
    <xf numFmtId="0" fontId="1" fillId="0" borderId="168" xfId="0" applyFont="1" applyBorder="1" applyAlignment="1">
      <alignment horizontal="center" vertical="center"/>
    </xf>
    <xf numFmtId="9" fontId="1" fillId="0" borderId="0" xfId="0" applyNumberFormat="1" applyFont="1" applyAlignment="1"/>
    <xf numFmtId="20" fontId="42" fillId="0" borderId="0" xfId="0" applyNumberFormat="1" applyFont="1" applyAlignment="1">
      <alignment horizontal="center" vertical="center"/>
    </xf>
    <xf numFmtId="10" fontId="84" fillId="0" borderId="0" xfId="0" applyNumberFormat="1" applyFont="1" applyAlignment="1">
      <alignment horizontal="center"/>
    </xf>
    <xf numFmtId="176" fontId="0" fillId="0" borderId="0" xfId="0" applyNumberFormat="1" applyAlignment="1"/>
    <xf numFmtId="177" fontId="0" fillId="0" borderId="0" xfId="76" applyNumberFormat="1" applyFont="1" applyAlignment="1">
      <alignment horizontal="center"/>
    </xf>
    <xf numFmtId="178" fontId="0" fillId="0" borderId="0" xfId="0" applyNumberFormat="1" applyAlignment="1"/>
    <xf numFmtId="0" fontId="0" fillId="39" borderId="0" xfId="0" applyFill="1" applyAlignment="1"/>
    <xf numFmtId="9" fontId="0" fillId="0" borderId="0" xfId="39" applyFont="1" applyAlignment="1">
      <alignment horizontal="center" vertical="center"/>
    </xf>
    <xf numFmtId="10" fontId="51" fillId="0" borderId="0" xfId="39" applyNumberFormat="1" applyFont="1" applyBorder="1" applyAlignment="1">
      <alignment horizontal="center"/>
    </xf>
    <xf numFmtId="0" fontId="54" fillId="39" borderId="111" xfId="0" applyFont="1" applyFill="1" applyBorder="1" applyAlignment="1">
      <alignment horizontal="center"/>
    </xf>
    <xf numFmtId="20" fontId="0" fillId="39" borderId="113" xfId="0" applyNumberFormat="1" applyFill="1" applyBorder="1" applyAlignment="1">
      <alignment horizontal="center"/>
    </xf>
    <xf numFmtId="0" fontId="0" fillId="39" borderId="113" xfId="0" applyFill="1" applyBorder="1" applyAlignment="1">
      <alignment horizontal="center"/>
    </xf>
    <xf numFmtId="9" fontId="1" fillId="0" borderId="74" xfId="39" applyFont="1" applyBorder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65" fontId="0" fillId="0" borderId="59" xfId="39" applyNumberFormat="1" applyFont="1" applyBorder="1" applyAlignment="1">
      <alignment horizontal="center"/>
    </xf>
    <xf numFmtId="10" fontId="84" fillId="0" borderId="0" xfId="0" applyNumberFormat="1" applyFont="1" applyAlignment="1"/>
    <xf numFmtId="165" fontId="39" fillId="0" borderId="0" xfId="0" applyNumberFormat="1" applyFont="1" applyAlignment="1"/>
    <xf numFmtId="10" fontId="39" fillId="0" borderId="0" xfId="39" applyNumberFormat="1" applyFont="1" applyAlignment="1">
      <alignment horizontal="center"/>
    </xf>
    <xf numFmtId="0" fontId="22" fillId="39" borderId="11" xfId="33" applyFill="1" applyBorder="1" applyProtection="1">
      <protection hidden="1"/>
    </xf>
    <xf numFmtId="10" fontId="69" fillId="0" borderId="63" xfId="39" applyNumberFormat="1" applyFont="1" applyBorder="1" applyAlignment="1">
      <alignment horizontal="center" vertical="center"/>
    </xf>
    <xf numFmtId="44" fontId="0" fillId="0" borderId="0" xfId="74" applyFont="1" applyAlignment="1"/>
    <xf numFmtId="20" fontId="40" fillId="39" borderId="56" xfId="0" applyNumberFormat="1" applyFont="1" applyFill="1" applyBorder="1" applyAlignment="1">
      <alignment horizontal="center" vertical="center"/>
    </xf>
    <xf numFmtId="0" fontId="60" fillId="0" borderId="65" xfId="0" applyFont="1" applyBorder="1" applyAlignment="1">
      <alignment horizontal="center" vertical="center"/>
    </xf>
    <xf numFmtId="0" fontId="0" fillId="39" borderId="70" xfId="0" applyFill="1" applyBorder="1" applyAlignment="1">
      <alignment horizontal="center" vertical="center"/>
    </xf>
    <xf numFmtId="20" fontId="40" fillId="0" borderId="18" xfId="0" applyNumberFormat="1" applyFont="1" applyBorder="1" applyAlignment="1">
      <alignment horizontal="center" vertical="center"/>
    </xf>
    <xf numFmtId="0" fontId="60" fillId="38" borderId="169" xfId="0" applyFont="1" applyFill="1" applyBorder="1" applyAlignment="1">
      <alignment horizontal="center" vertical="center"/>
    </xf>
    <xf numFmtId="0" fontId="60" fillId="38" borderId="170" xfId="0" applyFont="1" applyFill="1" applyBorder="1" applyAlignment="1">
      <alignment horizontal="center" vertical="center"/>
    </xf>
    <xf numFmtId="44" fontId="77" fillId="0" borderId="0" xfId="74" applyFont="1" applyAlignment="1">
      <alignment horizontal="center"/>
    </xf>
    <xf numFmtId="0" fontId="54" fillId="28" borderId="0" xfId="0" applyFont="1" applyFill="1" applyAlignment="1">
      <alignment horizontal="center"/>
    </xf>
    <xf numFmtId="0" fontId="1" fillId="41" borderId="0" xfId="0" applyFont="1" applyFill="1" applyAlignment="1">
      <alignment horizontal="center"/>
    </xf>
    <xf numFmtId="10" fontId="54" fillId="32" borderId="57" xfId="39" applyNumberFormat="1" applyFont="1" applyFill="1" applyBorder="1" applyAlignment="1">
      <alignment horizontal="center" vertical="center"/>
    </xf>
    <xf numFmtId="10" fontId="54" fillId="32" borderId="61" xfId="39" applyNumberFormat="1" applyFont="1" applyFill="1" applyBorder="1" applyAlignment="1">
      <alignment horizontal="center" vertical="center"/>
    </xf>
    <xf numFmtId="10" fontId="54" fillId="28" borderId="85" xfId="39" applyNumberFormat="1" applyFont="1" applyFill="1" applyBorder="1" applyAlignment="1">
      <alignment horizontal="center" vertical="center"/>
    </xf>
    <xf numFmtId="10" fontId="54" fillId="28" borderId="86" xfId="39" applyNumberFormat="1" applyFont="1" applyFill="1" applyBorder="1" applyAlignment="1">
      <alignment horizontal="center" vertical="center"/>
    </xf>
    <xf numFmtId="10" fontId="54" fillId="28" borderId="87" xfId="39" applyNumberFormat="1" applyFont="1" applyFill="1" applyBorder="1" applyAlignment="1">
      <alignment horizontal="center" vertical="center"/>
    </xf>
    <xf numFmtId="10" fontId="54" fillId="37" borderId="57" xfId="39" applyNumberFormat="1" applyFont="1" applyFill="1" applyBorder="1" applyAlignment="1">
      <alignment horizontal="center" vertical="center"/>
    </xf>
    <xf numFmtId="10" fontId="54" fillId="37" borderId="61" xfId="39" applyNumberFormat="1" applyFont="1" applyFill="1" applyBorder="1" applyAlignment="1">
      <alignment horizontal="center" vertical="center"/>
    </xf>
    <xf numFmtId="0" fontId="66" fillId="37" borderId="109" xfId="0" applyFont="1" applyFill="1" applyBorder="1" applyAlignment="1">
      <alignment horizontal="center" vertical="center"/>
    </xf>
    <xf numFmtId="0" fontId="66" fillId="37" borderId="0" xfId="0" applyFont="1" applyFill="1" applyAlignment="1">
      <alignment horizontal="center" vertical="center"/>
    </xf>
    <xf numFmtId="9" fontId="42" fillId="30" borderId="135" xfId="0" applyNumberFormat="1" applyFont="1" applyFill="1" applyBorder="1" applyAlignment="1">
      <alignment horizontal="center" vertical="center"/>
    </xf>
    <xf numFmtId="0" fontId="42" fillId="30" borderId="136" xfId="0" applyFont="1" applyFill="1" applyBorder="1" applyAlignment="1">
      <alignment horizontal="center" vertical="center"/>
    </xf>
    <xf numFmtId="0" fontId="0" fillId="0" borderId="0" xfId="0" applyFill="1" applyAlignment="1"/>
    <xf numFmtId="0" fontId="63" fillId="0" borderId="0" xfId="0" applyFont="1" applyFill="1" applyAlignment="1"/>
    <xf numFmtId="0" fontId="41" fillId="0" borderId="0" xfId="0" applyFont="1" applyFill="1" applyAlignment="1">
      <alignment horizontal="center" vertical="center"/>
    </xf>
    <xf numFmtId="20" fontId="40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76" fillId="0" borderId="0" xfId="0" applyFont="1" applyFill="1" applyAlignment="1"/>
    <xf numFmtId="20" fontId="46" fillId="0" borderId="110" xfId="0" applyNumberFormat="1" applyFont="1" applyFill="1" applyBorder="1" applyAlignment="1">
      <alignment horizontal="center" vertical="center"/>
    </xf>
    <xf numFmtId="0" fontId="69" fillId="0" borderId="53" xfId="0" applyFont="1" applyFill="1" applyBorder="1" applyAlignment="1">
      <alignment horizontal="center" vertical="center"/>
    </xf>
    <xf numFmtId="20" fontId="40" fillId="0" borderId="56" xfId="0" applyNumberFormat="1" applyFont="1" applyFill="1" applyBorder="1" applyAlignment="1">
      <alignment horizontal="center" vertical="center"/>
    </xf>
    <xf numFmtId="20" fontId="40" fillId="0" borderId="146" xfId="0" applyNumberFormat="1" applyFont="1" applyFill="1" applyBorder="1" applyAlignment="1">
      <alignment horizontal="center" vertical="center"/>
    </xf>
    <xf numFmtId="0" fontId="60" fillId="0" borderId="0" xfId="0" applyFont="1" applyFill="1" applyAlignment="1">
      <alignment horizontal="center" vertical="center"/>
    </xf>
    <xf numFmtId="0" fontId="0" fillId="0" borderId="70" xfId="0" applyFill="1" applyBorder="1" applyAlignment="1">
      <alignment horizontal="center" vertical="center"/>
    </xf>
  </cellXfs>
  <cellStyles count="77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ancel" xfId="21" xr:uid="{00000000-0005-0000-0000-000014000000}"/>
    <cellStyle name="Célula de Verificação" xfId="22" builtinId="23" customBuiltin="1"/>
    <cellStyle name="Célula Vinculada" xfId="23" builtinId="24" customBuiltin="1"/>
    <cellStyle name="Ênfase1" xfId="24" builtinId="29" customBuiltin="1"/>
    <cellStyle name="Ênfase2" xfId="25" builtinId="33" customBuiltin="1"/>
    <cellStyle name="Ênfase3" xfId="26" builtinId="37" customBuiltin="1"/>
    <cellStyle name="Ênfase4" xfId="27" builtinId="41" customBuiltin="1"/>
    <cellStyle name="Ênfase5" xfId="28" builtinId="45" customBuiltin="1"/>
    <cellStyle name="Ênfase6" xfId="29" builtinId="49" customBuiltin="1"/>
    <cellStyle name="Entrada" xfId="30" builtinId="20" customBuiltin="1"/>
    <cellStyle name="Estilo 1" xfId="31" xr:uid="{00000000-0005-0000-0000-00001E000000}"/>
    <cellStyle name="Moeda" xfId="74" builtinId="4"/>
    <cellStyle name="Moeda 2" xfId="60" xr:uid="{00000000-0005-0000-0000-000021000000}"/>
    <cellStyle name="Names" xfId="33" xr:uid="{00000000-0005-0000-0000-000022000000}"/>
    <cellStyle name="Neutro" xfId="34" builtinId="28" customBuiltin="1"/>
    <cellStyle name="Normal" xfId="0" builtinId="0"/>
    <cellStyle name="Normal 2" xfId="35" xr:uid="{00000000-0005-0000-0000-000025000000}"/>
    <cellStyle name="Normal 2 2" xfId="61" xr:uid="{00000000-0005-0000-0000-000026000000}"/>
    <cellStyle name="Normal 2 3" xfId="75" xr:uid="{00000000-0005-0000-0000-000027000000}"/>
    <cellStyle name="Normal 3" xfId="62" xr:uid="{00000000-0005-0000-0000-000028000000}"/>
    <cellStyle name="Normal 4" xfId="36" xr:uid="{00000000-0005-0000-0000-000029000000}"/>
    <cellStyle name="Normal 5" xfId="59" xr:uid="{00000000-0005-0000-0000-00002A000000}"/>
    <cellStyle name="Normal_TURBOTAB" xfId="37" xr:uid="{00000000-0005-0000-0000-00002B000000}"/>
    <cellStyle name="Nota" xfId="38" builtinId="10" customBuiltin="1"/>
    <cellStyle name="Porcentagem" xfId="39" builtinId="5"/>
    <cellStyle name="Porcentagem 2" xfId="40" xr:uid="{00000000-0005-0000-0000-00002E000000}"/>
    <cellStyle name="Porcentagem 2 2" xfId="64" xr:uid="{00000000-0005-0000-0000-00002F000000}"/>
    <cellStyle name="Porcentagem 2 3" xfId="65" xr:uid="{00000000-0005-0000-0000-000030000000}"/>
    <cellStyle name="Porcentagem 2 4" xfId="63" xr:uid="{00000000-0005-0000-0000-000031000000}"/>
    <cellStyle name="Porcentagem 3" xfId="41" xr:uid="{00000000-0005-0000-0000-000032000000}"/>
    <cellStyle name="Porcentagem 3 2" xfId="66" xr:uid="{00000000-0005-0000-0000-000033000000}"/>
    <cellStyle name="Porcentagem 4" xfId="42" xr:uid="{00000000-0005-0000-0000-000034000000}"/>
    <cellStyle name="Porcentagem 4 2" xfId="67" xr:uid="{00000000-0005-0000-0000-000035000000}"/>
    <cellStyle name="Porcentagem 5" xfId="43" xr:uid="{00000000-0005-0000-0000-000036000000}"/>
    <cellStyle name="PSChar" xfId="44" xr:uid="{00000000-0005-0000-0000-000037000000}"/>
    <cellStyle name="PSDec" xfId="45" xr:uid="{00000000-0005-0000-0000-000038000000}"/>
    <cellStyle name="Ruim" xfId="32" builtinId="27" customBuiltin="1"/>
    <cellStyle name="Saída" xfId="46" builtinId="21" customBuiltin="1"/>
    <cellStyle name="Separador de milhares 2" xfId="47" xr:uid="{00000000-0005-0000-0000-00003A000000}"/>
    <cellStyle name="Separador de milhares 2 2" xfId="69" xr:uid="{00000000-0005-0000-0000-00003B000000}"/>
    <cellStyle name="Separador de milhares 2 3" xfId="70" xr:uid="{00000000-0005-0000-0000-00003C000000}"/>
    <cellStyle name="Separador de milhares 2 4" xfId="68" xr:uid="{00000000-0005-0000-0000-00003D000000}"/>
    <cellStyle name="Separador de milhares 3" xfId="48" xr:uid="{00000000-0005-0000-0000-00003E000000}"/>
    <cellStyle name="Separador de milhares 3 2" xfId="71" xr:uid="{00000000-0005-0000-0000-00003F000000}"/>
    <cellStyle name="Separador de milhares 4" xfId="49" xr:uid="{00000000-0005-0000-0000-000040000000}"/>
    <cellStyle name="Separador de milhares 4 2" xfId="72" xr:uid="{00000000-0005-0000-0000-000041000000}"/>
    <cellStyle name="Separador de milhares_TURBOTAB" xfId="50" xr:uid="{00000000-0005-0000-0000-000042000000}"/>
    <cellStyle name="Texto de Aviso" xfId="51" builtinId="11" customBuiltin="1"/>
    <cellStyle name="Texto Explicativo" xfId="52" builtinId="53" customBuiltin="1"/>
    <cellStyle name="Título" xfId="53" builtinId="15" customBuiltin="1"/>
    <cellStyle name="Título 1" xfId="54" builtinId="16" customBuiltin="1"/>
    <cellStyle name="Título 2" xfId="55" builtinId="17" customBuiltin="1"/>
    <cellStyle name="Título 3" xfId="56" builtinId="18" customBuiltin="1"/>
    <cellStyle name="Título 4" xfId="57" builtinId="19" customBuiltin="1"/>
    <cellStyle name="Total" xfId="58" builtinId="25" customBuiltin="1"/>
    <cellStyle name="Vírgula" xfId="76" builtinId="3"/>
    <cellStyle name="Vírgula 2" xfId="73" xr:uid="{00000000-0005-0000-0000-00004C000000}"/>
  </cellStyles>
  <dxfs count="12"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3" tint="0.79998168889431442"/>
        </patternFill>
      </fill>
    </dxf>
    <dxf>
      <font>
        <b/>
        <i val="0"/>
        <color theme="0"/>
      </font>
      <fill>
        <patternFill>
          <bgColor theme="3" tint="-0.2499465926084170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3694AD"/>
      <rgbColor rgb="000000FF"/>
      <rgbColor rgb="00004C4C"/>
      <rgbColor rgb="00009286"/>
      <rgbColor rgb="0000526F"/>
      <rgbColor rgb="00800000"/>
      <rgbColor rgb="00008000"/>
      <rgbColor rgb="00000080"/>
      <rgbColor rgb="00808000"/>
      <rgbColor rgb="00800080"/>
      <rgbColor rgb="00008080"/>
      <rgbColor rgb="00E6E6E6"/>
      <rgbColor rgb="00808080"/>
      <rgbColor rgb="00009286"/>
      <rgbColor rgb="005D5D5D"/>
      <rgbColor rgb="00F3C000"/>
      <rgbColor rgb="00E6E6E6"/>
      <rgbColor rgb="003694AD"/>
      <rgbColor rgb="00FF8080"/>
      <rgbColor rgb="000066CC"/>
      <rgbColor rgb="00CCCCFF"/>
      <rgbColor rgb="00E6E6D7"/>
      <rgbColor rgb="00FF00FF"/>
      <rgbColor rgb="00FFFF00"/>
      <rgbColor rgb="0000FFFF"/>
      <rgbColor rgb="00800080"/>
      <rgbColor rgb="00800000"/>
      <rgbColor rgb="00008080"/>
      <rgbColor rgb="000000FF"/>
      <rgbColor rgb="00003E4C"/>
      <rgbColor rgb="00F5F5EB"/>
      <rgbColor rgb="00E1DD00"/>
      <rgbColor rgb="00F3C000"/>
      <rgbColor rgb="00E6E6D7"/>
      <rgbColor rgb="00808080"/>
      <rgbColor rgb="00B2B291"/>
      <rgbColor rgb="005D5D5D"/>
      <rgbColor rgb="003366FF"/>
      <rgbColor rgb="0033CCCC"/>
      <rgbColor rgb="0099CC00"/>
      <rgbColor rgb="00005E5D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00514C"/>
      <rgbColor rgb="00333399"/>
      <rgbColor rgb="00333333"/>
    </indexedColors>
    <mruColors>
      <color rgb="FFFFFFCC"/>
      <color rgb="FFFF00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sharedStrings" Target="sharedStrings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0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1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4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8.xml"/><Relationship Id="rId19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DIM!$D$19</c:f>
              <c:strCache>
                <c:ptCount val="1"/>
                <c:pt idx="0">
                  <c:v>NEC BR.</c:v>
                </c:pt>
              </c:strCache>
            </c:strRef>
          </c:tx>
          <c:marker>
            <c:symbol val="none"/>
          </c:marke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DIM!$D$20:$D$163</c:f>
              <c:numCache>
                <c:formatCode>0</c:formatCode>
                <c:ptCount val="14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19</c:v>
                </c:pt>
                <c:pt idx="55">
                  <c:v>19</c:v>
                </c:pt>
                <c:pt idx="56">
                  <c:v>19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8-4655-9521-31A6E8EC8CD0}"/>
            </c:ext>
          </c:extLst>
        </c:ser>
        <c:ser>
          <c:idx val="1"/>
          <c:order val="1"/>
          <c:tx>
            <c:strRef>
              <c:f>DIM!$E$19</c:f>
              <c:strCache>
                <c:ptCount val="1"/>
                <c:pt idx="0">
                  <c:v>DIM BR.</c:v>
                </c:pt>
              </c:strCache>
            </c:strRef>
          </c:tx>
          <c:marker>
            <c:symbol val="none"/>
          </c:marke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DIM!$E$20:$E$163</c:f>
              <c:numCache>
                <c:formatCode>0</c:formatCode>
                <c:ptCount val="14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16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38-4655-9521-31A6E8EC8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254832"/>
        <c:axId val="510457664"/>
      </c:lineChart>
      <c:catAx>
        <c:axId val="2222548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pt-BR" sz="600"/>
            </a:pPr>
            <a:endParaRPr lang="pt-BR"/>
          </a:p>
        </c:txPr>
        <c:crossAx val="510457664"/>
        <c:crosses val="autoZero"/>
        <c:auto val="1"/>
        <c:lblAlgn val="ctr"/>
        <c:lblOffset val="100"/>
        <c:noMultiLvlLbl val="0"/>
      </c:catAx>
      <c:valAx>
        <c:axId val="51045766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pt-BR" sz="700"/>
            </a:pPr>
            <a:endParaRPr lang="pt-BR"/>
          </a:p>
        </c:txPr>
        <c:crossAx val="22225483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pt-BR" sz="60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352" footer="0.3149606200000035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DIM!$D$19</c:f>
              <c:strCache>
                <c:ptCount val="1"/>
                <c:pt idx="0">
                  <c:v>NEC BR.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DIM!$D$20:$D$163</c:f>
              <c:numCache>
                <c:formatCode>0</c:formatCode>
                <c:ptCount val="14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19</c:v>
                </c:pt>
                <c:pt idx="55">
                  <c:v>19</c:v>
                </c:pt>
                <c:pt idx="56">
                  <c:v>19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7-4BBF-9218-873866DD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54528"/>
        <c:axId val="510454920"/>
      </c:areaChart>
      <c:lineChart>
        <c:grouping val="standard"/>
        <c:varyColors val="0"/>
        <c:ser>
          <c:idx val="1"/>
          <c:order val="1"/>
          <c:tx>
            <c:strRef>
              <c:f>DIM!$E$19</c:f>
              <c:strCache>
                <c:ptCount val="1"/>
                <c:pt idx="0">
                  <c:v>DIM BR.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DIM!$X$20:$X$163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DIM!$E$20:$E$163</c:f>
              <c:numCache>
                <c:formatCode>0</c:formatCode>
                <c:ptCount val="14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16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F7-4BBF-9218-873866DDA50C}"/>
            </c:ext>
          </c:extLst>
        </c:ser>
        <c:ser>
          <c:idx val="2"/>
          <c:order val="2"/>
          <c:tx>
            <c:strRef>
              <c:f>DIM!$W$19</c:f>
              <c:strCache>
                <c:ptCount val="1"/>
                <c:pt idx="0">
                  <c:v>HC HE</c:v>
                </c:pt>
              </c:strCache>
            </c:strRef>
          </c:tx>
          <c:spPr>
            <a:ln cmpd="sng">
              <a:prstDash val="dash"/>
            </a:ln>
          </c:spPr>
          <c:marker>
            <c:symbol val="none"/>
          </c:marker>
          <c:cat>
            <c:numRef>
              <c:f>DIM!$X$20:$X$163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DIM!$W$20:$W$163</c:f>
              <c:numCache>
                <c:formatCode>0</c:formatCode>
                <c:ptCount val="14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16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16</c:v>
                </c:pt>
                <c:pt idx="107">
                  <c:v>16</c:v>
                </c:pt>
                <c:pt idx="108">
                  <c:v>16</c:v>
                </c:pt>
                <c:pt idx="109">
                  <c:v>16</c:v>
                </c:pt>
                <c:pt idx="110">
                  <c:v>16</c:v>
                </c:pt>
                <c:pt idx="111">
                  <c:v>16</c:v>
                </c:pt>
                <c:pt idx="112">
                  <c:v>16</c:v>
                </c:pt>
                <c:pt idx="113">
                  <c:v>16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F7-4BBF-9218-873866DD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54528"/>
        <c:axId val="510454920"/>
      </c:lineChart>
      <c:catAx>
        <c:axId val="5104545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lang="pt-BR"/>
            </a:pPr>
            <a:endParaRPr lang="pt-BR"/>
          </a:p>
        </c:txPr>
        <c:crossAx val="510454920"/>
        <c:crosses val="autoZero"/>
        <c:auto val="1"/>
        <c:lblAlgn val="ctr"/>
        <c:lblOffset val="100"/>
        <c:noMultiLvlLbl val="0"/>
      </c:catAx>
      <c:valAx>
        <c:axId val="5104549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lang="pt-BR"/>
            </a:pPr>
            <a:endParaRPr lang="pt-BR"/>
          </a:p>
        </c:txPr>
        <c:crossAx val="51045452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pt-BR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352" footer="0.3149606200000035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pt-BR"/>
            </a:pPr>
            <a:r>
              <a:rPr lang="pt-BR"/>
              <a:t>Gráfico</a:t>
            </a:r>
            <a:r>
              <a:rPr lang="pt-BR" baseline="0"/>
              <a:t> Redutor de PAs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ysClr val="window" lastClr="FFFF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  <c:extLst>
              <c:ext xmlns:c16="http://schemas.microsoft.com/office/drawing/2014/chart" uri="{C3380CC4-5D6E-409C-BE32-E72D297353CC}">
                <c16:uniqueId val="{00000001-73E4-4ABE-8D41-107B9AD864CE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/>
              </a:solidFill>
            </c:spPr>
            <c:extLst>
              <c:ext xmlns:c16="http://schemas.microsoft.com/office/drawing/2014/chart" uri="{C3380CC4-5D6E-409C-BE32-E72D297353CC}">
                <c16:uniqueId val="{00000003-73E4-4ABE-8D41-107B9AD864CE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/>
              </a:solidFill>
            </c:spPr>
            <c:extLst>
              <c:ext xmlns:c16="http://schemas.microsoft.com/office/drawing/2014/chart" uri="{C3380CC4-5D6E-409C-BE32-E72D297353CC}">
                <c16:uniqueId val="{00000005-73E4-4ABE-8D41-107B9AD864C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3E4-4ABE-8D41-107B9AD864CE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pt-BR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E4-4ABE-8D41-107B9AD864CE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3E4-4ABE-8D41-107B9AD864C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DIM!$AA$4:$AA$13</c:f>
              <c:strCache>
                <c:ptCount val="10"/>
                <c:pt idx="0">
                  <c:v>PA DIM.</c:v>
                </c:pt>
                <c:pt idx="1">
                  <c:v>OVER C.</c:v>
                </c:pt>
                <c:pt idx="2">
                  <c:v>P. ESC.</c:v>
                </c:pt>
                <c:pt idx="3">
                  <c:v>ABS</c:v>
                </c:pt>
                <c:pt idx="4">
                  <c:v>TO</c:v>
                </c:pt>
                <c:pt idx="5">
                  <c:v>NR17</c:v>
                </c:pt>
                <c:pt idx="6">
                  <c:v>TREINA.</c:v>
                </c:pt>
                <c:pt idx="7">
                  <c:v>OUTROS</c:v>
                </c:pt>
                <c:pt idx="8">
                  <c:v>HE</c:v>
                </c:pt>
                <c:pt idx="9">
                  <c:v>PA LOG.</c:v>
                </c:pt>
              </c:strCache>
            </c:strRef>
          </c:cat>
          <c:val>
            <c:numRef>
              <c:f>DIM!$AB$4:$AB$13</c:f>
              <c:numCache>
                <c:formatCode>0</c:formatCode>
                <c:ptCount val="1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E4-4ABE-8D41-107B9AD864CE}"/>
            </c:ext>
          </c:extLst>
        </c:ser>
        <c:ser>
          <c:idx val="1"/>
          <c:order val="1"/>
          <c:spPr>
            <a:solidFill>
              <a:srgbClr val="FF0000"/>
            </a:solidFill>
          </c:spPr>
          <c:invertIfNegative val="0"/>
          <c:dPt>
            <c:idx val="8"/>
            <c:invertIfNegative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8-73E4-4ABE-8D41-107B9AD864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pt-BR" sz="1200" b="1"/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DIM!$AA$4:$AA$13</c:f>
              <c:strCache>
                <c:ptCount val="10"/>
                <c:pt idx="0">
                  <c:v>PA DIM.</c:v>
                </c:pt>
                <c:pt idx="1">
                  <c:v>OVER C.</c:v>
                </c:pt>
                <c:pt idx="2">
                  <c:v>P. ESC.</c:v>
                </c:pt>
                <c:pt idx="3">
                  <c:v>ABS</c:v>
                </c:pt>
                <c:pt idx="4">
                  <c:v>TO</c:v>
                </c:pt>
                <c:pt idx="5">
                  <c:v>NR17</c:v>
                </c:pt>
                <c:pt idx="6">
                  <c:v>TREINA.</c:v>
                </c:pt>
                <c:pt idx="7">
                  <c:v>OUTROS</c:v>
                </c:pt>
                <c:pt idx="8">
                  <c:v>HE</c:v>
                </c:pt>
                <c:pt idx="9">
                  <c:v>PA LOG.</c:v>
                </c:pt>
              </c:strCache>
            </c:strRef>
          </c:cat>
          <c:val>
            <c:numRef>
              <c:f>DIM!$AC$4:$AC$13</c:f>
              <c:numCache>
                <c:formatCode>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E4-4ABE-8D41-107B9AD86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overlap val="100"/>
        <c:axId val="510456096"/>
        <c:axId val="510452568"/>
      </c:barChart>
      <c:catAx>
        <c:axId val="510456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pt-BR"/>
            </a:pPr>
            <a:endParaRPr lang="pt-BR"/>
          </a:p>
        </c:txPr>
        <c:crossAx val="510452568"/>
        <c:crosses val="autoZero"/>
        <c:auto val="1"/>
        <c:lblAlgn val="ctr"/>
        <c:lblOffset val="100"/>
        <c:noMultiLvlLbl val="0"/>
      </c:catAx>
      <c:valAx>
        <c:axId val="510452568"/>
        <c:scaling>
          <c:orientation val="minMax"/>
        </c:scaling>
        <c:delete val="1"/>
        <c:axPos val="l"/>
        <c:numFmt formatCode="0" sourceLinked="1"/>
        <c:majorTickMark val="out"/>
        <c:minorTickMark val="none"/>
        <c:tickLblPos val="nextTo"/>
        <c:crossAx val="510456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263" footer="0.3149606200000026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DIM!$O$19</c:f>
              <c:strCache>
                <c:ptCount val="1"/>
                <c:pt idx="0">
                  <c:v>7h12min</c:v>
                </c:pt>
              </c:strCache>
            </c:strRef>
          </c:tx>
          <c:spPr>
            <a:solidFill>
              <a:srgbClr val="00B050">
                <a:alpha val="58000"/>
              </a:srgbClr>
            </a:solidFill>
            <a:ln w="25400">
              <a:noFill/>
            </a:ln>
          </c:spP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DIM!$O$20:$O$163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 formatCode="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D-4E38-AA60-FC3049CDDA04}"/>
            </c:ext>
          </c:extLst>
        </c:ser>
        <c:ser>
          <c:idx val="2"/>
          <c:order val="1"/>
          <c:tx>
            <c:strRef>
              <c:f>DIM!$N$19</c:f>
              <c:strCache>
                <c:ptCount val="1"/>
                <c:pt idx="0">
                  <c:v>6h20min</c:v>
                </c:pt>
              </c:strCache>
            </c:strRef>
          </c:tx>
          <c:spPr>
            <a:solidFill>
              <a:srgbClr val="0070C0">
                <a:alpha val="67000"/>
              </a:srgbClr>
            </a:solidFill>
            <a:ln w="25400">
              <a:noFill/>
            </a:ln>
          </c:spP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DIM!$N$20:$N$163</c:f>
              <c:numCache>
                <c:formatCode>General</c:formatCode>
                <c:ptCount val="144"/>
                <c:pt idx="0" formatCode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 formatCode="0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14</c:v>
                </c:pt>
                <c:pt idx="58">
                  <c:v>14</c:v>
                </c:pt>
                <c:pt idx="59" formatCode="0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 formatCode="0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 formatCode="0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 formatCode="0">
                  <c:v>10</c:v>
                </c:pt>
                <c:pt idx="93">
                  <c:v>10</c:v>
                </c:pt>
                <c:pt idx="94" formatCode="0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 formatCode="0">
                  <c:v>10</c:v>
                </c:pt>
                <c:pt idx="105">
                  <c:v>10</c:v>
                </c:pt>
                <c:pt idx="106">
                  <c:v>14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12</c:v>
                </c:pt>
                <c:pt idx="115" formatCode="0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 formatCode="0">
                  <c:v>12</c:v>
                </c:pt>
                <c:pt idx="120" formatCode="0">
                  <c:v>12</c:v>
                </c:pt>
                <c:pt idx="121" formatCode="0">
                  <c:v>8</c:v>
                </c:pt>
                <c:pt idx="122">
                  <c:v>8</c:v>
                </c:pt>
                <c:pt idx="123" formatCode="0">
                  <c:v>8</c:v>
                </c:pt>
                <c:pt idx="124">
                  <c:v>6</c:v>
                </c:pt>
                <c:pt idx="125">
                  <c:v>6</c:v>
                </c:pt>
                <c:pt idx="126" formatCode="0">
                  <c:v>6</c:v>
                </c:pt>
                <c:pt idx="127">
                  <c:v>6</c:v>
                </c:pt>
                <c:pt idx="128">
                  <c:v>6</c:v>
                </c:pt>
                <c:pt idx="129" formatCode="0">
                  <c:v>6</c:v>
                </c:pt>
                <c:pt idx="130">
                  <c:v>6</c:v>
                </c:pt>
                <c:pt idx="131" formatCode="0">
                  <c:v>6</c:v>
                </c:pt>
                <c:pt idx="132" formatCode="0">
                  <c:v>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D-4E38-AA60-FC3049CDDA04}"/>
            </c:ext>
          </c:extLst>
        </c:ser>
        <c:ser>
          <c:idx val="1"/>
          <c:order val="2"/>
          <c:tx>
            <c:strRef>
              <c:f>DIM!$M$19</c:f>
              <c:strCache>
                <c:ptCount val="1"/>
                <c:pt idx="0">
                  <c:v>5h20min</c:v>
                </c:pt>
              </c:strCache>
            </c:strRef>
          </c:tx>
          <c:spPr>
            <a:solidFill>
              <a:srgbClr val="FFC000">
                <a:alpha val="58000"/>
              </a:srgbClr>
            </a:solidFill>
          </c:spP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DIM!$M$20:$M$163</c:f>
              <c:numCache>
                <c:formatCode>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0D-4E38-AA60-FC3049CDDA04}"/>
            </c:ext>
          </c:extLst>
        </c:ser>
        <c:ser>
          <c:idx val="0"/>
          <c:order val="3"/>
          <c:tx>
            <c:strRef>
              <c:f>DIM!$L$19</c:f>
              <c:strCache>
                <c:ptCount val="1"/>
                <c:pt idx="0">
                  <c:v>6h20min (5X2)</c:v>
                </c:pt>
              </c:strCache>
            </c:strRef>
          </c:tx>
          <c:spPr>
            <a:solidFill>
              <a:srgbClr val="FF0000">
                <a:alpha val="52000"/>
              </a:srgbClr>
            </a:solidFill>
          </c:spP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DIM!$L$20:$L$163</c:f>
              <c:numCache>
                <c:formatCode>General</c:formatCode>
                <c:ptCount val="144"/>
                <c:pt idx="0" formatCode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0D-4E38-AA60-FC3049CDD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453352"/>
        <c:axId val="510458840"/>
      </c:areaChart>
      <c:lineChart>
        <c:grouping val="standard"/>
        <c:varyColors val="0"/>
        <c:ser>
          <c:idx val="4"/>
          <c:order val="4"/>
          <c:tx>
            <c:strRef>
              <c:f>DIM!$D$19</c:f>
              <c:strCache>
                <c:ptCount val="1"/>
                <c:pt idx="0">
                  <c:v>NEC BR.</c:v>
                </c:pt>
              </c:strCache>
            </c:strRef>
          </c:tx>
          <c:spPr>
            <a:ln w="41275">
              <a:solidFill>
                <a:schemeClr val="tx1"/>
              </a:solidFill>
            </a:ln>
          </c:spPr>
          <c:marker>
            <c:spPr>
              <a:ln>
                <a:noFill/>
              </a:ln>
            </c:spPr>
          </c:marker>
          <c:cat>
            <c:numRef>
              <c:f>DIM!$A$20:$A$163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2.0833333333333332E-2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0.66666666666666596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0.687499999999999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0.70833333333333204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0.72916666666666496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0.749999999999998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0.77083333333333104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0.79166666666666397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0.812499999999997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0.83333333333333004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0.85416666666666297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0.874999999999996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0.89583333333333004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0.91666666666666397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0.937499999999998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0.95833333333333204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0.97916666666666596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DIM!$D$20:$D$163</c:f>
              <c:numCache>
                <c:formatCode>0</c:formatCode>
                <c:ptCount val="144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16</c:v>
                </c:pt>
                <c:pt idx="52">
                  <c:v>16</c:v>
                </c:pt>
                <c:pt idx="53">
                  <c:v>16</c:v>
                </c:pt>
                <c:pt idx="54">
                  <c:v>19</c:v>
                </c:pt>
                <c:pt idx="55">
                  <c:v>19</c:v>
                </c:pt>
                <c:pt idx="56">
                  <c:v>19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16</c:v>
                </c:pt>
                <c:pt idx="88">
                  <c:v>16</c:v>
                </c:pt>
                <c:pt idx="89">
                  <c:v>16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16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16</c:v>
                </c:pt>
                <c:pt idx="103">
                  <c:v>16</c:v>
                </c:pt>
                <c:pt idx="104">
                  <c:v>16</c:v>
                </c:pt>
                <c:pt idx="105">
                  <c:v>16</c:v>
                </c:pt>
                <c:pt idx="106">
                  <c:v>16</c:v>
                </c:pt>
                <c:pt idx="107">
                  <c:v>16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13</c:v>
                </c:pt>
                <c:pt idx="115">
                  <c:v>13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13</c:v>
                </c:pt>
                <c:pt idx="120">
                  <c:v>13</c:v>
                </c:pt>
                <c:pt idx="121">
                  <c:v>13</c:v>
                </c:pt>
                <c:pt idx="122">
                  <c:v>13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6F0D-4E38-AA60-FC3049CDD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53352"/>
        <c:axId val="510458840"/>
      </c:lineChart>
      <c:catAx>
        <c:axId val="510453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pt-BR" sz="1400"/>
                </a:pPr>
                <a:r>
                  <a:rPr lang="pt-BR" sz="1400"/>
                  <a:t>Intervalo</a:t>
                </a:r>
                <a:r>
                  <a:rPr lang="pt-BR" sz="1400" baseline="0"/>
                  <a:t> do Dia</a:t>
                </a:r>
                <a:endParaRPr lang="pt-BR" sz="1400"/>
              </a:p>
            </c:rich>
          </c:tx>
          <c:overlay val="0"/>
        </c:title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lang="pt-BR" sz="1100"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510458840"/>
        <c:crosses val="autoZero"/>
        <c:auto val="1"/>
        <c:lblAlgn val="ctr"/>
        <c:lblOffset val="100"/>
        <c:noMultiLvlLbl val="0"/>
      </c:catAx>
      <c:valAx>
        <c:axId val="510458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1000"/>
                </a:schemeClr>
              </a:solidFill>
              <a:prstDash val="sysDot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pt-BR" sz="1800"/>
                </a:pPr>
                <a:r>
                  <a:rPr lang="pt-BR" sz="1800"/>
                  <a:t>Quantidade de HC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pt-BR" sz="1200" b="1"/>
            </a:pPr>
            <a:endParaRPr lang="pt-BR"/>
          </a:p>
        </c:txPr>
        <c:crossAx val="51045335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lang="pt-BR" sz="1200" b="1"/>
          </a:pPr>
          <a:endParaRPr lang="pt-BR"/>
        </a:p>
      </c:txPr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5">
    <tabColor rgb="FF92D050"/>
  </sheetPr>
  <sheetViews>
    <sheetView zoomScale="76" workbookViewId="0" zoomToFit="1"/>
  </sheetViews>
  <pageMargins left="0.511811024" right="0.511811024" top="0.78740157499999996" bottom="0.78740157499999996" header="0.31496062000000002" footer="0.31496062000000002"/>
  <drawing r:id="rId1"/>
  <legacy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$M$2" fmlaRange="CENTRA" noThreeD="1" sel="26" val="2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fmlaLink="DIM!$D$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checked="Checked" fmlaLink="$A$17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142875</xdr:colOff>
          <xdr:row>0</xdr:row>
          <xdr:rowOff>28575</xdr:rowOff>
        </xdr:from>
        <xdr:to>
          <xdr:col>32</xdr:col>
          <xdr:colOff>219075</xdr:colOff>
          <xdr:row>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Bookman Old Style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297655</xdr:colOff>
      <xdr:row>0</xdr:row>
      <xdr:rowOff>137772</xdr:rowOff>
    </xdr:from>
    <xdr:to>
      <xdr:col>12</xdr:col>
      <xdr:colOff>1238251</xdr:colOff>
      <xdr:row>2</xdr:row>
      <xdr:rowOff>178594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953124" y="137772"/>
          <a:ext cx="2369346" cy="421822"/>
        </a:xfrm>
        <a:prstGeom prst="roundRect">
          <a:avLst/>
        </a:prstGeom>
        <a:solidFill>
          <a:schemeClr val="tx2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0</xdr:row>
          <xdr:rowOff>142875</xdr:rowOff>
        </xdr:from>
        <xdr:to>
          <xdr:col>6</xdr:col>
          <xdr:colOff>295275</xdr:colOff>
          <xdr:row>3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Bookman Old Style"/>
                </a:rPr>
                <a:t>UPDATE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0</xdr:row>
          <xdr:rowOff>133350</xdr:rowOff>
        </xdr:from>
        <xdr:to>
          <xdr:col>7</xdr:col>
          <xdr:colOff>371475</xdr:colOff>
          <xdr:row>3</xdr:row>
          <xdr:rowOff>9525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Bookman Old Style"/>
                </a:rPr>
                <a:t>SAVE SCENARY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133350</xdr:rowOff>
        </xdr:from>
        <xdr:to>
          <xdr:col>10</xdr:col>
          <xdr:colOff>171450</xdr:colOff>
          <xdr:row>3</xdr:row>
          <xdr:rowOff>9525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Bookman Old Style"/>
                </a:rPr>
                <a:t>RUN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1</xdr:row>
          <xdr:rowOff>9525</xdr:rowOff>
        </xdr:from>
        <xdr:to>
          <xdr:col>12</xdr:col>
          <xdr:colOff>1057275</xdr:colOff>
          <xdr:row>2</xdr:row>
          <xdr:rowOff>123825</xdr:rowOff>
        </xdr:to>
        <xdr:sp macro="" textlink="">
          <xdr:nvSpPr>
            <xdr:cNvPr id="3089" name="DROPCENARIO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133350</xdr:rowOff>
        </xdr:from>
        <xdr:to>
          <xdr:col>8</xdr:col>
          <xdr:colOff>533400</xdr:colOff>
          <xdr:row>3</xdr:row>
          <xdr:rowOff>9525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4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Bookman Old Styl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66675</xdr:rowOff>
        </xdr:from>
        <xdr:to>
          <xdr:col>1</xdr:col>
          <xdr:colOff>247650</xdr:colOff>
          <xdr:row>3</xdr:row>
          <xdr:rowOff>238125</xdr:rowOff>
        </xdr:to>
        <xdr:sp macro="" textlink="">
          <xdr:nvSpPr>
            <xdr:cNvPr id="3103" name="Option 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4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3</xdr:row>
          <xdr:rowOff>57150</xdr:rowOff>
        </xdr:from>
        <xdr:to>
          <xdr:col>3</xdr:col>
          <xdr:colOff>123825</xdr:colOff>
          <xdr:row>3</xdr:row>
          <xdr:rowOff>247650</xdr:rowOff>
        </xdr:to>
        <xdr:sp macro="" textlink="">
          <xdr:nvSpPr>
            <xdr:cNvPr id="3104" name="Option 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4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214313</xdr:colOff>
      <xdr:row>3</xdr:row>
      <xdr:rowOff>47625</xdr:rowOff>
    </xdr:from>
    <xdr:to>
      <xdr:col>2</xdr:col>
      <xdr:colOff>523874</xdr:colOff>
      <xdr:row>3</xdr:row>
      <xdr:rowOff>297656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81001" y="619125"/>
          <a:ext cx="881061" cy="25003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70C0"/>
              </a:solidFill>
              <a:latin typeface="Bookman Old Style" panose="02050604050505020204" pitchFamily="18" charset="0"/>
            </a:rPr>
            <a:t>Erlang C</a:t>
          </a:r>
        </a:p>
      </xdr:txBody>
    </xdr:sp>
    <xdr:clientData/>
  </xdr:twoCellAnchor>
  <xdr:twoCellAnchor>
    <xdr:from>
      <xdr:col>3</xdr:col>
      <xdr:colOff>107158</xdr:colOff>
      <xdr:row>3</xdr:row>
      <xdr:rowOff>47624</xdr:rowOff>
    </xdr:from>
    <xdr:to>
      <xdr:col>5</xdr:col>
      <xdr:colOff>107159</xdr:colOff>
      <xdr:row>3</xdr:row>
      <xdr:rowOff>273843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416846" y="619124"/>
          <a:ext cx="1309688" cy="2262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70C0"/>
              </a:solidFill>
              <a:latin typeface="Bookman Old Style" panose="02050604050505020204" pitchFamily="18" charset="0"/>
            </a:rPr>
            <a:t>Capacidade</a:t>
          </a:r>
        </a:p>
      </xdr:txBody>
    </xdr:sp>
    <xdr:clientData/>
  </xdr:twoCellAnchor>
  <xdr:twoCellAnchor editAs="oneCell">
    <xdr:from>
      <xdr:col>12</xdr:col>
      <xdr:colOff>1336070</xdr:colOff>
      <xdr:row>0</xdr:row>
      <xdr:rowOff>130969</xdr:rowOff>
    </xdr:from>
    <xdr:to>
      <xdr:col>13</xdr:col>
      <xdr:colOff>11989</xdr:colOff>
      <xdr:row>2</xdr:row>
      <xdr:rowOff>142875</xdr:rowOff>
    </xdr:to>
    <xdr:pic macro="[0]!Exc_cenario">
      <xdr:nvPicPr>
        <xdr:cNvPr id="16" name="Imagem 15" descr="http://www.comofazer.com.br/wp-content/uploads/2012/06/Como-Excluir-um-Arquivo-300x3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0289" y="130969"/>
          <a:ext cx="402325" cy="3929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3</xdr:row>
          <xdr:rowOff>57150</xdr:rowOff>
        </xdr:from>
        <xdr:to>
          <xdr:col>10</xdr:col>
          <xdr:colOff>190500</xdr:colOff>
          <xdr:row>3</xdr:row>
          <xdr:rowOff>257175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4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MULTI RESUMO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9525</xdr:rowOff>
        </xdr:from>
        <xdr:to>
          <xdr:col>13</xdr:col>
          <xdr:colOff>190500</xdr:colOff>
          <xdr:row>4</xdr:row>
          <xdr:rowOff>152400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4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</xdr:row>
          <xdr:rowOff>66675</xdr:rowOff>
        </xdr:from>
        <xdr:to>
          <xdr:col>7</xdr:col>
          <xdr:colOff>361950</xdr:colOff>
          <xdr:row>3</xdr:row>
          <xdr:rowOff>257175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4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Bookman Old Style"/>
                </a:rPr>
                <a:t>IMPORTAR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15</xdr:col>
      <xdr:colOff>0</xdr:colOff>
      <xdr:row>18</xdr:row>
      <xdr:rowOff>123824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148877</xdr:colOff>
      <xdr:row>2</xdr:row>
      <xdr:rowOff>78442</xdr:rowOff>
    </xdr:from>
    <xdr:to>
      <xdr:col>25</xdr:col>
      <xdr:colOff>595592</xdr:colOff>
      <xdr:row>14</xdr:row>
      <xdr:rowOff>112060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23208</xdr:colOff>
      <xdr:row>1</xdr:row>
      <xdr:rowOff>89645</xdr:rowOff>
    </xdr:from>
    <xdr:to>
      <xdr:col>33</xdr:col>
      <xdr:colOff>629925</xdr:colOff>
      <xdr:row>14</xdr:row>
      <xdr:rowOff>112059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4</xdr:row>
          <xdr:rowOff>85725</xdr:rowOff>
        </xdr:from>
        <xdr:to>
          <xdr:col>14</xdr:col>
          <xdr:colOff>123825</xdr:colOff>
          <xdr:row>7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SAVE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13</xdr:row>
          <xdr:rowOff>19050</xdr:rowOff>
        </xdr:from>
        <xdr:to>
          <xdr:col>14</xdr:col>
          <xdr:colOff>123825</xdr:colOff>
          <xdr:row>14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7</xdr:row>
          <xdr:rowOff>66675</xdr:rowOff>
        </xdr:from>
        <xdr:to>
          <xdr:col>14</xdr:col>
          <xdr:colOff>123825</xdr:colOff>
          <xdr:row>9</xdr:row>
          <xdr:rowOff>133350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DELETE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10</xdr:row>
          <xdr:rowOff>47625</xdr:rowOff>
        </xdr:from>
        <xdr:to>
          <xdr:col>14</xdr:col>
          <xdr:colOff>123825</xdr:colOff>
          <xdr:row>12</xdr:row>
          <xdr:rowOff>114300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5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RUN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581025</xdr:colOff>
          <xdr:row>2</xdr:row>
          <xdr:rowOff>114300</xdr:rowOff>
        </xdr:from>
        <xdr:to>
          <xdr:col>19</xdr:col>
          <xdr:colOff>171450</xdr:colOff>
          <xdr:row>4</xdr:row>
          <xdr:rowOff>123825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5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Bookman Old Style"/>
                </a:rPr>
                <a:t>Detalhado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9</xdr:row>
          <xdr:rowOff>9525</xdr:rowOff>
        </xdr:from>
        <xdr:to>
          <xdr:col>0</xdr:col>
          <xdr:colOff>400050</xdr:colOff>
          <xdr:row>10</xdr:row>
          <xdr:rowOff>123825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5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Bookman Old Style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6</xdr:row>
          <xdr:rowOff>28575</xdr:rowOff>
        </xdr:from>
        <xdr:to>
          <xdr:col>16</xdr:col>
          <xdr:colOff>28575</xdr:colOff>
          <xdr:row>8</xdr:row>
          <xdr:rowOff>95250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RUN DIM/REG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13</xdr:row>
          <xdr:rowOff>19050</xdr:rowOff>
        </xdr:from>
        <xdr:to>
          <xdr:col>16</xdr:col>
          <xdr:colOff>28575</xdr:colOff>
          <xdr:row>14</xdr:row>
          <xdr:rowOff>57150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5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FF0000"/>
                  </a:solidFill>
                  <a:latin typeface="Bookman Old Style"/>
                </a:rPr>
                <a:t>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11</xdr:row>
          <xdr:rowOff>85725</xdr:rowOff>
        </xdr:from>
        <xdr:to>
          <xdr:col>16</xdr:col>
          <xdr:colOff>28575</xdr:colOff>
          <xdr:row>12</xdr:row>
          <xdr:rowOff>114300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5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FF0000"/>
                  </a:solidFill>
                  <a:latin typeface="Bookman Old Style"/>
                </a:rPr>
                <a:t>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4</xdr:row>
          <xdr:rowOff>85725</xdr:rowOff>
        </xdr:from>
        <xdr:to>
          <xdr:col>16</xdr:col>
          <xdr:colOff>28575</xdr:colOff>
          <xdr:row>5</xdr:row>
          <xdr:rowOff>123825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5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RUN BH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8</xdr:row>
          <xdr:rowOff>142875</xdr:rowOff>
        </xdr:from>
        <xdr:to>
          <xdr:col>16</xdr:col>
          <xdr:colOff>28575</xdr:colOff>
          <xdr:row>11</xdr:row>
          <xdr:rowOff>38100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5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RUN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45142</xdr:colOff>
      <xdr:row>14</xdr:row>
      <xdr:rowOff>134470</xdr:rowOff>
    </xdr:from>
    <xdr:to>
      <xdr:col>12</xdr:col>
      <xdr:colOff>116351</xdr:colOff>
      <xdr:row>16</xdr:row>
      <xdr:rowOff>56030</xdr:rowOff>
    </xdr:to>
    <xdr:sp macro="[0]!M1pp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7474642" y="2274794"/>
          <a:ext cx="362562" cy="145677"/>
        </a:xfrm>
        <a:prstGeom prst="rect">
          <a:avLst/>
        </a:prstGeom>
        <a:noFill/>
        <a:ln w="19050" cap="flat" cmpd="sng" algn="ctr">
          <a:solidFill>
            <a:srgbClr val="FFC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400" b="1"/>
            <a:t>+</a:t>
          </a:r>
        </a:p>
      </xdr:txBody>
    </xdr:sp>
    <xdr:clientData/>
  </xdr:twoCellAnchor>
  <xdr:twoCellAnchor>
    <xdr:from>
      <xdr:col>12</xdr:col>
      <xdr:colOff>173850</xdr:colOff>
      <xdr:row>14</xdr:row>
      <xdr:rowOff>134470</xdr:rowOff>
    </xdr:from>
    <xdr:to>
      <xdr:col>13</xdr:col>
      <xdr:colOff>242497</xdr:colOff>
      <xdr:row>16</xdr:row>
      <xdr:rowOff>56030</xdr:rowOff>
    </xdr:to>
    <xdr:sp macro="[0]!M2pp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7894703" y="2274794"/>
          <a:ext cx="360000" cy="145677"/>
        </a:xfrm>
        <a:prstGeom prst="rect">
          <a:avLst/>
        </a:prstGeom>
        <a:noFill/>
        <a:ln w="19050" cap="flat" cmpd="sng" algn="ctr">
          <a:solidFill>
            <a:srgbClr val="FFC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400" b="1"/>
            <a:t>-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38100</xdr:rowOff>
        </xdr:from>
        <xdr:to>
          <xdr:col>15</xdr:col>
          <xdr:colOff>419100</xdr:colOff>
          <xdr:row>1</xdr:row>
          <xdr:rowOff>9525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5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ANIMAÇÃO DE CORES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16</xdr:row>
          <xdr:rowOff>9525</xdr:rowOff>
        </xdr:from>
        <xdr:to>
          <xdr:col>6</xdr:col>
          <xdr:colOff>657225</xdr:colOff>
          <xdr:row>16</xdr:row>
          <xdr:rowOff>133350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5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Bookman Old Style"/>
                </a:rPr>
                <a:t>Avaliar Consistência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123825</xdr:rowOff>
        </xdr:from>
        <xdr:to>
          <xdr:col>14</xdr:col>
          <xdr:colOff>247650</xdr:colOff>
          <xdr:row>16</xdr:row>
          <xdr:rowOff>47625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5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Bookman Old Style"/>
                </a:rPr>
                <a:t>&lt;&gt;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145676</xdr:colOff>
      <xdr:row>0</xdr:row>
      <xdr:rowOff>0</xdr:rowOff>
    </xdr:from>
    <xdr:to>
      <xdr:col>25</xdr:col>
      <xdr:colOff>593910</xdr:colOff>
      <xdr:row>14</xdr:row>
      <xdr:rowOff>100852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9368117" y="0"/>
          <a:ext cx="4403911" cy="2241176"/>
        </a:xfrm>
        <a:prstGeom prst="roundRect">
          <a:avLst/>
        </a:prstGeom>
        <a:noFill/>
        <a:ln w="9525" cap="flat" cmpd="sng" algn="ctr">
          <a:solidFill>
            <a:srgbClr val="C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>
            <a:noFill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7796" cy="600325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228600</xdr:colOff>
          <xdr:row>0</xdr:row>
          <xdr:rowOff>57150</xdr:rowOff>
        </xdr:from>
        <xdr:to>
          <xdr:col>36</xdr:col>
          <xdr:colOff>466725</xdr:colOff>
          <xdr:row>0</xdr:row>
          <xdr:rowOff>276225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EXTRAIR PARA DIM RESUMO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581025</xdr:colOff>
          <xdr:row>0</xdr:row>
          <xdr:rowOff>38100</xdr:rowOff>
        </xdr:from>
        <xdr:to>
          <xdr:col>69</xdr:col>
          <xdr:colOff>381000</xdr:colOff>
          <xdr:row>0</xdr:row>
          <xdr:rowOff>276225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ESPECIAL 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581025</xdr:colOff>
          <xdr:row>0</xdr:row>
          <xdr:rowOff>57150</xdr:rowOff>
        </xdr:from>
        <xdr:to>
          <xdr:col>37</xdr:col>
          <xdr:colOff>790575</xdr:colOff>
          <xdr:row>0</xdr:row>
          <xdr:rowOff>276225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476250</xdr:colOff>
          <xdr:row>0</xdr:row>
          <xdr:rowOff>38100</xdr:rowOff>
        </xdr:from>
        <xdr:to>
          <xdr:col>66</xdr:col>
          <xdr:colOff>666750</xdr:colOff>
          <xdr:row>0</xdr:row>
          <xdr:rowOff>276225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GLOSSÁRIO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133350</xdr:colOff>
          <xdr:row>0</xdr:row>
          <xdr:rowOff>47625</xdr:rowOff>
        </xdr:from>
        <xdr:to>
          <xdr:col>116</xdr:col>
          <xdr:colOff>0</xdr:colOff>
          <xdr:row>0</xdr:row>
          <xdr:rowOff>276225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80"/>
                  </a:solidFill>
                  <a:latin typeface="Bookman Old Style"/>
                </a:rPr>
                <a:t>AVALIAR CONSISTENCIA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0</xdr:row>
          <xdr:rowOff>38100</xdr:rowOff>
        </xdr:from>
        <xdr:to>
          <xdr:col>19</xdr:col>
          <xdr:colOff>161925</xdr:colOff>
          <xdr:row>1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Bookman Old Style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46</xdr:row>
      <xdr:rowOff>152400</xdr:rowOff>
    </xdr:from>
    <xdr:to>
      <xdr:col>31</xdr:col>
      <xdr:colOff>476250</xdr:colOff>
      <xdr:row>52</xdr:row>
      <xdr:rowOff>133350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SpPr/>
      </xdr:nvSpPr>
      <xdr:spPr bwMode="auto">
        <a:xfrm>
          <a:off x="0" y="8915400"/>
          <a:ext cx="19945350" cy="1123950"/>
        </a:xfrm>
        <a:prstGeom prst="rect">
          <a:avLst/>
        </a:prstGeom>
        <a:solidFill>
          <a:schemeClr val="bg1">
            <a:lumMod val="50000"/>
          </a:schemeClr>
        </a:solidFill>
        <a:ln>
          <a:headEnd type="none" w="med" len="med"/>
          <a:tailEnd type="none" w="med" len="med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34</xdr:row>
      <xdr:rowOff>152400</xdr:rowOff>
    </xdr:from>
    <xdr:to>
      <xdr:col>24</xdr:col>
      <xdr:colOff>95250</xdr:colOff>
      <xdr:row>46</xdr:row>
      <xdr:rowOff>152400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 bwMode="auto">
        <a:xfrm>
          <a:off x="0" y="6629400"/>
          <a:ext cx="14763750" cy="2286000"/>
        </a:xfrm>
        <a:prstGeom prst="rect">
          <a:avLst/>
        </a:prstGeom>
        <a:solidFill>
          <a:srgbClr val="FFFFCC"/>
        </a:solidFill>
        <a:ln>
          <a:headEnd type="none" w="med" len="med"/>
          <a:tailEnd type="none" w="med" len="med"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467591</xdr:colOff>
      <xdr:row>20</xdr:row>
      <xdr:rowOff>173182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 bwMode="auto">
        <a:xfrm>
          <a:off x="2770909" y="0"/>
          <a:ext cx="952500" cy="3983182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13854</xdr:colOff>
      <xdr:row>0</xdr:row>
      <xdr:rowOff>51955</xdr:rowOff>
    </xdr:from>
    <xdr:to>
      <xdr:col>12</xdr:col>
      <xdr:colOff>0</xdr:colOff>
      <xdr:row>17</xdr:row>
      <xdr:rowOff>34637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 bwMode="auto">
        <a:xfrm>
          <a:off x="6525490" y="51955"/>
          <a:ext cx="713510" cy="3221182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31173</xdr:colOff>
      <xdr:row>0</xdr:row>
      <xdr:rowOff>0</xdr:rowOff>
    </xdr:from>
    <xdr:to>
      <xdr:col>17</xdr:col>
      <xdr:colOff>481446</xdr:colOff>
      <xdr:row>20</xdr:row>
      <xdr:rowOff>173182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 bwMode="auto">
        <a:xfrm>
          <a:off x="10041082" y="0"/>
          <a:ext cx="952500" cy="3983182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675409</xdr:colOff>
      <xdr:row>17</xdr:row>
      <xdr:rowOff>0</xdr:rowOff>
    </xdr:from>
    <xdr:to>
      <xdr:col>7</xdr:col>
      <xdr:colOff>311727</xdr:colOff>
      <xdr:row>20</xdr:row>
      <xdr:rowOff>1</xdr:rowOff>
    </xdr:to>
    <xdr:sp macro="" textlink="">
      <xdr:nvSpPr>
        <xdr:cNvPr id="14" name="Triângulo isósceles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 bwMode="auto">
        <a:xfrm>
          <a:off x="2753591" y="2476500"/>
          <a:ext cx="1991591" cy="571501"/>
        </a:xfrm>
        <a:prstGeom prst="triangle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671948</xdr:colOff>
      <xdr:row>27</xdr:row>
      <xdr:rowOff>169716</xdr:rowOff>
    </xdr:from>
    <xdr:to>
      <xdr:col>7</xdr:col>
      <xdr:colOff>277091</xdr:colOff>
      <xdr:row>30</xdr:row>
      <xdr:rowOff>155863</xdr:rowOff>
    </xdr:to>
    <xdr:sp macro="" textlink="">
      <xdr:nvSpPr>
        <xdr:cNvPr id="15" name="Triângulo isósceles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 bwMode="auto">
        <a:xfrm flipV="1">
          <a:off x="2750130" y="4551216"/>
          <a:ext cx="1960416" cy="557647"/>
        </a:xfrm>
        <a:prstGeom prst="triangle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671948</xdr:colOff>
      <xdr:row>13</xdr:row>
      <xdr:rowOff>17318</xdr:rowOff>
    </xdr:from>
    <xdr:to>
      <xdr:col>13</xdr:col>
      <xdr:colOff>103910</xdr:colOff>
      <xdr:row>17</xdr:row>
      <xdr:rowOff>13856</xdr:rowOff>
    </xdr:to>
    <xdr:sp macro="" textlink="">
      <xdr:nvSpPr>
        <xdr:cNvPr id="18" name="Triângulo isósceles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 bwMode="auto">
        <a:xfrm>
          <a:off x="6490857" y="1731818"/>
          <a:ext cx="1544780" cy="758538"/>
        </a:xfrm>
        <a:prstGeom prst="triangle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668484</xdr:colOff>
      <xdr:row>30</xdr:row>
      <xdr:rowOff>148935</xdr:rowOff>
    </xdr:from>
    <xdr:to>
      <xdr:col>13</xdr:col>
      <xdr:colOff>103909</xdr:colOff>
      <xdr:row>34</xdr:row>
      <xdr:rowOff>155863</xdr:rowOff>
    </xdr:to>
    <xdr:sp macro="" textlink="">
      <xdr:nvSpPr>
        <xdr:cNvPr id="20" name="Triângulo isósceles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 bwMode="auto">
        <a:xfrm flipV="1">
          <a:off x="6487393" y="5101935"/>
          <a:ext cx="1548243" cy="768928"/>
        </a:xfrm>
        <a:prstGeom prst="triangle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10393</xdr:colOff>
      <xdr:row>7</xdr:row>
      <xdr:rowOff>47624</xdr:rowOff>
    </xdr:from>
    <xdr:to>
      <xdr:col>19</xdr:col>
      <xdr:colOff>363682</xdr:colOff>
      <xdr:row>13</xdr:row>
      <xdr:rowOff>58016</xdr:rowOff>
    </xdr:to>
    <xdr:sp macro="" textlink="">
      <xdr:nvSpPr>
        <xdr:cNvPr id="22" name="Triângulo isósceles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 bwMode="auto">
        <a:xfrm>
          <a:off x="10011643" y="1381124"/>
          <a:ext cx="2043977" cy="1153392"/>
        </a:xfrm>
        <a:prstGeom prst="triangle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6930</xdr:colOff>
      <xdr:row>34</xdr:row>
      <xdr:rowOff>143738</xdr:rowOff>
    </xdr:from>
    <xdr:to>
      <xdr:col>19</xdr:col>
      <xdr:colOff>381000</xdr:colOff>
      <xdr:row>40</xdr:row>
      <xdr:rowOff>154131</xdr:rowOff>
    </xdr:to>
    <xdr:sp macro="" textlink="">
      <xdr:nvSpPr>
        <xdr:cNvPr id="24" name="Triângulo isósceles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 bwMode="auto">
        <a:xfrm flipV="1">
          <a:off x="9951030" y="6620738"/>
          <a:ext cx="2050470" cy="1153393"/>
        </a:xfrm>
        <a:prstGeom prst="triangle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20</xdr:row>
      <xdr:rowOff>1</xdr:rowOff>
    </xdr:from>
    <xdr:to>
      <xdr:col>4</xdr:col>
      <xdr:colOff>0</xdr:colOff>
      <xdr:row>23</xdr:row>
      <xdr:rowOff>176893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0" y="3048001"/>
          <a:ext cx="2770909" cy="74839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687038</xdr:colOff>
      <xdr:row>16</xdr:row>
      <xdr:rowOff>190499</xdr:rowOff>
    </xdr:from>
    <xdr:to>
      <xdr:col>10</xdr:col>
      <xdr:colOff>17318</xdr:colOff>
      <xdr:row>23</xdr:row>
      <xdr:rowOff>166006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 bwMode="auto">
        <a:xfrm>
          <a:off x="4150674" y="2476499"/>
          <a:ext cx="2793917" cy="130900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24</xdr:row>
      <xdr:rowOff>6433</xdr:rowOff>
    </xdr:from>
    <xdr:to>
      <xdr:col>4</xdr:col>
      <xdr:colOff>0</xdr:colOff>
      <xdr:row>27</xdr:row>
      <xdr:rowOff>183325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 bwMode="auto">
        <a:xfrm>
          <a:off x="0" y="3816433"/>
          <a:ext cx="2770909" cy="748392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8166</xdr:colOff>
      <xdr:row>23</xdr:row>
      <xdr:rowOff>187036</xdr:rowOff>
    </xdr:from>
    <xdr:to>
      <xdr:col>10</xdr:col>
      <xdr:colOff>17319</xdr:colOff>
      <xdr:row>30</xdr:row>
      <xdr:rowOff>162543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 bwMode="auto">
        <a:xfrm>
          <a:off x="4164530" y="3806536"/>
          <a:ext cx="2780062" cy="130900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25483</xdr:colOff>
      <xdr:row>13</xdr:row>
      <xdr:rowOff>17319</xdr:rowOff>
    </xdr:from>
    <xdr:to>
      <xdr:col>16</xdr:col>
      <xdr:colOff>17319</xdr:colOff>
      <xdr:row>23</xdr:row>
      <xdr:rowOff>179861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 bwMode="auto">
        <a:xfrm>
          <a:off x="8338210" y="1731819"/>
          <a:ext cx="2762745" cy="206754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22019</xdr:colOff>
      <xdr:row>23</xdr:row>
      <xdr:rowOff>187037</xdr:rowOff>
    </xdr:from>
    <xdr:to>
      <xdr:col>16</xdr:col>
      <xdr:colOff>13855</xdr:colOff>
      <xdr:row>34</xdr:row>
      <xdr:rowOff>159079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 bwMode="auto">
        <a:xfrm>
          <a:off x="8334746" y="3806537"/>
          <a:ext cx="2762745" cy="2067542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39336</xdr:colOff>
      <xdr:row>7</xdr:row>
      <xdr:rowOff>0</xdr:rowOff>
    </xdr:from>
    <xdr:to>
      <xdr:col>22</xdr:col>
      <xdr:colOff>34636</xdr:colOff>
      <xdr:row>23</xdr:row>
      <xdr:rowOff>176397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 bwMode="auto">
        <a:xfrm>
          <a:off x="11053700" y="571500"/>
          <a:ext cx="2766209" cy="322439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58448</xdr:colOff>
      <xdr:row>24</xdr:row>
      <xdr:rowOff>0</xdr:rowOff>
    </xdr:from>
    <xdr:to>
      <xdr:col>22</xdr:col>
      <xdr:colOff>53748</xdr:colOff>
      <xdr:row>40</xdr:row>
      <xdr:rowOff>176397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 bwMode="auto">
        <a:xfrm>
          <a:off x="11059823" y="4572000"/>
          <a:ext cx="2757550" cy="322439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689266</xdr:colOff>
      <xdr:row>19</xdr:row>
      <xdr:rowOff>187037</xdr:rowOff>
    </xdr:from>
    <xdr:to>
      <xdr:col>6</xdr:col>
      <xdr:colOff>0</xdr:colOff>
      <xdr:row>23</xdr:row>
      <xdr:rowOff>173429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 bwMode="auto">
        <a:xfrm>
          <a:off x="2767448" y="3044537"/>
          <a:ext cx="973279" cy="748392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685802</xdr:colOff>
      <xdr:row>23</xdr:row>
      <xdr:rowOff>183573</xdr:rowOff>
    </xdr:from>
    <xdr:to>
      <xdr:col>6</xdr:col>
      <xdr:colOff>0</xdr:colOff>
      <xdr:row>27</xdr:row>
      <xdr:rowOff>169965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 bwMode="auto">
        <a:xfrm>
          <a:off x="2763984" y="3803073"/>
          <a:ext cx="976743" cy="748392"/>
        </a:xfrm>
        <a:prstGeom prst="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685803</xdr:colOff>
      <xdr:row>17</xdr:row>
      <xdr:rowOff>17318</xdr:rowOff>
    </xdr:from>
    <xdr:to>
      <xdr:col>12</xdr:col>
      <xdr:colOff>13857</xdr:colOff>
      <xdr:row>23</xdr:row>
      <xdr:rowOff>169966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 bwMode="auto">
        <a:xfrm>
          <a:off x="6920348" y="2493818"/>
          <a:ext cx="1406236" cy="1295648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4762</xdr:colOff>
      <xdr:row>24</xdr:row>
      <xdr:rowOff>6928</xdr:rowOff>
    </xdr:from>
    <xdr:to>
      <xdr:col>12</xdr:col>
      <xdr:colOff>15156</xdr:colOff>
      <xdr:row>30</xdr:row>
      <xdr:rowOff>155864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 bwMode="auto">
        <a:xfrm>
          <a:off x="6443662" y="4578928"/>
          <a:ext cx="772394" cy="1291936"/>
        </a:xfrm>
        <a:prstGeom prst="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30742</xdr:colOff>
      <xdr:row>13</xdr:row>
      <xdr:rowOff>41130</xdr:rowOff>
    </xdr:from>
    <xdr:to>
      <xdr:col>18</xdr:col>
      <xdr:colOff>41131</xdr:colOff>
      <xdr:row>23</xdr:row>
      <xdr:rowOff>190314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 bwMode="auto">
        <a:xfrm>
          <a:off x="10040651" y="2517630"/>
          <a:ext cx="1014844" cy="2054184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39835</xdr:colOff>
      <xdr:row>24</xdr:row>
      <xdr:rowOff>3464</xdr:rowOff>
    </xdr:from>
    <xdr:to>
      <xdr:col>18</xdr:col>
      <xdr:colOff>60616</xdr:colOff>
      <xdr:row>34</xdr:row>
      <xdr:rowOff>155864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 bwMode="auto">
        <a:xfrm>
          <a:off x="9983935" y="4575464"/>
          <a:ext cx="1011381" cy="2057400"/>
        </a:xfrm>
        <a:prstGeom prst="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31173</xdr:colOff>
      <xdr:row>0</xdr:row>
      <xdr:rowOff>0</xdr:rowOff>
    </xdr:from>
    <xdr:to>
      <xdr:col>23</xdr:col>
      <xdr:colOff>481446</xdr:colOff>
      <xdr:row>20</xdr:row>
      <xdr:rowOff>173182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/>
      </xdr:nvSpPr>
      <xdr:spPr bwMode="auto">
        <a:xfrm>
          <a:off x="10041082" y="0"/>
          <a:ext cx="952500" cy="3983182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685803</xdr:colOff>
      <xdr:row>0</xdr:row>
      <xdr:rowOff>173182</xdr:rowOff>
    </xdr:from>
    <xdr:to>
      <xdr:col>25</xdr:col>
      <xdr:colOff>346364</xdr:colOff>
      <xdr:row>6</xdr:row>
      <xdr:rowOff>183574</xdr:rowOff>
    </xdr:to>
    <xdr:sp macro="" textlink="">
      <xdr:nvSpPr>
        <xdr:cNvPr id="33" name="Triângulo isósceles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/>
      </xdr:nvSpPr>
      <xdr:spPr bwMode="auto">
        <a:xfrm>
          <a:off x="13778348" y="173182"/>
          <a:ext cx="2050471" cy="1153392"/>
        </a:xfrm>
        <a:prstGeom prst="triangle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48061</xdr:colOff>
      <xdr:row>40</xdr:row>
      <xdr:rowOff>180106</xdr:rowOff>
    </xdr:from>
    <xdr:to>
      <xdr:col>25</xdr:col>
      <xdr:colOff>422131</xdr:colOff>
      <xdr:row>47</xdr:row>
      <xdr:rowOff>-1</xdr:rowOff>
    </xdr:to>
    <xdr:sp macro="" textlink="">
      <xdr:nvSpPr>
        <xdr:cNvPr id="34" name="Triângulo isósceles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/>
      </xdr:nvSpPr>
      <xdr:spPr bwMode="auto">
        <a:xfrm flipV="1">
          <a:off x="13811686" y="7800106"/>
          <a:ext cx="2064758" cy="1153393"/>
        </a:xfrm>
        <a:prstGeom prst="triangle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39336</xdr:colOff>
      <xdr:row>0</xdr:row>
      <xdr:rowOff>173182</xdr:rowOff>
    </xdr:from>
    <xdr:to>
      <xdr:col>28</xdr:col>
      <xdr:colOff>34636</xdr:colOff>
      <xdr:row>23</xdr:row>
      <xdr:rowOff>176397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 bwMode="auto">
        <a:xfrm>
          <a:off x="14829063" y="173182"/>
          <a:ext cx="2766209" cy="438471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58448</xdr:colOff>
      <xdr:row>23</xdr:row>
      <xdr:rowOff>171450</xdr:rowOff>
    </xdr:from>
    <xdr:to>
      <xdr:col>28</xdr:col>
      <xdr:colOff>53748</xdr:colOff>
      <xdr:row>46</xdr:row>
      <xdr:rowOff>171450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 bwMode="auto">
        <a:xfrm>
          <a:off x="14726948" y="4552950"/>
          <a:ext cx="2738500" cy="43815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48060</xdr:colOff>
      <xdr:row>6</xdr:row>
      <xdr:rowOff>155864</xdr:rowOff>
    </xdr:from>
    <xdr:to>
      <xdr:col>24</xdr:col>
      <xdr:colOff>58449</xdr:colOff>
      <xdr:row>23</xdr:row>
      <xdr:rowOff>166502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 bwMode="auto">
        <a:xfrm>
          <a:off x="13811685" y="1298864"/>
          <a:ext cx="1010514" cy="3249138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38103</xdr:colOff>
      <xdr:row>24</xdr:row>
      <xdr:rowOff>3464</xdr:rowOff>
    </xdr:from>
    <xdr:to>
      <xdr:col>24</xdr:col>
      <xdr:colOff>58884</xdr:colOff>
      <xdr:row>41</xdr:row>
      <xdr:rowOff>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 bwMode="auto">
        <a:xfrm>
          <a:off x="13823376" y="4575464"/>
          <a:ext cx="1025235" cy="3235036"/>
        </a:xfrm>
        <a:prstGeom prst="rect">
          <a:avLst/>
        </a:prstGeom>
        <a:solidFill>
          <a:srgbClr val="00206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639040</xdr:colOff>
      <xdr:row>17</xdr:row>
      <xdr:rowOff>72737</xdr:rowOff>
    </xdr:from>
    <xdr:ext cx="1401346" cy="468013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SpPr txBox="1"/>
      </xdr:nvSpPr>
      <xdr:spPr>
        <a:xfrm>
          <a:off x="639040" y="3311237"/>
          <a:ext cx="140134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0"/>
            <a:t>SL Month</a:t>
          </a:r>
        </a:p>
      </xdr:txBody>
    </xdr:sp>
    <xdr:clientData/>
  </xdr:oneCellAnchor>
  <xdr:oneCellAnchor>
    <xdr:from>
      <xdr:col>0</xdr:col>
      <xdr:colOff>516081</xdr:colOff>
      <xdr:row>28</xdr:row>
      <xdr:rowOff>48491</xdr:rowOff>
    </xdr:from>
    <xdr:ext cx="1659685" cy="468013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SpPr txBox="1"/>
      </xdr:nvSpPr>
      <xdr:spPr>
        <a:xfrm>
          <a:off x="516081" y="5382491"/>
          <a:ext cx="165968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0" baseline="0"/>
            <a:t>OCC Month</a:t>
          </a:r>
          <a:endParaRPr lang="pt-BR" sz="2400" b="0"/>
        </a:p>
      </xdr:txBody>
    </xdr:sp>
    <xdr:clientData/>
  </xdr:oneCellAnchor>
  <xdr:oneCellAnchor>
    <xdr:from>
      <xdr:col>0</xdr:col>
      <xdr:colOff>86590</xdr:colOff>
      <xdr:row>0</xdr:row>
      <xdr:rowOff>103908</xdr:rowOff>
    </xdr:from>
    <xdr:ext cx="5315366" cy="530658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 txBox="1"/>
      </xdr:nvSpPr>
      <xdr:spPr>
        <a:xfrm>
          <a:off x="86590" y="103908"/>
          <a:ext cx="5315366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/>
            <a:t>Resumo de Cenário Dimensionado</a:t>
          </a:r>
        </a:p>
      </xdr:txBody>
    </xdr:sp>
    <xdr:clientData/>
  </xdr:oneCellAnchor>
  <xdr:oneCellAnchor>
    <xdr:from>
      <xdr:col>6</xdr:col>
      <xdr:colOff>429492</xdr:colOff>
      <xdr:row>14</xdr:row>
      <xdr:rowOff>48491</xdr:rowOff>
    </xdr:from>
    <xdr:ext cx="1990032" cy="468013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SpPr txBox="1"/>
      </xdr:nvSpPr>
      <xdr:spPr>
        <a:xfrm>
          <a:off x="4170219" y="2715491"/>
          <a:ext cx="199003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0"/>
            <a:t>Financial Data</a:t>
          </a:r>
        </a:p>
      </xdr:txBody>
    </xdr:sp>
    <xdr:clientData/>
  </xdr:oneCellAnchor>
  <xdr:twoCellAnchor>
    <xdr:from>
      <xdr:col>28</xdr:col>
      <xdr:colOff>81395</xdr:colOff>
      <xdr:row>30</xdr:row>
      <xdr:rowOff>1732</xdr:rowOff>
    </xdr:from>
    <xdr:to>
      <xdr:col>32</xdr:col>
      <xdr:colOff>507423</xdr:colOff>
      <xdr:row>46</xdr:row>
      <xdr:rowOff>140277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 bwMode="auto">
        <a:xfrm>
          <a:off x="17493095" y="5716732"/>
          <a:ext cx="3169228" cy="3186545"/>
        </a:xfrm>
        <a:prstGeom prst="ellipse">
          <a:avLst/>
        </a:prstGeom>
        <a:solidFill>
          <a:schemeClr val="tx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481012</xdr:colOff>
      <xdr:row>31</xdr:row>
      <xdr:rowOff>180974</xdr:rowOff>
    </xdr:from>
    <xdr:to>
      <xdr:col>32</xdr:col>
      <xdr:colOff>128587</xdr:colOff>
      <xdr:row>44</xdr:row>
      <xdr:rowOff>157163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SpPr/>
      </xdr:nvSpPr>
      <xdr:spPr bwMode="auto">
        <a:xfrm>
          <a:off x="17892712" y="6086474"/>
          <a:ext cx="2390775" cy="2452689"/>
        </a:xfrm>
        <a:prstGeom prst="ellipse">
          <a:avLst/>
        </a:prstGeom>
        <a:ln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195695</xdr:colOff>
      <xdr:row>35</xdr:row>
      <xdr:rowOff>173182</xdr:rowOff>
    </xdr:from>
    <xdr:to>
      <xdr:col>33</xdr:col>
      <xdr:colOff>621723</xdr:colOff>
      <xdr:row>52</xdr:row>
      <xdr:rowOff>121227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SpPr/>
      </xdr:nvSpPr>
      <xdr:spPr bwMode="auto">
        <a:xfrm>
          <a:off x="18293195" y="6840682"/>
          <a:ext cx="3169228" cy="3186545"/>
        </a:xfrm>
        <a:prstGeom prst="ellipse">
          <a:avLst/>
        </a:prstGeom>
        <a:solidFill>
          <a:schemeClr val="tx1"/>
        </a:solidFill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595312</xdr:colOff>
      <xdr:row>37</xdr:row>
      <xdr:rowOff>180974</xdr:rowOff>
    </xdr:from>
    <xdr:to>
      <xdr:col>33</xdr:col>
      <xdr:colOff>242887</xdr:colOff>
      <xdr:row>50</xdr:row>
      <xdr:rowOff>157163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SpPr/>
      </xdr:nvSpPr>
      <xdr:spPr bwMode="auto">
        <a:xfrm>
          <a:off x="18692812" y="7229474"/>
          <a:ext cx="2390775" cy="2452689"/>
        </a:xfrm>
        <a:prstGeom prst="ellipse">
          <a:avLst/>
        </a:prstGeom>
        <a:ln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266700</xdr:colOff>
      <xdr:row>46</xdr:row>
      <xdr:rowOff>152400</xdr:rowOff>
    </xdr:from>
    <xdr:to>
      <xdr:col>3</xdr:col>
      <xdr:colOff>38100</xdr:colOff>
      <xdr:row>52</xdr:row>
      <xdr:rowOff>152400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 bwMode="auto">
        <a:xfrm>
          <a:off x="163830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46</xdr:row>
      <xdr:rowOff>152400</xdr:rowOff>
    </xdr:from>
    <xdr:to>
      <xdr:col>4</xdr:col>
      <xdr:colOff>133350</xdr:colOff>
      <xdr:row>52</xdr:row>
      <xdr:rowOff>152400</xdr:rowOff>
    </xdr:to>
    <xdr:cxnSp macro="">
      <xdr:nvCxnSpPr>
        <xdr:cNvPr id="47" name="Conector reto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CxnSpPr/>
      </xdr:nvCxnSpPr>
      <xdr:spPr bwMode="auto">
        <a:xfrm>
          <a:off x="24193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438150</xdr:colOff>
      <xdr:row>46</xdr:row>
      <xdr:rowOff>133350</xdr:rowOff>
    </xdr:from>
    <xdr:to>
      <xdr:col>5</xdr:col>
      <xdr:colOff>419100</xdr:colOff>
      <xdr:row>52</xdr:row>
      <xdr:rowOff>133350</xdr:rowOff>
    </xdr:to>
    <xdr:cxnSp macro="">
      <xdr:nvCxnSpPr>
        <xdr:cNvPr id="48" name="Conector reto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CxnSpPr/>
      </xdr:nvCxnSpPr>
      <xdr:spPr bwMode="auto">
        <a:xfrm>
          <a:off x="3181350" y="88963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285750</xdr:colOff>
      <xdr:row>46</xdr:row>
      <xdr:rowOff>152400</xdr:rowOff>
    </xdr:from>
    <xdr:to>
      <xdr:col>7</xdr:col>
      <xdr:colOff>57150</xdr:colOff>
      <xdr:row>52</xdr:row>
      <xdr:rowOff>152400</xdr:rowOff>
    </xdr:to>
    <xdr:cxnSp macro="">
      <xdr:nvCxnSpPr>
        <xdr:cNvPr id="49" name="Conector reto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CxnSpPr/>
      </xdr:nvCxnSpPr>
      <xdr:spPr bwMode="auto">
        <a:xfrm>
          <a:off x="39814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400050</xdr:colOff>
      <xdr:row>46</xdr:row>
      <xdr:rowOff>171450</xdr:rowOff>
    </xdr:from>
    <xdr:to>
      <xdr:col>8</xdr:col>
      <xdr:colOff>171450</xdr:colOff>
      <xdr:row>52</xdr:row>
      <xdr:rowOff>171450</xdr:rowOff>
    </xdr:to>
    <xdr:cxnSp macro="">
      <xdr:nvCxnSpPr>
        <xdr:cNvPr id="50" name="Conector reto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CxnSpPr/>
      </xdr:nvCxnSpPr>
      <xdr:spPr bwMode="auto">
        <a:xfrm>
          <a:off x="4781550" y="89344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</xdr:colOff>
      <xdr:row>46</xdr:row>
      <xdr:rowOff>152400</xdr:rowOff>
    </xdr:from>
    <xdr:to>
      <xdr:col>0</xdr:col>
      <xdr:colOff>514350</xdr:colOff>
      <xdr:row>52</xdr:row>
      <xdr:rowOff>152400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 bwMode="auto">
        <a:xfrm>
          <a:off x="571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46</xdr:row>
      <xdr:rowOff>152400</xdr:rowOff>
    </xdr:from>
    <xdr:to>
      <xdr:col>1</xdr:col>
      <xdr:colOff>609600</xdr:colOff>
      <xdr:row>52</xdr:row>
      <xdr:rowOff>152400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 bwMode="auto">
        <a:xfrm>
          <a:off x="83820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304800</xdr:colOff>
      <xdr:row>46</xdr:row>
      <xdr:rowOff>152400</xdr:rowOff>
    </xdr:from>
    <xdr:to>
      <xdr:col>12</xdr:col>
      <xdr:colOff>381000</xdr:colOff>
      <xdr:row>52</xdr:row>
      <xdr:rowOff>152400</xdr:rowOff>
    </xdr:to>
    <xdr:cxnSp macro="">
      <xdr:nvCxnSpPr>
        <xdr:cNvPr id="53" name="Conector reto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CxnSpPr/>
      </xdr:nvCxnSpPr>
      <xdr:spPr bwMode="auto">
        <a:xfrm>
          <a:off x="712470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46</xdr:row>
      <xdr:rowOff>152400</xdr:rowOff>
    </xdr:from>
    <xdr:to>
      <xdr:col>13</xdr:col>
      <xdr:colOff>476250</xdr:colOff>
      <xdr:row>52</xdr:row>
      <xdr:rowOff>152400</xdr:rowOff>
    </xdr:to>
    <xdr:cxnSp macro="">
      <xdr:nvCxnSpPr>
        <xdr:cNvPr id="54" name="Conector reto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CxnSpPr/>
      </xdr:nvCxnSpPr>
      <xdr:spPr bwMode="auto">
        <a:xfrm>
          <a:off x="79057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46</xdr:row>
      <xdr:rowOff>133350</xdr:rowOff>
    </xdr:from>
    <xdr:to>
      <xdr:col>14</xdr:col>
      <xdr:colOff>552450</xdr:colOff>
      <xdr:row>52</xdr:row>
      <xdr:rowOff>133350</xdr:rowOff>
    </xdr:to>
    <xdr:cxnSp macro="">
      <xdr:nvCxnSpPr>
        <xdr:cNvPr id="55" name="Conector reto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CxnSpPr/>
      </xdr:nvCxnSpPr>
      <xdr:spPr bwMode="auto">
        <a:xfrm>
          <a:off x="8667750" y="88963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209550</xdr:colOff>
      <xdr:row>46</xdr:row>
      <xdr:rowOff>152400</xdr:rowOff>
    </xdr:from>
    <xdr:to>
      <xdr:col>15</xdr:col>
      <xdr:colOff>666750</xdr:colOff>
      <xdr:row>52</xdr:row>
      <xdr:rowOff>152400</xdr:rowOff>
    </xdr:to>
    <xdr:cxnSp macro="">
      <xdr:nvCxnSpPr>
        <xdr:cNvPr id="56" name="Conector reto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CxnSpPr/>
      </xdr:nvCxnSpPr>
      <xdr:spPr bwMode="auto">
        <a:xfrm>
          <a:off x="94678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323850</xdr:colOff>
      <xdr:row>46</xdr:row>
      <xdr:rowOff>171450</xdr:rowOff>
    </xdr:from>
    <xdr:to>
      <xdr:col>17</xdr:col>
      <xdr:colOff>285750</xdr:colOff>
      <xdr:row>52</xdr:row>
      <xdr:rowOff>171450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CxnSpPr/>
      </xdr:nvCxnSpPr>
      <xdr:spPr bwMode="auto">
        <a:xfrm>
          <a:off x="10267950" y="89344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476250</xdr:colOff>
      <xdr:row>46</xdr:row>
      <xdr:rowOff>152400</xdr:rowOff>
    </xdr:from>
    <xdr:to>
      <xdr:col>9</xdr:col>
      <xdr:colOff>247650</xdr:colOff>
      <xdr:row>52</xdr:row>
      <xdr:rowOff>152400</xdr:rowOff>
    </xdr:to>
    <xdr:cxnSp macro="">
      <xdr:nvCxnSpPr>
        <xdr:cNvPr id="58" name="Conector reto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CxnSpPr/>
      </xdr:nvCxnSpPr>
      <xdr:spPr bwMode="auto">
        <a:xfrm>
          <a:off x="55435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571500</xdr:colOff>
      <xdr:row>46</xdr:row>
      <xdr:rowOff>152400</xdr:rowOff>
    </xdr:from>
    <xdr:to>
      <xdr:col>10</xdr:col>
      <xdr:colOff>342900</xdr:colOff>
      <xdr:row>52</xdr:row>
      <xdr:rowOff>152400</xdr:rowOff>
    </xdr:to>
    <xdr:cxnSp macro="">
      <xdr:nvCxnSpPr>
        <xdr:cNvPr id="59" name="Conector reto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CxnSpPr/>
      </xdr:nvCxnSpPr>
      <xdr:spPr bwMode="auto">
        <a:xfrm>
          <a:off x="632460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46</xdr:row>
      <xdr:rowOff>152400</xdr:rowOff>
    </xdr:from>
    <xdr:to>
      <xdr:col>21</xdr:col>
      <xdr:colOff>76200</xdr:colOff>
      <xdr:row>52</xdr:row>
      <xdr:rowOff>152400</xdr:rowOff>
    </xdr:to>
    <xdr:cxnSp macro="">
      <xdr:nvCxnSpPr>
        <xdr:cNvPr id="60" name="Conector reto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CxnSpPr/>
      </xdr:nvCxnSpPr>
      <xdr:spPr bwMode="auto">
        <a:xfrm>
          <a:off x="1261110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400050</xdr:colOff>
      <xdr:row>46</xdr:row>
      <xdr:rowOff>152400</xdr:rowOff>
    </xdr:from>
    <xdr:to>
      <xdr:col>22</xdr:col>
      <xdr:colOff>171450</xdr:colOff>
      <xdr:row>52</xdr:row>
      <xdr:rowOff>152400</xdr:rowOff>
    </xdr:to>
    <xdr:cxnSp macro="">
      <xdr:nvCxnSpPr>
        <xdr:cNvPr id="61" name="Conector reto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CxnSpPr/>
      </xdr:nvCxnSpPr>
      <xdr:spPr bwMode="auto">
        <a:xfrm>
          <a:off x="133921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476250</xdr:colOff>
      <xdr:row>46</xdr:row>
      <xdr:rowOff>133350</xdr:rowOff>
    </xdr:from>
    <xdr:to>
      <xdr:col>23</xdr:col>
      <xdr:colOff>438150</xdr:colOff>
      <xdr:row>52</xdr:row>
      <xdr:rowOff>133350</xdr:rowOff>
    </xdr:to>
    <xdr:cxnSp macro="">
      <xdr:nvCxnSpPr>
        <xdr:cNvPr id="62" name="Conector reto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CxnSpPr/>
      </xdr:nvCxnSpPr>
      <xdr:spPr bwMode="auto">
        <a:xfrm>
          <a:off x="14154150" y="88963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285750</xdr:colOff>
      <xdr:row>46</xdr:row>
      <xdr:rowOff>152400</xdr:rowOff>
    </xdr:from>
    <xdr:to>
      <xdr:col>25</xdr:col>
      <xdr:colOff>57150</xdr:colOff>
      <xdr:row>52</xdr:row>
      <xdr:rowOff>152400</xdr:rowOff>
    </xdr:to>
    <xdr:cxnSp macro="">
      <xdr:nvCxnSpPr>
        <xdr:cNvPr id="63" name="Conector reto 62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CxnSpPr/>
      </xdr:nvCxnSpPr>
      <xdr:spPr bwMode="auto">
        <a:xfrm>
          <a:off x="149542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400050</xdr:colOff>
      <xdr:row>46</xdr:row>
      <xdr:rowOff>171450</xdr:rowOff>
    </xdr:from>
    <xdr:to>
      <xdr:col>26</xdr:col>
      <xdr:colOff>171450</xdr:colOff>
      <xdr:row>52</xdr:row>
      <xdr:rowOff>171450</xdr:rowOff>
    </xdr:to>
    <xdr:cxnSp macro="">
      <xdr:nvCxnSpPr>
        <xdr:cNvPr id="64" name="Conector reto 63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CxnSpPr/>
      </xdr:nvCxnSpPr>
      <xdr:spPr bwMode="auto">
        <a:xfrm>
          <a:off x="15754350" y="89344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46</xdr:row>
      <xdr:rowOff>152400</xdr:rowOff>
    </xdr:from>
    <xdr:to>
      <xdr:col>18</xdr:col>
      <xdr:colOff>552450</xdr:colOff>
      <xdr:row>52</xdr:row>
      <xdr:rowOff>152400</xdr:rowOff>
    </xdr:to>
    <xdr:cxnSp macro="">
      <xdr:nvCxnSpPr>
        <xdr:cNvPr id="65" name="Conector reto 64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CxnSpPr/>
      </xdr:nvCxnSpPr>
      <xdr:spPr bwMode="auto">
        <a:xfrm>
          <a:off x="1102995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190500</xdr:colOff>
      <xdr:row>46</xdr:row>
      <xdr:rowOff>152400</xdr:rowOff>
    </xdr:from>
    <xdr:to>
      <xdr:col>19</xdr:col>
      <xdr:colOff>647700</xdr:colOff>
      <xdr:row>52</xdr:row>
      <xdr:rowOff>152400</xdr:rowOff>
    </xdr:to>
    <xdr:cxnSp macro="">
      <xdr:nvCxnSpPr>
        <xdr:cNvPr id="66" name="Conector reto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CxnSpPr/>
      </xdr:nvCxnSpPr>
      <xdr:spPr bwMode="auto">
        <a:xfrm>
          <a:off x="11811000" y="89154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457200</xdr:colOff>
      <xdr:row>47</xdr:row>
      <xdr:rowOff>0</xdr:rowOff>
    </xdr:from>
    <xdr:to>
      <xdr:col>27</xdr:col>
      <xdr:colOff>228600</xdr:colOff>
      <xdr:row>53</xdr:row>
      <xdr:rowOff>0</xdr:rowOff>
    </xdr:to>
    <xdr:cxnSp macro="">
      <xdr:nvCxnSpPr>
        <xdr:cNvPr id="67" name="Conector reto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CxnSpPr/>
      </xdr:nvCxnSpPr>
      <xdr:spPr bwMode="auto">
        <a:xfrm>
          <a:off x="16497300" y="89535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533400</xdr:colOff>
      <xdr:row>46</xdr:row>
      <xdr:rowOff>171450</xdr:rowOff>
    </xdr:from>
    <xdr:to>
      <xdr:col>28</xdr:col>
      <xdr:colOff>304800</xdr:colOff>
      <xdr:row>52</xdr:row>
      <xdr:rowOff>171450</xdr:rowOff>
    </xdr:to>
    <xdr:cxnSp macro="">
      <xdr:nvCxnSpPr>
        <xdr:cNvPr id="68" name="Conector reto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CxnSpPr/>
      </xdr:nvCxnSpPr>
      <xdr:spPr bwMode="auto">
        <a:xfrm>
          <a:off x="17259300" y="893445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647700</xdr:colOff>
      <xdr:row>47</xdr:row>
      <xdr:rowOff>0</xdr:rowOff>
    </xdr:from>
    <xdr:to>
      <xdr:col>29</xdr:col>
      <xdr:colOff>419100</xdr:colOff>
      <xdr:row>53</xdr:row>
      <xdr:rowOff>0</xdr:rowOff>
    </xdr:to>
    <xdr:cxnSp macro="">
      <xdr:nvCxnSpPr>
        <xdr:cNvPr id="69" name="Conector reto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CxnSpPr/>
      </xdr:nvCxnSpPr>
      <xdr:spPr bwMode="auto">
        <a:xfrm>
          <a:off x="18059400" y="8953500"/>
          <a:ext cx="457200" cy="1143000"/>
        </a:xfrm>
        <a:prstGeom prst="line">
          <a:avLst/>
        </a:prstGeom>
        <a:ln>
          <a:solidFill>
            <a:schemeClr val="bg1"/>
          </a:solidFill>
          <a:headEnd type="none" w="med" len="med"/>
          <a:tailEnd type="none" w="med" len="med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0</xdr:rowOff>
        </xdr:from>
        <xdr:to>
          <xdr:col>11</xdr:col>
          <xdr:colOff>152400</xdr:colOff>
          <xdr:row>1</xdr:row>
          <xdr:rowOff>123825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Bookman Old Style"/>
                </a:rPr>
                <a:t>OCULTAR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tentobr\Administrativo\Users\tdcsilva\AppData\Local\Microsoft\Windows\Temporary%20Internet%20Files\Content.Outlook\G2LBSBOZ\mc-%20NOVO%20LAYOUT%20-%20Simula&#231;&#227;o%20Motorol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tento.br\Operacao\Users\ab1080013\Desktop\WFM%20Amplitude%20v1.7\WFM%20Amplitude%20-%20Modelo%20v1.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tentobr\Administrativo\Users\AB1068013\Desktop\DIMENS%20STEERCO\DIMENS%20STEERCO\Devolutiva%20Dimens%20-%20Rede%20-%20Outubro2015%20(THIAGO)%20-%20O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AB171"/>
      <sheetName val="Intradiaria"/>
      <sheetName val="Diaria"/>
      <sheetName val="PREMISSA"/>
      <sheetName val="GRADE"/>
      <sheetName val="OFERTA DE TURNO"/>
      <sheetName val="MOTOROLA NÍVEL 1"/>
      <sheetName val="Gráfico"/>
      <sheetName val="ESCALA"/>
      <sheetName val="aux"/>
    </sheetNames>
    <sheetDataSet>
      <sheetData sheetId="0">
        <row r="87">
          <cell r="B87" t="b">
            <v>1</v>
          </cell>
        </row>
        <row r="121">
          <cell r="B121">
            <v>0.67888760444603535</v>
          </cell>
        </row>
        <row r="194">
          <cell r="B194">
            <v>0.67888760444603535</v>
          </cell>
        </row>
        <row r="205">
          <cell r="B205">
            <v>41.363273476407514</v>
          </cell>
        </row>
        <row r="206">
          <cell r="B206">
            <v>5.7176069148124065E-3</v>
          </cell>
        </row>
        <row r="207">
          <cell r="B207">
            <v>-0.32111239555396465</v>
          </cell>
        </row>
        <row r="209">
          <cell r="B209">
            <v>-3.4219752577701605</v>
          </cell>
        </row>
        <row r="210">
          <cell r="B210">
            <v>0.42588168329124043</v>
          </cell>
        </row>
        <row r="211">
          <cell r="B211">
            <v>65.324014922221508</v>
          </cell>
        </row>
        <row r="213">
          <cell r="B213">
            <v>7212.7819547908184</v>
          </cell>
        </row>
        <row r="215">
          <cell r="B215">
            <v>0</v>
          </cell>
        </row>
        <row r="223">
          <cell r="B223" t="b">
            <v>1</v>
          </cell>
        </row>
        <row r="227">
          <cell r="B227">
            <v>0</v>
          </cell>
        </row>
        <row r="228">
          <cell r="B228">
            <v>41.363273476407514</v>
          </cell>
        </row>
        <row r="229">
          <cell r="B229">
            <v>3609.4050474705141</v>
          </cell>
        </row>
        <row r="230">
          <cell r="B230">
            <v>3609.3753288257926</v>
          </cell>
        </row>
        <row r="231">
          <cell r="B231">
            <v>3608.8849190042752</v>
          </cell>
        </row>
        <row r="232">
          <cell r="B232">
            <v>3609.2527263704133</v>
          </cell>
        </row>
        <row r="247">
          <cell r="B247" t="b">
            <v>1</v>
          </cell>
        </row>
        <row r="252">
          <cell r="B252">
            <v>0</v>
          </cell>
        </row>
        <row r="253">
          <cell r="B253">
            <v>41.363273476407514</v>
          </cell>
        </row>
        <row r="254">
          <cell r="B254">
            <v>5</v>
          </cell>
        </row>
        <row r="257">
          <cell r="B257">
            <v>3609.2527263704133</v>
          </cell>
        </row>
        <row r="260">
          <cell r="B260">
            <v>8</v>
          </cell>
        </row>
        <row r="261">
          <cell r="B261">
            <v>5.1704091845509392</v>
          </cell>
        </row>
        <row r="262">
          <cell r="B262">
            <v>43.948478068682995</v>
          </cell>
        </row>
        <row r="263">
          <cell r="B263">
            <v>698.13053568797068</v>
          </cell>
        </row>
        <row r="273">
          <cell r="B273" t="b">
            <v>1</v>
          </cell>
        </row>
        <row r="275">
          <cell r="B275">
            <v>38.778068884132054</v>
          </cell>
        </row>
        <row r="418">
          <cell r="B418" t="b">
            <v>1</v>
          </cell>
        </row>
        <row r="419">
          <cell r="B419">
            <v>0</v>
          </cell>
        </row>
        <row r="448">
          <cell r="B448" t="b">
            <v>1</v>
          </cell>
        </row>
        <row r="555">
          <cell r="B555" t="b">
            <v>1</v>
          </cell>
        </row>
        <row r="682">
          <cell r="B682">
            <v>0</v>
          </cell>
        </row>
        <row r="774">
          <cell r="B774">
            <v>0.61803399000000003</v>
          </cell>
        </row>
        <row r="775">
          <cell r="B775">
            <v>0.38196600999999997</v>
          </cell>
        </row>
        <row r="776">
          <cell r="B776" t="b">
            <v>1</v>
          </cell>
        </row>
        <row r="783">
          <cell r="B783">
            <v>0</v>
          </cell>
        </row>
        <row r="784">
          <cell r="B784">
            <v>0.5</v>
          </cell>
        </row>
        <row r="785">
          <cell r="B785">
            <v>1</v>
          </cell>
        </row>
        <row r="786">
          <cell r="B786" t="str">
            <v>ERLC</v>
          </cell>
        </row>
        <row r="787">
          <cell r="B787">
            <v>0.05</v>
          </cell>
        </row>
        <row r="788">
          <cell r="B788">
            <v>1E-3</v>
          </cell>
        </row>
        <row r="789">
          <cell r="B789" t="e">
            <v>#N/A</v>
          </cell>
        </row>
        <row r="791">
          <cell r="B791">
            <v>0.17102302825627275</v>
          </cell>
        </row>
        <row r="792">
          <cell r="B792">
            <v>0.17110956339021322</v>
          </cell>
        </row>
        <row r="793">
          <cell r="B793">
            <v>0.17116304504431765</v>
          </cell>
        </row>
        <row r="794">
          <cell r="B794">
            <v>0.17124958017889141</v>
          </cell>
        </row>
        <row r="803">
          <cell r="B803">
            <v>1.2699048104608535E-6</v>
          </cell>
        </row>
        <row r="804">
          <cell r="B804">
            <v>3.0246621612786684E-5</v>
          </cell>
        </row>
        <row r="827">
          <cell r="B827" t="b">
            <v>1</v>
          </cell>
        </row>
        <row r="847">
          <cell r="B847" t="b">
            <v>1</v>
          </cell>
        </row>
        <row r="899">
          <cell r="B899" t="b">
            <v>1</v>
          </cell>
        </row>
        <row r="942">
          <cell r="B942" t="b">
            <v>1</v>
          </cell>
        </row>
        <row r="998">
          <cell r="B998" t="b">
            <v>1</v>
          </cell>
        </row>
      </sheetData>
      <sheetData sheetId="1"/>
      <sheetData sheetId="2"/>
      <sheetData sheetId="3"/>
      <sheetData sheetId="4">
        <row r="10">
          <cell r="R10">
            <v>0.3125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AB171"/>
      <sheetName val="PREMISSA"/>
      <sheetName val="ESCALA"/>
      <sheetName val="GRADE"/>
      <sheetName val="CENÁRIO"/>
      <sheetName val="ANÁLISE"/>
      <sheetName val="OFERTA DE TURNO"/>
      <sheetName val="LONGO PRAZO"/>
      <sheetName val="Diaria"/>
      <sheetName val="Intradiaria"/>
      <sheetName val="Feriados"/>
      <sheetName val="aux"/>
    </sheetNames>
    <sheetDataSet>
      <sheetData sheetId="0" refreshError="1"/>
      <sheetData sheetId="1" refreshError="1"/>
      <sheetData sheetId="2">
        <row r="1">
          <cell r="D1">
            <v>42737</v>
          </cell>
          <cell r="I1">
            <v>42742</v>
          </cell>
          <cell r="J1">
            <v>42743</v>
          </cell>
        </row>
        <row r="2">
          <cell r="D2" t="str">
            <v>Em Atendimento 09:10 - 15:30</v>
          </cell>
          <cell r="I2" t="str">
            <v>Em Atendimento 07:10 - 13:30</v>
          </cell>
          <cell r="J2" t="str">
            <v>Desativado</v>
          </cell>
        </row>
        <row r="3">
          <cell r="D3" t="str">
            <v>Em Atendimento 16:10 - 22:30</v>
          </cell>
          <cell r="I3" t="str">
            <v>Em Atendimento 15:40 - 22:00</v>
          </cell>
          <cell r="J3" t="str">
            <v>Desativado</v>
          </cell>
        </row>
        <row r="4">
          <cell r="D4" t="str">
            <v>Em Atendimento 15:40 - 22:00</v>
          </cell>
          <cell r="I4" t="str">
            <v>Desativado</v>
          </cell>
          <cell r="J4" t="str">
            <v>Em Atendimento 15:40 - 22:00</v>
          </cell>
        </row>
        <row r="5">
          <cell r="D5" t="str">
            <v>Em Atendimento 13:48 - 22:00</v>
          </cell>
          <cell r="I5" t="str">
            <v>Desativado</v>
          </cell>
          <cell r="J5" t="str">
            <v>Desativado</v>
          </cell>
        </row>
        <row r="6">
          <cell r="D6" t="str">
            <v>Em Atendimento 09:30 - 17:42</v>
          </cell>
          <cell r="I6" t="str">
            <v>Desativado</v>
          </cell>
          <cell r="J6" t="str">
            <v>Desativado</v>
          </cell>
        </row>
        <row r="7">
          <cell r="D7" t="str">
            <v>Em Atendimento 15:00 - 21:20</v>
          </cell>
          <cell r="I7" t="str">
            <v>Desativado</v>
          </cell>
          <cell r="J7" t="str">
            <v>Em Atendimento 09:00 - 15:20</v>
          </cell>
        </row>
        <row r="8">
          <cell r="D8" t="str">
            <v>Em Atendimento 08:30 - 14:50</v>
          </cell>
          <cell r="I8" t="str">
            <v>Em Atendimento 08:30 - 14:50</v>
          </cell>
          <cell r="J8" t="str">
            <v>Desativado</v>
          </cell>
        </row>
        <row r="9">
          <cell r="D9" t="str">
            <v>Em Atendimento 15:40 - 22:00</v>
          </cell>
          <cell r="I9" t="str">
            <v>Em Atendimento 09:40 - 16:00</v>
          </cell>
          <cell r="J9" t="str">
            <v>Desativado</v>
          </cell>
        </row>
        <row r="10">
          <cell r="D10" t="str">
            <v>Em Atendimento 09:30 - 17:42</v>
          </cell>
          <cell r="I10" t="str">
            <v>Desativado</v>
          </cell>
          <cell r="J10" t="str">
            <v>Desativado</v>
          </cell>
        </row>
        <row r="11">
          <cell r="D11" t="str">
            <v>Em Atendimento 09:48 - 18:00</v>
          </cell>
          <cell r="I11" t="str">
            <v>Desativado</v>
          </cell>
          <cell r="J11" t="str">
            <v>Desativado</v>
          </cell>
        </row>
        <row r="12">
          <cell r="D12" t="str">
            <v>Em Atendimento 08:30 - 14:50</v>
          </cell>
          <cell r="I12" t="str">
            <v>Em Atendimento 08:00 - 14:20</v>
          </cell>
          <cell r="J12" t="str">
            <v>Desativado</v>
          </cell>
        </row>
        <row r="13">
          <cell r="D13" t="str">
            <v>Em Atendimento 09:30 - 15:50</v>
          </cell>
          <cell r="I13" t="str">
            <v>Em Atendimento 08:30 - 14:50</v>
          </cell>
          <cell r="J13" t="str">
            <v>Desativado</v>
          </cell>
        </row>
        <row r="14">
          <cell r="D14" t="str">
            <v>Em Atendimento 09:30 - 17:42</v>
          </cell>
          <cell r="I14" t="str">
            <v>Desativado</v>
          </cell>
          <cell r="J14" t="str">
            <v>Desativado</v>
          </cell>
        </row>
        <row r="15">
          <cell r="D15" t="str">
            <v>Em Atendimento 09:50 - 16:10</v>
          </cell>
          <cell r="I15" t="str">
            <v>Em Atendimento 06:20 - 12:40</v>
          </cell>
          <cell r="J15" t="str">
            <v>Desativado</v>
          </cell>
        </row>
        <row r="16">
          <cell r="D16" t="str">
            <v>Em Atendimento 06:20 - 12:40</v>
          </cell>
          <cell r="I16" t="str">
            <v>Em Atendimento 08:20 - 14:40</v>
          </cell>
          <cell r="J16" t="str">
            <v>Desativado</v>
          </cell>
        </row>
        <row r="17">
          <cell r="D17" t="str">
            <v>Em Atendimento 15:00 - 21:20</v>
          </cell>
          <cell r="I17" t="str">
            <v>Em Atendimento 09:00 - 15:20</v>
          </cell>
          <cell r="J17" t="str">
            <v>Desativado</v>
          </cell>
        </row>
        <row r="18">
          <cell r="D18" t="str">
            <v>Em Atendimento 10:20 - 16:40</v>
          </cell>
          <cell r="I18" t="str">
            <v>Em Atendimento 08:20 - 14:40</v>
          </cell>
          <cell r="J18" t="str">
            <v>Desativado</v>
          </cell>
        </row>
        <row r="19">
          <cell r="D19" t="str">
            <v>Em Atendimento 15:00 - 21:20</v>
          </cell>
          <cell r="I19" t="str">
            <v>Em Atendimento 15:30 - 21:50</v>
          </cell>
          <cell r="J19" t="str">
            <v>Desativado</v>
          </cell>
        </row>
        <row r="20">
          <cell r="D20" t="str">
            <v>Em Atendimento 11:48 - 20:00</v>
          </cell>
          <cell r="I20" t="str">
            <v>Desativado</v>
          </cell>
          <cell r="J20" t="str">
            <v>Desativado</v>
          </cell>
        </row>
        <row r="21">
          <cell r="D21" t="str">
            <v>Em Atendimento 10:30 - 18:42</v>
          </cell>
          <cell r="I21" t="str">
            <v>Desativado</v>
          </cell>
          <cell r="J21" t="str">
            <v>Desativado</v>
          </cell>
        </row>
        <row r="22">
          <cell r="D22" t="str">
            <v>Em Atendimento 15:10 - 21:30</v>
          </cell>
          <cell r="I22" t="str">
            <v>Em Atendimento 09:40 - 16:00</v>
          </cell>
          <cell r="J22" t="str">
            <v>Desativado</v>
          </cell>
        </row>
        <row r="23">
          <cell r="D23" t="str">
            <v>Em Atendimento 13:48 - 22:00</v>
          </cell>
          <cell r="I23" t="str">
            <v>Desativado</v>
          </cell>
          <cell r="J23" t="str">
            <v>Desativado</v>
          </cell>
        </row>
        <row r="24">
          <cell r="D24" t="str">
            <v>Em Atendimento 10:40 - 17:00</v>
          </cell>
          <cell r="I24" t="str">
            <v>Em Atendimento 15:40 - 22:00</v>
          </cell>
          <cell r="J24" t="str">
            <v>Desativado</v>
          </cell>
        </row>
        <row r="25">
          <cell r="D25" t="str">
            <v>Em Atendimento 14:10 - 20:30</v>
          </cell>
          <cell r="I25" t="str">
            <v>Em Atendimento 13:40 - 20:00</v>
          </cell>
          <cell r="J25" t="str">
            <v>Desativado</v>
          </cell>
        </row>
        <row r="26">
          <cell r="D26" t="str">
            <v>Em Atendimento 07:30 - 13:50</v>
          </cell>
          <cell r="I26" t="str">
            <v>Em Atendimento 16:00 - 22:20</v>
          </cell>
          <cell r="J26" t="str">
            <v>Desativado</v>
          </cell>
        </row>
        <row r="27">
          <cell r="D27" t="str">
            <v>Em Atendimento 08:40 - 15:00</v>
          </cell>
          <cell r="I27" t="str">
            <v>Em Atendimento 17:40 - 00:00</v>
          </cell>
          <cell r="J27" t="str">
            <v>Desativado</v>
          </cell>
        </row>
        <row r="28">
          <cell r="D28" t="str">
            <v>Em Atendimento 10:30 - 18:42</v>
          </cell>
          <cell r="I28" t="str">
            <v>Desativado</v>
          </cell>
          <cell r="J28" t="str">
            <v>Desativado</v>
          </cell>
        </row>
        <row r="29">
          <cell r="D29" t="str">
            <v>Em Atendimento 09:48 - 18:00</v>
          </cell>
          <cell r="I29" t="str">
            <v>Desativado</v>
          </cell>
          <cell r="J29" t="str">
            <v>Desativado</v>
          </cell>
        </row>
        <row r="30">
          <cell r="D30" t="str">
            <v>Em Atendimento 13:30 - 21:42</v>
          </cell>
          <cell r="I30" t="str">
            <v>Desativado</v>
          </cell>
          <cell r="J30" t="str">
            <v>Desativado</v>
          </cell>
        </row>
        <row r="31">
          <cell r="D31" t="str">
            <v>Em Atendimento 14:10 - 20:30</v>
          </cell>
          <cell r="I31" t="str">
            <v>Em Atendimento 08:10 - 14:30</v>
          </cell>
          <cell r="J31" t="str">
            <v>Desativado</v>
          </cell>
        </row>
        <row r="32">
          <cell r="D32" t="str">
            <v>Em Atendimento 07:40 - 14:00</v>
          </cell>
          <cell r="I32" t="str">
            <v>Em Atendimento 17:40 - 00:00</v>
          </cell>
          <cell r="J32" t="str">
            <v>Desativado</v>
          </cell>
        </row>
        <row r="33">
          <cell r="D33" t="str">
            <v>Em Atendimento 00:00 - 06:20</v>
          </cell>
          <cell r="I33" t="str">
            <v>Desativado</v>
          </cell>
          <cell r="J33" t="str">
            <v>Em Atendimento 00:00 - 06:20</v>
          </cell>
        </row>
        <row r="34">
          <cell r="D34" t="str">
            <v>Em Atendimento 07:50 - 14:10</v>
          </cell>
          <cell r="I34" t="str">
            <v>Em Atendimento 08:20 - 14:40</v>
          </cell>
          <cell r="J34" t="str">
            <v>Desativado</v>
          </cell>
        </row>
        <row r="35">
          <cell r="D35" t="str">
            <v>Em Atendimento 09:10 - 15:30</v>
          </cell>
          <cell r="I35" t="str">
            <v>Em Atendimento 11:40 - 18:00</v>
          </cell>
          <cell r="J35" t="str">
            <v>Desativado</v>
          </cell>
        </row>
        <row r="36">
          <cell r="D36" t="str">
            <v>Em Atendimento 08:30 - 14:50</v>
          </cell>
          <cell r="I36" t="str">
            <v>Desativado</v>
          </cell>
          <cell r="J36" t="str">
            <v>Em Atendimento 17:30 - 23:50</v>
          </cell>
        </row>
        <row r="37">
          <cell r="D37" t="str">
            <v>Em Atendimento 08:50 - 15:10</v>
          </cell>
          <cell r="I37" t="str">
            <v>Em Atendimento 08:20 - 14:40</v>
          </cell>
          <cell r="J37" t="str">
            <v>Desativado</v>
          </cell>
        </row>
        <row r="38">
          <cell r="D38" t="str">
            <v>Em Atendimento 08:00 - 14:20</v>
          </cell>
          <cell r="I38" t="str">
            <v>Desativado</v>
          </cell>
          <cell r="J38" t="str">
            <v>Em Atendimento 09:30 - 15:50</v>
          </cell>
        </row>
        <row r="39">
          <cell r="D39" t="str">
            <v>Em Atendimento 09:10 - 15:30</v>
          </cell>
          <cell r="I39" t="str">
            <v>Em Atendimento 15:40 - 22:00</v>
          </cell>
          <cell r="J39" t="str">
            <v>Desativado</v>
          </cell>
        </row>
        <row r="40">
          <cell r="D40" t="str">
            <v>Em Atendimento 14:00 - 20:20</v>
          </cell>
          <cell r="I40" t="str">
            <v>Em Atendimento 16:00 - 22:20</v>
          </cell>
          <cell r="J40" t="str">
            <v>Desativado</v>
          </cell>
        </row>
        <row r="41">
          <cell r="D41" t="str">
            <v>Em Atendimento 15:40 - 22:00</v>
          </cell>
          <cell r="I41" t="str">
            <v>Em Atendimento 11:10 - 17:30</v>
          </cell>
          <cell r="J41" t="str">
            <v>Desativado</v>
          </cell>
        </row>
        <row r="42">
          <cell r="D42" t="str">
            <v>Em Atendimento 15:20 - 21:40</v>
          </cell>
          <cell r="I42" t="str">
            <v>Desativado</v>
          </cell>
          <cell r="J42" t="str">
            <v>Em Atendimento 07:20 - 13:40</v>
          </cell>
        </row>
        <row r="43">
          <cell r="D43" t="str">
            <v>Em Atendimento 13:30 - 21:42</v>
          </cell>
          <cell r="I43" t="str">
            <v>Desativado</v>
          </cell>
          <cell r="J43" t="str">
            <v>Desativado</v>
          </cell>
        </row>
        <row r="44">
          <cell r="D44" t="str">
            <v>Em Atendimento 16:30 - 22:50</v>
          </cell>
          <cell r="I44" t="str">
            <v>Em Atendimento 15:30 - 21:50</v>
          </cell>
          <cell r="J44" t="str">
            <v>Desativado</v>
          </cell>
        </row>
        <row r="45">
          <cell r="D45" t="str">
            <v>Em Atendimento 09:48 - 18:00</v>
          </cell>
          <cell r="I45" t="str">
            <v>Desativado</v>
          </cell>
          <cell r="J45" t="str">
            <v>Desativado</v>
          </cell>
        </row>
        <row r="46">
          <cell r="D46" t="str">
            <v>Em Atendimento 13:30 - 21:42</v>
          </cell>
          <cell r="I46" t="str">
            <v>Desativado</v>
          </cell>
          <cell r="J46" t="str">
            <v>Desativado</v>
          </cell>
        </row>
        <row r="47">
          <cell r="D47" t="str">
            <v>Em Atendimento 17:40 - 00:00</v>
          </cell>
          <cell r="I47" t="str">
            <v>Em Atendimento 15:40 - 22:00</v>
          </cell>
          <cell r="J47" t="str">
            <v>Desativado</v>
          </cell>
        </row>
        <row r="48">
          <cell r="D48" t="str">
            <v>Em Atendimento 14:10 - 20:30</v>
          </cell>
          <cell r="I48" t="str">
            <v>Em Atendimento 13:10 - 19:30</v>
          </cell>
          <cell r="J48" t="str">
            <v>Desativado</v>
          </cell>
        </row>
        <row r="49">
          <cell r="D49" t="str">
            <v>Em Atendimento 12:48 - 21:00</v>
          </cell>
          <cell r="I49" t="str">
            <v>Desativado</v>
          </cell>
          <cell r="J49" t="str">
            <v>Desativado</v>
          </cell>
        </row>
        <row r="50">
          <cell r="D50" t="str">
            <v>Em Atendimento 08:20 - 14:40</v>
          </cell>
          <cell r="I50" t="str">
            <v>Em Atendimento 13:50 - 20:10</v>
          </cell>
          <cell r="J50" t="str">
            <v>Desativado</v>
          </cell>
        </row>
        <row r="51">
          <cell r="D51" t="str">
            <v>Em Atendimento 09:10 - 15:30</v>
          </cell>
          <cell r="I51" t="str">
            <v>Em Atendimento 06:40 - 13:00</v>
          </cell>
          <cell r="J51" t="str">
            <v>Desativado</v>
          </cell>
        </row>
        <row r="52">
          <cell r="D52" t="str">
            <v>Em Atendimento 15:20 - 21:40</v>
          </cell>
          <cell r="I52" t="str">
            <v>Desativado</v>
          </cell>
          <cell r="J52" t="str">
            <v>Em Atendimento 09:50 - 16:10</v>
          </cell>
        </row>
        <row r="53">
          <cell r="D53" t="str">
            <v>Em Atendimento 08:00 - 14:20</v>
          </cell>
          <cell r="I53" t="str">
            <v>Desativado</v>
          </cell>
          <cell r="J53" t="str">
            <v>Em Atendimento 15:30 - 21:50</v>
          </cell>
        </row>
        <row r="54">
          <cell r="D54" t="str">
            <v>Em Atendimento 16:00 - 22:20</v>
          </cell>
          <cell r="I54" t="str">
            <v>Desativado</v>
          </cell>
          <cell r="J54" t="str">
            <v>Em Atendimento 09:00 - 15:20</v>
          </cell>
        </row>
        <row r="55">
          <cell r="D55" t="str">
            <v>Em Atendimento 08:40 - 15:00</v>
          </cell>
          <cell r="I55" t="str">
            <v>Em Atendimento 07:40 - 14:00</v>
          </cell>
          <cell r="J55" t="str">
            <v>Desativado</v>
          </cell>
        </row>
        <row r="56">
          <cell r="D56" t="str">
            <v>Em Atendimento 16:00 - 22:20</v>
          </cell>
          <cell r="I56" t="str">
            <v>Desativado</v>
          </cell>
          <cell r="J56" t="str">
            <v>Em Atendimento 07:30 - 13:50</v>
          </cell>
        </row>
        <row r="57">
          <cell r="D57" t="str">
            <v>Em Atendimento 14:20 - 20:40</v>
          </cell>
          <cell r="I57" t="str">
            <v>Em Atendimento 09:20 - 15:40</v>
          </cell>
          <cell r="J57" t="str">
            <v>Desativado</v>
          </cell>
        </row>
        <row r="58">
          <cell r="D58" t="str">
            <v>Em Atendimento 07:50 - 14:10</v>
          </cell>
          <cell r="I58" t="str">
            <v>Desativado</v>
          </cell>
          <cell r="J58" t="str">
            <v>Em Atendimento 06:20 - 12:40</v>
          </cell>
        </row>
        <row r="59">
          <cell r="D59" t="str">
            <v>Em Atendimento 12:48 - 21:00</v>
          </cell>
          <cell r="I59" t="str">
            <v>Desativado</v>
          </cell>
          <cell r="J59" t="str">
            <v>Desativado</v>
          </cell>
        </row>
        <row r="60">
          <cell r="D60" t="str">
            <v>Em Atendimento 06:50 - 13:10</v>
          </cell>
          <cell r="I60" t="str">
            <v>Em Atendimento 08:20 - 14:40</v>
          </cell>
          <cell r="J60" t="str">
            <v>Desativado</v>
          </cell>
        </row>
        <row r="61">
          <cell r="D61" t="str">
            <v>Em Atendimento 00:00 - 06:20</v>
          </cell>
          <cell r="I61" t="str">
            <v>Desativado</v>
          </cell>
          <cell r="J61" t="str">
            <v>Em Atendimento 00:00 - 06:20</v>
          </cell>
        </row>
        <row r="62">
          <cell r="D62" t="str">
            <v>Em Atendimento 15:40 - 22:00</v>
          </cell>
          <cell r="I62" t="str">
            <v>Em Atendimento 10:10 - 16:30</v>
          </cell>
          <cell r="J62" t="str">
            <v>Desativado</v>
          </cell>
        </row>
        <row r="63">
          <cell r="D63" t="str">
            <v>Em Atendimento 09:30 - 17:42</v>
          </cell>
          <cell r="I63" t="str">
            <v>Desativado</v>
          </cell>
          <cell r="J63" t="str">
            <v>Desativado</v>
          </cell>
        </row>
        <row r="64">
          <cell r="D64" t="str">
            <v>Em Atendimento 09:00 - 15:20</v>
          </cell>
          <cell r="I64" t="str">
            <v>Em Atendimento 15:30 - 21:50</v>
          </cell>
          <cell r="J64" t="str">
            <v>Desativado</v>
          </cell>
        </row>
        <row r="65">
          <cell r="D65" t="str">
            <v>Em Atendimento 07:50 - 14:10</v>
          </cell>
          <cell r="I65" t="str">
            <v>Em Atendimento 12:50 - 19:10</v>
          </cell>
          <cell r="J65" t="str">
            <v>Desativado</v>
          </cell>
        </row>
        <row r="66">
          <cell r="D66" t="str">
            <v>Em Atendimento 14:10 - 20:30</v>
          </cell>
          <cell r="I66" t="str">
            <v>Em Atendimento 15:40 - 22:00</v>
          </cell>
          <cell r="J66" t="str">
            <v>Desativado</v>
          </cell>
        </row>
        <row r="67">
          <cell r="D67" t="str">
            <v>Em Atendimento 13:00 - 21:12</v>
          </cell>
          <cell r="I67" t="str">
            <v>Desativado</v>
          </cell>
          <cell r="J67" t="str">
            <v>Desativado</v>
          </cell>
        </row>
        <row r="68">
          <cell r="D68" t="str">
            <v>Em Atendimento 08:10 - 14:30</v>
          </cell>
          <cell r="I68" t="str">
            <v>Em Atendimento 09:40 - 16:00</v>
          </cell>
          <cell r="J68" t="str">
            <v>Desativado</v>
          </cell>
        </row>
        <row r="69">
          <cell r="D69" t="str">
            <v>Em Atendimento 10:30 - 16:50</v>
          </cell>
          <cell r="I69" t="str">
            <v>Em Atendimento 15:30 - 21:50</v>
          </cell>
          <cell r="J69" t="str">
            <v>Desativado</v>
          </cell>
        </row>
        <row r="70">
          <cell r="D70" t="str">
            <v>Em Atendimento 15:50 - 22:10</v>
          </cell>
          <cell r="I70" t="str">
            <v>Em Atendimento 15:20 - 21:40</v>
          </cell>
          <cell r="J70" t="str">
            <v>Desativado</v>
          </cell>
        </row>
        <row r="71">
          <cell r="D71" t="str">
            <v>Em Atendimento 09:30 - 17:42</v>
          </cell>
          <cell r="I71" t="str">
            <v>Desativado</v>
          </cell>
          <cell r="J71" t="str">
            <v>Desativado</v>
          </cell>
        </row>
        <row r="72">
          <cell r="D72" t="str">
            <v>Em Atendimento 09:00 - 17:12</v>
          </cell>
          <cell r="I72" t="str">
            <v>Desativado</v>
          </cell>
          <cell r="J72" t="str">
            <v>Desativado</v>
          </cell>
        </row>
        <row r="73">
          <cell r="D73" t="str">
            <v>Em Atendimento 08:40 - 15:00</v>
          </cell>
          <cell r="I73" t="str">
            <v>Em Atendimento 15:10 - 21:30</v>
          </cell>
          <cell r="J73" t="str">
            <v>Desativado</v>
          </cell>
        </row>
        <row r="74">
          <cell r="D74" t="str">
            <v>Em Atendimento 16:10 - 22:30</v>
          </cell>
          <cell r="I74" t="str">
            <v>Em Atendimento 14:40 - 21:00</v>
          </cell>
          <cell r="J74" t="str">
            <v>Desativado</v>
          </cell>
        </row>
        <row r="75">
          <cell r="D75" t="str">
            <v>Em Atendimento 08:30 - 14:50</v>
          </cell>
          <cell r="I75" t="str">
            <v>Em Atendimento 16:00 - 22:20</v>
          </cell>
          <cell r="J75" t="str">
            <v>Desativado</v>
          </cell>
        </row>
        <row r="76">
          <cell r="D76" t="str">
            <v>Em Atendimento 14:00 - 20:20</v>
          </cell>
          <cell r="I76" t="str">
            <v>Em Atendimento 11:00 - 17:20</v>
          </cell>
          <cell r="J76" t="str">
            <v>Desativado</v>
          </cell>
        </row>
        <row r="77">
          <cell r="D77" t="str">
            <v>Em Atendimento 09:30 - 17:42</v>
          </cell>
          <cell r="I77" t="str">
            <v>Desativado</v>
          </cell>
          <cell r="J77" t="str">
            <v>Desativado</v>
          </cell>
        </row>
        <row r="78">
          <cell r="D78" t="str">
            <v>Em Atendimento 17:20 - 23:40</v>
          </cell>
          <cell r="I78" t="str">
            <v>Em Atendimento 11:20 - 17:40</v>
          </cell>
          <cell r="J78" t="str">
            <v>Desativado</v>
          </cell>
        </row>
        <row r="79">
          <cell r="D79" t="str">
            <v>Em Atendimento 09:10 - 15:30</v>
          </cell>
          <cell r="I79" t="str">
            <v>Desativado</v>
          </cell>
          <cell r="J79" t="str">
            <v>Em Atendimento 15:40 - 22:00</v>
          </cell>
        </row>
        <row r="80">
          <cell r="D80" t="str">
            <v>Em Atendimento 13:30 - 19:50</v>
          </cell>
          <cell r="I80" t="str">
            <v>Em Atendimento 10:00 - 16:20</v>
          </cell>
          <cell r="J80" t="str">
            <v>Desativado</v>
          </cell>
        </row>
        <row r="81">
          <cell r="D81" t="str">
            <v>Em Atendimento 09:10 - 15:30</v>
          </cell>
          <cell r="I81" t="str">
            <v>Desativado</v>
          </cell>
          <cell r="J81" t="str">
            <v>Em Atendimento 11:10 - 17:30</v>
          </cell>
        </row>
        <row r="82">
          <cell r="D82" t="str">
            <v>Em Atendimento 09:30 - 17:42</v>
          </cell>
          <cell r="I82" t="str">
            <v>Desativado</v>
          </cell>
          <cell r="J82" t="str">
            <v>Desativado</v>
          </cell>
        </row>
        <row r="83">
          <cell r="D83" t="str">
            <v>Em Atendimento 15:20 - 21:40</v>
          </cell>
          <cell r="I83" t="str">
            <v>Em Atendimento 13:20 - 19:40</v>
          </cell>
          <cell r="J83" t="str">
            <v>Desativado</v>
          </cell>
        </row>
        <row r="84">
          <cell r="D84" t="str">
            <v>Em Atendimento 09:20 - 15:40</v>
          </cell>
          <cell r="I84" t="str">
            <v>Desativado</v>
          </cell>
          <cell r="J84" t="str">
            <v>Em Atendimento 09:20 - 15:40</v>
          </cell>
        </row>
        <row r="85">
          <cell r="D85" t="str">
            <v>Em Atendimento 13:40 - 20:00</v>
          </cell>
          <cell r="I85" t="str">
            <v>Em Atendimento 09:40 - 16:00</v>
          </cell>
          <cell r="J85" t="str">
            <v>Desativado</v>
          </cell>
        </row>
        <row r="86">
          <cell r="D86" t="str">
            <v>Em Atendimento 09:10 - 15:30</v>
          </cell>
          <cell r="I86" t="str">
            <v>Em Atendimento 10:40 - 17:00</v>
          </cell>
          <cell r="J86" t="str">
            <v>Desativado</v>
          </cell>
        </row>
        <row r="87">
          <cell r="D87" t="str">
            <v>Em Atendimento 14:00 - 20:20</v>
          </cell>
          <cell r="I87" t="str">
            <v>Em Atendimento 09:00 - 15:20</v>
          </cell>
          <cell r="J87" t="str">
            <v>Desativado</v>
          </cell>
        </row>
        <row r="88">
          <cell r="D88" t="str">
            <v>Em Atendimento 13:40 - 20:00</v>
          </cell>
          <cell r="I88" t="str">
            <v>Em Atendimento 10:10 - 16:30</v>
          </cell>
          <cell r="J88" t="str">
            <v>Desativado</v>
          </cell>
        </row>
        <row r="89">
          <cell r="D89" t="str">
            <v>Em Atendimento 15:30 - 21:50</v>
          </cell>
          <cell r="I89" t="str">
            <v>Em Atendimento 15:30 - 21:50</v>
          </cell>
          <cell r="J89" t="str">
            <v>Desativado</v>
          </cell>
        </row>
        <row r="90">
          <cell r="D90" t="str">
            <v>Em Atendimento 14:10 - 20:30</v>
          </cell>
          <cell r="I90" t="str">
            <v>Em Atendimento 14:40 - 21:00</v>
          </cell>
          <cell r="J90" t="str">
            <v>Desativado</v>
          </cell>
        </row>
        <row r="91">
          <cell r="D91" t="str">
            <v>Em Atendimento 09:30 - 15:50</v>
          </cell>
          <cell r="I91" t="str">
            <v>Em Atendimento 09:00 - 15:20</v>
          </cell>
          <cell r="J91" t="str">
            <v>Desativado</v>
          </cell>
        </row>
        <row r="92">
          <cell r="D92" t="str">
            <v>Em Atendimento 13:48 - 22:00</v>
          </cell>
          <cell r="I92" t="str">
            <v>Desativado</v>
          </cell>
          <cell r="J92" t="str">
            <v>Desativado</v>
          </cell>
        </row>
        <row r="93">
          <cell r="D93" t="str">
            <v>Em Atendimento 09:20 - 15:40</v>
          </cell>
          <cell r="I93" t="str">
            <v>Em Atendimento 10:50 - 17:10</v>
          </cell>
          <cell r="J93" t="str">
            <v>Desativado</v>
          </cell>
        </row>
        <row r="94">
          <cell r="D94" t="str">
            <v>Em Atendimento 09:00 - 17:12</v>
          </cell>
          <cell r="I94" t="str">
            <v>Desativado</v>
          </cell>
          <cell r="J94" t="str">
            <v>Desativado</v>
          </cell>
        </row>
        <row r="95">
          <cell r="D95" t="str">
            <v>Em Atendimento 08:30 - 14:50</v>
          </cell>
          <cell r="I95" t="str">
            <v>Em Atendimento 08:30 - 14:50</v>
          </cell>
          <cell r="J95" t="str">
            <v>Desativado</v>
          </cell>
        </row>
        <row r="96">
          <cell r="D96" t="str">
            <v>Em Atendimento 09:48 - 18:00</v>
          </cell>
          <cell r="I96" t="str">
            <v>Desativado</v>
          </cell>
          <cell r="J96" t="str">
            <v>Desativado</v>
          </cell>
        </row>
        <row r="97">
          <cell r="D97" t="str">
            <v>Em Atendimento 08:00 - 16:12</v>
          </cell>
          <cell r="I97" t="str">
            <v>Desativado</v>
          </cell>
          <cell r="J97" t="str">
            <v>Desativado</v>
          </cell>
        </row>
        <row r="98">
          <cell r="D98" t="str">
            <v>Em Atendimento 09:48 - 18:00</v>
          </cell>
          <cell r="I98" t="str">
            <v>Desativado</v>
          </cell>
          <cell r="J98" t="str">
            <v>Desativado</v>
          </cell>
        </row>
        <row r="99">
          <cell r="D99" t="str">
            <v>Em Atendimento 16:50 - 23:10</v>
          </cell>
          <cell r="I99" t="str">
            <v>Em Atendimento 14:50 - 21:10</v>
          </cell>
          <cell r="J99" t="str">
            <v>Desativado</v>
          </cell>
        </row>
        <row r="100">
          <cell r="D100" t="str">
            <v>Em Atendimento 12:48 - 21:00</v>
          </cell>
          <cell r="I100" t="str">
            <v>Desativado</v>
          </cell>
          <cell r="J100" t="str">
            <v>Desativado</v>
          </cell>
        </row>
        <row r="101">
          <cell r="D101" t="str">
            <v>Em Atendimento 09:30 - 15:50</v>
          </cell>
          <cell r="I101" t="str">
            <v>Em Atendimento 09:30 - 15:50</v>
          </cell>
          <cell r="J101" t="str">
            <v>Desativado</v>
          </cell>
        </row>
        <row r="102">
          <cell r="D102" t="str">
            <v>Em Atendimento 08:40 - 15:00</v>
          </cell>
          <cell r="I102" t="str">
            <v>Em Atendimento 10:10 - 16:30</v>
          </cell>
          <cell r="J102" t="str">
            <v>Desativado</v>
          </cell>
        </row>
        <row r="103">
          <cell r="D103" t="str">
            <v>Em Atendimento 15:10 - 21:30</v>
          </cell>
          <cell r="I103" t="str">
            <v>Em Atendimento 08:40 - 15:00</v>
          </cell>
          <cell r="J103" t="str">
            <v>Desativado</v>
          </cell>
        </row>
        <row r="104">
          <cell r="D104" t="str">
            <v>Em Atendimento 08:50 - 15:10</v>
          </cell>
          <cell r="I104" t="str">
            <v>Em Atendimento 11:20 - 17:40</v>
          </cell>
          <cell r="J104" t="str">
            <v>Desativado</v>
          </cell>
        </row>
        <row r="105">
          <cell r="D105" t="str">
            <v>Em Atendimento 08:40 - 15:00</v>
          </cell>
          <cell r="I105" t="str">
            <v>Em Atendimento 10:10 - 16:30</v>
          </cell>
          <cell r="J105" t="str">
            <v>Desativado</v>
          </cell>
        </row>
        <row r="106">
          <cell r="D106" t="str">
            <v>Em Atendimento 15:50 - 22:10</v>
          </cell>
          <cell r="I106" t="str">
            <v>Em Atendimento 10:20 - 16:40</v>
          </cell>
          <cell r="J106" t="str">
            <v>Desativado</v>
          </cell>
        </row>
        <row r="107">
          <cell r="D107" t="str">
            <v>Em Atendimento 15:00 - 21:20</v>
          </cell>
          <cell r="I107" t="str">
            <v>Desativado</v>
          </cell>
          <cell r="J107" t="str">
            <v>Em Atendimento 08:00 - 14:20</v>
          </cell>
        </row>
        <row r="108">
          <cell r="D108" t="str">
            <v>Em Atendimento 09:00 - 17:12</v>
          </cell>
          <cell r="I108" t="str">
            <v>Desativado</v>
          </cell>
          <cell r="J108" t="str">
            <v>Desativado</v>
          </cell>
        </row>
        <row r="109">
          <cell r="D109" t="str">
            <v>Em Atendimento 14:50 - 21:10</v>
          </cell>
          <cell r="I109" t="str">
            <v>Em Atendimento 09:50 - 16:10</v>
          </cell>
          <cell r="J109" t="str">
            <v>Desativado</v>
          </cell>
        </row>
        <row r="110">
          <cell r="D110" t="str">
            <v>Em Atendimento 10:30 - 18:42</v>
          </cell>
          <cell r="I110" t="str">
            <v>Desativado</v>
          </cell>
          <cell r="J110" t="str">
            <v>Desativado</v>
          </cell>
        </row>
        <row r="111">
          <cell r="D111" t="str">
            <v>Em Atendimento 15:00 - 21:20</v>
          </cell>
          <cell r="I111" t="str">
            <v>Em Atendimento 09:00 - 15:20</v>
          </cell>
          <cell r="J111" t="str">
            <v>Desativado</v>
          </cell>
        </row>
        <row r="112">
          <cell r="D112" t="str">
            <v>Em Atendimento 09:48 - 18:00</v>
          </cell>
          <cell r="I112" t="str">
            <v>Desativado</v>
          </cell>
          <cell r="J112" t="str">
            <v>Desativado</v>
          </cell>
        </row>
        <row r="113">
          <cell r="D113" t="str">
            <v>Em Atendimento 09:00 - 17:12</v>
          </cell>
          <cell r="I113" t="str">
            <v>Desativado</v>
          </cell>
          <cell r="J113" t="str">
            <v>Desativado</v>
          </cell>
        </row>
        <row r="114">
          <cell r="D114" t="str">
            <v>Em Atendimento 09:30 - 15:50</v>
          </cell>
          <cell r="I114" t="str">
            <v>Em Atendimento 10:00 - 16:20</v>
          </cell>
          <cell r="J114" t="str">
            <v>Desativado</v>
          </cell>
        </row>
        <row r="115">
          <cell r="D115" t="str">
            <v>Em Atendimento 09:00 - 17:12</v>
          </cell>
          <cell r="I115" t="str">
            <v>Desativado</v>
          </cell>
          <cell r="J115" t="str">
            <v>Desativado</v>
          </cell>
        </row>
        <row r="116">
          <cell r="D116" t="str">
            <v>Em Atendimento 09:50 - 16:10</v>
          </cell>
          <cell r="I116" t="str">
            <v>Em Atendimento 08:50 - 15:10</v>
          </cell>
          <cell r="J116" t="str">
            <v>Desativado</v>
          </cell>
        </row>
        <row r="117">
          <cell r="D117" t="str">
            <v>Em Atendimento 08:30 - 16:42</v>
          </cell>
          <cell r="I117" t="str">
            <v>Desativado</v>
          </cell>
          <cell r="J117" t="str">
            <v>Desativado</v>
          </cell>
        </row>
        <row r="118">
          <cell r="D118" t="str">
            <v>Em Atendimento 07:30 - 13:50</v>
          </cell>
          <cell r="I118" t="str">
            <v>Em Atendimento 08:30 - 14:50</v>
          </cell>
          <cell r="J118" t="str">
            <v>Desativado</v>
          </cell>
        </row>
        <row r="119">
          <cell r="D119" t="str">
            <v>Em Atendimento 10:00 - 16:20</v>
          </cell>
          <cell r="I119" t="str">
            <v>Em Atendimento 16:00 - 22:20</v>
          </cell>
          <cell r="J119" t="str">
            <v>Desativado</v>
          </cell>
        </row>
        <row r="120">
          <cell r="D120" t="str">
            <v>Em Atendimento 14:00 - 20:20</v>
          </cell>
          <cell r="I120" t="str">
            <v>Em Atendimento 08:00 - 14:20</v>
          </cell>
          <cell r="J120" t="str">
            <v>Desativado</v>
          </cell>
        </row>
        <row r="121">
          <cell r="D121" t="str">
            <v>Em Atendimento 13:48 - 22:00</v>
          </cell>
          <cell r="I121" t="str">
            <v>Desativado</v>
          </cell>
          <cell r="J121" t="str">
            <v>Desativado</v>
          </cell>
        </row>
        <row r="122">
          <cell r="D122" t="str">
            <v>Em Atendimento 09:30 - 17:42</v>
          </cell>
          <cell r="I122" t="str">
            <v>Desativado</v>
          </cell>
          <cell r="J122" t="str">
            <v>Desativado</v>
          </cell>
        </row>
        <row r="123">
          <cell r="D123" t="str">
            <v>Em Atendimento 13:48 - 22:00</v>
          </cell>
          <cell r="I123" t="str">
            <v>Desativado</v>
          </cell>
          <cell r="J123" t="str">
            <v>Desativado</v>
          </cell>
        </row>
        <row r="124">
          <cell r="D124" t="str">
            <v>Em Atendimento 09:30 - 17:42</v>
          </cell>
          <cell r="I124" t="str">
            <v>Desativado</v>
          </cell>
          <cell r="J124" t="str">
            <v>Desativado</v>
          </cell>
        </row>
        <row r="125">
          <cell r="D125" t="str">
            <v>Em Atendimento 11:48 - 20:00</v>
          </cell>
          <cell r="I125" t="str">
            <v>Desativado</v>
          </cell>
          <cell r="J125" t="str">
            <v>Desativado</v>
          </cell>
        </row>
        <row r="126">
          <cell r="D126" t="str">
            <v>Em Atendimento 10:40 - 17:00</v>
          </cell>
          <cell r="I126" t="str">
            <v>Em Atendimento 08:40 - 15:00</v>
          </cell>
          <cell r="J126" t="str">
            <v>Desativado</v>
          </cell>
        </row>
        <row r="127">
          <cell r="D127" t="str">
            <v>Em Atendimento 08:30 - 16:42</v>
          </cell>
          <cell r="I127" t="str">
            <v>Desativado</v>
          </cell>
          <cell r="J127" t="str">
            <v>Desativado</v>
          </cell>
        </row>
        <row r="128">
          <cell r="D128" t="str">
            <v>Em Atendimento 08:20 - 14:40</v>
          </cell>
          <cell r="I128" t="str">
            <v>Desativado</v>
          </cell>
          <cell r="J128" t="str">
            <v>Em Atendimento 08:50 - 15:10</v>
          </cell>
        </row>
        <row r="129">
          <cell r="D129" t="str">
            <v>Em Atendimento 15:10 - 21:30</v>
          </cell>
          <cell r="I129" t="str">
            <v>Em Atendimento 11:40 - 18:00</v>
          </cell>
          <cell r="J129" t="str">
            <v>Desativado</v>
          </cell>
        </row>
        <row r="130">
          <cell r="D130" t="str">
            <v>Em Atendimento 14:20 - 20:40</v>
          </cell>
          <cell r="I130" t="str">
            <v>Em Atendimento 07:50 - 14:10</v>
          </cell>
          <cell r="J130" t="str">
            <v>Desativado</v>
          </cell>
        </row>
        <row r="131">
          <cell r="D131" t="str">
            <v>Em Atendimento 16:40 - 23:00</v>
          </cell>
          <cell r="I131" t="str">
            <v>Em Atendimento 13:40 - 20:00</v>
          </cell>
          <cell r="J131" t="str">
            <v>Desativado</v>
          </cell>
        </row>
        <row r="132">
          <cell r="D132" t="str">
            <v>Em Atendimento 09:20 - 15:40</v>
          </cell>
          <cell r="I132" t="str">
            <v>Em Atendimento 09:20 - 15:40</v>
          </cell>
          <cell r="J132" t="str">
            <v>Desativado</v>
          </cell>
        </row>
        <row r="133">
          <cell r="D133" t="str">
            <v>Em Atendimento 13:48 - 22:00</v>
          </cell>
          <cell r="I133" t="str">
            <v>Desativado</v>
          </cell>
          <cell r="J133" t="str">
            <v>Desativado</v>
          </cell>
        </row>
        <row r="134">
          <cell r="D134" t="str">
            <v>Em Atendimento 09:00 - 15:20</v>
          </cell>
          <cell r="I134" t="str">
            <v>Em Atendimento 08:00 - 14:20</v>
          </cell>
          <cell r="J134" t="str">
            <v>Desativado</v>
          </cell>
        </row>
        <row r="135">
          <cell r="D135" t="str">
            <v>Em Atendimento 15:20 - 21:40</v>
          </cell>
          <cell r="I135" t="str">
            <v>Em Atendimento 14:50 - 21:10</v>
          </cell>
          <cell r="J135" t="str">
            <v>Desativado</v>
          </cell>
        </row>
        <row r="136">
          <cell r="D136" t="str">
            <v>Em Atendimento 15:30 - 21:50</v>
          </cell>
          <cell r="I136" t="str">
            <v>Em Atendimento 11:30 - 17:50</v>
          </cell>
          <cell r="J136" t="str">
            <v>Desativado</v>
          </cell>
        </row>
        <row r="137">
          <cell r="D137" t="str">
            <v>Em Atendimento 16:20 - 22:40</v>
          </cell>
          <cell r="I137" t="str">
            <v>Desativado</v>
          </cell>
          <cell r="J137" t="str">
            <v>Em Atendimento 13:50 - 20:10</v>
          </cell>
        </row>
        <row r="138">
          <cell r="D138" t="str">
            <v>Em Atendimento 08:40 - 15:00</v>
          </cell>
          <cell r="I138" t="str">
            <v>Desativado</v>
          </cell>
          <cell r="J138" t="str">
            <v>Em Atendimento 11:10 - 17:30</v>
          </cell>
        </row>
        <row r="139">
          <cell r="D139" t="str">
            <v>Em Atendimento 15:50 - 22:10</v>
          </cell>
          <cell r="I139" t="str">
            <v>Em Atendimento 11:20 - 17:40</v>
          </cell>
          <cell r="J139" t="str">
            <v>Desativado</v>
          </cell>
        </row>
        <row r="140">
          <cell r="D140" t="str">
            <v>Em Atendimento 13:50 - 20:10</v>
          </cell>
          <cell r="I140" t="str">
            <v>Em Atendimento 07:20 - 13:40</v>
          </cell>
          <cell r="J140" t="str">
            <v>Desativado</v>
          </cell>
        </row>
        <row r="141">
          <cell r="D141" t="str">
            <v>Em Atendimento 08:40 - 15:00</v>
          </cell>
          <cell r="I141" t="str">
            <v>Em Atendimento 13:10 - 19:30</v>
          </cell>
          <cell r="J141" t="str">
            <v>Desativado</v>
          </cell>
        </row>
        <row r="142">
          <cell r="D142" t="str">
            <v>Em Atendimento 15:20 - 21:40</v>
          </cell>
          <cell r="I142" t="str">
            <v>Em Atendimento 09:20 - 15:40</v>
          </cell>
          <cell r="J142" t="str">
            <v>Desativado</v>
          </cell>
        </row>
        <row r="143">
          <cell r="D143" t="str">
            <v>Em Atendimento 08:10 - 14:30</v>
          </cell>
          <cell r="I143" t="str">
            <v>Em Atendimento 11:40 - 18:00</v>
          </cell>
          <cell r="J143" t="str">
            <v>Desativado</v>
          </cell>
        </row>
        <row r="144">
          <cell r="D144" t="str">
            <v>Em Atendimento 09:00 - 15:20</v>
          </cell>
          <cell r="I144" t="str">
            <v>Em Atendimento 15:00 - 21:20</v>
          </cell>
          <cell r="J144" t="str">
            <v>Desativado</v>
          </cell>
        </row>
        <row r="145">
          <cell r="D145" t="str">
            <v>Em Atendimento 07:10 - 13:30</v>
          </cell>
          <cell r="I145" t="str">
            <v>Em Atendimento 07:40 - 14:00</v>
          </cell>
          <cell r="J145" t="str">
            <v>Desativado</v>
          </cell>
        </row>
        <row r="146">
          <cell r="D146" t="str">
            <v>Em Atendimento 08:00 - 16:12</v>
          </cell>
          <cell r="I146" t="str">
            <v>Desativado</v>
          </cell>
          <cell r="J146" t="str">
            <v>Desativado</v>
          </cell>
        </row>
        <row r="147">
          <cell r="D147" t="str">
            <v>Em Atendimento 12:48 - 21:00</v>
          </cell>
          <cell r="I147" t="str">
            <v>Desativado</v>
          </cell>
          <cell r="J147" t="str">
            <v>Desativado</v>
          </cell>
        </row>
        <row r="148">
          <cell r="D148" t="str">
            <v>Em Atendimento 10:10 - 16:30</v>
          </cell>
          <cell r="I148" t="str">
            <v>Em Atendimento 09:10 - 15:30</v>
          </cell>
          <cell r="J148" t="str">
            <v>Desativado</v>
          </cell>
        </row>
        <row r="149">
          <cell r="D149" t="str">
            <v>Em Atendimento 14:00 - 20:20</v>
          </cell>
          <cell r="I149" t="str">
            <v>Em Atendimento 08:30 - 14:50</v>
          </cell>
          <cell r="J149" t="str">
            <v>Desativado</v>
          </cell>
        </row>
        <row r="150">
          <cell r="D150" t="str">
            <v>Em Atendimento 07:40 - 14:00</v>
          </cell>
          <cell r="I150" t="str">
            <v>Em Atendimento 06:40 - 13:00</v>
          </cell>
          <cell r="J150" t="str">
            <v>Desativado</v>
          </cell>
        </row>
        <row r="151">
          <cell r="D151" t="str">
            <v>Em Atendimento 15:20 - 21:40</v>
          </cell>
          <cell r="I151" t="str">
            <v>Em Atendimento 10:50 - 17:10</v>
          </cell>
          <cell r="J151" t="str">
            <v>Desativado</v>
          </cell>
        </row>
        <row r="152">
          <cell r="D152" t="str">
            <v>Em Atendimento 16:20 - 22:40</v>
          </cell>
          <cell r="I152" t="str">
            <v>Em Atendimento 14:50 - 21:10</v>
          </cell>
          <cell r="J152" t="str">
            <v>Desativado</v>
          </cell>
        </row>
        <row r="153">
          <cell r="D153" t="str">
            <v>Em Atendimento 08:30 - 16:42</v>
          </cell>
          <cell r="I153" t="str">
            <v>Desativado</v>
          </cell>
          <cell r="J153" t="str">
            <v>Desativado</v>
          </cell>
        </row>
        <row r="154">
          <cell r="D154" t="str">
            <v>Em Atendimento 15:40 - 22:00</v>
          </cell>
          <cell r="I154" t="str">
            <v>Em Atendimento 09:10 - 15:30</v>
          </cell>
          <cell r="J154" t="str">
            <v>Desativado</v>
          </cell>
        </row>
        <row r="155">
          <cell r="D155" t="str">
            <v>Em Atendimento 08:20 - 14:40</v>
          </cell>
          <cell r="I155" t="str">
            <v>Desativado</v>
          </cell>
          <cell r="J155" t="str">
            <v>Em Atendimento 15:20 - 21:40</v>
          </cell>
        </row>
        <row r="156">
          <cell r="D156" t="str">
            <v>Em Atendimento 13:48 - 22:00</v>
          </cell>
          <cell r="I156" t="str">
            <v>Desativado</v>
          </cell>
          <cell r="J156" t="str">
            <v>Desativado</v>
          </cell>
        </row>
        <row r="157">
          <cell r="D157" t="str">
            <v>Em Atendimento 09:00 - 15:20</v>
          </cell>
          <cell r="I157" t="str">
            <v>Em Atendimento 08:30 - 14:50</v>
          </cell>
          <cell r="J157" t="str">
            <v>Desativado</v>
          </cell>
        </row>
        <row r="158">
          <cell r="D158" t="str">
            <v>Em Atendimento 08:00 - 14:20</v>
          </cell>
          <cell r="I158" t="str">
            <v>Em Atendimento 15:00 - 21:20</v>
          </cell>
          <cell r="J158" t="str">
            <v>Desativado</v>
          </cell>
        </row>
        <row r="159">
          <cell r="D159" t="str">
            <v>Em Atendimento 15:00 - 21:20</v>
          </cell>
          <cell r="I159" t="str">
            <v>Desativado</v>
          </cell>
          <cell r="J159" t="str">
            <v>Em Atendimento 17:30 - 23:50</v>
          </cell>
        </row>
        <row r="160">
          <cell r="D160" t="str">
            <v>Em Atendimento 08:40 - 15:00</v>
          </cell>
          <cell r="I160" t="str">
            <v>Em Atendimento 08:40 - 15:00</v>
          </cell>
          <cell r="J160" t="str">
            <v>Desativado</v>
          </cell>
        </row>
        <row r="161">
          <cell r="D161" t="str">
            <v>Em Atendimento 11:48 - 20:00</v>
          </cell>
          <cell r="I161" t="str">
            <v>Desativado</v>
          </cell>
          <cell r="J161" t="str">
            <v>Desativado</v>
          </cell>
        </row>
        <row r="162">
          <cell r="D162" t="str">
            <v>Em Atendimento 08:30 - 16:42</v>
          </cell>
          <cell r="I162" t="str">
            <v>Desativado</v>
          </cell>
          <cell r="J162" t="str">
            <v>Desativado</v>
          </cell>
        </row>
        <row r="163">
          <cell r="D163" t="str">
            <v>Em Atendimento 13:48 - 22:00</v>
          </cell>
          <cell r="I163" t="str">
            <v>Desativado</v>
          </cell>
          <cell r="J163" t="str">
            <v>Desativado</v>
          </cell>
        </row>
        <row r="164">
          <cell r="D164" t="str">
            <v>Em Atendimento 09:00 - 17:12</v>
          </cell>
          <cell r="I164" t="str">
            <v>Desativado</v>
          </cell>
          <cell r="J164" t="str">
            <v>Desativado</v>
          </cell>
        </row>
        <row r="165">
          <cell r="D165" t="str">
            <v>Em Atendimento 10:48 - 19:00</v>
          </cell>
          <cell r="I165" t="str">
            <v>Desativado</v>
          </cell>
          <cell r="J165" t="str">
            <v>Desativado</v>
          </cell>
        </row>
        <row r="166">
          <cell r="D166" t="str">
            <v>Em Atendimento 13:48 - 22:00</v>
          </cell>
          <cell r="I166" t="str">
            <v>Desativado</v>
          </cell>
          <cell r="J166" t="str">
            <v>Desativado</v>
          </cell>
        </row>
        <row r="167">
          <cell r="D167" t="str">
            <v>Em Atendimento 09:50 - 16:10</v>
          </cell>
          <cell r="I167" t="str">
            <v>Em Atendimento 09:20 - 15:40</v>
          </cell>
          <cell r="J167" t="str">
            <v>Desativado</v>
          </cell>
        </row>
        <row r="168">
          <cell r="D168" t="str">
            <v>Em Atendimento 09:00 - 17:12</v>
          </cell>
          <cell r="I168" t="str">
            <v>Desativado</v>
          </cell>
          <cell r="J168" t="str">
            <v>Desativado</v>
          </cell>
        </row>
        <row r="169">
          <cell r="D169" t="str">
            <v>Em Atendimento 15:40 - 22:00</v>
          </cell>
          <cell r="I169" t="str">
            <v>Em Atendimento 09:40 - 16:00</v>
          </cell>
          <cell r="J169" t="str">
            <v>Desativado</v>
          </cell>
        </row>
        <row r="170">
          <cell r="D170" t="str">
            <v>Em Atendimento 08:00 - 14:20</v>
          </cell>
          <cell r="I170" t="str">
            <v>Em Atendimento 09:00 - 15:20</v>
          </cell>
          <cell r="J170" t="str">
            <v>Desativado</v>
          </cell>
        </row>
        <row r="171">
          <cell r="D171" t="str">
            <v>Em Atendimento 14:10 - 20:30</v>
          </cell>
          <cell r="I171" t="str">
            <v>Desativado</v>
          </cell>
          <cell r="J171" t="str">
            <v>Em Atendimento 10:40 - 17:00</v>
          </cell>
        </row>
        <row r="172">
          <cell r="D172" t="str">
            <v>Em Atendimento 15:00 - 21:20</v>
          </cell>
          <cell r="I172" t="str">
            <v>Em Atendimento 08:30 - 14:50</v>
          </cell>
          <cell r="J172" t="str">
            <v>Desativado</v>
          </cell>
        </row>
        <row r="173">
          <cell r="D173" t="str">
            <v>Em Atendimento 09:10 - 15:30</v>
          </cell>
          <cell r="I173" t="str">
            <v>Em Atendimento 13:10 - 19:30</v>
          </cell>
          <cell r="J173" t="str">
            <v>Desativado</v>
          </cell>
        </row>
        <row r="174">
          <cell r="D174" t="str">
            <v>Em Atendimento 08:30 - 16:42</v>
          </cell>
          <cell r="I174" t="str">
            <v>Desativado</v>
          </cell>
          <cell r="J174" t="str">
            <v>Desativado</v>
          </cell>
        </row>
        <row r="175">
          <cell r="D175" t="str">
            <v>Em Atendimento 09:30 - 17:42</v>
          </cell>
          <cell r="I175" t="str">
            <v>Desativado</v>
          </cell>
          <cell r="J175" t="str">
            <v>Desativado</v>
          </cell>
        </row>
        <row r="176">
          <cell r="D176" t="str">
            <v>Em Atendimento 10:30 - 18:42</v>
          </cell>
          <cell r="I176" t="str">
            <v>Desativado</v>
          </cell>
          <cell r="J176" t="str">
            <v>Desativado</v>
          </cell>
        </row>
        <row r="177">
          <cell r="D177" t="str">
            <v>Em Atendimento 16:10 - 22:30</v>
          </cell>
          <cell r="I177" t="str">
            <v>Em Atendimento 09:40 - 16:00</v>
          </cell>
          <cell r="J177" t="str">
            <v>Desativado</v>
          </cell>
        </row>
        <row r="178">
          <cell r="D178" t="str">
            <v>Em Atendimento 15:50 - 22:10</v>
          </cell>
          <cell r="I178" t="str">
            <v>Em Atendimento 09:20 - 15:40</v>
          </cell>
          <cell r="J178" t="str">
            <v>Desativado</v>
          </cell>
        </row>
        <row r="179">
          <cell r="D179" t="str">
            <v>Em Atendimento 08:40 - 15:00</v>
          </cell>
          <cell r="I179" t="str">
            <v>Em Atendimento 07:10 - 13:30</v>
          </cell>
          <cell r="J179" t="str">
            <v>Desativado</v>
          </cell>
        </row>
        <row r="180">
          <cell r="D180" t="str">
            <v>Em Atendimento 10:30 - 18:42</v>
          </cell>
          <cell r="I180" t="str">
            <v>Desativado</v>
          </cell>
          <cell r="J180" t="str">
            <v>Desativado</v>
          </cell>
        </row>
        <row r="181">
          <cell r="D181" t="str">
            <v>Em Atendimento 08:40 - 15:00</v>
          </cell>
          <cell r="I181" t="str">
            <v>Em Atendimento 14:10 - 20:30</v>
          </cell>
          <cell r="J181" t="str">
            <v>Desativado</v>
          </cell>
        </row>
        <row r="182">
          <cell r="D182" t="str">
            <v>Em Atendimento 08:30 - 14:50</v>
          </cell>
          <cell r="I182" t="str">
            <v>Em Atendimento 09:30 - 15:50</v>
          </cell>
          <cell r="J182" t="str">
            <v>Desativado</v>
          </cell>
        </row>
        <row r="183">
          <cell r="D183" t="str">
            <v>Em Atendimento 08:30 - 16:42</v>
          </cell>
          <cell r="I183" t="str">
            <v>Desativado</v>
          </cell>
          <cell r="J183" t="str">
            <v>Desativado</v>
          </cell>
        </row>
        <row r="184">
          <cell r="D184" t="str">
            <v>Em Atendimento 08:00 - 16:12</v>
          </cell>
          <cell r="I184" t="str">
            <v>Desativado</v>
          </cell>
          <cell r="J184" t="str">
            <v>Desativado</v>
          </cell>
        </row>
        <row r="185">
          <cell r="D185" t="str">
            <v>Em Atendimento 15:10 - 21:30</v>
          </cell>
          <cell r="I185" t="str">
            <v>Em Atendimento 10:40 - 17:00</v>
          </cell>
          <cell r="J185" t="str">
            <v>Desativado</v>
          </cell>
        </row>
        <row r="186">
          <cell r="D186" t="str">
            <v>Em Atendimento 14:10 - 20:30</v>
          </cell>
          <cell r="I186" t="str">
            <v>Em Atendimento 07:40 - 14:00</v>
          </cell>
          <cell r="J186" t="str">
            <v>Desativado</v>
          </cell>
        </row>
        <row r="187">
          <cell r="D187" t="str">
            <v>Em Atendimento 15:10 - 21:30</v>
          </cell>
          <cell r="I187" t="str">
            <v>Em Atendimento 14:10 - 20:30</v>
          </cell>
          <cell r="J187" t="str">
            <v>Desativado</v>
          </cell>
        </row>
        <row r="188">
          <cell r="D188" t="str">
            <v>Em Atendimento 16:10 - 22:30</v>
          </cell>
          <cell r="I188" t="str">
            <v>Em Atendimento 15:40 - 22:00</v>
          </cell>
          <cell r="J188" t="str">
            <v>Desativado</v>
          </cell>
        </row>
        <row r="189">
          <cell r="D189" t="str">
            <v>Em Atendimento 15:40 - 22:00</v>
          </cell>
          <cell r="I189" t="str">
            <v>Em Atendimento 13:10 - 19:30</v>
          </cell>
          <cell r="J189" t="str">
            <v>Desativado</v>
          </cell>
        </row>
        <row r="190">
          <cell r="D190" t="str">
            <v>Em Atendimento 13:50 - 20:10</v>
          </cell>
          <cell r="I190" t="str">
            <v>Em Atendimento 08:50 - 15:10</v>
          </cell>
          <cell r="J190" t="str">
            <v>Desativado</v>
          </cell>
        </row>
        <row r="191">
          <cell r="D191" t="str">
            <v>Em Atendimento 08:30 - 16:42</v>
          </cell>
          <cell r="I191" t="str">
            <v>Desativado</v>
          </cell>
          <cell r="J191" t="str">
            <v>Desativado</v>
          </cell>
        </row>
        <row r="192">
          <cell r="D192" t="str">
            <v>Em Atendimento 08:40 - 15:00</v>
          </cell>
          <cell r="I192" t="str">
            <v>Em Atendimento 13:40 - 20:00</v>
          </cell>
          <cell r="J192" t="str">
            <v>Desativado</v>
          </cell>
        </row>
        <row r="193">
          <cell r="D193" t="str">
            <v>Em Atendimento 08:30 - 16:42</v>
          </cell>
          <cell r="I193" t="str">
            <v>Desativado</v>
          </cell>
          <cell r="J193" t="str">
            <v>Desativado</v>
          </cell>
        </row>
        <row r="194">
          <cell r="D194" t="str">
            <v>Em Atendimento 14:10 - 20:30</v>
          </cell>
          <cell r="I194" t="str">
            <v>Em Atendimento 08:10 - 14:30</v>
          </cell>
          <cell r="J194" t="str">
            <v>Desativado</v>
          </cell>
        </row>
        <row r="195">
          <cell r="D195" t="str">
            <v>Em Atendimento 08:30 - 14:50</v>
          </cell>
          <cell r="I195" t="str">
            <v>Em Atendimento 09:00 - 15:20</v>
          </cell>
          <cell r="J195" t="str">
            <v>Desativado</v>
          </cell>
        </row>
        <row r="196">
          <cell r="D196" t="str">
            <v>Em Atendimento 09:00 - 15:20</v>
          </cell>
          <cell r="I196" t="str">
            <v>Em Atendimento 16:00 - 22:20</v>
          </cell>
          <cell r="J196" t="str">
            <v>Desativado</v>
          </cell>
        </row>
        <row r="197">
          <cell r="D197" t="str">
            <v>Em Atendimento 09:00 - 15:20</v>
          </cell>
          <cell r="I197" t="str">
            <v>Em Atendimento 08:00 - 14:20</v>
          </cell>
          <cell r="J197" t="str">
            <v>Desativado</v>
          </cell>
        </row>
        <row r="198">
          <cell r="D198" t="str">
            <v>Em Atendimento 13:30 - 19:50</v>
          </cell>
          <cell r="I198" t="str">
            <v>Em Atendimento 09:00 - 15:20</v>
          </cell>
          <cell r="J198" t="str">
            <v>Desativado</v>
          </cell>
        </row>
        <row r="199">
          <cell r="D199" t="str">
            <v>Em Atendimento 10:30 - 18:42</v>
          </cell>
          <cell r="I199" t="str">
            <v>Desativado</v>
          </cell>
          <cell r="J199" t="str">
            <v>Desativado</v>
          </cell>
        </row>
        <row r="200">
          <cell r="D200" t="str">
            <v>Em Atendimento 07:50 - 14:10</v>
          </cell>
          <cell r="I200" t="str">
            <v>Desativado</v>
          </cell>
          <cell r="J200" t="str">
            <v>Em Atendimento 08:20 - 14:40</v>
          </cell>
        </row>
        <row r="201">
          <cell r="D201" t="str">
            <v>Em Atendimento 07:50 - 14:10</v>
          </cell>
          <cell r="I201" t="str">
            <v>Em Atendimento 07:20 - 13:40</v>
          </cell>
          <cell r="J201" t="str">
            <v>Desativado</v>
          </cell>
        </row>
        <row r="202">
          <cell r="D202" t="str">
            <v>Em Atendimento 15:40 - 22:00</v>
          </cell>
          <cell r="I202" t="str">
            <v>Em Atendimento 15:10 - 21:30</v>
          </cell>
          <cell r="J202" t="str">
            <v>Desativado</v>
          </cell>
        </row>
        <row r="203">
          <cell r="D203" t="str">
            <v>Em Atendimento 08:00 - 16:12</v>
          </cell>
          <cell r="I203" t="str">
            <v>Desativado</v>
          </cell>
          <cell r="J203" t="str">
            <v>Desativado</v>
          </cell>
        </row>
        <row r="204">
          <cell r="D204" t="str">
            <v>Em Atendimento 15:50 - 22:10</v>
          </cell>
          <cell r="I204" t="str">
            <v>Desativado</v>
          </cell>
          <cell r="J204" t="str">
            <v>Em Atendimento 09:50 - 16:10</v>
          </cell>
        </row>
        <row r="205">
          <cell r="D205" t="str">
            <v>Em Atendimento 07:30 - 13:50</v>
          </cell>
          <cell r="I205" t="str">
            <v>Em Atendimento 15:00 - 21:20</v>
          </cell>
          <cell r="J205" t="str">
            <v>Desativado</v>
          </cell>
        </row>
        <row r="206">
          <cell r="D206" t="str">
            <v>Em Atendimento 13:00 - 19:20</v>
          </cell>
          <cell r="I206" t="str">
            <v>Em Atendimento 10:00 - 16:20</v>
          </cell>
          <cell r="J206" t="str">
            <v>Desativado</v>
          </cell>
        </row>
        <row r="207">
          <cell r="D207" t="str">
            <v>Em Atendimento 08:40 - 15:00</v>
          </cell>
          <cell r="I207" t="str">
            <v>Em Atendimento 13:40 - 20:00</v>
          </cell>
          <cell r="J207" t="str">
            <v>Desativado</v>
          </cell>
        </row>
        <row r="208">
          <cell r="D208" t="str">
            <v>Em Atendimento 09:00 - 15:20</v>
          </cell>
          <cell r="I208" t="str">
            <v>Em Atendimento 08:30 - 14:50</v>
          </cell>
          <cell r="J208" t="str">
            <v>Desativado</v>
          </cell>
        </row>
        <row r="209">
          <cell r="D209" t="str">
            <v>Em Atendimento 08:10 - 14:30</v>
          </cell>
          <cell r="I209" t="str">
            <v>Desativado</v>
          </cell>
          <cell r="J209" t="str">
            <v>Em Atendimento 06:10 - 12:30</v>
          </cell>
        </row>
        <row r="210">
          <cell r="D210" t="str">
            <v>Em Atendimento 00:00 - 06:20</v>
          </cell>
          <cell r="I210" t="str">
            <v>Em Atendimento 00:00 - 06:20</v>
          </cell>
          <cell r="J210" t="str">
            <v>Desativado</v>
          </cell>
        </row>
        <row r="211">
          <cell r="D211" t="str">
            <v>Em Atendimento 09:00 - 17:12</v>
          </cell>
          <cell r="I211" t="str">
            <v>Desativado</v>
          </cell>
          <cell r="J211" t="str">
            <v>Desativado</v>
          </cell>
        </row>
        <row r="212">
          <cell r="D212" t="str">
            <v>Em Atendimento 15:30 - 21:50</v>
          </cell>
          <cell r="I212" t="str">
            <v>Em Atendimento 09:00 - 15:20</v>
          </cell>
          <cell r="J212" t="str">
            <v>Desativado</v>
          </cell>
        </row>
        <row r="213">
          <cell r="D213" t="str">
            <v>Em Atendimento 14:50 - 21:10</v>
          </cell>
          <cell r="I213" t="str">
            <v>Em Atendimento 13:20 - 19:40</v>
          </cell>
          <cell r="J213" t="str">
            <v>Desativado</v>
          </cell>
        </row>
        <row r="214">
          <cell r="D214" t="str">
            <v>Em Atendimento 09:00 - 17:12</v>
          </cell>
          <cell r="I214" t="str">
            <v>Desativado</v>
          </cell>
          <cell r="J214" t="str">
            <v>Desativado</v>
          </cell>
        </row>
        <row r="215">
          <cell r="D215" t="str">
            <v>Em Atendimento 07:40 - 14:00</v>
          </cell>
          <cell r="I215" t="str">
            <v>Em Atendimento 06:40 - 13:00</v>
          </cell>
          <cell r="J215" t="str">
            <v>Desativado</v>
          </cell>
        </row>
        <row r="216">
          <cell r="D216" t="str">
            <v>Em Atendimento 10:40 - 17:00</v>
          </cell>
          <cell r="I216" t="str">
            <v>Em Atendimento 06:10 - 12:30</v>
          </cell>
          <cell r="J216" t="str">
            <v>Desativado</v>
          </cell>
        </row>
        <row r="217">
          <cell r="D217" t="str">
            <v>Em Atendimento 13:48 - 22:00</v>
          </cell>
          <cell r="I217" t="str">
            <v>Desativado</v>
          </cell>
          <cell r="J217" t="str">
            <v>Desativado</v>
          </cell>
        </row>
        <row r="218">
          <cell r="D218" t="str">
            <v>Em Atendimento 09:48 - 18:00</v>
          </cell>
          <cell r="I218" t="str">
            <v>Desativado</v>
          </cell>
          <cell r="J218" t="str">
            <v>Desativado</v>
          </cell>
        </row>
        <row r="219">
          <cell r="D219" t="str">
            <v>Em Atendimento 15:20 - 21:40</v>
          </cell>
          <cell r="I219" t="str">
            <v>Em Atendimento 16:20 - 22:40</v>
          </cell>
          <cell r="J219" t="str">
            <v>Desativado</v>
          </cell>
        </row>
        <row r="220">
          <cell r="D220" t="str">
            <v>Em Atendimento 08:20 - 14:40</v>
          </cell>
          <cell r="I220" t="str">
            <v>Em Atendimento 08:20 - 14:40</v>
          </cell>
          <cell r="J220" t="str">
            <v>Desativado</v>
          </cell>
        </row>
        <row r="221">
          <cell r="D221" t="str">
            <v>Em Atendimento 16:20 - 22:40</v>
          </cell>
          <cell r="I221" t="str">
            <v>Em Atendimento 11:50 - 18:10</v>
          </cell>
          <cell r="J221" t="str">
            <v>Desativado</v>
          </cell>
        </row>
        <row r="222">
          <cell r="D222" t="str">
            <v>Em Atendimento 12:30 - 20:42</v>
          </cell>
          <cell r="I222" t="str">
            <v>Desativado</v>
          </cell>
          <cell r="J222" t="str">
            <v>Desativado</v>
          </cell>
        </row>
        <row r="223">
          <cell r="D223" t="str">
            <v>Em Atendimento 15:20 - 21:40</v>
          </cell>
          <cell r="I223" t="str">
            <v>Em Atendimento 09:20 - 15:40</v>
          </cell>
          <cell r="J223" t="str">
            <v>Desativado</v>
          </cell>
        </row>
        <row r="224">
          <cell r="D224" t="str">
            <v>Em Atendimento 08:30 - 16:42</v>
          </cell>
          <cell r="I224" t="str">
            <v>Desativado</v>
          </cell>
          <cell r="J224" t="str">
            <v>Desativado</v>
          </cell>
        </row>
        <row r="225">
          <cell r="D225" t="str">
            <v>Em Atendimento 10:48 - 19:00</v>
          </cell>
          <cell r="I225" t="str">
            <v>Desativado</v>
          </cell>
          <cell r="J225" t="str">
            <v>Desativado</v>
          </cell>
        </row>
        <row r="226">
          <cell r="D226" t="str">
            <v>Em Atendimento 07:50 - 14:10</v>
          </cell>
          <cell r="I226" t="str">
            <v>Em Atendimento 06:20 - 12:40</v>
          </cell>
          <cell r="J226" t="str">
            <v>Desativado</v>
          </cell>
        </row>
        <row r="227">
          <cell r="D227" t="str">
            <v>Em Atendimento 14:20 - 20:40</v>
          </cell>
          <cell r="I227" t="str">
            <v>Em Atendimento 14:50 - 21:10</v>
          </cell>
          <cell r="J227" t="str">
            <v>Desativado</v>
          </cell>
        </row>
        <row r="228">
          <cell r="D228" t="str">
            <v>Em Atendimento 08:00 - 16:12</v>
          </cell>
          <cell r="I228" t="str">
            <v>Desativado</v>
          </cell>
          <cell r="J228" t="str">
            <v>Desativado</v>
          </cell>
        </row>
        <row r="229">
          <cell r="D229" t="str">
            <v>Em Atendimento 16:20 - 22:40</v>
          </cell>
          <cell r="I229" t="str">
            <v>Em Atendimento 15:20 - 21:40</v>
          </cell>
          <cell r="J229" t="str">
            <v>Desativado</v>
          </cell>
        </row>
        <row r="230">
          <cell r="D230" t="str">
            <v>Em Atendimento 17:30 - 23:50</v>
          </cell>
          <cell r="I230" t="str">
            <v>Em Atendimento 16:00 - 22:20</v>
          </cell>
          <cell r="J230" t="str">
            <v>Desativado</v>
          </cell>
        </row>
        <row r="231">
          <cell r="D231" t="str">
            <v>Em Atendimento 08:10 - 14:30</v>
          </cell>
          <cell r="I231" t="str">
            <v>Em Atendimento 08:40 - 15:00</v>
          </cell>
          <cell r="J231" t="str">
            <v>Desativado</v>
          </cell>
        </row>
        <row r="232">
          <cell r="D232" t="str">
            <v>Em Atendimento 09:48 - 18:00</v>
          </cell>
          <cell r="I232" t="str">
            <v>Desativado</v>
          </cell>
          <cell r="J232" t="str">
            <v>Desativado</v>
          </cell>
        </row>
        <row r="233">
          <cell r="D233" t="str">
            <v>Em Atendimento 16:00 - 22:20</v>
          </cell>
          <cell r="I233" t="str">
            <v>Em Atendimento 15:00 - 21:20</v>
          </cell>
          <cell r="J233" t="str">
            <v>Desativado</v>
          </cell>
        </row>
        <row r="234">
          <cell r="D234" t="str">
            <v>Em Atendimento 10:30 - 18:42</v>
          </cell>
          <cell r="I234" t="str">
            <v>Desativado</v>
          </cell>
          <cell r="J234" t="str">
            <v>Desativado</v>
          </cell>
        </row>
        <row r="235">
          <cell r="D235" t="str">
            <v>Em Atendimento 08:00 - 16:12</v>
          </cell>
          <cell r="I235" t="str">
            <v>Desativado</v>
          </cell>
          <cell r="J235" t="str">
            <v>Desativado</v>
          </cell>
        </row>
        <row r="236">
          <cell r="D236" t="str">
            <v>Em Atendimento 08:00 - 16:12</v>
          </cell>
          <cell r="I236" t="str">
            <v>Desativado</v>
          </cell>
          <cell r="J236" t="str">
            <v>Desativado</v>
          </cell>
        </row>
        <row r="237">
          <cell r="D237" t="str">
            <v>Em Atendimento 16:00 - 22:20</v>
          </cell>
          <cell r="I237" t="str">
            <v>Em Atendimento 09:30 - 15:50</v>
          </cell>
          <cell r="J237" t="str">
            <v>Desativado</v>
          </cell>
        </row>
        <row r="238">
          <cell r="D238" t="str">
            <v>Em Atendimento 00:00 - 06:20</v>
          </cell>
          <cell r="I238" t="str">
            <v>Desativado</v>
          </cell>
          <cell r="J238" t="str">
            <v>Em Atendimento 00:00 - 06:20</v>
          </cell>
        </row>
        <row r="239">
          <cell r="D239" t="str">
            <v>Em Atendimento 16:00 - 22:20</v>
          </cell>
          <cell r="I239" t="str">
            <v>Em Atendimento 10:30 - 16:50</v>
          </cell>
          <cell r="J239" t="str">
            <v>Desativado</v>
          </cell>
        </row>
        <row r="240">
          <cell r="D240" t="str">
            <v>Em Atendimento 16:20 - 22:40</v>
          </cell>
          <cell r="I240" t="str">
            <v>Em Atendimento 15:50 - 22:10</v>
          </cell>
          <cell r="J240" t="str">
            <v>Desativado</v>
          </cell>
        </row>
        <row r="241">
          <cell r="D241" t="str">
            <v>Em Atendimento 08:20 - 14:40</v>
          </cell>
          <cell r="I241" t="str">
            <v>Em Atendimento 15:20 - 21:40</v>
          </cell>
          <cell r="J241" t="str">
            <v>Desativado</v>
          </cell>
        </row>
        <row r="242">
          <cell r="D242" t="str">
            <v>Em Atendimento 09:30 - 17:42</v>
          </cell>
          <cell r="I242" t="str">
            <v>Desativado</v>
          </cell>
          <cell r="J242" t="str">
            <v>Desativado</v>
          </cell>
        </row>
        <row r="243">
          <cell r="D243" t="str">
            <v>Em Atendimento 14:00 - 20:20</v>
          </cell>
          <cell r="I243" t="str">
            <v>Em Atendimento 08:30 - 14:50</v>
          </cell>
          <cell r="J243" t="str">
            <v>Desativado</v>
          </cell>
        </row>
        <row r="244">
          <cell r="D244" t="str">
            <v>Em Atendimento 16:00 - 22:20</v>
          </cell>
          <cell r="I244" t="str">
            <v>Em Atendimento 15:30 - 21:50</v>
          </cell>
          <cell r="J244" t="str">
            <v>Desativado</v>
          </cell>
        </row>
        <row r="245">
          <cell r="D245" t="str">
            <v>Em Atendimento 13:30 - 21:42</v>
          </cell>
          <cell r="I245" t="str">
            <v>Desativado</v>
          </cell>
          <cell r="J245" t="str">
            <v>Desativado</v>
          </cell>
        </row>
        <row r="246">
          <cell r="D246" t="str">
            <v>Em Atendimento 09:30 - 17:42</v>
          </cell>
          <cell r="I246" t="str">
            <v>Desativado</v>
          </cell>
          <cell r="J246" t="str">
            <v>Desativado</v>
          </cell>
        </row>
        <row r="247">
          <cell r="D247" t="str">
            <v>Em Atendimento 08:30 - 14:50</v>
          </cell>
          <cell r="I247" t="str">
            <v>Em Atendimento 15:30 - 21:50</v>
          </cell>
          <cell r="J247" t="str">
            <v>Desativado</v>
          </cell>
        </row>
        <row r="248">
          <cell r="D248" t="str">
            <v>Em Atendimento 08:40 - 15:00</v>
          </cell>
          <cell r="I248" t="str">
            <v>Em Atendimento 15:40 - 22:00</v>
          </cell>
          <cell r="J248" t="str">
            <v>Desativado</v>
          </cell>
        </row>
        <row r="249">
          <cell r="D249" t="str">
            <v>Em Atendimento 13:48 - 22:00</v>
          </cell>
          <cell r="I249" t="str">
            <v>Desativado</v>
          </cell>
          <cell r="J249" t="str">
            <v>Desativado</v>
          </cell>
        </row>
        <row r="250">
          <cell r="D250" t="str">
            <v>Em Atendimento 07:50 - 14:10</v>
          </cell>
          <cell r="I250" t="str">
            <v>Desativado</v>
          </cell>
          <cell r="J250" t="str">
            <v>Em Atendimento 14:50 - 21:10</v>
          </cell>
        </row>
        <row r="251">
          <cell r="D251" t="str">
            <v>Em Atendimento 08:10 - 14:30</v>
          </cell>
          <cell r="I251" t="str">
            <v>Em Atendimento 08:40 - 15:00</v>
          </cell>
          <cell r="J251" t="str">
            <v>Desativado</v>
          </cell>
        </row>
        <row r="252">
          <cell r="D252" t="str">
            <v>Em Atendimento 15:20 - 21:40</v>
          </cell>
          <cell r="I252" t="str">
            <v>Em Atendimento 15:20 - 21:40</v>
          </cell>
          <cell r="J252" t="str">
            <v>Desativado</v>
          </cell>
        </row>
        <row r="253">
          <cell r="D253" t="str">
            <v>Em Atendimento 09:50 - 16:10</v>
          </cell>
          <cell r="I253" t="str">
            <v>Em Atendimento 11:50 - 18:10</v>
          </cell>
          <cell r="J253" t="str">
            <v>Desativado</v>
          </cell>
        </row>
        <row r="254">
          <cell r="D254" t="str">
            <v>Em Atendimento 16:20 - 22:40</v>
          </cell>
          <cell r="I254" t="str">
            <v>Em Atendimento 14:50 - 21:10</v>
          </cell>
          <cell r="J254" t="str">
            <v>Desativado</v>
          </cell>
        </row>
        <row r="255">
          <cell r="D255" t="str">
            <v>Em Atendimento 15:20 - 21:40</v>
          </cell>
          <cell r="I255" t="str">
            <v>Em Atendimento 15:50 - 22:10</v>
          </cell>
          <cell r="J255" t="str">
            <v>Desativado</v>
          </cell>
        </row>
        <row r="256">
          <cell r="D256" t="str">
            <v>Em Atendimento 10:00 - 16:20</v>
          </cell>
          <cell r="I256" t="str">
            <v>Em Atendimento 11:00 - 17:20</v>
          </cell>
          <cell r="J256" t="str">
            <v>Desativado</v>
          </cell>
        </row>
        <row r="257">
          <cell r="D257" t="str">
            <v>Em Atendimento 09:00 - 17:12</v>
          </cell>
          <cell r="I257" t="str">
            <v>Desativado</v>
          </cell>
          <cell r="J257" t="str">
            <v>Desativado</v>
          </cell>
        </row>
        <row r="258">
          <cell r="D258" t="str">
            <v>Em Atendimento 09:50 - 16:10</v>
          </cell>
          <cell r="I258" t="str">
            <v>Em Atendimento 06:20 - 12:40</v>
          </cell>
          <cell r="J258" t="str">
            <v>Desativado</v>
          </cell>
        </row>
        <row r="259">
          <cell r="D259" t="str">
            <v>Em Atendimento 09:00 - 15:20</v>
          </cell>
          <cell r="I259" t="str">
            <v>Desativado</v>
          </cell>
          <cell r="J259" t="str">
            <v>Em Atendimento 13:00 - 19:20</v>
          </cell>
        </row>
        <row r="260">
          <cell r="D260" t="str">
            <v>Em Atendimento 12:40 - 19:00</v>
          </cell>
          <cell r="I260" t="str">
            <v>Em Atendimento 09:10 - 15:30</v>
          </cell>
          <cell r="J260" t="str">
            <v>Desativado</v>
          </cell>
        </row>
        <row r="261">
          <cell r="D261" t="str">
            <v>Em Atendimento 07:30 - 13:50</v>
          </cell>
          <cell r="I261" t="str">
            <v>Desativado</v>
          </cell>
          <cell r="J261" t="str">
            <v>Em Atendimento 09:00 - 15:20</v>
          </cell>
        </row>
        <row r="262">
          <cell r="D262" t="str">
            <v>Em Atendimento 14:10 - 20:30</v>
          </cell>
          <cell r="I262" t="str">
            <v>Em Atendimento 14:40 - 21:00</v>
          </cell>
          <cell r="J262" t="str">
            <v>Desativado</v>
          </cell>
        </row>
        <row r="263">
          <cell r="D263" t="str">
            <v>Em Atendimento 09:00 - 15:20</v>
          </cell>
          <cell r="I263" t="str">
            <v>Em Atendimento 16:00 - 22:20</v>
          </cell>
          <cell r="J263" t="str">
            <v>Desativado</v>
          </cell>
        </row>
        <row r="264">
          <cell r="D264" t="str">
            <v>Em Atendimento 09:50 - 16:10</v>
          </cell>
          <cell r="I264" t="str">
            <v>Em Atendimento 13:50 - 20:10</v>
          </cell>
          <cell r="J264" t="str">
            <v>Desativado</v>
          </cell>
        </row>
        <row r="265">
          <cell r="D265" t="str">
            <v>Em Atendimento 09:20 - 15:40</v>
          </cell>
          <cell r="I265" t="str">
            <v>Em Atendimento 06:50 - 13:10</v>
          </cell>
          <cell r="J265" t="str">
            <v>Desativado</v>
          </cell>
        </row>
        <row r="266">
          <cell r="D266" t="str">
            <v>Em Atendimento 08:20 - 14:40</v>
          </cell>
          <cell r="I266" t="str">
            <v>Em Atendimento 08:20 - 14:40</v>
          </cell>
          <cell r="J266" t="str">
            <v>Desativado</v>
          </cell>
        </row>
        <row r="267">
          <cell r="D267" t="str">
            <v>Em Atendimento 13:00 - 19:20</v>
          </cell>
          <cell r="I267" t="str">
            <v>Em Atendimento 15:30 - 21:50</v>
          </cell>
          <cell r="J267" t="str">
            <v>Desativado</v>
          </cell>
        </row>
        <row r="268">
          <cell r="D268" t="str">
            <v>Em Atendimento 13:48 - 22:00</v>
          </cell>
          <cell r="I268" t="str">
            <v>Desativado</v>
          </cell>
          <cell r="J268" t="str">
            <v>Desativado</v>
          </cell>
        </row>
        <row r="269">
          <cell r="D269" t="str">
            <v>Em Atendimento 15:40 - 22:00</v>
          </cell>
          <cell r="I269" t="str">
            <v>Em Atendimento 15:10 - 21:30</v>
          </cell>
          <cell r="J269" t="str">
            <v>Desativado</v>
          </cell>
        </row>
        <row r="270">
          <cell r="D270" t="str">
            <v>Em Atendimento 09:48 - 18:00</v>
          </cell>
          <cell r="I270" t="str">
            <v>Desativado</v>
          </cell>
          <cell r="J270" t="str">
            <v>Desativado</v>
          </cell>
        </row>
        <row r="271">
          <cell r="D271" t="str">
            <v>Em Atendimento 09:48 - 18:00</v>
          </cell>
          <cell r="I271" t="str">
            <v>Desativado</v>
          </cell>
          <cell r="J271" t="str">
            <v>Desativado</v>
          </cell>
        </row>
        <row r="272">
          <cell r="D272" t="str">
            <v>Em Atendimento 14:00 - 20:20</v>
          </cell>
          <cell r="I272" t="str">
            <v>Em Atendimento 15:00 - 21:20</v>
          </cell>
          <cell r="J272" t="str">
            <v>Desativado</v>
          </cell>
        </row>
        <row r="273">
          <cell r="D273" t="str">
            <v>Em Atendimento 10:10 - 16:30</v>
          </cell>
          <cell r="I273" t="str">
            <v>Em Atendimento 13:40 - 20:00</v>
          </cell>
          <cell r="J273" t="str">
            <v>Desativado</v>
          </cell>
        </row>
        <row r="274">
          <cell r="D274" t="str">
            <v>Em Atendimento 13:30 - 21:42</v>
          </cell>
          <cell r="I274" t="str">
            <v>Desativado</v>
          </cell>
          <cell r="J274" t="str">
            <v>Desativado</v>
          </cell>
        </row>
        <row r="275">
          <cell r="D275" t="str">
            <v>Em Atendimento 08:30 - 14:50</v>
          </cell>
          <cell r="I275" t="str">
            <v>Em Atendimento 08:30 - 14:50</v>
          </cell>
          <cell r="J275" t="str">
            <v>Desativado</v>
          </cell>
        </row>
        <row r="276">
          <cell r="D276" t="str">
            <v>Em Atendimento 10:30 - 18:42</v>
          </cell>
          <cell r="I276" t="str">
            <v>Desativado</v>
          </cell>
          <cell r="J276" t="str">
            <v>Desativado</v>
          </cell>
        </row>
        <row r="277">
          <cell r="D277" t="str">
            <v>Em Atendimento 08:40 - 15:00</v>
          </cell>
          <cell r="I277" t="str">
            <v>Em Atendimento 13:10 - 19:30</v>
          </cell>
          <cell r="J277" t="str">
            <v>Desativado</v>
          </cell>
        </row>
        <row r="278">
          <cell r="D278" t="str">
            <v>Em Atendimento 15:50 - 22:10</v>
          </cell>
          <cell r="I278" t="str">
            <v>Em Atendimento 15:20 - 21:40</v>
          </cell>
          <cell r="J278" t="str">
            <v>Desativado</v>
          </cell>
        </row>
        <row r="279">
          <cell r="D279" t="str">
            <v>Em Atendimento 09:40 - 16:00</v>
          </cell>
          <cell r="I279" t="str">
            <v>Em Atendimento 08:40 - 15:00</v>
          </cell>
          <cell r="J279" t="str">
            <v>Desativado</v>
          </cell>
        </row>
        <row r="280">
          <cell r="D280" t="str">
            <v>Em Atendimento 09:00 - 17:12</v>
          </cell>
          <cell r="I280" t="str">
            <v>Desativado</v>
          </cell>
          <cell r="J280" t="str">
            <v>Desativado</v>
          </cell>
        </row>
        <row r="281">
          <cell r="D281" t="str">
            <v>Em Atendimento 12:30 - 20:42</v>
          </cell>
          <cell r="I281" t="str">
            <v>Desativado</v>
          </cell>
          <cell r="J281" t="str">
            <v>Desativado</v>
          </cell>
        </row>
        <row r="282">
          <cell r="D282" t="str">
            <v>Em Atendimento 09:10 - 15:30</v>
          </cell>
          <cell r="I282" t="str">
            <v>Em Atendimento 07:10 - 13:30</v>
          </cell>
          <cell r="J282" t="str">
            <v>Desativado</v>
          </cell>
        </row>
        <row r="283">
          <cell r="D283" t="str">
            <v>Em Atendimento 15:00 - 21:20</v>
          </cell>
          <cell r="I283" t="str">
            <v>Desativado</v>
          </cell>
          <cell r="J283" t="str">
            <v>Em Atendimento 17:30 - 23:50</v>
          </cell>
        </row>
        <row r="284">
          <cell r="D284" t="str">
            <v>Em Atendimento 10:10 - 16:30</v>
          </cell>
          <cell r="I284" t="str">
            <v>Em Atendimento 11:10 - 17:30</v>
          </cell>
          <cell r="J284" t="str">
            <v>Desativado</v>
          </cell>
        </row>
        <row r="285">
          <cell r="D285" t="str">
            <v>Em Atendimento 07:50 - 14:10</v>
          </cell>
          <cell r="I285" t="str">
            <v>Desativado</v>
          </cell>
          <cell r="J285" t="str">
            <v>Em Atendimento 10:50 - 17:10</v>
          </cell>
        </row>
        <row r="286">
          <cell r="D286" t="str">
            <v>Em Atendimento 15:30 - 21:50</v>
          </cell>
          <cell r="I286" t="str">
            <v>Em Atendimento 16:00 - 22:20</v>
          </cell>
          <cell r="J286" t="str">
            <v>Desativado</v>
          </cell>
        </row>
        <row r="287">
          <cell r="D287" t="str">
            <v>Em Atendimento 14:10 - 20:30</v>
          </cell>
          <cell r="I287" t="str">
            <v>Em Atendimento 08:40 - 15:00</v>
          </cell>
          <cell r="J287" t="str">
            <v>Desativado</v>
          </cell>
        </row>
        <row r="288">
          <cell r="D288" t="str">
            <v>Em Atendimento 00:00 - 06:20</v>
          </cell>
          <cell r="I288" t="str">
            <v>Em Atendimento 00:00 - 06:20</v>
          </cell>
          <cell r="J288" t="str">
            <v>Desativado</v>
          </cell>
        </row>
        <row r="289">
          <cell r="D289" t="str">
            <v>Em Atendimento 09:00 - 15:20</v>
          </cell>
          <cell r="I289" t="str">
            <v>Desativado</v>
          </cell>
          <cell r="J289" t="str">
            <v>Em Atendimento 09:30 - 15:50</v>
          </cell>
        </row>
        <row r="290">
          <cell r="D290" t="str">
            <v>Em Atendimento 14:10 - 20:30</v>
          </cell>
          <cell r="I290" t="str">
            <v>Em Atendimento 08:40 - 15:00</v>
          </cell>
          <cell r="J290" t="str">
            <v>Desativado</v>
          </cell>
        </row>
        <row r="291">
          <cell r="D291" t="str">
            <v>Em Atendimento 13:00 - 19:20</v>
          </cell>
          <cell r="I291" t="str">
            <v>Em Atendimento 08:30 - 14:50</v>
          </cell>
          <cell r="J291" t="str">
            <v>Desativado</v>
          </cell>
        </row>
        <row r="292">
          <cell r="D292" t="str">
            <v>Em Atendimento 11:00 - 17:20</v>
          </cell>
          <cell r="I292" t="str">
            <v>Em Atendimento 06:30 - 12:50</v>
          </cell>
          <cell r="J292" t="str">
            <v>Desativado</v>
          </cell>
        </row>
        <row r="293">
          <cell r="D293" t="str">
            <v>Em Atendimento 08:40 - 15:00</v>
          </cell>
          <cell r="I293" t="str">
            <v>Em Atendimento 13:40 - 20:00</v>
          </cell>
          <cell r="J293" t="str">
            <v>Desativado</v>
          </cell>
        </row>
        <row r="294">
          <cell r="D294" t="str">
            <v>Em Atendimento 07:40 - 14:00</v>
          </cell>
          <cell r="I294" t="str">
            <v>Desativado</v>
          </cell>
          <cell r="J294" t="str">
            <v>Em Atendimento 17:40 - 00:00</v>
          </cell>
        </row>
        <row r="295">
          <cell r="D295" t="str">
            <v>Em Atendimento 10:30 - 18:42</v>
          </cell>
          <cell r="I295" t="str">
            <v>Desativado</v>
          </cell>
          <cell r="J295" t="str">
            <v>Desativado</v>
          </cell>
        </row>
        <row r="296">
          <cell r="D296" t="str">
            <v>Em Atendimento 15:10 - 21:30</v>
          </cell>
          <cell r="I296" t="str">
            <v>Desativado</v>
          </cell>
          <cell r="J296" t="str">
            <v>Em Atendimento 15:10 - 21:30</v>
          </cell>
        </row>
        <row r="297">
          <cell r="D297" t="str">
            <v>Em Atendimento 16:20 - 22:40</v>
          </cell>
          <cell r="I297" t="str">
            <v>Em Atendimento 10:50 - 17:10</v>
          </cell>
          <cell r="J297" t="str">
            <v>Desativado</v>
          </cell>
        </row>
        <row r="298">
          <cell r="D298" t="str">
            <v>Em Atendimento 09:40 - 16:00</v>
          </cell>
          <cell r="I298" t="str">
            <v>Em Atendimento 15:40 - 22:00</v>
          </cell>
          <cell r="J298" t="str">
            <v>Desativado</v>
          </cell>
        </row>
        <row r="299">
          <cell r="D299" t="str">
            <v>Em Atendimento 09:10 - 15:30</v>
          </cell>
          <cell r="I299" t="str">
            <v>Em Atendimento 06:10 - 12:30</v>
          </cell>
          <cell r="J299" t="str">
            <v>Desativado</v>
          </cell>
        </row>
        <row r="300">
          <cell r="D300" t="str">
            <v>Em Atendimento 09:30 - 15:50</v>
          </cell>
          <cell r="I300" t="str">
            <v>Em Atendimento 08:30 - 14:50</v>
          </cell>
          <cell r="J300" t="str">
            <v>Desativado</v>
          </cell>
        </row>
        <row r="301">
          <cell r="D301" t="str">
            <v>Em Atendimento 08:30 - 16:42</v>
          </cell>
          <cell r="I301" t="str">
            <v>Desativado</v>
          </cell>
          <cell r="J301" t="str">
            <v>Desativado</v>
          </cell>
        </row>
        <row r="302">
          <cell r="D302" t="str">
            <v>Em Atendimento 14:00 - 20:20</v>
          </cell>
          <cell r="I302" t="str">
            <v>Em Atendimento 15:30 - 21:50</v>
          </cell>
          <cell r="J302" t="str">
            <v>Desativado</v>
          </cell>
        </row>
        <row r="303">
          <cell r="D303" t="str">
            <v>Em Atendimento 10:40 - 17:00</v>
          </cell>
          <cell r="I303" t="str">
            <v>Em Atendimento 13:40 - 20:00</v>
          </cell>
          <cell r="J303" t="str">
            <v>Desativado</v>
          </cell>
        </row>
        <row r="304">
          <cell r="D304" t="str">
            <v>Em Atendimento 08:30 - 16:42</v>
          </cell>
          <cell r="I304" t="str">
            <v>Desativado</v>
          </cell>
          <cell r="J304" t="str">
            <v>Desativado</v>
          </cell>
        </row>
        <row r="305">
          <cell r="D305" t="str">
            <v>Em Atendimento 13:50 - 20:10</v>
          </cell>
          <cell r="I305" t="str">
            <v>Em Atendimento 11:50 - 18:10</v>
          </cell>
          <cell r="J305" t="str">
            <v>Desativado</v>
          </cell>
        </row>
        <row r="306">
          <cell r="D306" t="str">
            <v>Em Atendimento 16:20 - 22:40</v>
          </cell>
          <cell r="I306" t="str">
            <v>Em Atendimento 15:20 - 21:40</v>
          </cell>
          <cell r="J306" t="str">
            <v>Desativado</v>
          </cell>
        </row>
        <row r="307">
          <cell r="D307" t="str">
            <v>Em Atendimento 08:30 - 16:42</v>
          </cell>
          <cell r="I307" t="str">
            <v>Desativado</v>
          </cell>
          <cell r="J307" t="str">
            <v>Desativado</v>
          </cell>
        </row>
        <row r="308">
          <cell r="D308" t="str">
            <v>Em Atendimento 16:20 - 22:40</v>
          </cell>
          <cell r="I308" t="str">
            <v>Em Atendimento 16:20 - 22:40</v>
          </cell>
          <cell r="J308" t="str">
            <v>Desativado</v>
          </cell>
        </row>
        <row r="309">
          <cell r="D309" t="str">
            <v>Em Atendimento 11:00 - 17:20</v>
          </cell>
          <cell r="I309" t="str">
            <v>Em Atendimento 06:30 - 12:50</v>
          </cell>
          <cell r="J309" t="str">
            <v>Desativado</v>
          </cell>
        </row>
        <row r="310">
          <cell r="D310" t="str">
            <v>Em Atendimento 15:40 - 22:00</v>
          </cell>
          <cell r="I310" t="str">
            <v>Em Atendimento 10:10 - 16:30</v>
          </cell>
          <cell r="J310" t="str">
            <v>Desativado</v>
          </cell>
        </row>
        <row r="311">
          <cell r="D311" t="str">
            <v>Em Atendimento 15:20 - 21:40</v>
          </cell>
          <cell r="I311" t="str">
            <v>Em Atendimento 14:50 - 21:10</v>
          </cell>
          <cell r="J311" t="str">
            <v>Desativado</v>
          </cell>
        </row>
        <row r="312">
          <cell r="D312" t="str">
            <v>Em Atendimento 08:10 - 14:30</v>
          </cell>
          <cell r="I312" t="str">
            <v>Em Atendimento 08:10 - 14:30</v>
          </cell>
          <cell r="J312" t="str">
            <v>Desativado</v>
          </cell>
        </row>
        <row r="313">
          <cell r="D313" t="str">
            <v>Em Atendimento 08:30 - 16:42</v>
          </cell>
          <cell r="I313" t="str">
            <v>Desativado</v>
          </cell>
          <cell r="J313" t="str">
            <v>Desativado</v>
          </cell>
        </row>
        <row r="314">
          <cell r="D314" t="str">
            <v>Em Atendimento 06:20 - 12:40</v>
          </cell>
          <cell r="I314" t="str">
            <v>Em Atendimento 08:20 - 14:40</v>
          </cell>
          <cell r="J314" t="str">
            <v>Desativado</v>
          </cell>
        </row>
        <row r="315">
          <cell r="D315" t="str">
            <v>Em Atendimento 09:48 - 18:00</v>
          </cell>
          <cell r="I315" t="str">
            <v>Desativado</v>
          </cell>
          <cell r="J315" t="str">
            <v>Desativado</v>
          </cell>
        </row>
        <row r="316">
          <cell r="D316" t="str">
            <v>Em Atendimento 08:10 - 14:30</v>
          </cell>
          <cell r="I316" t="str">
            <v>Em Atendimento 15:10 - 21:30</v>
          </cell>
          <cell r="J316" t="str">
            <v>Desativado</v>
          </cell>
        </row>
        <row r="317">
          <cell r="D317" t="str">
            <v>Em Atendimento 08:00 - 14:20</v>
          </cell>
          <cell r="I317" t="str">
            <v>Em Atendimento 08:30 - 14:50</v>
          </cell>
          <cell r="J317" t="str">
            <v>Desativado</v>
          </cell>
        </row>
        <row r="318">
          <cell r="D318" t="str">
            <v>Em Atendimento 07:40 - 14:00</v>
          </cell>
          <cell r="I318" t="str">
            <v>Em Atendimento 08:40 - 15:00</v>
          </cell>
          <cell r="J318" t="str">
            <v>Desativado</v>
          </cell>
        </row>
        <row r="319">
          <cell r="D319" t="str">
            <v>Em Atendimento 07:50 - 14:10</v>
          </cell>
          <cell r="I319" t="str">
            <v>Em Atendimento 15:20 - 21:40</v>
          </cell>
          <cell r="J319" t="str">
            <v>Desativado</v>
          </cell>
        </row>
        <row r="320">
          <cell r="D320" t="str">
            <v>Em Atendimento 12:00 - 20:12</v>
          </cell>
          <cell r="I320" t="str">
            <v>Desativado</v>
          </cell>
          <cell r="J320" t="str">
            <v>Desativado</v>
          </cell>
        </row>
        <row r="321">
          <cell r="D321" t="str">
            <v>Em Atendimento 15:50 - 22:10</v>
          </cell>
          <cell r="I321" t="str">
            <v>Em Atendimento 13:20 - 19:40</v>
          </cell>
          <cell r="J321" t="str">
            <v>Desativado</v>
          </cell>
        </row>
        <row r="322">
          <cell r="D322" t="str">
            <v>Em Atendimento 10:20 - 16:40</v>
          </cell>
          <cell r="I322" t="str">
            <v>Em Atendimento 06:50 - 13:10</v>
          </cell>
          <cell r="J322" t="str">
            <v>Desativado</v>
          </cell>
        </row>
        <row r="323">
          <cell r="D323" t="str">
            <v>Em Atendimento 16:30 - 22:50</v>
          </cell>
          <cell r="I323" t="str">
            <v>Em Atendimento 15:00 - 21:20</v>
          </cell>
          <cell r="J323" t="str">
            <v>Desativado</v>
          </cell>
        </row>
        <row r="324">
          <cell r="D324" t="str">
            <v>Em Atendimento 12:00 - 20:12</v>
          </cell>
          <cell r="I324" t="str">
            <v>Desativado</v>
          </cell>
          <cell r="J324" t="str">
            <v>Desativado</v>
          </cell>
        </row>
        <row r="325">
          <cell r="D325" t="str">
            <v>Em Atendimento 15:40 - 22:00</v>
          </cell>
          <cell r="I325" t="str">
            <v>Em Atendimento 15:10 - 21:30</v>
          </cell>
          <cell r="J325" t="str">
            <v>Desativado</v>
          </cell>
        </row>
        <row r="326">
          <cell r="D326" t="str">
            <v>Em Atendimento 00:00 - 06:20</v>
          </cell>
          <cell r="I326" t="str">
            <v>Em Atendimento 00:00 - 06:20</v>
          </cell>
          <cell r="J326" t="str">
            <v>Desativado</v>
          </cell>
        </row>
        <row r="327">
          <cell r="D327" t="str">
            <v>Em Atendimento 08:00 - 16:12</v>
          </cell>
          <cell r="I327" t="str">
            <v>Desativado</v>
          </cell>
          <cell r="J327" t="str">
            <v>Desativado</v>
          </cell>
        </row>
        <row r="328">
          <cell r="D328" t="str">
            <v>Em Atendimento 15:40 - 22:00</v>
          </cell>
          <cell r="I328" t="str">
            <v>Em Atendimento 09:10 - 15:30</v>
          </cell>
          <cell r="J328" t="str">
            <v>Desativado</v>
          </cell>
        </row>
        <row r="329">
          <cell r="D329" t="str">
            <v>Em Atendimento 09:48 - 18:00</v>
          </cell>
          <cell r="I329" t="str">
            <v>Desativado</v>
          </cell>
          <cell r="J329" t="str">
            <v>Desativado</v>
          </cell>
        </row>
        <row r="330">
          <cell r="D330" t="str">
            <v>Em Atendimento 07:40 - 14:00</v>
          </cell>
          <cell r="I330" t="str">
            <v>Em Atendimento 07:10 - 13:30</v>
          </cell>
          <cell r="J330" t="str">
            <v>Desativado</v>
          </cell>
        </row>
        <row r="331">
          <cell r="D331" t="str">
            <v>Em Atendimento 13:48 - 22:00</v>
          </cell>
          <cell r="I331" t="str">
            <v>Desativado</v>
          </cell>
          <cell r="J331" t="str">
            <v>Desativado</v>
          </cell>
        </row>
        <row r="332">
          <cell r="D332" t="str">
            <v>Em Atendimento 09:00 - 17:12</v>
          </cell>
          <cell r="I332" t="str">
            <v>Desativado</v>
          </cell>
          <cell r="J332" t="str">
            <v>Desativado</v>
          </cell>
        </row>
        <row r="333">
          <cell r="D333" t="str">
            <v>Em Atendimento 16:40 - 23:00</v>
          </cell>
          <cell r="I333" t="str">
            <v>Em Atendimento 10:10 - 16:30</v>
          </cell>
          <cell r="J333" t="str">
            <v>Desativado</v>
          </cell>
        </row>
        <row r="334">
          <cell r="D334" t="str">
            <v>Em Atendimento 13:48 - 22:00</v>
          </cell>
          <cell r="I334" t="str">
            <v>Desativado</v>
          </cell>
          <cell r="J334" t="str">
            <v>Desativado</v>
          </cell>
        </row>
        <row r="335">
          <cell r="D335" t="str">
            <v>Em Atendimento 08:20 - 14:40</v>
          </cell>
          <cell r="I335" t="str">
            <v>Desativado</v>
          </cell>
          <cell r="J335" t="str">
            <v>Em Atendimento 08:20 - 14:40</v>
          </cell>
        </row>
        <row r="336">
          <cell r="D336" t="str">
            <v>Em Atendimento 10:10 - 16:30</v>
          </cell>
          <cell r="I336" t="str">
            <v>Em Atendimento 14:10 - 20:30</v>
          </cell>
          <cell r="J336" t="str">
            <v>Desativado</v>
          </cell>
        </row>
        <row r="337">
          <cell r="D337" t="str">
            <v>Em Atendimento 17:00 - 23:20</v>
          </cell>
          <cell r="I337" t="str">
            <v>Em Atendimento 15:00 - 21:20</v>
          </cell>
          <cell r="J337" t="str">
            <v>Desativado</v>
          </cell>
        </row>
        <row r="338">
          <cell r="D338" t="str">
            <v>Em Atendimento 15:50 - 22:10</v>
          </cell>
          <cell r="I338" t="str">
            <v>Em Atendimento 15:20 - 21:40</v>
          </cell>
          <cell r="J338" t="str">
            <v>Desativado</v>
          </cell>
        </row>
        <row r="339">
          <cell r="D339" t="str">
            <v>Em Atendimento 13:48 - 22:00</v>
          </cell>
          <cell r="I339" t="str">
            <v>Desativado</v>
          </cell>
          <cell r="J339" t="str">
            <v>Desativado</v>
          </cell>
        </row>
        <row r="340">
          <cell r="D340" t="str">
            <v>Em Atendimento 08:00 - 16:12</v>
          </cell>
          <cell r="I340" t="str">
            <v>Desativado</v>
          </cell>
          <cell r="J340" t="str">
            <v>Desativado</v>
          </cell>
        </row>
        <row r="341">
          <cell r="D341" t="str">
            <v>Em Atendimento 11:50 - 18:10</v>
          </cell>
          <cell r="I341" t="str">
            <v>Em Atendimento 06:20 - 12:40</v>
          </cell>
          <cell r="J341" t="str">
            <v>Desativado</v>
          </cell>
        </row>
        <row r="342">
          <cell r="D342" t="str">
            <v>Em Atendimento 17:40 - 00:00</v>
          </cell>
          <cell r="I342" t="str">
            <v>Desativado</v>
          </cell>
          <cell r="J342" t="str">
            <v>Em Atendimento 16:10 - 22:30</v>
          </cell>
        </row>
        <row r="343">
          <cell r="D343" t="str">
            <v>Em Atendimento 08:00 - 14:20</v>
          </cell>
          <cell r="I343" t="str">
            <v>Em Atendimento 16:00 - 22:20</v>
          </cell>
          <cell r="J343" t="str">
            <v>Desativado</v>
          </cell>
        </row>
        <row r="344">
          <cell r="D344" t="str">
            <v>Em Atendimento 08:00 - 16:12</v>
          </cell>
          <cell r="I344" t="str">
            <v>Desativado</v>
          </cell>
          <cell r="J344" t="str">
            <v>Desativado</v>
          </cell>
        </row>
        <row r="345">
          <cell r="D345" t="str">
            <v>Em Atendimento 14:00 - 20:20</v>
          </cell>
          <cell r="I345" t="str">
            <v>Em Atendimento 08:00 - 14:20</v>
          </cell>
          <cell r="J345" t="str">
            <v>Desativado</v>
          </cell>
        </row>
        <row r="346">
          <cell r="D346" t="str">
            <v>Em Atendimento 15:10 - 21:30</v>
          </cell>
          <cell r="I346" t="str">
            <v>Em Atendimento 16:40 - 23:00</v>
          </cell>
          <cell r="J346" t="str">
            <v>Desativado</v>
          </cell>
        </row>
        <row r="347">
          <cell r="D347" t="str">
            <v>Em Atendimento 07:40 - 14:00</v>
          </cell>
          <cell r="I347" t="str">
            <v>Em Atendimento 10:40 - 17:00</v>
          </cell>
          <cell r="J347" t="str">
            <v>Desativado</v>
          </cell>
        </row>
        <row r="348">
          <cell r="D348" t="str">
            <v>Em Atendimento 17:30 - 23:50</v>
          </cell>
          <cell r="I348" t="str">
            <v>Em Atendimento 16:00 - 22:20</v>
          </cell>
          <cell r="J348" t="str">
            <v>Desativado</v>
          </cell>
        </row>
        <row r="349">
          <cell r="D349" t="str">
            <v>Em Atendimento 07:40 - 14:00</v>
          </cell>
          <cell r="I349" t="str">
            <v>Em Atendimento 06:40 - 13:00</v>
          </cell>
          <cell r="J349" t="str">
            <v>Desativado</v>
          </cell>
        </row>
        <row r="350">
          <cell r="D350" t="str">
            <v>Em Atendimento 14:10 - 20:30</v>
          </cell>
          <cell r="I350" t="str">
            <v>Em Atendimento 08:40 - 15:00</v>
          </cell>
          <cell r="J350" t="str">
            <v>Desativado</v>
          </cell>
        </row>
        <row r="351">
          <cell r="D351" t="str">
            <v>Em Atendimento 10:30 - 16:50</v>
          </cell>
          <cell r="I351" t="str">
            <v>Em Atendimento 07:00 - 13:20</v>
          </cell>
          <cell r="J351" t="str">
            <v>Desativado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TAB171"/>
      <sheetName val="Resumo"/>
      <sheetName val="RD_VAREJO_ATT"/>
      <sheetName val="FANTASMA"/>
      <sheetName val="RD_PRODUTOS_SERVICOS_ATT"/>
      <sheetName val="MODELO"/>
      <sheetName val="RD_CAE_VAREJO_ATT"/>
      <sheetName val="RD_EMPRESAS_TELEFONE_ATT"/>
      <sheetName val="RD_RAV_VAREJO_ATT"/>
      <sheetName val="RD_CREDENCIAMENTOS_ATT"/>
      <sheetName val="RD_RET_CLIENTES_ATT"/>
      <sheetName val="Calculadora"/>
      <sheetName val="Almoço"/>
      <sheetName val="CURVA"/>
    </sheetNames>
    <sheetDataSet>
      <sheetData sheetId="0">
        <row r="87">
          <cell r="B87" t="b">
            <v>1</v>
          </cell>
        </row>
      </sheetData>
      <sheetData sheetId="1"/>
      <sheetData sheetId="2">
        <row r="38">
          <cell r="B38">
            <v>42278</v>
          </cell>
          <cell r="L38">
            <v>0</v>
          </cell>
          <cell r="N38">
            <v>0</v>
          </cell>
        </row>
        <row r="39">
          <cell r="B39">
            <v>42278</v>
          </cell>
          <cell r="L39">
            <v>0</v>
          </cell>
          <cell r="N39">
            <v>0</v>
          </cell>
        </row>
        <row r="40">
          <cell r="B40">
            <v>42278</v>
          </cell>
          <cell r="L40">
            <v>0</v>
          </cell>
          <cell r="N40">
            <v>0</v>
          </cell>
        </row>
        <row r="41">
          <cell r="B41">
            <v>42278</v>
          </cell>
          <cell r="L41">
            <v>0</v>
          </cell>
          <cell r="N41">
            <v>0</v>
          </cell>
        </row>
        <row r="42">
          <cell r="B42">
            <v>42278</v>
          </cell>
          <cell r="L42">
            <v>0</v>
          </cell>
          <cell r="N42">
            <v>0</v>
          </cell>
        </row>
        <row r="43">
          <cell r="B43">
            <v>42278</v>
          </cell>
          <cell r="L43">
            <v>0</v>
          </cell>
          <cell r="N43">
            <v>0</v>
          </cell>
        </row>
        <row r="44">
          <cell r="B44">
            <v>42278</v>
          </cell>
          <cell r="L44">
            <v>0</v>
          </cell>
          <cell r="N44">
            <v>0</v>
          </cell>
        </row>
        <row r="45">
          <cell r="B45">
            <v>42278</v>
          </cell>
          <cell r="L45">
            <v>0</v>
          </cell>
          <cell r="N45">
            <v>0</v>
          </cell>
        </row>
        <row r="46">
          <cell r="B46">
            <v>42278</v>
          </cell>
          <cell r="L46">
            <v>0</v>
          </cell>
          <cell r="N46">
            <v>0</v>
          </cell>
        </row>
        <row r="47">
          <cell r="B47">
            <v>42278</v>
          </cell>
          <cell r="L47">
            <v>0</v>
          </cell>
          <cell r="N47">
            <v>0</v>
          </cell>
        </row>
        <row r="48">
          <cell r="B48">
            <v>42278</v>
          </cell>
          <cell r="L48">
            <v>0</v>
          </cell>
          <cell r="N48">
            <v>0</v>
          </cell>
        </row>
        <row r="49">
          <cell r="B49">
            <v>42278</v>
          </cell>
          <cell r="L49">
            <v>0</v>
          </cell>
          <cell r="N49">
            <v>0</v>
          </cell>
        </row>
        <row r="50">
          <cell r="B50">
            <v>42278</v>
          </cell>
          <cell r="L50">
            <v>0</v>
          </cell>
          <cell r="N50">
            <v>0</v>
          </cell>
        </row>
        <row r="51">
          <cell r="B51">
            <v>42278</v>
          </cell>
          <cell r="L51">
            <v>0</v>
          </cell>
          <cell r="N51">
            <v>0</v>
          </cell>
        </row>
        <row r="52">
          <cell r="B52">
            <v>42278</v>
          </cell>
          <cell r="L52">
            <v>0</v>
          </cell>
          <cell r="N52">
            <v>0</v>
          </cell>
        </row>
        <row r="53">
          <cell r="B53">
            <v>42278</v>
          </cell>
          <cell r="L53">
            <v>0</v>
          </cell>
          <cell r="N53">
            <v>0</v>
          </cell>
        </row>
        <row r="54">
          <cell r="B54">
            <v>42278</v>
          </cell>
          <cell r="L54">
            <v>57.133533698945151</v>
          </cell>
          <cell r="N54">
            <v>0.71524341186298357</v>
          </cell>
        </row>
        <row r="55">
          <cell r="B55">
            <v>42278</v>
          </cell>
          <cell r="L55">
            <v>96.323825727511448</v>
          </cell>
          <cell r="N55">
            <v>0.75373898948839091</v>
          </cell>
        </row>
        <row r="56">
          <cell r="B56">
            <v>42278</v>
          </cell>
          <cell r="L56">
            <v>138.27472612315478</v>
          </cell>
          <cell r="N56">
            <v>0.75946084475802178</v>
          </cell>
        </row>
        <row r="57">
          <cell r="B57">
            <v>42278</v>
          </cell>
          <cell r="L57">
            <v>164.70123890513258</v>
          </cell>
          <cell r="N57">
            <v>0.76447739370850376</v>
          </cell>
        </row>
        <row r="58">
          <cell r="B58">
            <v>42278</v>
          </cell>
          <cell r="L58">
            <v>181.88224005662332</v>
          </cell>
          <cell r="N58">
            <v>0.75583577774970878</v>
          </cell>
        </row>
        <row r="59">
          <cell r="B59">
            <v>42278</v>
          </cell>
          <cell r="L59">
            <v>194.27395615091586</v>
          </cell>
          <cell r="N59">
            <v>0.75619498528732687</v>
          </cell>
        </row>
        <row r="60">
          <cell r="B60">
            <v>42278</v>
          </cell>
          <cell r="L60">
            <v>182.0296575632122</v>
          </cell>
          <cell r="N60">
            <v>0.77400481408627197</v>
          </cell>
        </row>
        <row r="61">
          <cell r="B61">
            <v>42278</v>
          </cell>
          <cell r="L61">
            <v>164.88904839008998</v>
          </cell>
          <cell r="N61">
            <v>0.76184002123537231</v>
          </cell>
        </row>
        <row r="62">
          <cell r="B62">
            <v>42278</v>
          </cell>
          <cell r="L62">
            <v>135.085970017497</v>
          </cell>
          <cell r="N62">
            <v>0.73992311685240597</v>
          </cell>
        </row>
        <row r="63">
          <cell r="B63">
            <v>42278</v>
          </cell>
          <cell r="L63">
            <v>119.82383390325282</v>
          </cell>
          <cell r="N63">
            <v>0.72570197163147121</v>
          </cell>
        </row>
        <row r="64">
          <cell r="B64">
            <v>42278</v>
          </cell>
          <cell r="L64">
            <v>123.63584615671977</v>
          </cell>
          <cell r="N64">
            <v>0.74649315023889862</v>
          </cell>
        </row>
        <row r="65">
          <cell r="B65">
            <v>42278</v>
          </cell>
          <cell r="L65">
            <v>140.29436002985361</v>
          </cell>
          <cell r="N65">
            <v>0.76067849551427336</v>
          </cell>
        </row>
        <row r="66">
          <cell r="B66">
            <v>42278</v>
          </cell>
          <cell r="L66">
            <v>158.07498737899314</v>
          </cell>
          <cell r="N66">
            <v>0.75337675742002508</v>
          </cell>
        </row>
        <row r="67">
          <cell r="B67">
            <v>42278</v>
          </cell>
          <cell r="L67">
            <v>167.55190508756587</v>
          </cell>
          <cell r="N67">
            <v>0.76910586550781013</v>
          </cell>
        </row>
        <row r="68">
          <cell r="B68">
            <v>42278</v>
          </cell>
          <cell r="L68">
            <v>166.96360158095544</v>
          </cell>
          <cell r="N68">
            <v>0.78432950299972926</v>
          </cell>
        </row>
        <row r="69">
          <cell r="B69">
            <v>42278</v>
          </cell>
          <cell r="L69">
            <v>163.04326679493565</v>
          </cell>
          <cell r="N69">
            <v>0.78441541076127796</v>
          </cell>
        </row>
        <row r="70">
          <cell r="B70">
            <v>42278</v>
          </cell>
          <cell r="L70">
            <v>157.86783551919885</v>
          </cell>
          <cell r="N70">
            <v>0.7767450420471087</v>
          </cell>
        </row>
        <row r="71">
          <cell r="B71">
            <v>42278</v>
          </cell>
          <cell r="L71">
            <v>144.36737346074565</v>
          </cell>
          <cell r="N71">
            <v>0.7799932873826928</v>
          </cell>
        </row>
        <row r="72">
          <cell r="B72">
            <v>42278</v>
          </cell>
          <cell r="L72">
            <v>117.40641340526432</v>
          </cell>
          <cell r="N72">
            <v>0.80720847206463364</v>
          </cell>
        </row>
        <row r="73">
          <cell r="B73">
            <v>42278</v>
          </cell>
          <cell r="L73">
            <v>90.745326755952703</v>
          </cell>
          <cell r="N73">
            <v>0.77851086006835923</v>
          </cell>
        </row>
        <row r="74">
          <cell r="B74">
            <v>42278</v>
          </cell>
          <cell r="L74">
            <v>64.101341453608484</v>
          </cell>
          <cell r="N74">
            <v>0.73893035359104486</v>
          </cell>
        </row>
        <row r="75">
          <cell r="B75">
            <v>42278</v>
          </cell>
          <cell r="L75">
            <v>51.681048692482371</v>
          </cell>
          <cell r="N75">
            <v>0.71746095873856552</v>
          </cell>
        </row>
        <row r="76">
          <cell r="B76">
            <v>42278</v>
          </cell>
          <cell r="L76">
            <v>42.763446306970557</v>
          </cell>
          <cell r="N76">
            <v>0.67652587262709529</v>
          </cell>
        </row>
        <row r="77">
          <cell r="B77">
            <v>42278</v>
          </cell>
          <cell r="L77">
            <v>43.696408460743093</v>
          </cell>
          <cell r="N77">
            <v>0.60546823149466034</v>
          </cell>
        </row>
        <row r="78">
          <cell r="B78">
            <v>42278</v>
          </cell>
          <cell r="L78">
            <v>39.432486433659818</v>
          </cell>
          <cell r="N78">
            <v>0.51585397897205576</v>
          </cell>
        </row>
        <row r="79">
          <cell r="B79">
            <v>42278</v>
          </cell>
          <cell r="L79">
            <v>35.720689341100098</v>
          </cell>
          <cell r="N79">
            <v>0.45005556100417432</v>
          </cell>
        </row>
        <row r="80">
          <cell r="B80">
            <v>42278</v>
          </cell>
          <cell r="L80">
            <v>30.377264346957944</v>
          </cell>
          <cell r="N80">
            <v>0.37675757135082311</v>
          </cell>
        </row>
        <row r="81">
          <cell r="B81">
            <v>42278</v>
          </cell>
          <cell r="L81">
            <v>18.98688544558923</v>
          </cell>
          <cell r="N81">
            <v>0.39524625814907477</v>
          </cell>
        </row>
        <row r="82">
          <cell r="B82">
            <v>42278</v>
          </cell>
          <cell r="L82">
            <v>0</v>
          </cell>
          <cell r="N82">
            <v>0</v>
          </cell>
        </row>
        <row r="83">
          <cell r="B83">
            <v>42278</v>
          </cell>
          <cell r="L83">
            <v>0</v>
          </cell>
          <cell r="N83">
            <v>0</v>
          </cell>
        </row>
        <row r="84">
          <cell r="B84">
            <v>42278</v>
          </cell>
          <cell r="L84">
            <v>0</v>
          </cell>
          <cell r="N84">
            <v>0</v>
          </cell>
        </row>
        <row r="85">
          <cell r="B85">
            <v>42278</v>
          </cell>
          <cell r="L85">
            <v>0</v>
          </cell>
          <cell r="N85">
            <v>0</v>
          </cell>
        </row>
        <row r="86">
          <cell r="B86">
            <v>42279</v>
          </cell>
          <cell r="L86">
            <v>0</v>
          </cell>
          <cell r="N86">
            <v>0</v>
          </cell>
        </row>
        <row r="87">
          <cell r="B87">
            <v>42279</v>
          </cell>
          <cell r="L87">
            <v>0</v>
          </cell>
          <cell r="N87">
            <v>0</v>
          </cell>
        </row>
        <row r="88">
          <cell r="B88">
            <v>42279</v>
          </cell>
          <cell r="L88">
            <v>0</v>
          </cell>
          <cell r="N88">
            <v>0</v>
          </cell>
        </row>
        <row r="89">
          <cell r="B89">
            <v>42279</v>
          </cell>
          <cell r="L89">
            <v>0</v>
          </cell>
          <cell r="N89">
            <v>0</v>
          </cell>
        </row>
        <row r="90">
          <cell r="B90">
            <v>42279</v>
          </cell>
          <cell r="L90">
            <v>0</v>
          </cell>
          <cell r="N90">
            <v>0</v>
          </cell>
        </row>
        <row r="91">
          <cell r="B91">
            <v>42279</v>
          </cell>
          <cell r="L91">
            <v>0</v>
          </cell>
          <cell r="N91">
            <v>0</v>
          </cell>
        </row>
        <row r="92">
          <cell r="B92">
            <v>42279</v>
          </cell>
          <cell r="L92">
            <v>0</v>
          </cell>
          <cell r="N92">
            <v>0</v>
          </cell>
        </row>
        <row r="93">
          <cell r="B93">
            <v>42279</v>
          </cell>
          <cell r="L93">
            <v>0</v>
          </cell>
          <cell r="N93">
            <v>0</v>
          </cell>
        </row>
        <row r="94">
          <cell r="B94">
            <v>42279</v>
          </cell>
          <cell r="L94">
            <v>0</v>
          </cell>
          <cell r="N94">
            <v>0</v>
          </cell>
        </row>
        <row r="95">
          <cell r="B95">
            <v>42279</v>
          </cell>
          <cell r="L95">
            <v>0</v>
          </cell>
          <cell r="N95">
            <v>0</v>
          </cell>
        </row>
        <row r="96">
          <cell r="B96">
            <v>42279</v>
          </cell>
          <cell r="L96">
            <v>0</v>
          </cell>
          <cell r="N96">
            <v>0</v>
          </cell>
        </row>
        <row r="97">
          <cell r="B97">
            <v>42279</v>
          </cell>
          <cell r="L97">
            <v>0</v>
          </cell>
          <cell r="N97">
            <v>0</v>
          </cell>
        </row>
        <row r="98">
          <cell r="B98">
            <v>42279</v>
          </cell>
          <cell r="L98">
            <v>0</v>
          </cell>
          <cell r="N98">
            <v>0</v>
          </cell>
        </row>
        <row r="99">
          <cell r="B99">
            <v>42279</v>
          </cell>
          <cell r="L99">
            <v>0</v>
          </cell>
          <cell r="N99">
            <v>0</v>
          </cell>
        </row>
        <row r="100">
          <cell r="B100">
            <v>42279</v>
          </cell>
          <cell r="L100">
            <v>0</v>
          </cell>
          <cell r="N100">
            <v>0</v>
          </cell>
        </row>
        <row r="101">
          <cell r="B101">
            <v>42279</v>
          </cell>
          <cell r="L101">
            <v>0</v>
          </cell>
          <cell r="N101">
            <v>0</v>
          </cell>
        </row>
        <row r="102">
          <cell r="B102">
            <v>42279</v>
          </cell>
          <cell r="L102">
            <v>63.358881214651959</v>
          </cell>
          <cell r="N102">
            <v>0.6014293982867589</v>
          </cell>
        </row>
        <row r="103">
          <cell r="B103">
            <v>42279</v>
          </cell>
          <cell r="L103">
            <v>106.81940074928207</v>
          </cell>
          <cell r="N103">
            <v>0.63379931837822179</v>
          </cell>
        </row>
        <row r="104">
          <cell r="B104">
            <v>42279</v>
          </cell>
          <cell r="L104">
            <v>134.21029626835923</v>
          </cell>
          <cell r="N104">
            <v>0.72964155560524291</v>
          </cell>
        </row>
        <row r="105">
          <cell r="B105">
            <v>42279</v>
          </cell>
          <cell r="L105">
            <v>159.86003146761709</v>
          </cell>
          <cell r="N105">
            <v>0.73446113597632279</v>
          </cell>
        </row>
        <row r="106">
          <cell r="B106">
            <v>42279</v>
          </cell>
          <cell r="L106">
            <v>179.68823426096108</v>
          </cell>
          <cell r="N106">
            <v>0.71342003180627767</v>
          </cell>
        </row>
        <row r="107">
          <cell r="B107">
            <v>42279</v>
          </cell>
          <cell r="L107">
            <v>191.93047178647959</v>
          </cell>
          <cell r="N107">
            <v>0.71375908145232048</v>
          </cell>
        </row>
        <row r="108">
          <cell r="B108">
            <v>42279</v>
          </cell>
          <cell r="L108">
            <v>181.07303783107142</v>
          </cell>
          <cell r="N108">
            <v>0.72556984828805982</v>
          </cell>
        </row>
        <row r="109">
          <cell r="B109">
            <v>42279</v>
          </cell>
          <cell r="L109">
            <v>164.02250763285596</v>
          </cell>
          <cell r="N109">
            <v>0.71416629272529153</v>
          </cell>
        </row>
        <row r="110">
          <cell r="B110">
            <v>42279</v>
          </cell>
          <cell r="L110">
            <v>132.60328984958767</v>
          </cell>
          <cell r="N110">
            <v>0.70289384979040415</v>
          </cell>
        </row>
        <row r="111">
          <cell r="B111">
            <v>42279</v>
          </cell>
          <cell r="L111">
            <v>117.62164920534573</v>
          </cell>
          <cell r="N111">
            <v>0.68938439822022812</v>
          </cell>
        </row>
        <row r="112">
          <cell r="B112">
            <v>42279</v>
          </cell>
          <cell r="L112">
            <v>122.57653230290222</v>
          </cell>
          <cell r="N112">
            <v>0.70211799217343918</v>
          </cell>
        </row>
        <row r="113">
          <cell r="B113">
            <v>42279</v>
          </cell>
          <cell r="L113">
            <v>139.09231576994125</v>
          </cell>
          <cell r="N113">
            <v>0.71546009201701533</v>
          </cell>
        </row>
        <row r="114">
          <cell r="B114">
            <v>42279</v>
          </cell>
          <cell r="L114">
            <v>150.41369208432559</v>
          </cell>
          <cell r="N114">
            <v>0.73830396777876084</v>
          </cell>
        </row>
        <row r="115">
          <cell r="B115">
            <v>42279</v>
          </cell>
          <cell r="L115">
            <v>159.43129952343386</v>
          </cell>
          <cell r="N115">
            <v>0.75371838400073377</v>
          </cell>
        </row>
        <row r="116">
          <cell r="B116">
            <v>42279</v>
          </cell>
          <cell r="L116">
            <v>158.09242814974857</v>
          </cell>
          <cell r="N116">
            <v>0.77242529382031333</v>
          </cell>
        </row>
        <row r="117">
          <cell r="B117">
            <v>42279</v>
          </cell>
          <cell r="L117">
            <v>154.38039007909586</v>
          </cell>
          <cell r="N117">
            <v>0.77250989771153755</v>
          </cell>
        </row>
        <row r="118">
          <cell r="B118">
            <v>42279</v>
          </cell>
          <cell r="L118">
            <v>151.65673586072907</v>
          </cell>
          <cell r="N118">
            <v>0.75397620618556083</v>
          </cell>
        </row>
        <row r="119">
          <cell r="B119">
            <v>42279</v>
          </cell>
          <cell r="L119">
            <v>138.68743149506787</v>
          </cell>
          <cell r="N119">
            <v>0.75712923525212461</v>
          </cell>
        </row>
        <row r="120">
          <cell r="B120">
            <v>42279</v>
          </cell>
          <cell r="L120">
            <v>118.46079214854967</v>
          </cell>
          <cell r="N120">
            <v>0.74601936482991993</v>
          </cell>
        </row>
        <row r="121">
          <cell r="B121">
            <v>42279</v>
          </cell>
          <cell r="L121">
            <v>91.560273238081336</v>
          </cell>
          <cell r="N121">
            <v>0.71949712799209631</v>
          </cell>
        </row>
        <row r="122">
          <cell r="B122">
            <v>42279</v>
          </cell>
          <cell r="L122">
            <v>65.370821117814586</v>
          </cell>
          <cell r="N122">
            <v>0.67566883149697166</v>
          </cell>
        </row>
        <row r="123">
          <cell r="B123">
            <v>42279</v>
          </cell>
          <cell r="L123">
            <v>52.70455364342687</v>
          </cell>
          <cell r="N123">
            <v>0.65603748077166324</v>
          </cell>
        </row>
        <row r="124">
          <cell r="B124">
            <v>42279</v>
          </cell>
          <cell r="L124">
            <v>42.892490732685147</v>
          </cell>
          <cell r="N124">
            <v>0.62896002316902311</v>
          </cell>
        </row>
        <row r="125">
          <cell r="B125">
            <v>42279</v>
          </cell>
          <cell r="L125">
            <v>43.828268224690312</v>
          </cell>
          <cell r="N125">
            <v>0.56289837287405042</v>
          </cell>
        </row>
        <row r="126">
          <cell r="B126">
            <v>42279</v>
          </cell>
          <cell r="L126">
            <v>38.920274496404389</v>
          </cell>
          <cell r="N126">
            <v>0.48736266159846603</v>
          </cell>
        </row>
        <row r="127">
          <cell r="B127">
            <v>42279</v>
          </cell>
          <cell r="L127">
            <v>35.256692136199369</v>
          </cell>
          <cell r="N127">
            <v>0.42519837981140585</v>
          </cell>
        </row>
        <row r="128">
          <cell r="B128">
            <v>42279</v>
          </cell>
          <cell r="L128">
            <v>28.69944342590216</v>
          </cell>
          <cell r="N128">
            <v>0.37186420455720887</v>
          </cell>
        </row>
        <row r="129">
          <cell r="B129">
            <v>42279</v>
          </cell>
          <cell r="L129">
            <v>17.938186877395438</v>
          </cell>
          <cell r="N129">
            <v>0.39011275835504938</v>
          </cell>
        </row>
        <row r="130">
          <cell r="B130">
            <v>42279</v>
          </cell>
          <cell r="L130">
            <v>0</v>
          </cell>
          <cell r="N130">
            <v>0</v>
          </cell>
        </row>
        <row r="131">
          <cell r="B131">
            <v>42279</v>
          </cell>
          <cell r="L131">
            <v>0</v>
          </cell>
          <cell r="N131">
            <v>0</v>
          </cell>
        </row>
        <row r="132">
          <cell r="B132">
            <v>42279</v>
          </cell>
          <cell r="L132">
            <v>0</v>
          </cell>
          <cell r="N132">
            <v>0</v>
          </cell>
        </row>
        <row r="133">
          <cell r="B133">
            <v>42279</v>
          </cell>
          <cell r="L133">
            <v>0</v>
          </cell>
          <cell r="N133">
            <v>0</v>
          </cell>
        </row>
        <row r="134">
          <cell r="B134">
            <v>42280</v>
          </cell>
          <cell r="L134">
            <v>0</v>
          </cell>
          <cell r="N134">
            <v>0</v>
          </cell>
        </row>
        <row r="135">
          <cell r="B135">
            <v>42280</v>
          </cell>
          <cell r="L135">
            <v>0</v>
          </cell>
          <cell r="N135">
            <v>0</v>
          </cell>
        </row>
        <row r="136">
          <cell r="B136">
            <v>42280</v>
          </cell>
          <cell r="L136">
            <v>0</v>
          </cell>
          <cell r="N136">
            <v>0</v>
          </cell>
        </row>
        <row r="137">
          <cell r="B137">
            <v>42280</v>
          </cell>
          <cell r="L137">
            <v>0</v>
          </cell>
          <cell r="N137">
            <v>0</v>
          </cell>
        </row>
        <row r="138">
          <cell r="B138">
            <v>42280</v>
          </cell>
          <cell r="L138">
            <v>0</v>
          </cell>
          <cell r="N138">
            <v>0</v>
          </cell>
        </row>
        <row r="139">
          <cell r="B139">
            <v>42280</v>
          </cell>
          <cell r="L139">
            <v>0</v>
          </cell>
          <cell r="N139">
            <v>0</v>
          </cell>
        </row>
        <row r="140">
          <cell r="B140">
            <v>42280</v>
          </cell>
          <cell r="L140">
            <v>0</v>
          </cell>
          <cell r="N140">
            <v>0</v>
          </cell>
        </row>
        <row r="141">
          <cell r="B141">
            <v>42280</v>
          </cell>
          <cell r="L141">
            <v>0</v>
          </cell>
          <cell r="N141">
            <v>0</v>
          </cell>
        </row>
        <row r="142">
          <cell r="B142">
            <v>42280</v>
          </cell>
          <cell r="L142">
            <v>0</v>
          </cell>
          <cell r="N142">
            <v>0</v>
          </cell>
        </row>
        <row r="143">
          <cell r="B143">
            <v>42280</v>
          </cell>
          <cell r="L143">
            <v>0</v>
          </cell>
          <cell r="N143">
            <v>0</v>
          </cell>
        </row>
        <row r="144">
          <cell r="B144">
            <v>42280</v>
          </cell>
          <cell r="L144">
            <v>0</v>
          </cell>
          <cell r="N144">
            <v>0</v>
          </cell>
        </row>
        <row r="145">
          <cell r="B145">
            <v>42280</v>
          </cell>
          <cell r="L145">
            <v>0</v>
          </cell>
          <cell r="N145">
            <v>0</v>
          </cell>
        </row>
        <row r="146">
          <cell r="B146">
            <v>42280</v>
          </cell>
          <cell r="L146">
            <v>0</v>
          </cell>
          <cell r="N146">
            <v>0</v>
          </cell>
        </row>
        <row r="147">
          <cell r="B147">
            <v>42280</v>
          </cell>
          <cell r="L147">
            <v>0</v>
          </cell>
          <cell r="N147">
            <v>0</v>
          </cell>
        </row>
        <row r="148">
          <cell r="B148">
            <v>42280</v>
          </cell>
          <cell r="L148">
            <v>0</v>
          </cell>
          <cell r="N148">
            <v>0</v>
          </cell>
        </row>
        <row r="149">
          <cell r="B149">
            <v>42280</v>
          </cell>
          <cell r="L149">
            <v>0</v>
          </cell>
          <cell r="N149">
            <v>0</v>
          </cell>
        </row>
        <row r="150">
          <cell r="B150">
            <v>42280</v>
          </cell>
          <cell r="L150">
            <v>26.083906809950491</v>
          </cell>
          <cell r="N150">
            <v>0.5737661269330574</v>
          </cell>
        </row>
        <row r="151">
          <cell r="B151">
            <v>42280</v>
          </cell>
          <cell r="L151">
            <v>34.067961542105529</v>
          </cell>
          <cell r="N151">
            <v>0.7364578930798944</v>
          </cell>
        </row>
        <row r="152">
          <cell r="B152">
            <v>42280</v>
          </cell>
          <cell r="L152">
            <v>45.190731225721031</v>
          </cell>
          <cell r="N152">
            <v>0.7580299294244901</v>
          </cell>
        </row>
        <row r="153">
          <cell r="B153">
            <v>42280</v>
          </cell>
          <cell r="L153">
            <v>52.902996130348377</v>
          </cell>
          <cell r="N153">
            <v>0.75694671157821025</v>
          </cell>
        </row>
        <row r="154">
          <cell r="B154">
            <v>42280</v>
          </cell>
          <cell r="L154">
            <v>55.269163102247681</v>
          </cell>
          <cell r="N154">
            <v>0.77776830451097356</v>
          </cell>
        </row>
        <row r="155">
          <cell r="B155">
            <v>42280</v>
          </cell>
          <cell r="L155">
            <v>59.251756268421708</v>
          </cell>
          <cell r="N155">
            <v>0.77714408497743304</v>
          </cell>
        </row>
        <row r="156">
          <cell r="B156">
            <v>42280</v>
          </cell>
          <cell r="L156">
            <v>54.165980232249183</v>
          </cell>
          <cell r="N156">
            <v>0.7770045175597815</v>
          </cell>
        </row>
        <row r="157">
          <cell r="B157">
            <v>42280</v>
          </cell>
          <cell r="L157">
            <v>48.331507834597886</v>
          </cell>
          <cell r="N157">
            <v>0.77885834063612647</v>
          </cell>
        </row>
        <row r="158">
          <cell r="B158">
            <v>42280</v>
          </cell>
          <cell r="L158">
            <v>49.268696188518781</v>
          </cell>
          <cell r="N158">
            <v>0.6723858931357668</v>
          </cell>
        </row>
        <row r="159">
          <cell r="B159">
            <v>42280</v>
          </cell>
          <cell r="L159">
            <v>46.254766252868123</v>
          </cell>
          <cell r="N159">
            <v>0.60623586887750136</v>
          </cell>
        </row>
        <row r="160">
          <cell r="B160">
            <v>42280</v>
          </cell>
          <cell r="L160">
            <v>47.309080733819286</v>
          </cell>
          <cell r="N160">
            <v>0.50276043313499719</v>
          </cell>
        </row>
        <row r="161">
          <cell r="B161">
            <v>42280</v>
          </cell>
          <cell r="L161">
            <v>51.099012248682577</v>
          </cell>
          <cell r="N161">
            <v>0.40295590907245504</v>
          </cell>
        </row>
        <row r="162">
          <cell r="B162">
            <v>42280</v>
          </cell>
          <cell r="L162">
            <v>47.69044962711861</v>
          </cell>
          <cell r="N162">
            <v>0.42991607288516615</v>
          </cell>
        </row>
        <row r="163">
          <cell r="B163">
            <v>42280</v>
          </cell>
          <cell r="L163">
            <v>36.213524480210552</v>
          </cell>
          <cell r="N163">
            <v>0.49666994645856255</v>
          </cell>
        </row>
        <row r="164">
          <cell r="B164">
            <v>42280</v>
          </cell>
          <cell r="L164">
            <v>29.776537026195744</v>
          </cell>
          <cell r="N164">
            <v>0.55693075007775605</v>
          </cell>
        </row>
        <row r="165">
          <cell r="B165">
            <v>42280</v>
          </cell>
          <cell r="L165">
            <v>26.492118646955092</v>
          </cell>
          <cell r="N165">
            <v>0.60404986903848701</v>
          </cell>
        </row>
        <row r="166">
          <cell r="B166">
            <v>42280</v>
          </cell>
          <cell r="L166">
            <v>22.463878307957398</v>
          </cell>
          <cell r="N166">
            <v>0.64236979849370646</v>
          </cell>
        </row>
        <row r="167">
          <cell r="B167">
            <v>42280</v>
          </cell>
          <cell r="L167">
            <v>22.0190490345325</v>
          </cell>
          <cell r="N167">
            <v>0.58377720804767619</v>
          </cell>
        </row>
        <row r="168">
          <cell r="B168">
            <v>42280</v>
          </cell>
          <cell r="L168">
            <v>22.93693216769303</v>
          </cell>
          <cell r="N168">
            <v>0.48151237752746906</v>
          </cell>
        </row>
        <row r="169">
          <cell r="B169">
            <v>42280</v>
          </cell>
          <cell r="L169">
            <v>21.776184388297654</v>
          </cell>
          <cell r="N169">
            <v>0.48917262708293086</v>
          </cell>
        </row>
        <row r="170">
          <cell r="B170">
            <v>42280</v>
          </cell>
          <cell r="L170">
            <v>19.455878666729532</v>
          </cell>
          <cell r="N170">
            <v>0.44475439806861033</v>
          </cell>
        </row>
        <row r="171">
          <cell r="B171">
            <v>42280</v>
          </cell>
          <cell r="L171">
            <v>21.553170653800628</v>
          </cell>
          <cell r="N171">
            <v>0.39447253024096113</v>
          </cell>
        </row>
        <row r="172">
          <cell r="B172">
            <v>42280</v>
          </cell>
          <cell r="L172">
            <v>19.69656353444525</v>
          </cell>
          <cell r="N172">
            <v>0.31924083895211391</v>
          </cell>
        </row>
        <row r="173">
          <cell r="B173">
            <v>42280</v>
          </cell>
          <cell r="L173">
            <v>22.148539762736238</v>
          </cell>
          <cell r="N173">
            <v>0.28005565533043297</v>
          </cell>
        </row>
        <row r="174">
          <cell r="B174">
            <v>42280</v>
          </cell>
          <cell r="L174">
            <v>23.955166455556331</v>
          </cell>
          <cell r="N174">
            <v>0.21691853701333677</v>
          </cell>
        </row>
        <row r="175">
          <cell r="B175">
            <v>42280</v>
          </cell>
          <cell r="L175">
            <v>22.016975715061317</v>
          </cell>
          <cell r="N175">
            <v>0.17159645534314508</v>
          </cell>
        </row>
        <row r="176">
          <cell r="B176">
            <v>42280</v>
          </cell>
          <cell r="L176">
            <v>14.731072867693465</v>
          </cell>
          <cell r="N176">
            <v>0.19478920890533546</v>
          </cell>
        </row>
        <row r="177">
          <cell r="B177">
            <v>42280</v>
          </cell>
          <cell r="L177">
            <v>9.2069205423084153</v>
          </cell>
          <cell r="N177">
            <v>0.18638406814749808</v>
          </cell>
        </row>
        <row r="178">
          <cell r="B178">
            <v>42280</v>
          </cell>
          <cell r="L178">
            <v>0</v>
          </cell>
          <cell r="N178">
            <v>0</v>
          </cell>
        </row>
        <row r="179">
          <cell r="B179">
            <v>42280</v>
          </cell>
          <cell r="L179">
            <v>0</v>
          </cell>
          <cell r="N179">
            <v>0</v>
          </cell>
        </row>
        <row r="180">
          <cell r="B180">
            <v>42280</v>
          </cell>
          <cell r="L180">
            <v>0</v>
          </cell>
          <cell r="N180">
            <v>0</v>
          </cell>
        </row>
        <row r="181">
          <cell r="B181">
            <v>42280</v>
          </cell>
          <cell r="L181">
            <v>0</v>
          </cell>
          <cell r="N181">
            <v>0</v>
          </cell>
        </row>
        <row r="182">
          <cell r="B182">
            <v>42281</v>
          </cell>
          <cell r="L182">
            <v>0</v>
          </cell>
          <cell r="N182">
            <v>0</v>
          </cell>
        </row>
        <row r="183">
          <cell r="B183">
            <v>42281</v>
          </cell>
          <cell r="L183">
            <v>0</v>
          </cell>
          <cell r="N183">
            <v>0</v>
          </cell>
        </row>
        <row r="184">
          <cell r="B184">
            <v>42281</v>
          </cell>
          <cell r="L184">
            <v>0</v>
          </cell>
          <cell r="N184">
            <v>0</v>
          </cell>
        </row>
        <row r="185">
          <cell r="B185">
            <v>42281</v>
          </cell>
          <cell r="L185">
            <v>0</v>
          </cell>
          <cell r="N185">
            <v>0</v>
          </cell>
        </row>
        <row r="186">
          <cell r="B186">
            <v>42281</v>
          </cell>
          <cell r="L186">
            <v>0</v>
          </cell>
          <cell r="N186">
            <v>0</v>
          </cell>
        </row>
        <row r="187">
          <cell r="B187">
            <v>42281</v>
          </cell>
          <cell r="L187">
            <v>0</v>
          </cell>
          <cell r="N187">
            <v>0</v>
          </cell>
        </row>
        <row r="188">
          <cell r="B188">
            <v>42281</v>
          </cell>
          <cell r="L188">
            <v>0</v>
          </cell>
          <cell r="N188">
            <v>0</v>
          </cell>
        </row>
        <row r="189">
          <cell r="B189">
            <v>42281</v>
          </cell>
          <cell r="L189">
            <v>0</v>
          </cell>
          <cell r="N189">
            <v>0</v>
          </cell>
        </row>
        <row r="190">
          <cell r="B190">
            <v>42281</v>
          </cell>
          <cell r="L190">
            <v>0</v>
          </cell>
          <cell r="N190">
            <v>0</v>
          </cell>
        </row>
        <row r="191">
          <cell r="B191">
            <v>42281</v>
          </cell>
          <cell r="L191">
            <v>0</v>
          </cell>
          <cell r="N191">
            <v>0</v>
          </cell>
        </row>
        <row r="192">
          <cell r="B192">
            <v>42281</v>
          </cell>
          <cell r="L192">
            <v>0</v>
          </cell>
          <cell r="N192">
            <v>0</v>
          </cell>
        </row>
        <row r="193">
          <cell r="B193">
            <v>42281</v>
          </cell>
          <cell r="L193">
            <v>0</v>
          </cell>
          <cell r="N193">
            <v>0</v>
          </cell>
        </row>
        <row r="194">
          <cell r="B194">
            <v>42281</v>
          </cell>
          <cell r="L194">
            <v>0</v>
          </cell>
          <cell r="N194">
            <v>0</v>
          </cell>
        </row>
        <row r="195">
          <cell r="B195">
            <v>42281</v>
          </cell>
          <cell r="L195">
            <v>0</v>
          </cell>
          <cell r="N195">
            <v>0</v>
          </cell>
        </row>
        <row r="196">
          <cell r="B196">
            <v>42281</v>
          </cell>
          <cell r="L196">
            <v>0</v>
          </cell>
          <cell r="N196">
            <v>0</v>
          </cell>
        </row>
        <row r="197">
          <cell r="B197">
            <v>42281</v>
          </cell>
          <cell r="L197">
            <v>0</v>
          </cell>
          <cell r="N197">
            <v>0</v>
          </cell>
        </row>
        <row r="198">
          <cell r="B198">
            <v>42281</v>
          </cell>
          <cell r="L198">
            <v>0</v>
          </cell>
          <cell r="N198">
            <v>0</v>
          </cell>
        </row>
        <row r="199">
          <cell r="B199">
            <v>42281</v>
          </cell>
          <cell r="L199">
            <v>0</v>
          </cell>
          <cell r="N199">
            <v>0</v>
          </cell>
        </row>
        <row r="200">
          <cell r="B200">
            <v>42281</v>
          </cell>
          <cell r="L200">
            <v>9.8450857962722296</v>
          </cell>
          <cell r="N200">
            <v>0.43277649582083155</v>
          </cell>
        </row>
        <row r="201">
          <cell r="B201">
            <v>42281</v>
          </cell>
          <cell r="L201">
            <v>12.240483800231409</v>
          </cell>
          <cell r="N201">
            <v>0.37355770445189423</v>
          </cell>
        </row>
        <row r="202">
          <cell r="B202">
            <v>42281</v>
          </cell>
          <cell r="L202">
            <v>11.891821603835284</v>
          </cell>
          <cell r="N202">
            <v>0.47584838115431544</v>
          </cell>
        </row>
        <row r="203">
          <cell r="B203">
            <v>42281</v>
          </cell>
          <cell r="L203">
            <v>13.513065176273635</v>
          </cell>
          <cell r="N203">
            <v>0.5283038352776509</v>
          </cell>
        </row>
        <row r="204">
          <cell r="B204">
            <v>42281</v>
          </cell>
          <cell r="L204">
            <v>15.135091889361513</v>
          </cell>
          <cell r="N204">
            <v>0.51834623032734894</v>
          </cell>
        </row>
        <row r="205">
          <cell r="B205">
            <v>42281</v>
          </cell>
          <cell r="L205">
            <v>15.275460990353956</v>
          </cell>
          <cell r="N205">
            <v>0.47558584180399943</v>
          </cell>
        </row>
        <row r="206">
          <cell r="B206">
            <v>42281</v>
          </cell>
          <cell r="L206">
            <v>13.34066347013408</v>
          </cell>
          <cell r="N206">
            <v>0.47117678280607445</v>
          </cell>
        </row>
        <row r="207">
          <cell r="B207">
            <v>42281</v>
          </cell>
          <cell r="L207">
            <v>12.801481725474652</v>
          </cell>
          <cell r="N207">
            <v>0.42953414186670197</v>
          </cell>
        </row>
        <row r="208">
          <cell r="B208">
            <v>42281</v>
          </cell>
          <cell r="L208">
            <v>15.771494225459744</v>
          </cell>
          <cell r="N208">
            <v>0.36169126773747778</v>
          </cell>
        </row>
        <row r="209">
          <cell r="B209">
            <v>42281</v>
          </cell>
          <cell r="L209">
            <v>13.749507786298238</v>
          </cell>
          <cell r="N209">
            <v>0.31537918429020323</v>
          </cell>
        </row>
        <row r="210">
          <cell r="B210">
            <v>42281</v>
          </cell>
          <cell r="L210">
            <v>14.830412693150965</v>
          </cell>
          <cell r="N210">
            <v>0.25771375264968149</v>
          </cell>
        </row>
        <row r="211">
          <cell r="B211">
            <v>42281</v>
          </cell>
          <cell r="L211">
            <v>23.416441094448892</v>
          </cell>
          <cell r="N211">
            <v>0.15450599922509459</v>
          </cell>
        </row>
        <row r="212">
          <cell r="B212">
            <v>42281</v>
          </cell>
          <cell r="L212">
            <v>24.263847493034866</v>
          </cell>
          <cell r="N212">
            <v>0.15015181820296916</v>
          </cell>
        </row>
        <row r="213">
          <cell r="B213">
            <v>42281</v>
          </cell>
          <cell r="L213">
            <v>15.463902803836596</v>
          </cell>
          <cell r="N213">
            <v>0.21258726699811653</v>
          </cell>
        </row>
        <row r="214">
          <cell r="B214">
            <v>42281</v>
          </cell>
          <cell r="L214">
            <v>14.064114182504827</v>
          </cell>
          <cell r="N214">
            <v>0.27918003588323809</v>
          </cell>
        </row>
        <row r="215">
          <cell r="B215">
            <v>42281</v>
          </cell>
          <cell r="L215">
            <v>12.550153655799894</v>
          </cell>
          <cell r="N215">
            <v>0.27754815490138096</v>
          </cell>
        </row>
        <row r="216">
          <cell r="B216">
            <v>42281</v>
          </cell>
          <cell r="L216">
            <v>11.969655757495536</v>
          </cell>
          <cell r="N216">
            <v>0.33439089809409372</v>
          </cell>
        </row>
        <row r="217">
          <cell r="B217">
            <v>42281</v>
          </cell>
          <cell r="L217">
            <v>10.459002651549547</v>
          </cell>
          <cell r="N217">
            <v>0.31872036918399538</v>
          </cell>
        </row>
        <row r="218">
          <cell r="B218">
            <v>42281</v>
          </cell>
          <cell r="L218">
            <v>9.7289132506777811</v>
          </cell>
          <cell r="N218">
            <v>0.34037105876792761</v>
          </cell>
        </row>
        <row r="219">
          <cell r="B219">
            <v>42281</v>
          </cell>
          <cell r="L219">
            <v>11.396250568703108</v>
          </cell>
          <cell r="N219">
            <v>0.35474915791811729</v>
          </cell>
        </row>
        <row r="220">
          <cell r="B220">
            <v>42281</v>
          </cell>
          <cell r="L220">
            <v>9.5622127483505466</v>
          </cell>
          <cell r="N220">
            <v>0.3300946212128571</v>
          </cell>
        </row>
        <row r="221">
          <cell r="B221">
            <v>42281</v>
          </cell>
          <cell r="L221">
            <v>10.127674579012053</v>
          </cell>
          <cell r="N221">
            <v>0.29495837643741696</v>
          </cell>
        </row>
        <row r="222">
          <cell r="B222">
            <v>42281</v>
          </cell>
          <cell r="L222">
            <v>11.05954724197861</v>
          </cell>
          <cell r="N222">
            <v>0.28575252759951597</v>
          </cell>
        </row>
        <row r="223">
          <cell r="B223">
            <v>42281</v>
          </cell>
          <cell r="L223">
            <v>10.778804888912999</v>
          </cell>
          <cell r="N223">
            <v>0.27955637601802152</v>
          </cell>
        </row>
        <row r="224">
          <cell r="B224">
            <v>42281</v>
          </cell>
          <cell r="L224">
            <v>0</v>
          </cell>
          <cell r="N224">
            <v>0</v>
          </cell>
        </row>
        <row r="225">
          <cell r="B225">
            <v>42281</v>
          </cell>
          <cell r="L225">
            <v>0</v>
          </cell>
          <cell r="N225">
            <v>0</v>
          </cell>
        </row>
        <row r="226">
          <cell r="B226">
            <v>42281</v>
          </cell>
          <cell r="L226">
            <v>0</v>
          </cell>
          <cell r="N226">
            <v>0</v>
          </cell>
        </row>
        <row r="227">
          <cell r="B227">
            <v>42281</v>
          </cell>
          <cell r="L227">
            <v>0</v>
          </cell>
          <cell r="N227">
            <v>0</v>
          </cell>
        </row>
        <row r="228">
          <cell r="B228">
            <v>42281</v>
          </cell>
          <cell r="L228">
            <v>0</v>
          </cell>
          <cell r="N228">
            <v>0</v>
          </cell>
        </row>
        <row r="229">
          <cell r="B229">
            <v>42281</v>
          </cell>
          <cell r="L229">
            <v>0</v>
          </cell>
          <cell r="N229">
            <v>0</v>
          </cell>
        </row>
        <row r="230">
          <cell r="B230">
            <v>42282</v>
          </cell>
          <cell r="L230">
            <v>0</v>
          </cell>
          <cell r="N230">
            <v>0</v>
          </cell>
        </row>
        <row r="231">
          <cell r="B231">
            <v>42282</v>
          </cell>
          <cell r="L231">
            <v>0</v>
          </cell>
          <cell r="N231">
            <v>0</v>
          </cell>
        </row>
        <row r="232">
          <cell r="B232">
            <v>42282</v>
          </cell>
          <cell r="L232">
            <v>0</v>
          </cell>
          <cell r="N232">
            <v>0</v>
          </cell>
        </row>
        <row r="233">
          <cell r="B233">
            <v>42282</v>
          </cell>
          <cell r="L233">
            <v>0</v>
          </cell>
          <cell r="N233">
            <v>0</v>
          </cell>
        </row>
        <row r="234">
          <cell r="B234">
            <v>42282</v>
          </cell>
          <cell r="L234">
            <v>0</v>
          </cell>
          <cell r="N234">
            <v>0</v>
          </cell>
        </row>
        <row r="235">
          <cell r="B235">
            <v>42282</v>
          </cell>
          <cell r="L235">
            <v>0</v>
          </cell>
          <cell r="N235">
            <v>0</v>
          </cell>
        </row>
        <row r="236">
          <cell r="B236">
            <v>42282</v>
          </cell>
          <cell r="L236">
            <v>0</v>
          </cell>
          <cell r="N236">
            <v>0</v>
          </cell>
        </row>
        <row r="237">
          <cell r="B237">
            <v>42282</v>
          </cell>
          <cell r="L237">
            <v>0</v>
          </cell>
          <cell r="N237">
            <v>0</v>
          </cell>
        </row>
        <row r="238">
          <cell r="B238">
            <v>42282</v>
          </cell>
          <cell r="L238">
            <v>0</v>
          </cell>
          <cell r="N238">
            <v>0</v>
          </cell>
        </row>
        <row r="239">
          <cell r="B239">
            <v>42282</v>
          </cell>
          <cell r="L239">
            <v>0</v>
          </cell>
          <cell r="N239">
            <v>0</v>
          </cell>
        </row>
        <row r="240">
          <cell r="B240">
            <v>42282</v>
          </cell>
          <cell r="L240">
            <v>0</v>
          </cell>
          <cell r="N240">
            <v>0</v>
          </cell>
        </row>
        <row r="241">
          <cell r="B241">
            <v>42282</v>
          </cell>
          <cell r="L241">
            <v>0</v>
          </cell>
          <cell r="N241">
            <v>0</v>
          </cell>
        </row>
        <row r="242">
          <cell r="B242">
            <v>42282</v>
          </cell>
          <cell r="L242">
            <v>0</v>
          </cell>
          <cell r="N242">
            <v>0</v>
          </cell>
        </row>
        <row r="243">
          <cell r="B243">
            <v>42282</v>
          </cell>
          <cell r="L243">
            <v>0</v>
          </cell>
          <cell r="N243">
            <v>0</v>
          </cell>
        </row>
        <row r="244">
          <cell r="B244">
            <v>42282</v>
          </cell>
          <cell r="L244">
            <v>0</v>
          </cell>
          <cell r="N244">
            <v>0</v>
          </cell>
        </row>
        <row r="245">
          <cell r="B245">
            <v>42282</v>
          </cell>
          <cell r="L245">
            <v>0</v>
          </cell>
          <cell r="N245">
            <v>0</v>
          </cell>
        </row>
        <row r="246">
          <cell r="B246">
            <v>42282</v>
          </cell>
          <cell r="L246">
            <v>57.20669719975178</v>
          </cell>
          <cell r="N246">
            <v>0.79752314330522589</v>
          </cell>
        </row>
        <row r="247">
          <cell r="B247">
            <v>42282</v>
          </cell>
          <cell r="L247">
            <v>96.447175148509046</v>
          </cell>
          <cell r="N247">
            <v>0.84044715149874227</v>
          </cell>
        </row>
        <row r="248">
          <cell r="B248">
            <v>42282</v>
          </cell>
          <cell r="L248">
            <v>129.10976142445398</v>
          </cell>
          <cell r="N248">
            <v>0.90810137578086458</v>
          </cell>
        </row>
        <row r="249">
          <cell r="B249">
            <v>42282</v>
          </cell>
          <cell r="L249">
            <v>153.78470279821306</v>
          </cell>
          <cell r="N249">
            <v>0.91409975612535266</v>
          </cell>
        </row>
        <row r="250">
          <cell r="B250">
            <v>42282</v>
          </cell>
          <cell r="L250">
            <v>164.65297469174925</v>
          </cell>
          <cell r="N250">
            <v>0.93216625229544514</v>
          </cell>
        </row>
        <row r="251">
          <cell r="B251">
            <v>42282</v>
          </cell>
          <cell r="L251">
            <v>175.870853445748</v>
          </cell>
          <cell r="N251">
            <v>0.93260926009422151</v>
          </cell>
        </row>
        <row r="252">
          <cell r="B252">
            <v>42282</v>
          </cell>
          <cell r="L252">
            <v>173.88597572651128</v>
          </cell>
          <cell r="N252">
            <v>0.90462060279963352</v>
          </cell>
        </row>
        <row r="253">
          <cell r="B253">
            <v>42282</v>
          </cell>
          <cell r="L253">
            <v>157.51220680053214</v>
          </cell>
          <cell r="N253">
            <v>0.89040296223533721</v>
          </cell>
        </row>
        <row r="254">
          <cell r="B254">
            <v>42282</v>
          </cell>
          <cell r="L254">
            <v>138.00113654359075</v>
          </cell>
          <cell r="N254">
            <v>0.80864777455177639</v>
          </cell>
        </row>
        <row r="255">
          <cell r="B255">
            <v>42282</v>
          </cell>
          <cell r="L255">
            <v>122.40964225609463</v>
          </cell>
          <cell r="N255">
            <v>0.79310575785765458</v>
          </cell>
        </row>
        <row r="256">
          <cell r="B256">
            <v>42282</v>
          </cell>
          <cell r="L256">
            <v>129.52859995402136</v>
          </cell>
          <cell r="N256">
            <v>0.79551757440015203</v>
          </cell>
        </row>
        <row r="257">
          <cell r="B257">
            <v>42282</v>
          </cell>
          <cell r="L257">
            <v>146.98109489279921</v>
          </cell>
          <cell r="N257">
            <v>0.81063451346634907</v>
          </cell>
        </row>
        <row r="258">
          <cell r="B258">
            <v>42282</v>
          </cell>
          <cell r="L258">
            <v>159.16656790831001</v>
          </cell>
          <cell r="N258">
            <v>0.83535050392085053</v>
          </cell>
        </row>
        <row r="259">
          <cell r="B259">
            <v>42282</v>
          </cell>
          <cell r="L259">
            <v>168.70892809465954</v>
          </cell>
          <cell r="N259">
            <v>0.85279107165531709</v>
          </cell>
        </row>
        <row r="260">
          <cell r="B260">
            <v>42282</v>
          </cell>
          <cell r="L260">
            <v>166.15921160284762</v>
          </cell>
          <cell r="N260">
            <v>0.87991586935644805</v>
          </cell>
        </row>
        <row r="261">
          <cell r="B261">
            <v>42282</v>
          </cell>
          <cell r="L261">
            <v>162.25776403525651</v>
          </cell>
          <cell r="N261">
            <v>0.88001224671111644</v>
          </cell>
        </row>
        <row r="262">
          <cell r="B262">
            <v>42282</v>
          </cell>
          <cell r="L262">
            <v>160.87661192579333</v>
          </cell>
          <cell r="N262">
            <v>0.85098998731848841</v>
          </cell>
        </row>
        <row r="263">
          <cell r="B263">
            <v>42282</v>
          </cell>
          <cell r="L263">
            <v>147.11884684176809</v>
          </cell>
          <cell r="N263">
            <v>0.85454871522443154</v>
          </cell>
        </row>
        <row r="264">
          <cell r="B264">
            <v>42282</v>
          </cell>
          <cell r="L264">
            <v>126.20896951038809</v>
          </cell>
          <cell r="N264">
            <v>0.83836382243340013</v>
          </cell>
        </row>
        <row r="265">
          <cell r="B265">
            <v>42282</v>
          </cell>
          <cell r="L265">
            <v>97.548965559650682</v>
          </cell>
          <cell r="N265">
            <v>0.80855858559492866</v>
          </cell>
        </row>
        <row r="266">
          <cell r="B266">
            <v>42282</v>
          </cell>
          <cell r="L266">
            <v>66.682372699719053</v>
          </cell>
          <cell r="N266">
            <v>0.79305772095129623</v>
          </cell>
        </row>
        <row r="267">
          <cell r="B267">
            <v>42282</v>
          </cell>
          <cell r="L267">
            <v>53.761978646243108</v>
          </cell>
          <cell r="N267">
            <v>0.77001567203671883</v>
          </cell>
        </row>
        <row r="268">
          <cell r="B268">
            <v>42282</v>
          </cell>
          <cell r="L268">
            <v>43.637459496877248</v>
          </cell>
          <cell r="N268">
            <v>0.74018940856850846</v>
          </cell>
        </row>
        <row r="269">
          <cell r="B269">
            <v>42282</v>
          </cell>
          <cell r="L269">
            <v>44.589489833841277</v>
          </cell>
          <cell r="N269">
            <v>0.66244498593490186</v>
          </cell>
        </row>
        <row r="270">
          <cell r="B270">
            <v>42282</v>
          </cell>
          <cell r="L270">
            <v>36.566370958452239</v>
          </cell>
          <cell r="N270">
            <v>0.62107536583710776</v>
          </cell>
        </row>
        <row r="271">
          <cell r="B271">
            <v>42282</v>
          </cell>
          <cell r="L271">
            <v>33.124362561710974</v>
          </cell>
          <cell r="N271">
            <v>0.54185570644369108</v>
          </cell>
        </row>
        <row r="272">
          <cell r="B272">
            <v>42282</v>
          </cell>
          <cell r="L272">
            <v>27.221075048314781</v>
          </cell>
          <cell r="N272">
            <v>0.46940811529964194</v>
          </cell>
        </row>
        <row r="273">
          <cell r="B273">
            <v>42282</v>
          </cell>
          <cell r="L273">
            <v>17.014153339976385</v>
          </cell>
          <cell r="N273">
            <v>0.49244345761065655</v>
          </cell>
        </row>
        <row r="274">
          <cell r="B274">
            <v>42282</v>
          </cell>
          <cell r="L274">
            <v>0</v>
          </cell>
          <cell r="N274">
            <v>0</v>
          </cell>
        </row>
        <row r="275">
          <cell r="B275">
            <v>42282</v>
          </cell>
          <cell r="L275">
            <v>0</v>
          </cell>
          <cell r="N275">
            <v>0</v>
          </cell>
        </row>
        <row r="276">
          <cell r="B276">
            <v>42282</v>
          </cell>
          <cell r="L276">
            <v>0</v>
          </cell>
          <cell r="N276">
            <v>0</v>
          </cell>
        </row>
        <row r="277">
          <cell r="B277">
            <v>42282</v>
          </cell>
          <cell r="L277">
            <v>0</v>
          </cell>
          <cell r="N277">
            <v>0</v>
          </cell>
        </row>
        <row r="278">
          <cell r="B278">
            <v>42283</v>
          </cell>
          <cell r="L278">
            <v>0</v>
          </cell>
          <cell r="N278">
            <v>0</v>
          </cell>
        </row>
        <row r="279">
          <cell r="B279">
            <v>42283</v>
          </cell>
          <cell r="L279">
            <v>0</v>
          </cell>
          <cell r="N279">
            <v>0</v>
          </cell>
        </row>
        <row r="280">
          <cell r="B280">
            <v>42283</v>
          </cell>
          <cell r="L280">
            <v>0</v>
          </cell>
          <cell r="N280">
            <v>0</v>
          </cell>
        </row>
        <row r="281">
          <cell r="B281">
            <v>42283</v>
          </cell>
          <cell r="L281">
            <v>0</v>
          </cell>
          <cell r="N281">
            <v>0</v>
          </cell>
        </row>
        <row r="282">
          <cell r="B282">
            <v>42283</v>
          </cell>
          <cell r="L282">
            <v>0</v>
          </cell>
          <cell r="N282">
            <v>0</v>
          </cell>
        </row>
        <row r="283">
          <cell r="B283">
            <v>42283</v>
          </cell>
          <cell r="L283">
            <v>0</v>
          </cell>
          <cell r="N283">
            <v>0</v>
          </cell>
        </row>
        <row r="284">
          <cell r="B284">
            <v>42283</v>
          </cell>
          <cell r="L284">
            <v>0</v>
          </cell>
          <cell r="N284">
            <v>0</v>
          </cell>
        </row>
        <row r="285">
          <cell r="B285">
            <v>42283</v>
          </cell>
          <cell r="L285">
            <v>0</v>
          </cell>
          <cell r="N285">
            <v>0</v>
          </cell>
        </row>
        <row r="286">
          <cell r="B286">
            <v>42283</v>
          </cell>
          <cell r="L286">
            <v>0</v>
          </cell>
          <cell r="N286">
            <v>0</v>
          </cell>
        </row>
        <row r="287">
          <cell r="B287">
            <v>42283</v>
          </cell>
          <cell r="L287">
            <v>0</v>
          </cell>
          <cell r="N287">
            <v>0</v>
          </cell>
        </row>
        <row r="288">
          <cell r="B288">
            <v>42283</v>
          </cell>
          <cell r="L288">
            <v>0</v>
          </cell>
          <cell r="N288">
            <v>0</v>
          </cell>
        </row>
        <row r="289">
          <cell r="B289">
            <v>42283</v>
          </cell>
          <cell r="L289">
            <v>0</v>
          </cell>
          <cell r="N289">
            <v>0</v>
          </cell>
        </row>
        <row r="290">
          <cell r="B290">
            <v>42283</v>
          </cell>
          <cell r="L290">
            <v>0</v>
          </cell>
          <cell r="N290">
            <v>0</v>
          </cell>
        </row>
        <row r="291">
          <cell r="B291">
            <v>42283</v>
          </cell>
          <cell r="L291">
            <v>0</v>
          </cell>
          <cell r="N291">
            <v>0</v>
          </cell>
        </row>
        <row r="292">
          <cell r="B292">
            <v>42283</v>
          </cell>
          <cell r="L292">
            <v>0</v>
          </cell>
          <cell r="N292">
            <v>0</v>
          </cell>
        </row>
        <row r="293">
          <cell r="B293">
            <v>42283</v>
          </cell>
          <cell r="L293">
            <v>0</v>
          </cell>
          <cell r="N293">
            <v>0</v>
          </cell>
        </row>
        <row r="294">
          <cell r="B294">
            <v>42283</v>
          </cell>
          <cell r="L294">
            <v>59.242011052044674</v>
          </cell>
          <cell r="N294">
            <v>0.74627534983841493</v>
          </cell>
        </row>
        <row r="295">
          <cell r="B295">
            <v>42283</v>
          </cell>
          <cell r="L295">
            <v>99.878596314266034</v>
          </cell>
          <cell r="N295">
            <v>0.78644111744025103</v>
          </cell>
        </row>
        <row r="296">
          <cell r="B296">
            <v>42283</v>
          </cell>
          <cell r="L296">
            <v>131.57433062761402</v>
          </cell>
          <cell r="N296">
            <v>0.86349725859382032</v>
          </cell>
        </row>
        <row r="297">
          <cell r="B297">
            <v>42283</v>
          </cell>
          <cell r="L297">
            <v>156.72029061320077</v>
          </cell>
          <cell r="N297">
            <v>0.8692010105334258</v>
          </cell>
        </row>
        <row r="298">
          <cell r="B298">
            <v>42283</v>
          </cell>
          <cell r="L298">
            <v>173.10747407258353</v>
          </cell>
          <cell r="N298">
            <v>0.8591833611774814</v>
          </cell>
        </row>
        <row r="299">
          <cell r="B299">
            <v>42283</v>
          </cell>
          <cell r="L299">
            <v>184.9013615452678</v>
          </cell>
          <cell r="N299">
            <v>0.85959168418707688</v>
          </cell>
        </row>
        <row r="300">
          <cell r="B300">
            <v>42283</v>
          </cell>
          <cell r="L300">
            <v>179.55330101227793</v>
          </cell>
          <cell r="N300">
            <v>0.84893875004397334</v>
          </cell>
        </row>
        <row r="301">
          <cell r="B301">
            <v>42283</v>
          </cell>
          <cell r="L301">
            <v>162.64587504886495</v>
          </cell>
          <cell r="N301">
            <v>0.83559624383543241</v>
          </cell>
        </row>
        <row r="302">
          <cell r="B302">
            <v>42283</v>
          </cell>
          <cell r="L302">
            <v>130.94670663789049</v>
          </cell>
          <cell r="N302">
            <v>0.82582152538122067</v>
          </cell>
        </row>
        <row r="303">
          <cell r="B303">
            <v>42283</v>
          </cell>
          <cell r="L303">
            <v>116.15222827599527</v>
          </cell>
          <cell r="N303">
            <v>0.8099494333063314</v>
          </cell>
        </row>
        <row r="304">
          <cell r="B304">
            <v>42283</v>
          </cell>
          <cell r="L304">
            <v>121.24315119844425</v>
          </cell>
          <cell r="N304">
            <v>0.82356324176698814</v>
          </cell>
        </row>
        <row r="305">
          <cell r="B305">
            <v>42283</v>
          </cell>
          <cell r="L305">
            <v>137.57927683713285</v>
          </cell>
          <cell r="N305">
            <v>0.83921312272950321</v>
          </cell>
        </row>
        <row r="306">
          <cell r="B306">
            <v>42283</v>
          </cell>
          <cell r="L306">
            <v>156.35832354117329</v>
          </cell>
          <cell r="N306">
            <v>0.8240210488244214</v>
          </cell>
        </row>
        <row r="307">
          <cell r="B307">
            <v>42283</v>
          </cell>
          <cell r="L307">
            <v>165.73232375347385</v>
          </cell>
          <cell r="N307">
            <v>0.84122507856905449</v>
          </cell>
        </row>
        <row r="308">
          <cell r="B308">
            <v>42283</v>
          </cell>
          <cell r="L308">
            <v>170.41808392890516</v>
          </cell>
          <cell r="N308">
            <v>0.83135902408349482</v>
          </cell>
        </row>
        <row r="309">
          <cell r="B309">
            <v>42283</v>
          </cell>
          <cell r="L309">
            <v>166.41663728863614</v>
          </cell>
          <cell r="N309">
            <v>0.83145008299754719</v>
          </cell>
        </row>
        <row r="310">
          <cell r="B310">
            <v>42283</v>
          </cell>
          <cell r="L310">
            <v>163.63433971240656</v>
          </cell>
          <cell r="N310">
            <v>0.8107400612203437</v>
          </cell>
        </row>
        <row r="311">
          <cell r="B311">
            <v>42283</v>
          </cell>
          <cell r="L311">
            <v>149.64074065226916</v>
          </cell>
          <cell r="N311">
            <v>0.81413046924314825</v>
          </cell>
        </row>
        <row r="312">
          <cell r="B312">
            <v>42283</v>
          </cell>
          <cell r="L312">
            <v>126.09067872842215</v>
          </cell>
          <cell r="N312">
            <v>0.81316464411521783</v>
          </cell>
        </row>
        <row r="313">
          <cell r="B313">
            <v>42283</v>
          </cell>
          <cell r="L313">
            <v>97.457536690048286</v>
          </cell>
          <cell r="N313">
            <v>0.78425528023525282</v>
          </cell>
        </row>
        <row r="314">
          <cell r="B314">
            <v>42283</v>
          </cell>
          <cell r="L314">
            <v>65.470702980078912</v>
          </cell>
          <cell r="N314">
            <v>0.78272203149695807</v>
          </cell>
        </row>
        <row r="315">
          <cell r="B315">
            <v>42283</v>
          </cell>
          <cell r="L315">
            <v>52.785082369817317</v>
          </cell>
          <cell r="N315">
            <v>0.75998028287034336</v>
          </cell>
        </row>
        <row r="316">
          <cell r="B316">
            <v>42283</v>
          </cell>
          <cell r="L316">
            <v>42.163706309396183</v>
          </cell>
          <cell r="N316">
            <v>0.74233897978651631</v>
          </cell>
        </row>
        <row r="317">
          <cell r="B317">
            <v>42283</v>
          </cell>
          <cell r="L317">
            <v>43.083584047197569</v>
          </cell>
          <cell r="N317">
            <v>0.66436878092412377</v>
          </cell>
        </row>
        <row r="318">
          <cell r="B318">
            <v>42283</v>
          </cell>
          <cell r="L318">
            <v>36.842814492177602</v>
          </cell>
          <cell r="N318">
            <v>0.59732691677956429</v>
          </cell>
        </row>
        <row r="319">
          <cell r="B319">
            <v>42283</v>
          </cell>
          <cell r="L319">
            <v>33.374784345413929</v>
          </cell>
          <cell r="N319">
            <v>0.52113642928531778</v>
          </cell>
        </row>
        <row r="320">
          <cell r="B320">
            <v>42283</v>
          </cell>
          <cell r="L320">
            <v>26.588027697263115</v>
          </cell>
          <cell r="N320">
            <v>0.46570238714046047</v>
          </cell>
        </row>
        <row r="321">
          <cell r="B321">
            <v>42283</v>
          </cell>
          <cell r="L321">
            <v>16.618475921537112</v>
          </cell>
          <cell r="N321">
            <v>0.48855587763878566</v>
          </cell>
        </row>
        <row r="322">
          <cell r="B322">
            <v>42283</v>
          </cell>
          <cell r="L322">
            <v>0</v>
          </cell>
          <cell r="N322">
            <v>0</v>
          </cell>
        </row>
        <row r="323">
          <cell r="B323">
            <v>42283</v>
          </cell>
          <cell r="L323">
            <v>0</v>
          </cell>
          <cell r="N323">
            <v>0</v>
          </cell>
        </row>
        <row r="324">
          <cell r="B324">
            <v>42283</v>
          </cell>
          <cell r="L324">
            <v>0</v>
          </cell>
          <cell r="N324">
            <v>0</v>
          </cell>
        </row>
        <row r="325">
          <cell r="B325">
            <v>42283</v>
          </cell>
          <cell r="L325">
            <v>0</v>
          </cell>
          <cell r="N325">
            <v>0</v>
          </cell>
        </row>
        <row r="326">
          <cell r="B326">
            <v>42284</v>
          </cell>
          <cell r="L326">
            <v>0</v>
          </cell>
          <cell r="N326">
            <v>0</v>
          </cell>
        </row>
        <row r="327">
          <cell r="B327">
            <v>42284</v>
          </cell>
          <cell r="L327">
            <v>0</v>
          </cell>
          <cell r="N327">
            <v>0</v>
          </cell>
        </row>
        <row r="328">
          <cell r="B328">
            <v>42284</v>
          </cell>
          <cell r="L328">
            <v>0</v>
          </cell>
          <cell r="N328">
            <v>0</v>
          </cell>
        </row>
        <row r="329">
          <cell r="B329">
            <v>42284</v>
          </cell>
          <cell r="L329">
            <v>0</v>
          </cell>
          <cell r="N329">
            <v>0</v>
          </cell>
        </row>
        <row r="330">
          <cell r="B330">
            <v>42284</v>
          </cell>
          <cell r="L330">
            <v>0</v>
          </cell>
          <cell r="N330">
            <v>0</v>
          </cell>
        </row>
        <row r="331">
          <cell r="B331">
            <v>42284</v>
          </cell>
          <cell r="L331">
            <v>0</v>
          </cell>
          <cell r="N331">
            <v>0</v>
          </cell>
        </row>
        <row r="332">
          <cell r="B332">
            <v>42284</v>
          </cell>
          <cell r="L332">
            <v>0</v>
          </cell>
          <cell r="N332">
            <v>0</v>
          </cell>
        </row>
        <row r="333">
          <cell r="B333">
            <v>42284</v>
          </cell>
          <cell r="L333">
            <v>0</v>
          </cell>
          <cell r="N333">
            <v>0</v>
          </cell>
        </row>
        <row r="334">
          <cell r="B334">
            <v>42284</v>
          </cell>
          <cell r="L334">
            <v>0</v>
          </cell>
          <cell r="N334">
            <v>0</v>
          </cell>
        </row>
        <row r="335">
          <cell r="B335">
            <v>42284</v>
          </cell>
          <cell r="L335">
            <v>0</v>
          </cell>
          <cell r="N335">
            <v>0</v>
          </cell>
        </row>
        <row r="336">
          <cell r="B336">
            <v>42284</v>
          </cell>
          <cell r="L336">
            <v>0</v>
          </cell>
          <cell r="N336">
            <v>0</v>
          </cell>
        </row>
        <row r="337">
          <cell r="B337">
            <v>42284</v>
          </cell>
          <cell r="L337">
            <v>0</v>
          </cell>
          <cell r="N337">
            <v>0</v>
          </cell>
        </row>
        <row r="338">
          <cell r="B338">
            <v>42284</v>
          </cell>
          <cell r="L338">
            <v>0</v>
          </cell>
          <cell r="N338">
            <v>0</v>
          </cell>
        </row>
        <row r="339">
          <cell r="B339">
            <v>42284</v>
          </cell>
          <cell r="L339">
            <v>0</v>
          </cell>
          <cell r="N339">
            <v>0</v>
          </cell>
        </row>
        <row r="340">
          <cell r="B340">
            <v>42284</v>
          </cell>
          <cell r="L340">
            <v>0</v>
          </cell>
          <cell r="N340">
            <v>0</v>
          </cell>
        </row>
        <row r="341">
          <cell r="B341">
            <v>42284</v>
          </cell>
          <cell r="L341">
            <v>0</v>
          </cell>
          <cell r="N341">
            <v>0</v>
          </cell>
        </row>
        <row r="342">
          <cell r="B342">
            <v>42284</v>
          </cell>
          <cell r="L342">
            <v>58.330121333271435</v>
          </cell>
          <cell r="N342">
            <v>0.74449098244702394</v>
          </cell>
        </row>
        <row r="343">
          <cell r="B343">
            <v>42284</v>
          </cell>
          <cell r="L343">
            <v>98.341203111586466</v>
          </cell>
          <cell r="N343">
            <v>0.78456071245901526</v>
          </cell>
        </row>
        <row r="344">
          <cell r="B344">
            <v>42284</v>
          </cell>
          <cell r="L344">
            <v>134.76076967716224</v>
          </cell>
          <cell r="N344">
            <v>0.82811772750847101</v>
          </cell>
        </row>
        <row r="345">
          <cell r="B345">
            <v>42284</v>
          </cell>
          <cell r="L345">
            <v>160.51570915330956</v>
          </cell>
          <cell r="N345">
            <v>0.83358778320058757</v>
          </cell>
        </row>
        <row r="346">
          <cell r="B346">
            <v>42284</v>
          </cell>
          <cell r="L346">
            <v>174.54203745705018</v>
          </cell>
          <cell r="N346">
            <v>0.83699924857401198</v>
          </cell>
        </row>
        <row r="347">
          <cell r="B347">
            <v>42284</v>
          </cell>
          <cell r="L347">
            <v>186.43366235684138</v>
          </cell>
          <cell r="N347">
            <v>0.83739702868434707</v>
          </cell>
        </row>
        <row r="348">
          <cell r="B348">
            <v>42284</v>
          </cell>
          <cell r="L348">
            <v>180.5347091705199</v>
          </cell>
          <cell r="N348">
            <v>0.8293397333368473</v>
          </cell>
        </row>
        <row r="349">
          <cell r="B349">
            <v>42284</v>
          </cell>
          <cell r="L349">
            <v>163.53487005913462</v>
          </cell>
          <cell r="N349">
            <v>0.81630525877615234</v>
          </cell>
        </row>
        <row r="350">
          <cell r="B350">
            <v>42284</v>
          </cell>
          <cell r="L350">
            <v>139.26546504080184</v>
          </cell>
          <cell r="N350">
            <v>0.76271234768640517</v>
          </cell>
        </row>
        <row r="351">
          <cell r="B351">
            <v>42284</v>
          </cell>
          <cell r="L351">
            <v>123.53112576640548</v>
          </cell>
          <cell r="N351">
            <v>0.74805319890296196</v>
          </cell>
        </row>
        <row r="352">
          <cell r="B352">
            <v>42284</v>
          </cell>
          <cell r="L352">
            <v>135.03320454830822</v>
          </cell>
          <cell r="N352">
            <v>0.72633509305281985</v>
          </cell>
        </row>
        <row r="353">
          <cell r="B353">
            <v>42284</v>
          </cell>
          <cell r="L353">
            <v>153.22738189433719</v>
          </cell>
          <cell r="N353">
            <v>0.74013738189804013</v>
          </cell>
        </row>
        <row r="354">
          <cell r="B354">
            <v>42284</v>
          </cell>
          <cell r="L354">
            <v>166.59331011098715</v>
          </cell>
          <cell r="N354">
            <v>0.7596703661208386</v>
          </cell>
        </row>
        <row r="355">
          <cell r="B355">
            <v>42284</v>
          </cell>
          <cell r="L355">
            <v>176.5809186308305</v>
          </cell>
          <cell r="N355">
            <v>0.77553087307451962</v>
          </cell>
        </row>
        <row r="356">
          <cell r="B356">
            <v>42284</v>
          </cell>
          <cell r="L356">
            <v>181.37347850988971</v>
          </cell>
          <cell r="N356">
            <v>0.76728011502012361</v>
          </cell>
        </row>
        <row r="357">
          <cell r="B357">
            <v>42284</v>
          </cell>
          <cell r="L357">
            <v>177.11479727439317</v>
          </cell>
          <cell r="N357">
            <v>0.76736415535892311</v>
          </cell>
        </row>
        <row r="358">
          <cell r="B358">
            <v>42284</v>
          </cell>
          <cell r="L358">
            <v>170.9912670254495</v>
          </cell>
          <cell r="N358">
            <v>0.76208880764427744</v>
          </cell>
        </row>
        <row r="359">
          <cell r="B359">
            <v>42284</v>
          </cell>
          <cell r="L359">
            <v>156.36852196017509</v>
          </cell>
          <cell r="N359">
            <v>0.76527576254032337</v>
          </cell>
        </row>
        <row r="360">
          <cell r="B360">
            <v>42284</v>
          </cell>
          <cell r="L360">
            <v>122.21724999362351</v>
          </cell>
          <cell r="N360">
            <v>0.8240477816940629</v>
          </cell>
        </row>
        <row r="361">
          <cell r="B361">
            <v>42284</v>
          </cell>
          <cell r="L361">
            <v>94.463700612355453</v>
          </cell>
          <cell r="N361">
            <v>0.79475150406090023</v>
          </cell>
        </row>
        <row r="362">
          <cell r="B362">
            <v>42284</v>
          </cell>
          <cell r="L362">
            <v>61.880415207869255</v>
          </cell>
          <cell r="N362">
            <v>0.81343859663243956</v>
          </cell>
        </row>
        <row r="363">
          <cell r="B363">
            <v>42284</v>
          </cell>
          <cell r="L363">
            <v>49.890449699612155</v>
          </cell>
          <cell r="N363">
            <v>0.78980438762413852</v>
          </cell>
        </row>
        <row r="364">
          <cell r="B364">
            <v>42284</v>
          </cell>
          <cell r="L364">
            <v>37.719143665296613</v>
          </cell>
          <cell r="N364">
            <v>0.81508453462803554</v>
          </cell>
        </row>
        <row r="365">
          <cell r="B365">
            <v>42284</v>
          </cell>
          <cell r="L365">
            <v>38.542055206612091</v>
          </cell>
          <cell r="N365">
            <v>0.72947364124226055</v>
          </cell>
        </row>
        <row r="366">
          <cell r="B366">
            <v>42284</v>
          </cell>
          <cell r="L366">
            <v>32.874574223772981</v>
          </cell>
          <cell r="N366">
            <v>0.65754908847395721</v>
          </cell>
        </row>
        <row r="367">
          <cell r="B367">
            <v>42284</v>
          </cell>
          <cell r="L367">
            <v>29.780076258796093</v>
          </cell>
          <cell r="N367">
            <v>0.57367711787478748</v>
          </cell>
        </row>
        <row r="368">
          <cell r="B368">
            <v>42284</v>
          </cell>
          <cell r="L368">
            <v>22.294984573802804</v>
          </cell>
          <cell r="N368">
            <v>0.5455202072962273</v>
          </cell>
        </row>
        <row r="369">
          <cell r="B369">
            <v>42284</v>
          </cell>
          <cell r="L369">
            <v>13.935169187029327</v>
          </cell>
          <cell r="N369">
            <v>0.57229061092383093</v>
          </cell>
        </row>
        <row r="370">
          <cell r="B370">
            <v>42284</v>
          </cell>
          <cell r="L370">
            <v>0</v>
          </cell>
          <cell r="N370">
            <v>0</v>
          </cell>
        </row>
        <row r="371">
          <cell r="B371">
            <v>42284</v>
          </cell>
          <cell r="L371">
            <v>0</v>
          </cell>
          <cell r="N371">
            <v>0</v>
          </cell>
        </row>
        <row r="372">
          <cell r="B372">
            <v>42284</v>
          </cell>
          <cell r="L372">
            <v>0</v>
          </cell>
          <cell r="N372">
            <v>0</v>
          </cell>
        </row>
        <row r="373">
          <cell r="B373">
            <v>42284</v>
          </cell>
          <cell r="L373">
            <v>0</v>
          </cell>
          <cell r="N373">
            <v>0</v>
          </cell>
        </row>
        <row r="374">
          <cell r="B374">
            <v>42285</v>
          </cell>
          <cell r="L374">
            <v>0</v>
          </cell>
          <cell r="N374">
            <v>0</v>
          </cell>
        </row>
        <row r="375">
          <cell r="B375">
            <v>42285</v>
          </cell>
          <cell r="L375">
            <v>0</v>
          </cell>
          <cell r="N375">
            <v>0</v>
          </cell>
        </row>
        <row r="376">
          <cell r="B376">
            <v>42285</v>
          </cell>
          <cell r="L376">
            <v>0</v>
          </cell>
          <cell r="N376">
            <v>0</v>
          </cell>
        </row>
        <row r="377">
          <cell r="B377">
            <v>42285</v>
          </cell>
          <cell r="L377">
            <v>0</v>
          </cell>
          <cell r="N377">
            <v>0</v>
          </cell>
        </row>
        <row r="378">
          <cell r="B378">
            <v>42285</v>
          </cell>
          <cell r="L378">
            <v>0</v>
          </cell>
          <cell r="N378">
            <v>0</v>
          </cell>
        </row>
        <row r="379">
          <cell r="B379">
            <v>42285</v>
          </cell>
          <cell r="L379">
            <v>0</v>
          </cell>
          <cell r="N379">
            <v>0</v>
          </cell>
        </row>
        <row r="380">
          <cell r="B380">
            <v>42285</v>
          </cell>
          <cell r="L380">
            <v>0</v>
          </cell>
          <cell r="N380">
            <v>0</v>
          </cell>
        </row>
        <row r="381">
          <cell r="B381">
            <v>42285</v>
          </cell>
          <cell r="L381">
            <v>0</v>
          </cell>
          <cell r="N381">
            <v>0</v>
          </cell>
        </row>
        <row r="382">
          <cell r="B382">
            <v>42285</v>
          </cell>
          <cell r="L382">
            <v>0</v>
          </cell>
          <cell r="N382">
            <v>0</v>
          </cell>
        </row>
        <row r="383">
          <cell r="B383">
            <v>42285</v>
          </cell>
          <cell r="L383">
            <v>0</v>
          </cell>
          <cell r="N383">
            <v>0</v>
          </cell>
        </row>
        <row r="384">
          <cell r="B384">
            <v>42285</v>
          </cell>
          <cell r="L384">
            <v>0</v>
          </cell>
          <cell r="N384">
            <v>0</v>
          </cell>
        </row>
        <row r="385">
          <cell r="B385">
            <v>42285</v>
          </cell>
          <cell r="L385">
            <v>0</v>
          </cell>
          <cell r="N385">
            <v>0</v>
          </cell>
        </row>
        <row r="386">
          <cell r="B386">
            <v>42285</v>
          </cell>
          <cell r="L386">
            <v>0</v>
          </cell>
          <cell r="N386">
            <v>0</v>
          </cell>
        </row>
        <row r="387">
          <cell r="B387">
            <v>42285</v>
          </cell>
          <cell r="L387">
            <v>0</v>
          </cell>
          <cell r="N387">
            <v>0</v>
          </cell>
        </row>
        <row r="388">
          <cell r="B388">
            <v>42285</v>
          </cell>
          <cell r="L388">
            <v>0</v>
          </cell>
          <cell r="N388">
            <v>0</v>
          </cell>
        </row>
        <row r="389">
          <cell r="B389">
            <v>42285</v>
          </cell>
          <cell r="L389">
            <v>0</v>
          </cell>
          <cell r="N389">
            <v>0</v>
          </cell>
        </row>
        <row r="390">
          <cell r="B390">
            <v>42285</v>
          </cell>
          <cell r="L390">
            <v>56.002094580553404</v>
          </cell>
          <cell r="N390">
            <v>0.78311306959345295</v>
          </cell>
        </row>
        <row r="391">
          <cell r="B391">
            <v>42285</v>
          </cell>
          <cell r="L391">
            <v>94.416284964576477</v>
          </cell>
          <cell r="N391">
            <v>0.82526150390266795</v>
          </cell>
        </row>
        <row r="392">
          <cell r="B392">
            <v>42285</v>
          </cell>
          <cell r="L392">
            <v>134.99521920300273</v>
          </cell>
          <cell r="N392">
            <v>0.83485989176510811</v>
          </cell>
        </row>
        <row r="393">
          <cell r="B393">
            <v>42285</v>
          </cell>
          <cell r="L393">
            <v>160.79496573511076</v>
          </cell>
          <cell r="N393">
            <v>0.84037448220481437</v>
          </cell>
        </row>
        <row r="394">
          <cell r="B394">
            <v>42285</v>
          </cell>
          <cell r="L394">
            <v>177.29432698224159</v>
          </cell>
          <cell r="N394">
            <v>0.8321597216801353</v>
          </cell>
        </row>
        <row r="395">
          <cell r="B395">
            <v>42285</v>
          </cell>
          <cell r="L395">
            <v>189.37346656403167</v>
          </cell>
          <cell r="N395">
            <v>0.83255520182718468</v>
          </cell>
        </row>
        <row r="396">
          <cell r="B396">
            <v>42285</v>
          </cell>
          <cell r="L396">
            <v>177.2813142811622</v>
          </cell>
          <cell r="N396">
            <v>0.85291674715667143</v>
          </cell>
        </row>
        <row r="397">
          <cell r="B397">
            <v>42285</v>
          </cell>
          <cell r="L397">
            <v>160.58782728311289</v>
          </cell>
          <cell r="N397">
            <v>0.83951172000516383</v>
          </cell>
        </row>
        <row r="398">
          <cell r="B398">
            <v>42285</v>
          </cell>
          <cell r="L398">
            <v>131.93148705967477</v>
          </cell>
          <cell r="N398">
            <v>0.81307793338656642</v>
          </cell>
        </row>
        <row r="399">
          <cell r="B399">
            <v>42285</v>
          </cell>
          <cell r="L399">
            <v>117.02574730743702</v>
          </cell>
          <cell r="N399">
            <v>0.79745077009990528</v>
          </cell>
        </row>
        <row r="400">
          <cell r="B400">
            <v>42285</v>
          </cell>
          <cell r="L400">
            <v>120.08947274056409</v>
          </cell>
          <cell r="N400">
            <v>0.82480082210410977</v>
          </cell>
        </row>
        <row r="401">
          <cell r="B401">
            <v>42285</v>
          </cell>
          <cell r="L401">
            <v>136.27015342381983</v>
          </cell>
          <cell r="N401">
            <v>0.84047422036799935</v>
          </cell>
        </row>
        <row r="402">
          <cell r="B402">
            <v>42285</v>
          </cell>
          <cell r="L402">
            <v>153.26708329218565</v>
          </cell>
          <cell r="N402">
            <v>0.83389289070838413</v>
          </cell>
        </row>
        <row r="403">
          <cell r="B403">
            <v>42285</v>
          </cell>
          <cell r="L403">
            <v>162.45575735047015</v>
          </cell>
          <cell r="N403">
            <v>0.85130302618496234</v>
          </cell>
        </row>
        <row r="404">
          <cell r="B404">
            <v>42285</v>
          </cell>
          <cell r="L404">
            <v>161.23927489638709</v>
          </cell>
          <cell r="N404">
            <v>0.87163228929871539</v>
          </cell>
        </row>
        <row r="405">
          <cell r="B405">
            <v>42285</v>
          </cell>
          <cell r="L405">
            <v>157.45334830961286</v>
          </cell>
          <cell r="N405">
            <v>0.87172775935126501</v>
          </cell>
        </row>
        <row r="406">
          <cell r="B406">
            <v>42285</v>
          </cell>
          <cell r="L406">
            <v>152.29360826727034</v>
          </cell>
          <cell r="N406">
            <v>0.86412040115590938</v>
          </cell>
        </row>
        <row r="407">
          <cell r="B407">
            <v>42285</v>
          </cell>
          <cell r="L407">
            <v>139.26984016786434</v>
          </cell>
          <cell r="N407">
            <v>0.86773403872099797</v>
          </cell>
        </row>
        <row r="408">
          <cell r="B408">
            <v>42285</v>
          </cell>
          <cell r="L408">
            <v>113.69514272163393</v>
          </cell>
          <cell r="N408">
            <v>0.89458046884826925</v>
          </cell>
        </row>
        <row r="409">
          <cell r="B409">
            <v>42285</v>
          </cell>
          <cell r="L409">
            <v>87.876825273811974</v>
          </cell>
          <cell r="N409">
            <v>0.86277663615460432</v>
          </cell>
        </row>
        <row r="410">
          <cell r="B410">
            <v>42285</v>
          </cell>
          <cell r="L410">
            <v>62.664580980142176</v>
          </cell>
          <cell r="N410">
            <v>0.8112080945366289</v>
          </cell>
        </row>
        <row r="411">
          <cell r="B411">
            <v>42285</v>
          </cell>
          <cell r="L411">
            <v>50.522675305828912</v>
          </cell>
          <cell r="N411">
            <v>0.78763869208280424</v>
          </cell>
        </row>
        <row r="412">
          <cell r="B412">
            <v>42285</v>
          </cell>
          <cell r="L412">
            <v>41.771206356405742</v>
          </cell>
          <cell r="N412">
            <v>0.74329956845039813</v>
          </cell>
        </row>
        <row r="413">
          <cell r="B413">
            <v>42285</v>
          </cell>
          <cell r="L413">
            <v>42.682520995740525</v>
          </cell>
          <cell r="N413">
            <v>0.66522847593808676</v>
          </cell>
        </row>
        <row r="414">
          <cell r="B414">
            <v>42285</v>
          </cell>
          <cell r="L414">
            <v>38.806289757159313</v>
          </cell>
          <cell r="N414">
            <v>0.56255192598694093</v>
          </cell>
        </row>
        <row r="415">
          <cell r="B415">
            <v>42285</v>
          </cell>
          <cell r="L415">
            <v>35.153436830018016</v>
          </cell>
          <cell r="N415">
            <v>0.49079707235862263</v>
          </cell>
        </row>
        <row r="416">
          <cell r="B416">
            <v>42285</v>
          </cell>
          <cell r="L416">
            <v>29.96796229194473</v>
          </cell>
          <cell r="N416">
            <v>0.40986159547004813</v>
          </cell>
        </row>
        <row r="417">
          <cell r="B417">
            <v>42285</v>
          </cell>
          <cell r="L417">
            <v>18.731056904137361</v>
          </cell>
          <cell r="N417">
            <v>0.42997480153544471</v>
          </cell>
        </row>
        <row r="418">
          <cell r="B418">
            <v>42285</v>
          </cell>
          <cell r="L418">
            <v>0</v>
          </cell>
          <cell r="N418">
            <v>0</v>
          </cell>
        </row>
        <row r="419">
          <cell r="B419">
            <v>42285</v>
          </cell>
          <cell r="L419">
            <v>0</v>
          </cell>
          <cell r="N419">
            <v>0</v>
          </cell>
        </row>
        <row r="420">
          <cell r="B420">
            <v>42285</v>
          </cell>
          <cell r="L420">
            <v>0</v>
          </cell>
          <cell r="N420">
            <v>0</v>
          </cell>
        </row>
        <row r="421">
          <cell r="B421">
            <v>42285</v>
          </cell>
          <cell r="L421">
            <v>0</v>
          </cell>
          <cell r="N421">
            <v>0</v>
          </cell>
        </row>
        <row r="422">
          <cell r="B422">
            <v>42286</v>
          </cell>
          <cell r="L422">
            <v>0</v>
          </cell>
          <cell r="N422">
            <v>0</v>
          </cell>
        </row>
        <row r="423">
          <cell r="B423">
            <v>42286</v>
          </cell>
          <cell r="L423">
            <v>0</v>
          </cell>
          <cell r="N423">
            <v>0</v>
          </cell>
        </row>
        <row r="424">
          <cell r="B424">
            <v>42286</v>
          </cell>
          <cell r="L424">
            <v>0</v>
          </cell>
          <cell r="N424">
            <v>0</v>
          </cell>
        </row>
        <row r="425">
          <cell r="B425">
            <v>42286</v>
          </cell>
          <cell r="L425">
            <v>0</v>
          </cell>
          <cell r="N425">
            <v>0</v>
          </cell>
        </row>
        <row r="426">
          <cell r="B426">
            <v>42286</v>
          </cell>
          <cell r="L426">
            <v>0</v>
          </cell>
          <cell r="N426">
            <v>0</v>
          </cell>
        </row>
        <row r="427">
          <cell r="B427">
            <v>42286</v>
          </cell>
          <cell r="L427">
            <v>0</v>
          </cell>
          <cell r="N427">
            <v>0</v>
          </cell>
        </row>
        <row r="428">
          <cell r="B428">
            <v>42286</v>
          </cell>
          <cell r="L428">
            <v>0</v>
          </cell>
          <cell r="N428">
            <v>0</v>
          </cell>
        </row>
        <row r="429">
          <cell r="B429">
            <v>42286</v>
          </cell>
          <cell r="L429">
            <v>0</v>
          </cell>
          <cell r="N429">
            <v>0</v>
          </cell>
        </row>
        <row r="430">
          <cell r="B430">
            <v>42286</v>
          </cell>
          <cell r="L430">
            <v>0</v>
          </cell>
          <cell r="N430">
            <v>0</v>
          </cell>
        </row>
        <row r="431">
          <cell r="B431">
            <v>42286</v>
          </cell>
          <cell r="L431">
            <v>0</v>
          </cell>
          <cell r="N431">
            <v>0</v>
          </cell>
        </row>
        <row r="432">
          <cell r="B432">
            <v>42286</v>
          </cell>
          <cell r="L432">
            <v>0</v>
          </cell>
          <cell r="N432">
            <v>0</v>
          </cell>
        </row>
        <row r="433">
          <cell r="B433">
            <v>42286</v>
          </cell>
          <cell r="L433">
            <v>0</v>
          </cell>
          <cell r="N433">
            <v>0</v>
          </cell>
        </row>
        <row r="434">
          <cell r="B434">
            <v>42286</v>
          </cell>
          <cell r="L434">
            <v>0</v>
          </cell>
          <cell r="N434">
            <v>0</v>
          </cell>
        </row>
        <row r="435">
          <cell r="B435">
            <v>42286</v>
          </cell>
          <cell r="L435">
            <v>0</v>
          </cell>
          <cell r="N435">
            <v>0</v>
          </cell>
        </row>
        <row r="436">
          <cell r="B436">
            <v>42286</v>
          </cell>
          <cell r="L436">
            <v>0</v>
          </cell>
          <cell r="N436">
            <v>0</v>
          </cell>
        </row>
        <row r="437">
          <cell r="B437">
            <v>42286</v>
          </cell>
          <cell r="L437">
            <v>0</v>
          </cell>
          <cell r="N437">
            <v>0</v>
          </cell>
        </row>
        <row r="438">
          <cell r="B438">
            <v>42286</v>
          </cell>
          <cell r="L438">
            <v>62.828241943220441</v>
          </cell>
          <cell r="N438">
            <v>0.618010336714644</v>
          </cell>
        </row>
        <row r="439">
          <cell r="B439">
            <v>42286</v>
          </cell>
          <cell r="L439">
            <v>105.92477369934542</v>
          </cell>
          <cell r="N439">
            <v>0.6512726702023941</v>
          </cell>
        </row>
        <row r="440">
          <cell r="B440">
            <v>42286</v>
          </cell>
          <cell r="L440">
            <v>130.59253356131657</v>
          </cell>
          <cell r="N440">
            <v>0.76407421145707233</v>
          </cell>
        </row>
        <row r="441">
          <cell r="B441">
            <v>42286</v>
          </cell>
          <cell r="L441">
            <v>155.55085641718873</v>
          </cell>
          <cell r="N441">
            <v>0.76912123357813611</v>
          </cell>
        </row>
        <row r="442">
          <cell r="B442">
            <v>42286</v>
          </cell>
          <cell r="L442">
            <v>174.95559172460122</v>
          </cell>
          <cell r="N442">
            <v>0.74661310190519092</v>
          </cell>
        </row>
        <row r="443">
          <cell r="B443">
            <v>42286</v>
          </cell>
          <cell r="L443">
            <v>186.87539225644687</v>
          </cell>
          <cell r="N443">
            <v>0.74696792640779264</v>
          </cell>
        </row>
        <row r="444">
          <cell r="B444">
            <v>42286</v>
          </cell>
          <cell r="L444">
            <v>176.29851730593134</v>
          </cell>
          <cell r="N444">
            <v>0.75935148842565381</v>
          </cell>
        </row>
        <row r="445">
          <cell r="B445">
            <v>42286</v>
          </cell>
          <cell r="L445">
            <v>159.69757423217695</v>
          </cell>
          <cell r="N445">
            <v>0.74741699733514888</v>
          </cell>
        </row>
        <row r="446">
          <cell r="B446">
            <v>42286</v>
          </cell>
          <cell r="L446">
            <v>129.25766039564834</v>
          </cell>
          <cell r="N446">
            <v>0.73476125147501326</v>
          </cell>
        </row>
        <row r="447">
          <cell r="B447">
            <v>42286</v>
          </cell>
          <cell r="L447">
            <v>114.65401201890269</v>
          </cell>
          <cell r="N447">
            <v>0.72063931607124843</v>
          </cell>
        </row>
        <row r="448">
          <cell r="B448">
            <v>42286</v>
          </cell>
          <cell r="L448">
            <v>118.97816946019094</v>
          </cell>
          <cell r="N448">
            <v>0.73706984571582002</v>
          </cell>
        </row>
        <row r="449">
          <cell r="B449">
            <v>42286</v>
          </cell>
          <cell r="L449">
            <v>135.00911475772457</v>
          </cell>
          <cell r="N449">
            <v>0.75107612326866846</v>
          </cell>
        </row>
        <row r="450">
          <cell r="B450">
            <v>42286</v>
          </cell>
          <cell r="L450">
            <v>144.9497269941775</v>
          </cell>
          <cell r="N450">
            <v>0.78066312562639828</v>
          </cell>
        </row>
        <row r="451">
          <cell r="B451">
            <v>42286</v>
          </cell>
          <cell r="L451">
            <v>153.63975858855264</v>
          </cell>
          <cell r="N451">
            <v>0.79696192242652286</v>
          </cell>
        </row>
        <row r="452">
          <cell r="B452">
            <v>42286</v>
          </cell>
          <cell r="L452">
            <v>151.61054660921008</v>
          </cell>
          <cell r="N452">
            <v>0.82072306142738571</v>
          </cell>
        </row>
        <row r="453">
          <cell r="B453">
            <v>42286</v>
          </cell>
          <cell r="L453">
            <v>148.050704259311</v>
          </cell>
          <cell r="N453">
            <v>0.82081295538239951</v>
          </cell>
        </row>
        <row r="454">
          <cell r="B454">
            <v>42286</v>
          </cell>
          <cell r="L454">
            <v>145.57316005426011</v>
          </cell>
          <cell r="N454">
            <v>0.80038055522551899</v>
          </cell>
        </row>
        <row r="455">
          <cell r="B455">
            <v>42286</v>
          </cell>
          <cell r="L455">
            <v>133.12410786083427</v>
          </cell>
          <cell r="N455">
            <v>0.8037276411603731</v>
          </cell>
        </row>
        <row r="456">
          <cell r="B456">
            <v>42286</v>
          </cell>
          <cell r="L456">
            <v>114.89857521453017</v>
          </cell>
          <cell r="N456">
            <v>0.78373381221373861</v>
          </cell>
        </row>
        <row r="457">
          <cell r="B457">
            <v>42286</v>
          </cell>
          <cell r="L457">
            <v>88.806977823653028</v>
          </cell>
          <cell r="N457">
            <v>0.75587076365858219</v>
          </cell>
        </row>
        <row r="458">
          <cell r="B458">
            <v>42286</v>
          </cell>
          <cell r="L458">
            <v>64.07278317409768</v>
          </cell>
          <cell r="N458">
            <v>0.70242948023177021</v>
          </cell>
        </row>
        <row r="459">
          <cell r="B459">
            <v>42286</v>
          </cell>
          <cell r="L459">
            <v>51.658023872712576</v>
          </cell>
          <cell r="N459">
            <v>0.68202060706283296</v>
          </cell>
        </row>
        <row r="460">
          <cell r="B460">
            <v>42286</v>
          </cell>
          <cell r="L460">
            <v>41.925723281536335</v>
          </cell>
          <cell r="N460">
            <v>0.65566535854840025</v>
          </cell>
        </row>
        <row r="461">
          <cell r="B461">
            <v>42286</v>
          </cell>
          <cell r="L461">
            <v>42.840408987885439</v>
          </cell>
          <cell r="N461">
            <v>0.58679876284854582</v>
          </cell>
        </row>
        <row r="462">
          <cell r="B462">
            <v>42286</v>
          </cell>
          <cell r="L462">
            <v>38.254310788474534</v>
          </cell>
          <cell r="N462">
            <v>0.50524992753323827</v>
          </cell>
        </row>
        <row r="463">
          <cell r="B463">
            <v>42286</v>
          </cell>
          <cell r="L463">
            <v>34.653415881646389</v>
          </cell>
          <cell r="N463">
            <v>0.44080408187683651</v>
          </cell>
        </row>
        <row r="464">
          <cell r="B464">
            <v>42286</v>
          </cell>
          <cell r="L464">
            <v>28.137815154795923</v>
          </cell>
          <cell r="N464">
            <v>0.38647906277857852</v>
          </cell>
        </row>
        <row r="465">
          <cell r="B465">
            <v>42286</v>
          </cell>
          <cell r="L465">
            <v>17.587148958881674</v>
          </cell>
          <cell r="N465">
            <v>0.40544481393833792</v>
          </cell>
        </row>
        <row r="466">
          <cell r="B466">
            <v>42286</v>
          </cell>
          <cell r="L466">
            <v>0</v>
          </cell>
          <cell r="N466">
            <v>0</v>
          </cell>
        </row>
        <row r="467">
          <cell r="B467">
            <v>42286</v>
          </cell>
          <cell r="L467">
            <v>0</v>
          </cell>
          <cell r="N467">
            <v>0</v>
          </cell>
        </row>
        <row r="468">
          <cell r="B468">
            <v>42286</v>
          </cell>
          <cell r="L468">
            <v>0</v>
          </cell>
          <cell r="N468">
            <v>0</v>
          </cell>
        </row>
        <row r="469">
          <cell r="B469">
            <v>42286</v>
          </cell>
          <cell r="L469">
            <v>0</v>
          </cell>
          <cell r="N469">
            <v>0</v>
          </cell>
        </row>
        <row r="470">
          <cell r="B470">
            <v>42287</v>
          </cell>
          <cell r="L470">
            <v>0</v>
          </cell>
          <cell r="N470">
            <v>0</v>
          </cell>
        </row>
        <row r="471">
          <cell r="B471">
            <v>42287</v>
          </cell>
          <cell r="L471">
            <v>0</v>
          </cell>
          <cell r="N471">
            <v>0</v>
          </cell>
        </row>
        <row r="472">
          <cell r="B472">
            <v>42287</v>
          </cell>
          <cell r="L472">
            <v>0</v>
          </cell>
          <cell r="N472">
            <v>0</v>
          </cell>
        </row>
        <row r="473">
          <cell r="B473">
            <v>42287</v>
          </cell>
          <cell r="L473">
            <v>0</v>
          </cell>
          <cell r="N473">
            <v>0</v>
          </cell>
        </row>
        <row r="474">
          <cell r="B474">
            <v>42287</v>
          </cell>
          <cell r="L474">
            <v>0</v>
          </cell>
          <cell r="N474">
            <v>0</v>
          </cell>
        </row>
        <row r="475">
          <cell r="B475">
            <v>42287</v>
          </cell>
          <cell r="L475">
            <v>0</v>
          </cell>
          <cell r="N475">
            <v>0</v>
          </cell>
        </row>
        <row r="476">
          <cell r="B476">
            <v>42287</v>
          </cell>
          <cell r="L476">
            <v>0</v>
          </cell>
          <cell r="N476">
            <v>0</v>
          </cell>
        </row>
        <row r="477">
          <cell r="B477">
            <v>42287</v>
          </cell>
          <cell r="L477">
            <v>0</v>
          </cell>
          <cell r="N477">
            <v>0</v>
          </cell>
        </row>
        <row r="478">
          <cell r="B478">
            <v>42287</v>
          </cell>
          <cell r="L478">
            <v>0</v>
          </cell>
          <cell r="N478">
            <v>0</v>
          </cell>
        </row>
        <row r="479">
          <cell r="B479">
            <v>42287</v>
          </cell>
          <cell r="L479">
            <v>0</v>
          </cell>
          <cell r="N479">
            <v>0</v>
          </cell>
        </row>
        <row r="480">
          <cell r="B480">
            <v>42287</v>
          </cell>
          <cell r="L480">
            <v>0</v>
          </cell>
          <cell r="N480">
            <v>0</v>
          </cell>
        </row>
        <row r="481">
          <cell r="B481">
            <v>42287</v>
          </cell>
          <cell r="L481">
            <v>0</v>
          </cell>
          <cell r="N481">
            <v>0</v>
          </cell>
        </row>
        <row r="482">
          <cell r="B482">
            <v>42287</v>
          </cell>
          <cell r="L482">
            <v>0</v>
          </cell>
          <cell r="N482">
            <v>0</v>
          </cell>
        </row>
        <row r="483">
          <cell r="B483">
            <v>42287</v>
          </cell>
          <cell r="L483">
            <v>0</v>
          </cell>
          <cell r="N483">
            <v>0</v>
          </cell>
        </row>
        <row r="484">
          <cell r="B484">
            <v>42287</v>
          </cell>
          <cell r="L484">
            <v>0</v>
          </cell>
          <cell r="N484">
            <v>0</v>
          </cell>
        </row>
        <row r="485">
          <cell r="B485">
            <v>42287</v>
          </cell>
          <cell r="L485">
            <v>0</v>
          </cell>
          <cell r="N485">
            <v>0</v>
          </cell>
        </row>
        <row r="486">
          <cell r="B486">
            <v>42287</v>
          </cell>
          <cell r="L486">
            <v>25.472592150154266</v>
          </cell>
          <cell r="N486">
            <v>0.63358278779464683</v>
          </cell>
        </row>
        <row r="487">
          <cell r="B487">
            <v>42287</v>
          </cell>
          <cell r="L487">
            <v>33.269528835233622</v>
          </cell>
          <cell r="N487">
            <v>0.81323560783394178</v>
          </cell>
        </row>
        <row r="488">
          <cell r="B488">
            <v>42287</v>
          </cell>
          <cell r="L488">
            <v>44.31087486799133</v>
          </cell>
          <cell r="N488">
            <v>0.83367036622009794</v>
          </cell>
        </row>
        <row r="489">
          <cell r="B489">
            <v>42287</v>
          </cell>
          <cell r="L489">
            <v>51.872983200136183</v>
          </cell>
          <cell r="N489">
            <v>0.83247905888043927</v>
          </cell>
        </row>
        <row r="490">
          <cell r="B490">
            <v>42287</v>
          </cell>
          <cell r="L490">
            <v>54.396586713770247</v>
          </cell>
          <cell r="N490">
            <v>0.85217825286975091</v>
          </cell>
        </row>
        <row r="491">
          <cell r="B491">
            <v>42287</v>
          </cell>
          <cell r="L491">
            <v>58.316303647219591</v>
          </cell>
          <cell r="N491">
            <v>0.85149431356750094</v>
          </cell>
        </row>
        <row r="492">
          <cell r="B492">
            <v>42287</v>
          </cell>
          <cell r="L492">
            <v>53.454613493000387</v>
          </cell>
          <cell r="N492">
            <v>0.84905128602239577</v>
          </cell>
        </row>
        <row r="493">
          <cell r="B493">
            <v>42287</v>
          </cell>
          <cell r="L493">
            <v>47.696765751396278</v>
          </cell>
          <cell r="N493">
            <v>0.85107700251626073</v>
          </cell>
        </row>
        <row r="494">
          <cell r="B494">
            <v>42287</v>
          </cell>
          <cell r="L494">
            <v>48.288406408186709</v>
          </cell>
          <cell r="N494">
            <v>0.73980243536419055</v>
          </cell>
        </row>
        <row r="495">
          <cell r="B495">
            <v>42287</v>
          </cell>
          <cell r="L495">
            <v>45.334444057293126</v>
          </cell>
          <cell r="N495">
            <v>0.66701990148705048</v>
          </cell>
        </row>
        <row r="496">
          <cell r="B496">
            <v>42287</v>
          </cell>
          <cell r="L496">
            <v>46.300980943140551</v>
          </cell>
          <cell r="N496">
            <v>0.55396761420374774</v>
          </cell>
        </row>
        <row r="497">
          <cell r="B497">
            <v>42287</v>
          </cell>
          <cell r="L497">
            <v>50.010153561243264</v>
          </cell>
          <cell r="N497">
            <v>0.44399779470758743</v>
          </cell>
        </row>
        <row r="498">
          <cell r="B498">
            <v>42287</v>
          </cell>
          <cell r="L498">
            <v>46.331621032149947</v>
          </cell>
          <cell r="N498">
            <v>0.47720674191135048</v>
          </cell>
        </row>
        <row r="499">
          <cell r="B499">
            <v>42287</v>
          </cell>
          <cell r="L499">
            <v>35.181704210679563</v>
          </cell>
          <cell r="N499">
            <v>0.55130352620727385</v>
          </cell>
        </row>
        <row r="500">
          <cell r="B500">
            <v>42287</v>
          </cell>
          <cell r="L500">
            <v>28.332879966977472</v>
          </cell>
          <cell r="N500">
            <v>0.63118058454870007</v>
          </cell>
        </row>
        <row r="501">
          <cell r="B501">
            <v>42287</v>
          </cell>
          <cell r="L501">
            <v>25.207700177988119</v>
          </cell>
          <cell r="N501">
            <v>0.68458160980166294</v>
          </cell>
        </row>
        <row r="502">
          <cell r="B502">
            <v>42287</v>
          </cell>
          <cell r="L502">
            <v>21.455295633252572</v>
          </cell>
          <cell r="N502">
            <v>0.72527768561539052</v>
          </cell>
        </row>
        <row r="503">
          <cell r="B503">
            <v>42287</v>
          </cell>
          <cell r="L503">
            <v>21.030438293980247</v>
          </cell>
          <cell r="N503">
            <v>0.65912280334577544</v>
          </cell>
        </row>
        <row r="504">
          <cell r="B504">
            <v>42287</v>
          </cell>
          <cell r="L504">
            <v>22.002888158460472</v>
          </cell>
          <cell r="N504">
            <v>0.5412925645542046</v>
          </cell>
        </row>
        <row r="505">
          <cell r="B505">
            <v>42287</v>
          </cell>
          <cell r="L505">
            <v>20.889408666805046</v>
          </cell>
          <cell r="N505">
            <v>0.54990384085886124</v>
          </cell>
        </row>
        <row r="506">
          <cell r="B506">
            <v>42287</v>
          </cell>
          <cell r="L506">
            <v>18.678601002077773</v>
          </cell>
          <cell r="N506">
            <v>0.49956927781215171</v>
          </cell>
        </row>
        <row r="507">
          <cell r="B507">
            <v>42287</v>
          </cell>
          <cell r="L507">
            <v>20.692104523681557</v>
          </cell>
          <cell r="N507">
            <v>0.44309029411510964</v>
          </cell>
        </row>
        <row r="508">
          <cell r="B508">
            <v>42287</v>
          </cell>
          <cell r="L508">
            <v>19.034445012844767</v>
          </cell>
          <cell r="N508">
            <v>0.35623587493524178</v>
          </cell>
        </row>
        <row r="509">
          <cell r="B509">
            <v>42287</v>
          </cell>
          <cell r="L509">
            <v>21.403995752423658</v>
          </cell>
          <cell r="N509">
            <v>0.31250973946401694</v>
          </cell>
        </row>
        <row r="510">
          <cell r="B510">
            <v>42287</v>
          </cell>
          <cell r="L510">
            <v>23.115633946437143</v>
          </cell>
          <cell r="N510">
            <v>0.24241473708222308</v>
          </cell>
        </row>
        <row r="511">
          <cell r="B511">
            <v>42287</v>
          </cell>
          <cell r="L511">
            <v>21.245369018043593</v>
          </cell>
          <cell r="N511">
            <v>0.19176558250387069</v>
          </cell>
        </row>
        <row r="512">
          <cell r="B512">
            <v>42287</v>
          </cell>
          <cell r="L512">
            <v>14.613292305559277</v>
          </cell>
          <cell r="N512">
            <v>0.21174841452374063</v>
          </cell>
        </row>
        <row r="513">
          <cell r="B513">
            <v>42287</v>
          </cell>
          <cell r="L513">
            <v>9.1333076909745472</v>
          </cell>
          <cell r="N513">
            <v>0.2026114852281046</v>
          </cell>
        </row>
        <row r="514">
          <cell r="B514">
            <v>42287</v>
          </cell>
          <cell r="L514">
            <v>0</v>
          </cell>
          <cell r="N514">
            <v>0</v>
          </cell>
        </row>
        <row r="515">
          <cell r="B515">
            <v>42287</v>
          </cell>
          <cell r="L515">
            <v>0</v>
          </cell>
          <cell r="N515">
            <v>0</v>
          </cell>
        </row>
        <row r="516">
          <cell r="B516">
            <v>42287</v>
          </cell>
          <cell r="L516">
            <v>0</v>
          </cell>
          <cell r="N516">
            <v>0</v>
          </cell>
        </row>
        <row r="517">
          <cell r="B517">
            <v>42287</v>
          </cell>
          <cell r="L517">
            <v>0</v>
          </cell>
          <cell r="N517">
            <v>0</v>
          </cell>
        </row>
        <row r="518">
          <cell r="B518">
            <v>42288</v>
          </cell>
          <cell r="L518">
            <v>0</v>
          </cell>
          <cell r="N518">
            <v>0</v>
          </cell>
        </row>
        <row r="519">
          <cell r="B519">
            <v>42288</v>
          </cell>
          <cell r="L519">
            <v>0</v>
          </cell>
          <cell r="N519">
            <v>0</v>
          </cell>
        </row>
        <row r="520">
          <cell r="B520">
            <v>42288</v>
          </cell>
          <cell r="L520">
            <v>0</v>
          </cell>
          <cell r="N520">
            <v>0</v>
          </cell>
        </row>
        <row r="521">
          <cell r="B521">
            <v>42288</v>
          </cell>
          <cell r="L521">
            <v>0</v>
          </cell>
          <cell r="N521">
            <v>0</v>
          </cell>
        </row>
        <row r="522">
          <cell r="B522">
            <v>42288</v>
          </cell>
          <cell r="L522">
            <v>0</v>
          </cell>
          <cell r="N522">
            <v>0</v>
          </cell>
        </row>
        <row r="523">
          <cell r="B523">
            <v>42288</v>
          </cell>
          <cell r="L523">
            <v>0</v>
          </cell>
          <cell r="N523">
            <v>0</v>
          </cell>
        </row>
        <row r="524">
          <cell r="B524">
            <v>42288</v>
          </cell>
          <cell r="L524">
            <v>0</v>
          </cell>
          <cell r="N524">
            <v>0</v>
          </cell>
        </row>
        <row r="525">
          <cell r="B525">
            <v>42288</v>
          </cell>
          <cell r="L525">
            <v>0</v>
          </cell>
          <cell r="N525">
            <v>0</v>
          </cell>
        </row>
        <row r="526">
          <cell r="B526">
            <v>42288</v>
          </cell>
          <cell r="L526">
            <v>0</v>
          </cell>
          <cell r="N526">
            <v>0</v>
          </cell>
        </row>
        <row r="527">
          <cell r="B527">
            <v>42288</v>
          </cell>
          <cell r="L527">
            <v>0</v>
          </cell>
          <cell r="N527">
            <v>0</v>
          </cell>
        </row>
        <row r="528">
          <cell r="B528">
            <v>42288</v>
          </cell>
          <cell r="L528">
            <v>0</v>
          </cell>
          <cell r="N528">
            <v>0</v>
          </cell>
        </row>
        <row r="529">
          <cell r="B529">
            <v>42288</v>
          </cell>
          <cell r="L529">
            <v>0</v>
          </cell>
          <cell r="N529">
            <v>0</v>
          </cell>
        </row>
        <row r="530">
          <cell r="B530">
            <v>42288</v>
          </cell>
          <cell r="L530">
            <v>0</v>
          </cell>
          <cell r="N530">
            <v>0</v>
          </cell>
        </row>
        <row r="531">
          <cell r="B531">
            <v>42288</v>
          </cell>
          <cell r="L531">
            <v>0</v>
          </cell>
          <cell r="N531">
            <v>0</v>
          </cell>
        </row>
        <row r="532">
          <cell r="B532">
            <v>42288</v>
          </cell>
          <cell r="L532">
            <v>0</v>
          </cell>
          <cell r="N532">
            <v>0</v>
          </cell>
        </row>
        <row r="533">
          <cell r="B533">
            <v>42288</v>
          </cell>
          <cell r="L533">
            <v>0</v>
          </cell>
          <cell r="N533">
            <v>0</v>
          </cell>
        </row>
        <row r="534">
          <cell r="B534">
            <v>42288</v>
          </cell>
          <cell r="L534">
            <v>0</v>
          </cell>
          <cell r="N534">
            <v>0</v>
          </cell>
        </row>
        <row r="535">
          <cell r="B535">
            <v>42288</v>
          </cell>
          <cell r="L535">
            <v>0</v>
          </cell>
          <cell r="N535">
            <v>0</v>
          </cell>
        </row>
        <row r="536">
          <cell r="B536">
            <v>42288</v>
          </cell>
          <cell r="L536">
            <v>9.5922150116827911</v>
          </cell>
          <cell r="N536">
            <v>0.34896927912237147</v>
          </cell>
        </row>
        <row r="537">
          <cell r="B537">
            <v>42288</v>
          </cell>
          <cell r="L537">
            <v>11.926087277299041</v>
          </cell>
          <cell r="N537">
            <v>0.30121821330877968</v>
          </cell>
        </row>
        <row r="538">
          <cell r="B538">
            <v>42288</v>
          </cell>
          <cell r="L538">
            <v>11.609107556922234</v>
          </cell>
          <cell r="N538">
            <v>0.38294912077519122</v>
          </cell>
        </row>
        <row r="539">
          <cell r="B539">
            <v>42288</v>
          </cell>
          <cell r="L539">
            <v>13.191807973680548</v>
          </cell>
          <cell r="N539">
            <v>0.42516376483401058</v>
          </cell>
        </row>
        <row r="540">
          <cell r="B540">
            <v>42288</v>
          </cell>
          <cell r="L540">
            <v>14.809970434698679</v>
          </cell>
          <cell r="N540">
            <v>0.41617285035673807</v>
          </cell>
        </row>
        <row r="541">
          <cell r="B541">
            <v>42288</v>
          </cell>
          <cell r="L541">
            <v>14.94732422487319</v>
          </cell>
          <cell r="N541">
            <v>0.38184113974916711</v>
          </cell>
        </row>
        <row r="542">
          <cell r="B542">
            <v>42288</v>
          </cell>
          <cell r="L542">
            <v>13.03646146888387</v>
          </cell>
          <cell r="N542">
            <v>0.3788126872010501</v>
          </cell>
        </row>
        <row r="543">
          <cell r="B543">
            <v>42288</v>
          </cell>
          <cell r="L543">
            <v>12.509574477489911</v>
          </cell>
          <cell r="N543">
            <v>0.34533319225979658</v>
          </cell>
        </row>
        <row r="544">
          <cell r="B544">
            <v>42288</v>
          </cell>
          <cell r="L544">
            <v>15.392072602314826</v>
          </cell>
          <cell r="N544">
            <v>0.2911633394774889</v>
          </cell>
        </row>
        <row r="545">
          <cell r="B545">
            <v>42288</v>
          </cell>
          <cell r="L545">
            <v>13.418729960992414</v>
          </cell>
          <cell r="N545">
            <v>0.25388187299636872</v>
          </cell>
        </row>
        <row r="546">
          <cell r="B546">
            <v>42288</v>
          </cell>
          <cell r="L546">
            <v>14.406105563305051</v>
          </cell>
          <cell r="N546">
            <v>0.20843333075160606</v>
          </cell>
        </row>
        <row r="547">
          <cell r="B547">
            <v>42288</v>
          </cell>
          <cell r="L547">
            <v>22.746482468376396</v>
          </cell>
          <cell r="N547">
            <v>0.12496112337228554</v>
          </cell>
        </row>
        <row r="548">
          <cell r="B548">
            <v>42288</v>
          </cell>
          <cell r="L548">
            <v>23.646541373743389</v>
          </cell>
          <cell r="N548">
            <v>0.1210446404698096</v>
          </cell>
        </row>
        <row r="549">
          <cell r="B549">
            <v>42288</v>
          </cell>
          <cell r="L549">
            <v>15.070479550097582</v>
          </cell>
          <cell r="N549">
            <v>0.1713768744875418</v>
          </cell>
        </row>
        <row r="550">
          <cell r="B550">
            <v>42288</v>
          </cell>
          <cell r="L550">
            <v>13.765351452982298</v>
          </cell>
          <cell r="N550">
            <v>0.22409510400568791</v>
          </cell>
        </row>
        <row r="551">
          <cell r="B551">
            <v>42288</v>
          </cell>
          <cell r="L551">
            <v>12.283551855396556</v>
          </cell>
          <cell r="N551">
            <v>0.22278520898687956</v>
          </cell>
        </row>
        <row r="552">
          <cell r="B552">
            <v>42288</v>
          </cell>
          <cell r="L552">
            <v>11.712161904016169</v>
          </cell>
          <cell r="N552">
            <v>0.26848620168144888</v>
          </cell>
        </row>
        <row r="553">
          <cell r="B553">
            <v>42288</v>
          </cell>
          <cell r="L553">
            <v>10.234006298198956</v>
          </cell>
          <cell r="N553">
            <v>0.25590415830230229</v>
          </cell>
        </row>
        <row r="554">
          <cell r="B554">
            <v>42288</v>
          </cell>
          <cell r="L554">
            <v>9.5313836424036094</v>
          </cell>
          <cell r="N554">
            <v>0.2729505263348766</v>
          </cell>
        </row>
        <row r="555">
          <cell r="B555">
            <v>42288</v>
          </cell>
          <cell r="L555">
            <v>11.164868414023765</v>
          </cell>
          <cell r="N555">
            <v>0.28448061865513802</v>
          </cell>
        </row>
        <row r="556">
          <cell r="B556">
            <v>42288</v>
          </cell>
          <cell r="L556">
            <v>9.3823185094906307</v>
          </cell>
          <cell r="N556">
            <v>0.26430757341807243</v>
          </cell>
        </row>
        <row r="557">
          <cell r="B557">
            <v>42288</v>
          </cell>
          <cell r="L557">
            <v>9.9371422871921951</v>
          </cell>
          <cell r="N557">
            <v>0.23617389598492339</v>
          </cell>
        </row>
        <row r="558">
          <cell r="B558">
            <v>42288</v>
          </cell>
          <cell r="L558">
            <v>10.862082150168396</v>
          </cell>
          <cell r="N558">
            <v>0.22857949855404674</v>
          </cell>
        </row>
        <row r="559">
          <cell r="B559">
            <v>42288</v>
          </cell>
          <cell r="L559">
            <v>10.586352372510275</v>
          </cell>
          <cell r="N559">
            <v>0.22362306568060661</v>
          </cell>
        </row>
        <row r="560">
          <cell r="B560">
            <v>42288</v>
          </cell>
          <cell r="L560">
            <v>0</v>
          </cell>
          <cell r="N560">
            <v>0</v>
          </cell>
        </row>
        <row r="561">
          <cell r="B561">
            <v>42288</v>
          </cell>
          <cell r="L561">
            <v>0</v>
          </cell>
          <cell r="N561">
            <v>0</v>
          </cell>
        </row>
        <row r="562">
          <cell r="B562">
            <v>42288</v>
          </cell>
          <cell r="L562">
            <v>0</v>
          </cell>
          <cell r="N562">
            <v>0</v>
          </cell>
        </row>
        <row r="563">
          <cell r="B563">
            <v>42288</v>
          </cell>
          <cell r="L563">
            <v>0</v>
          </cell>
          <cell r="N563">
            <v>0</v>
          </cell>
        </row>
        <row r="564">
          <cell r="B564">
            <v>42288</v>
          </cell>
          <cell r="L564">
            <v>0</v>
          </cell>
          <cell r="N564">
            <v>0</v>
          </cell>
        </row>
        <row r="565">
          <cell r="B565">
            <v>42288</v>
          </cell>
          <cell r="L565">
            <v>0</v>
          </cell>
          <cell r="N565">
            <v>0</v>
          </cell>
        </row>
        <row r="566">
          <cell r="B566">
            <v>42289</v>
          </cell>
          <cell r="L566">
            <v>0</v>
          </cell>
          <cell r="N566">
            <v>0</v>
          </cell>
        </row>
        <row r="567">
          <cell r="B567">
            <v>42289</v>
          </cell>
          <cell r="L567">
            <v>0</v>
          </cell>
          <cell r="N567">
            <v>0</v>
          </cell>
        </row>
        <row r="568">
          <cell r="B568">
            <v>42289</v>
          </cell>
          <cell r="L568">
            <v>0</v>
          </cell>
          <cell r="N568">
            <v>0</v>
          </cell>
        </row>
        <row r="569">
          <cell r="B569">
            <v>42289</v>
          </cell>
          <cell r="L569">
            <v>0</v>
          </cell>
          <cell r="N569">
            <v>0</v>
          </cell>
        </row>
        <row r="570">
          <cell r="B570">
            <v>42289</v>
          </cell>
          <cell r="L570">
            <v>0</v>
          </cell>
          <cell r="N570">
            <v>0</v>
          </cell>
        </row>
        <row r="571">
          <cell r="B571">
            <v>42289</v>
          </cell>
          <cell r="L571">
            <v>0</v>
          </cell>
          <cell r="N571">
            <v>0</v>
          </cell>
        </row>
        <row r="572">
          <cell r="B572">
            <v>42289</v>
          </cell>
          <cell r="L572">
            <v>0</v>
          </cell>
          <cell r="N572">
            <v>0</v>
          </cell>
        </row>
        <row r="573">
          <cell r="B573">
            <v>42289</v>
          </cell>
          <cell r="L573">
            <v>0</v>
          </cell>
          <cell r="N573">
            <v>0</v>
          </cell>
        </row>
        <row r="574">
          <cell r="B574">
            <v>42289</v>
          </cell>
          <cell r="L574">
            <v>0</v>
          </cell>
          <cell r="N574">
            <v>0</v>
          </cell>
        </row>
        <row r="575">
          <cell r="B575">
            <v>42289</v>
          </cell>
          <cell r="L575">
            <v>0</v>
          </cell>
          <cell r="N575">
            <v>0</v>
          </cell>
        </row>
        <row r="576">
          <cell r="B576">
            <v>42289</v>
          </cell>
          <cell r="L576">
            <v>0</v>
          </cell>
          <cell r="N576">
            <v>0</v>
          </cell>
        </row>
        <row r="577">
          <cell r="B577">
            <v>42289</v>
          </cell>
          <cell r="L577">
            <v>0</v>
          </cell>
          <cell r="N577">
            <v>0</v>
          </cell>
        </row>
        <row r="578">
          <cell r="B578">
            <v>42289</v>
          </cell>
          <cell r="L578">
            <v>0</v>
          </cell>
          <cell r="N578">
            <v>0</v>
          </cell>
        </row>
        <row r="579">
          <cell r="B579">
            <v>42289</v>
          </cell>
          <cell r="L579">
            <v>0</v>
          </cell>
          <cell r="N579">
            <v>0</v>
          </cell>
        </row>
        <row r="580">
          <cell r="B580">
            <v>42289</v>
          </cell>
          <cell r="L580">
            <v>0</v>
          </cell>
          <cell r="N580">
            <v>0</v>
          </cell>
        </row>
        <row r="581">
          <cell r="B581">
            <v>42289</v>
          </cell>
          <cell r="L581">
            <v>0</v>
          </cell>
          <cell r="N581">
            <v>0</v>
          </cell>
        </row>
        <row r="582">
          <cell r="B582">
            <v>42289</v>
          </cell>
          <cell r="L582">
            <v>56.247168285455459</v>
          </cell>
          <cell r="N582">
            <v>9.2348061470878942E-2</v>
          </cell>
        </row>
        <row r="583">
          <cell r="B583">
            <v>42289</v>
          </cell>
          <cell r="L583">
            <v>94.829465023870043</v>
          </cell>
          <cell r="N583">
            <v>9.7318386132309198E-2</v>
          </cell>
        </row>
        <row r="584">
          <cell r="B584">
            <v>42289</v>
          </cell>
          <cell r="L584">
            <v>125.56560512364207</v>
          </cell>
          <cell r="N584">
            <v>0.10630678776499047</v>
          </cell>
        </row>
        <row r="585">
          <cell r="B585">
            <v>42289</v>
          </cell>
          <cell r="L585">
            <v>149.56320151606803</v>
          </cell>
          <cell r="N585">
            <v>0.10700898750085902</v>
          </cell>
        </row>
        <row r="586">
          <cell r="B586">
            <v>42289</v>
          </cell>
          <cell r="L586">
            <v>159.33619776262634</v>
          </cell>
          <cell r="N586">
            <v>0.10966973267986876</v>
          </cell>
        </row>
        <row r="587">
          <cell r="B587">
            <v>42289</v>
          </cell>
          <cell r="L587">
            <v>170.1918421928018</v>
          </cell>
          <cell r="N587">
            <v>0.10972185272470765</v>
          </cell>
        </row>
        <row r="588">
          <cell r="B588">
            <v>42289</v>
          </cell>
          <cell r="L588">
            <v>169.17152315602948</v>
          </cell>
          <cell r="N588">
            <v>0.1058624763404426</v>
          </cell>
        </row>
        <row r="589">
          <cell r="B589">
            <v>42289</v>
          </cell>
          <cell r="L589">
            <v>153.24168512602421</v>
          </cell>
          <cell r="N589">
            <v>0.10419866873624183</v>
          </cell>
        </row>
        <row r="590">
          <cell r="B590">
            <v>42289</v>
          </cell>
          <cell r="L590">
            <v>135.54653181680692</v>
          </cell>
          <cell r="N590">
            <v>9.3732872411542364E-2</v>
          </cell>
        </row>
        <row r="591">
          <cell r="B591">
            <v>42289</v>
          </cell>
          <cell r="L591">
            <v>120.23236101036503</v>
          </cell>
          <cell r="N591">
            <v>9.1931349036775578E-2</v>
          </cell>
        </row>
        <row r="592">
          <cell r="B592">
            <v>42289</v>
          </cell>
          <cell r="L592">
            <v>126.98184957282699</v>
          </cell>
          <cell r="N592">
            <v>9.2387258135132225E-2</v>
          </cell>
        </row>
        <row r="593">
          <cell r="B593">
            <v>42289</v>
          </cell>
          <cell r="L593">
            <v>144.0911990738104</v>
          </cell>
          <cell r="N593">
            <v>9.4142860521132146E-2</v>
          </cell>
        </row>
        <row r="594">
          <cell r="B594">
            <v>42289</v>
          </cell>
          <cell r="L594">
            <v>155.15269195386117</v>
          </cell>
          <cell r="N594">
            <v>9.7566236431987599E-2</v>
          </cell>
        </row>
        <row r="595">
          <cell r="B595">
            <v>42289</v>
          </cell>
          <cell r="L595">
            <v>164.45441209497994</v>
          </cell>
          <cell r="N595">
            <v>9.960323832173601E-2</v>
          </cell>
        </row>
        <row r="596">
          <cell r="B596">
            <v>42289</v>
          </cell>
          <cell r="L596">
            <v>161.20907196644114</v>
          </cell>
          <cell r="N596">
            <v>0.10325578016378507</v>
          </cell>
        </row>
        <row r="597">
          <cell r="B597">
            <v>42289</v>
          </cell>
          <cell r="L597">
            <v>157.42385454978418</v>
          </cell>
          <cell r="N597">
            <v>0.10326708978927657</v>
          </cell>
        </row>
        <row r="598">
          <cell r="B598">
            <v>42289</v>
          </cell>
          <cell r="L598">
            <v>156.36480296488236</v>
          </cell>
          <cell r="N598">
            <v>9.9681975629778249E-2</v>
          </cell>
        </row>
        <row r="599">
          <cell r="B599">
            <v>42289</v>
          </cell>
          <cell r="L599">
            <v>142.99287648750834</v>
          </cell>
          <cell r="N599">
            <v>0.10009883250668587</v>
          </cell>
        </row>
        <row r="600">
          <cell r="B600">
            <v>42289</v>
          </cell>
          <cell r="L600">
            <v>123.75825657841999</v>
          </cell>
          <cell r="N600">
            <v>9.7338991937928387E-2</v>
          </cell>
        </row>
        <row r="601">
          <cell r="B601">
            <v>42289</v>
          </cell>
          <cell r="L601">
            <v>95.654769669100531</v>
          </cell>
          <cell r="N601">
            <v>9.387842788364098E-2</v>
          </cell>
        </row>
        <row r="602">
          <cell r="B602">
            <v>42289</v>
          </cell>
          <cell r="L602">
            <v>65.666352025228818</v>
          </cell>
          <cell r="N602">
            <v>9.1687731719438448E-2</v>
          </cell>
        </row>
        <row r="603">
          <cell r="B603">
            <v>42289</v>
          </cell>
          <cell r="L603">
            <v>52.942822404576923</v>
          </cell>
          <cell r="N603">
            <v>8.9023772787657648E-2</v>
          </cell>
        </row>
        <row r="604">
          <cell r="B604">
            <v>42289</v>
          </cell>
          <cell r="L604">
            <v>42.861871148611101</v>
          </cell>
          <cell r="N604">
            <v>8.5796481110334763E-2</v>
          </cell>
        </row>
        <row r="605">
          <cell r="B605">
            <v>42289</v>
          </cell>
          <cell r="L605">
            <v>43.796980618845986</v>
          </cell>
          <cell r="N605">
            <v>7.6785006735393416E-2</v>
          </cell>
        </row>
        <row r="606">
          <cell r="B606">
            <v>42289</v>
          </cell>
          <cell r="L606">
            <v>35.798830263073832</v>
          </cell>
          <cell r="N606">
            <v>7.222633959924582E-2</v>
          </cell>
        </row>
        <row r="607">
          <cell r="B607">
            <v>42289</v>
          </cell>
          <cell r="L607">
            <v>32.429070805701883</v>
          </cell>
          <cell r="N607">
            <v>6.3013695954020066E-2</v>
          </cell>
        </row>
        <row r="608">
          <cell r="B608">
            <v>42289</v>
          </cell>
          <cell r="L608">
            <v>26.61501421933184</v>
          </cell>
          <cell r="N608">
            <v>5.4659724832731238E-2</v>
          </cell>
        </row>
        <row r="609">
          <cell r="B609">
            <v>42289</v>
          </cell>
          <cell r="L609">
            <v>16.63534347080822</v>
          </cell>
          <cell r="N609">
            <v>5.734205057681023E-2</v>
          </cell>
        </row>
        <row r="610">
          <cell r="B610">
            <v>42289</v>
          </cell>
          <cell r="L610">
            <v>0</v>
          </cell>
          <cell r="N610">
            <v>0</v>
          </cell>
        </row>
        <row r="611">
          <cell r="B611">
            <v>42289</v>
          </cell>
          <cell r="L611">
            <v>0</v>
          </cell>
          <cell r="N611">
            <v>0</v>
          </cell>
        </row>
        <row r="612">
          <cell r="B612">
            <v>42289</v>
          </cell>
          <cell r="L612">
            <v>0</v>
          </cell>
          <cell r="N612">
            <v>0</v>
          </cell>
        </row>
        <row r="613">
          <cell r="B613">
            <v>42289</v>
          </cell>
          <cell r="L613">
            <v>0</v>
          </cell>
          <cell r="N613">
            <v>0</v>
          </cell>
        </row>
        <row r="614">
          <cell r="B614">
            <v>42290</v>
          </cell>
          <cell r="L614">
            <v>0</v>
          </cell>
          <cell r="N614">
            <v>0</v>
          </cell>
        </row>
        <row r="615">
          <cell r="B615">
            <v>42290</v>
          </cell>
          <cell r="L615">
            <v>0</v>
          </cell>
          <cell r="N615">
            <v>0</v>
          </cell>
        </row>
        <row r="616">
          <cell r="B616">
            <v>42290</v>
          </cell>
          <cell r="L616">
            <v>0</v>
          </cell>
          <cell r="N616">
            <v>0</v>
          </cell>
        </row>
        <row r="617">
          <cell r="B617">
            <v>42290</v>
          </cell>
          <cell r="L617">
            <v>0</v>
          </cell>
          <cell r="N617">
            <v>0</v>
          </cell>
        </row>
        <row r="618">
          <cell r="B618">
            <v>42290</v>
          </cell>
          <cell r="L618">
            <v>0</v>
          </cell>
          <cell r="N618">
            <v>0</v>
          </cell>
        </row>
        <row r="619">
          <cell r="B619">
            <v>42290</v>
          </cell>
          <cell r="L619">
            <v>0</v>
          </cell>
          <cell r="N619">
            <v>0</v>
          </cell>
        </row>
        <row r="620">
          <cell r="B620">
            <v>42290</v>
          </cell>
          <cell r="L620">
            <v>0</v>
          </cell>
          <cell r="N620">
            <v>0</v>
          </cell>
        </row>
        <row r="621">
          <cell r="B621">
            <v>42290</v>
          </cell>
          <cell r="L621">
            <v>0</v>
          </cell>
          <cell r="N621">
            <v>0</v>
          </cell>
        </row>
        <row r="622">
          <cell r="B622">
            <v>42290</v>
          </cell>
          <cell r="L622">
            <v>0</v>
          </cell>
          <cell r="N622">
            <v>0</v>
          </cell>
        </row>
        <row r="623">
          <cell r="B623">
            <v>42290</v>
          </cell>
          <cell r="L623">
            <v>0</v>
          </cell>
          <cell r="N623">
            <v>0</v>
          </cell>
        </row>
        <row r="624">
          <cell r="B624">
            <v>42290</v>
          </cell>
          <cell r="L624">
            <v>0</v>
          </cell>
          <cell r="N624">
            <v>0</v>
          </cell>
        </row>
        <row r="625">
          <cell r="B625">
            <v>42290</v>
          </cell>
          <cell r="L625">
            <v>0</v>
          </cell>
          <cell r="N625">
            <v>0</v>
          </cell>
        </row>
        <row r="626">
          <cell r="B626">
            <v>42290</v>
          </cell>
          <cell r="L626">
            <v>0</v>
          </cell>
          <cell r="N626">
            <v>0</v>
          </cell>
        </row>
        <row r="627">
          <cell r="B627">
            <v>42290</v>
          </cell>
          <cell r="L627">
            <v>0</v>
          </cell>
          <cell r="N627">
            <v>0</v>
          </cell>
        </row>
        <row r="628">
          <cell r="B628">
            <v>42290</v>
          </cell>
          <cell r="L628">
            <v>0</v>
          </cell>
          <cell r="N628">
            <v>0</v>
          </cell>
        </row>
        <row r="629">
          <cell r="B629">
            <v>42290</v>
          </cell>
          <cell r="L629">
            <v>0</v>
          </cell>
          <cell r="N629">
            <v>0</v>
          </cell>
        </row>
        <row r="630">
          <cell r="B630">
            <v>42290</v>
          </cell>
          <cell r="L630">
            <v>59.879837613549903</v>
          </cell>
          <cell r="N630">
            <v>0.82960658273401933</v>
          </cell>
        </row>
        <row r="631">
          <cell r="B631">
            <v>42290</v>
          </cell>
          <cell r="L631">
            <v>100.95393492151102</v>
          </cell>
          <cell r="N631">
            <v>0.87425737444282059</v>
          </cell>
        </row>
        <row r="632">
          <cell r="B632">
            <v>42290</v>
          </cell>
          <cell r="L632">
            <v>134.26053058421849</v>
          </cell>
          <cell r="N632">
            <v>0.95084053350012798</v>
          </cell>
        </row>
        <row r="633">
          <cell r="B633">
            <v>42290</v>
          </cell>
          <cell r="L633">
            <v>159.91986636506758</v>
          </cell>
          <cell r="N633">
            <v>0.95712122343079253</v>
          </cell>
        </row>
        <row r="634">
          <cell r="B634">
            <v>42290</v>
          </cell>
          <cell r="L634">
            <v>176.82622845744422</v>
          </cell>
          <cell r="N634">
            <v>0.94510248956353682</v>
          </cell>
        </row>
        <row r="635">
          <cell r="B635">
            <v>42290</v>
          </cell>
          <cell r="L635">
            <v>188.87347628321879</v>
          </cell>
          <cell r="N635">
            <v>0.94555164525061397</v>
          </cell>
        </row>
        <row r="636">
          <cell r="B636">
            <v>42290</v>
          </cell>
          <cell r="L636">
            <v>182.97034394397434</v>
          </cell>
          <cell r="N636">
            <v>0.93607998791478841</v>
          </cell>
        </row>
        <row r="637">
          <cell r="B637">
            <v>42290</v>
          </cell>
          <cell r="L637">
            <v>165.74115614128721</v>
          </cell>
          <cell r="N637">
            <v>0.92136790998243223</v>
          </cell>
        </row>
        <row r="638">
          <cell r="B638">
            <v>42290</v>
          </cell>
          <cell r="L638">
            <v>133.37979047716144</v>
          </cell>
          <cell r="N638">
            <v>0.91099220711985718</v>
          </cell>
        </row>
        <row r="639">
          <cell r="B639">
            <v>42290</v>
          </cell>
          <cell r="L639">
            <v>118.31042008371394</v>
          </cell>
          <cell r="N639">
            <v>0.89348315492575525</v>
          </cell>
        </row>
        <row r="640">
          <cell r="B640">
            <v>42290</v>
          </cell>
          <cell r="L640">
            <v>123.83072777662991</v>
          </cell>
          <cell r="N640">
            <v>0.90604477113608051</v>
          </cell>
        </row>
        <row r="641">
          <cell r="B641">
            <v>42290</v>
          </cell>
          <cell r="L641">
            <v>140.51549971544461</v>
          </cell>
          <cell r="N641">
            <v>0.92326201942482922</v>
          </cell>
        </row>
        <row r="642">
          <cell r="B642">
            <v>42290</v>
          </cell>
          <cell r="L642">
            <v>159.76654078595919</v>
          </cell>
          <cell r="N642">
            <v>0.90614436175207125</v>
          </cell>
        </row>
        <row r="643">
          <cell r="B643">
            <v>42290</v>
          </cell>
          <cell r="L643">
            <v>169.34487056929009</v>
          </cell>
          <cell r="N643">
            <v>0.92506297381271518</v>
          </cell>
        </row>
        <row r="644">
          <cell r="B644">
            <v>42290</v>
          </cell>
          <cell r="L644">
            <v>174.11653544012211</v>
          </cell>
          <cell r="N644">
            <v>0.91429888494591438</v>
          </cell>
        </row>
        <row r="645">
          <cell r="B645">
            <v>42290</v>
          </cell>
          <cell r="L645">
            <v>170.02824850666019</v>
          </cell>
          <cell r="N645">
            <v>0.91439902827890363</v>
          </cell>
        </row>
        <row r="646">
          <cell r="B646">
            <v>42290</v>
          </cell>
          <cell r="L646">
            <v>167.0787678611519</v>
          </cell>
          <cell r="N646">
            <v>0.8921928360837329</v>
          </cell>
        </row>
        <row r="647">
          <cell r="B647">
            <v>42290</v>
          </cell>
          <cell r="L647">
            <v>152.79060992914381</v>
          </cell>
          <cell r="N647">
            <v>0.8959238688697454</v>
          </cell>
        </row>
        <row r="648">
          <cell r="B648">
            <v>42290</v>
          </cell>
          <cell r="L648">
            <v>128.06725837119205</v>
          </cell>
          <cell r="N648">
            <v>0.89959549403932393</v>
          </cell>
        </row>
        <row r="649">
          <cell r="B649">
            <v>42290</v>
          </cell>
          <cell r="L649">
            <v>98.985267248711935</v>
          </cell>
          <cell r="N649">
            <v>0.86761336880777651</v>
          </cell>
        </row>
        <row r="650">
          <cell r="B650">
            <v>42290</v>
          </cell>
          <cell r="L650">
            <v>66.366151372146007</v>
          </cell>
          <cell r="N650">
            <v>0.86762457132477921</v>
          </cell>
        </row>
        <row r="651">
          <cell r="B651">
            <v>42290</v>
          </cell>
          <cell r="L651">
            <v>53.507028446180115</v>
          </cell>
          <cell r="N651">
            <v>0.84241600543631678</v>
          </cell>
        </row>
        <row r="652">
          <cell r="B652">
            <v>42290</v>
          </cell>
          <cell r="L652">
            <v>42.883127749309324</v>
          </cell>
          <cell r="N652">
            <v>0.82012208154402078</v>
          </cell>
        </row>
        <row r="653">
          <cell r="B653">
            <v>42290</v>
          </cell>
          <cell r="L653">
            <v>43.818700970847765</v>
          </cell>
          <cell r="N653">
            <v>0.73398207875470745</v>
          </cell>
        </row>
        <row r="654">
          <cell r="B654">
            <v>42290</v>
          </cell>
          <cell r="L654">
            <v>37.44136980687118</v>
          </cell>
          <cell r="N654">
            <v>0.66044562766768522</v>
          </cell>
        </row>
        <row r="655">
          <cell r="B655">
            <v>42290</v>
          </cell>
          <cell r="L655">
            <v>33.916997388093961</v>
          </cell>
          <cell r="N655">
            <v>0.57620419651514532</v>
          </cell>
        </row>
        <row r="656">
          <cell r="B656">
            <v>42290</v>
          </cell>
          <cell r="L656">
            <v>27.116302184099393</v>
          </cell>
          <cell r="N656">
            <v>0.51308348433996287</v>
          </cell>
        </row>
        <row r="657">
          <cell r="B657">
            <v>42290</v>
          </cell>
          <cell r="L657">
            <v>16.948666522337291</v>
          </cell>
          <cell r="N657">
            <v>0.53826211528108869</v>
          </cell>
        </row>
        <row r="658">
          <cell r="B658">
            <v>42290</v>
          </cell>
          <cell r="L658">
            <v>0</v>
          </cell>
          <cell r="N658">
            <v>0</v>
          </cell>
        </row>
        <row r="659">
          <cell r="B659">
            <v>42290</v>
          </cell>
          <cell r="L659">
            <v>0</v>
          </cell>
          <cell r="N659">
            <v>0</v>
          </cell>
        </row>
        <row r="660">
          <cell r="B660">
            <v>42290</v>
          </cell>
          <cell r="L660">
            <v>0</v>
          </cell>
          <cell r="N660">
            <v>0</v>
          </cell>
        </row>
        <row r="661">
          <cell r="B661">
            <v>42290</v>
          </cell>
          <cell r="L661">
            <v>0</v>
          </cell>
          <cell r="N661">
            <v>0</v>
          </cell>
        </row>
        <row r="662">
          <cell r="B662">
            <v>42291</v>
          </cell>
          <cell r="L662">
            <v>0</v>
          </cell>
          <cell r="N662">
            <v>0</v>
          </cell>
        </row>
        <row r="663">
          <cell r="B663">
            <v>42291</v>
          </cell>
          <cell r="L663">
            <v>0</v>
          </cell>
          <cell r="N663">
            <v>0</v>
          </cell>
        </row>
        <row r="664">
          <cell r="B664">
            <v>42291</v>
          </cell>
          <cell r="L664">
            <v>0</v>
          </cell>
          <cell r="N664">
            <v>0</v>
          </cell>
        </row>
        <row r="665">
          <cell r="B665">
            <v>42291</v>
          </cell>
          <cell r="L665">
            <v>0</v>
          </cell>
          <cell r="N665">
            <v>0</v>
          </cell>
        </row>
        <row r="666">
          <cell r="B666">
            <v>42291</v>
          </cell>
          <cell r="L666">
            <v>0</v>
          </cell>
          <cell r="N666">
            <v>0</v>
          </cell>
        </row>
        <row r="667">
          <cell r="B667">
            <v>42291</v>
          </cell>
          <cell r="L667">
            <v>0</v>
          </cell>
          <cell r="N667">
            <v>0</v>
          </cell>
        </row>
        <row r="668">
          <cell r="B668">
            <v>42291</v>
          </cell>
          <cell r="L668">
            <v>0</v>
          </cell>
          <cell r="N668">
            <v>0</v>
          </cell>
        </row>
        <row r="669">
          <cell r="B669">
            <v>42291</v>
          </cell>
          <cell r="L669">
            <v>0</v>
          </cell>
          <cell r="N669">
            <v>0</v>
          </cell>
        </row>
        <row r="670">
          <cell r="B670">
            <v>42291</v>
          </cell>
          <cell r="L670">
            <v>0</v>
          </cell>
          <cell r="N670">
            <v>0</v>
          </cell>
        </row>
        <row r="671">
          <cell r="B671">
            <v>42291</v>
          </cell>
          <cell r="L671">
            <v>0</v>
          </cell>
          <cell r="N671">
            <v>0</v>
          </cell>
        </row>
        <row r="672">
          <cell r="B672">
            <v>42291</v>
          </cell>
          <cell r="L672">
            <v>0</v>
          </cell>
          <cell r="N672">
            <v>0</v>
          </cell>
        </row>
        <row r="673">
          <cell r="B673">
            <v>42291</v>
          </cell>
          <cell r="L673">
            <v>0</v>
          </cell>
          <cell r="N673">
            <v>0</v>
          </cell>
        </row>
        <row r="674">
          <cell r="B674">
            <v>42291</v>
          </cell>
          <cell r="L674">
            <v>0</v>
          </cell>
          <cell r="N674">
            <v>0</v>
          </cell>
        </row>
        <row r="675">
          <cell r="B675">
            <v>42291</v>
          </cell>
          <cell r="L675">
            <v>0</v>
          </cell>
          <cell r="N675">
            <v>0</v>
          </cell>
        </row>
        <row r="676">
          <cell r="B676">
            <v>42291</v>
          </cell>
          <cell r="L676">
            <v>0</v>
          </cell>
          <cell r="N676">
            <v>0</v>
          </cell>
        </row>
        <row r="677">
          <cell r="B677">
            <v>42291</v>
          </cell>
          <cell r="L677">
            <v>0</v>
          </cell>
          <cell r="N677">
            <v>0</v>
          </cell>
        </row>
        <row r="678">
          <cell r="B678">
            <v>42291</v>
          </cell>
          <cell r="L678">
            <v>57.578082460767753</v>
          </cell>
          <cell r="N678">
            <v>0.77237123170196287</v>
          </cell>
        </row>
        <row r="679">
          <cell r="B679">
            <v>42291</v>
          </cell>
          <cell r="L679">
            <v>97.073309169001632</v>
          </cell>
          <cell r="N679">
            <v>0.81394152261617014</v>
          </cell>
        </row>
        <row r="680">
          <cell r="B680">
            <v>42291</v>
          </cell>
          <cell r="L680">
            <v>132.08883537313233</v>
          </cell>
          <cell r="N680">
            <v>0.86520778507410556</v>
          </cell>
        </row>
        <row r="681">
          <cell r="B681">
            <v>42291</v>
          </cell>
          <cell r="L681">
            <v>157.33312544849787</v>
          </cell>
          <cell r="N681">
            <v>0.87092283573948315</v>
          </cell>
        </row>
        <row r="682">
          <cell r="B682">
            <v>42291</v>
          </cell>
          <cell r="L682">
            <v>170.63322603333614</v>
          </cell>
          <cell r="N682">
            <v>0.87678371079375239</v>
          </cell>
        </row>
        <row r="683">
          <cell r="B683">
            <v>42291</v>
          </cell>
          <cell r="L683">
            <v>182.25854191134647</v>
          </cell>
          <cell r="N683">
            <v>0.87720039828996399</v>
          </cell>
        </row>
        <row r="684">
          <cell r="B684">
            <v>42291</v>
          </cell>
          <cell r="L684">
            <v>176.91929292399399</v>
          </cell>
          <cell r="N684">
            <v>0.86666040120378418</v>
          </cell>
        </row>
        <row r="685">
          <cell r="B685">
            <v>42291</v>
          </cell>
          <cell r="L685">
            <v>160.25989524237042</v>
          </cell>
          <cell r="N685">
            <v>0.85303936931761004</v>
          </cell>
        </row>
        <row r="686">
          <cell r="B686">
            <v>42291</v>
          </cell>
          <cell r="L686">
            <v>137.22820345986736</v>
          </cell>
          <cell r="N686">
            <v>0.79266886204569575</v>
          </cell>
        </row>
        <row r="687">
          <cell r="B687">
            <v>42291</v>
          </cell>
          <cell r="L687">
            <v>121.72403585721837</v>
          </cell>
          <cell r="N687">
            <v>0.77743395622572575</v>
          </cell>
        </row>
        <row r="688">
          <cell r="B688">
            <v>42291</v>
          </cell>
          <cell r="L688">
            <v>133.21498396945634</v>
          </cell>
          <cell r="N688">
            <v>0.75397247275625945</v>
          </cell>
        </row>
        <row r="689">
          <cell r="B689">
            <v>42291</v>
          </cell>
          <cell r="L689">
            <v>151.1641769223763</v>
          </cell>
          <cell r="N689">
            <v>0.7682999449517548</v>
          </cell>
        </row>
        <row r="690">
          <cell r="B690">
            <v>42291</v>
          </cell>
          <cell r="L690">
            <v>163.63962518176973</v>
          </cell>
          <cell r="N690">
            <v>0.79200009174559782</v>
          </cell>
        </row>
        <row r="691">
          <cell r="B691">
            <v>42291</v>
          </cell>
          <cell r="L691">
            <v>173.4501542694058</v>
          </cell>
          <cell r="N691">
            <v>0.80853558335176789</v>
          </cell>
        </row>
        <row r="692">
          <cell r="B692">
            <v>42291</v>
          </cell>
          <cell r="L692">
            <v>178.1576108464003</v>
          </cell>
          <cell r="N692">
            <v>0.79993428410406509</v>
          </cell>
        </row>
        <row r="693">
          <cell r="B693">
            <v>42291</v>
          </cell>
          <cell r="L693">
            <v>173.97443875031522</v>
          </cell>
          <cell r="N693">
            <v>0.80002190106029414</v>
          </cell>
        </row>
        <row r="694">
          <cell r="B694">
            <v>42291</v>
          </cell>
          <cell r="L694">
            <v>167.79568339306499</v>
          </cell>
          <cell r="N694">
            <v>0.79529764182334284</v>
          </cell>
        </row>
        <row r="695">
          <cell r="B695">
            <v>42291</v>
          </cell>
          <cell r="L695">
            <v>153.44621663962488</v>
          </cell>
          <cell r="N695">
            <v>0.79862347168463865</v>
          </cell>
        </row>
        <row r="696">
          <cell r="B696">
            <v>42291</v>
          </cell>
          <cell r="L696">
            <v>119.81290081083557</v>
          </cell>
          <cell r="N696">
            <v>0.86081987198846421</v>
          </cell>
        </row>
        <row r="697">
          <cell r="B697">
            <v>42291</v>
          </cell>
          <cell r="L697">
            <v>92.605340017739792</v>
          </cell>
          <cell r="N697">
            <v>0.83021628500947453</v>
          </cell>
        </row>
        <row r="698">
          <cell r="B698">
            <v>42291</v>
          </cell>
          <cell r="L698">
            <v>60.661803426118098</v>
          </cell>
          <cell r="N698">
            <v>0.849754830597786</v>
          </cell>
        </row>
        <row r="699">
          <cell r="B699">
            <v>42291</v>
          </cell>
          <cell r="L699">
            <v>48.907956456853832</v>
          </cell>
          <cell r="N699">
            <v>0.82506546454691931</v>
          </cell>
        </row>
        <row r="700">
          <cell r="B700">
            <v>42291</v>
          </cell>
          <cell r="L700">
            <v>36.63012991545898</v>
          </cell>
          <cell r="N700">
            <v>0.85952197288751231</v>
          </cell>
        </row>
        <row r="701">
          <cell r="B701">
            <v>42291</v>
          </cell>
          <cell r="L701">
            <v>37.429282646358587</v>
          </cell>
          <cell r="N701">
            <v>0.76924367553620254</v>
          </cell>
        </row>
        <row r="702">
          <cell r="B702">
            <v>42291</v>
          </cell>
          <cell r="L702">
            <v>31.949462447885185</v>
          </cell>
          <cell r="N702">
            <v>0.69287633186711273</v>
          </cell>
        </row>
        <row r="703">
          <cell r="B703">
            <v>42291</v>
          </cell>
          <cell r="L703">
            <v>28.942045656595127</v>
          </cell>
          <cell r="N703">
            <v>0.60449828625216462</v>
          </cell>
        </row>
        <row r="704">
          <cell r="B704">
            <v>42291</v>
          </cell>
          <cell r="L704">
            <v>21.422763535586778</v>
          </cell>
          <cell r="N704">
            <v>0.58139794139806289</v>
          </cell>
        </row>
        <row r="705">
          <cell r="B705">
            <v>42291</v>
          </cell>
          <cell r="L705">
            <v>13.389999590890266</v>
          </cell>
          <cell r="N705">
            <v>0.60992897902291154</v>
          </cell>
        </row>
        <row r="706">
          <cell r="B706">
            <v>42291</v>
          </cell>
          <cell r="L706">
            <v>0</v>
          </cell>
          <cell r="N706">
            <v>0</v>
          </cell>
        </row>
        <row r="707">
          <cell r="B707">
            <v>42291</v>
          </cell>
          <cell r="L707">
            <v>0</v>
          </cell>
          <cell r="N707">
            <v>0</v>
          </cell>
        </row>
        <row r="708">
          <cell r="B708">
            <v>42291</v>
          </cell>
          <cell r="L708">
            <v>0</v>
          </cell>
          <cell r="N708">
            <v>0</v>
          </cell>
        </row>
        <row r="709">
          <cell r="B709">
            <v>42291</v>
          </cell>
          <cell r="L709">
            <v>0</v>
          </cell>
          <cell r="N709">
            <v>0</v>
          </cell>
        </row>
        <row r="710">
          <cell r="B710">
            <v>42292</v>
          </cell>
          <cell r="L710">
            <v>0</v>
          </cell>
          <cell r="N710">
            <v>0</v>
          </cell>
        </row>
        <row r="711">
          <cell r="B711">
            <v>42292</v>
          </cell>
          <cell r="L711">
            <v>0</v>
          </cell>
          <cell r="N711">
            <v>0</v>
          </cell>
        </row>
        <row r="712">
          <cell r="B712">
            <v>42292</v>
          </cell>
          <cell r="L712">
            <v>0</v>
          </cell>
          <cell r="N712">
            <v>0</v>
          </cell>
        </row>
        <row r="713">
          <cell r="B713">
            <v>42292</v>
          </cell>
          <cell r="L713">
            <v>0</v>
          </cell>
          <cell r="N713">
            <v>0</v>
          </cell>
        </row>
        <row r="714">
          <cell r="B714">
            <v>42292</v>
          </cell>
          <cell r="L714">
            <v>0</v>
          </cell>
          <cell r="N714">
            <v>0</v>
          </cell>
        </row>
        <row r="715">
          <cell r="B715">
            <v>42292</v>
          </cell>
          <cell r="L715">
            <v>0</v>
          </cell>
          <cell r="N715">
            <v>0</v>
          </cell>
        </row>
        <row r="716">
          <cell r="B716">
            <v>42292</v>
          </cell>
          <cell r="L716">
            <v>0</v>
          </cell>
          <cell r="N716">
            <v>0</v>
          </cell>
        </row>
        <row r="717">
          <cell r="B717">
            <v>42292</v>
          </cell>
          <cell r="L717">
            <v>0</v>
          </cell>
          <cell r="N717">
            <v>0</v>
          </cell>
        </row>
        <row r="718">
          <cell r="B718">
            <v>42292</v>
          </cell>
          <cell r="L718">
            <v>0</v>
          </cell>
          <cell r="N718">
            <v>0</v>
          </cell>
        </row>
        <row r="719">
          <cell r="B719">
            <v>42292</v>
          </cell>
          <cell r="L719">
            <v>0</v>
          </cell>
          <cell r="N719">
            <v>0</v>
          </cell>
        </row>
        <row r="720">
          <cell r="B720">
            <v>42292</v>
          </cell>
          <cell r="L720">
            <v>0</v>
          </cell>
          <cell r="N720">
            <v>0</v>
          </cell>
        </row>
        <row r="721">
          <cell r="B721">
            <v>42292</v>
          </cell>
          <cell r="L721">
            <v>0</v>
          </cell>
          <cell r="N721">
            <v>0</v>
          </cell>
        </row>
        <row r="722">
          <cell r="B722">
            <v>42292</v>
          </cell>
          <cell r="L722">
            <v>0</v>
          </cell>
          <cell r="N722">
            <v>0</v>
          </cell>
        </row>
        <row r="723">
          <cell r="B723">
            <v>42292</v>
          </cell>
          <cell r="L723">
            <v>0</v>
          </cell>
          <cell r="N723">
            <v>0</v>
          </cell>
        </row>
        <row r="724">
          <cell r="B724">
            <v>42292</v>
          </cell>
          <cell r="L724">
            <v>0</v>
          </cell>
          <cell r="N724">
            <v>0</v>
          </cell>
        </row>
        <row r="725">
          <cell r="B725">
            <v>42292</v>
          </cell>
          <cell r="L725">
            <v>0</v>
          </cell>
          <cell r="N725">
            <v>0</v>
          </cell>
        </row>
        <row r="726">
          <cell r="B726">
            <v>42292</v>
          </cell>
          <cell r="L726">
            <v>55.154040027992608</v>
          </cell>
          <cell r="N726">
            <v>0.79886852415551379</v>
          </cell>
        </row>
        <row r="727">
          <cell r="B727">
            <v>42292</v>
          </cell>
          <cell r="L727">
            <v>92.986514151541741</v>
          </cell>
          <cell r="N727">
            <v>0.8418649429607169</v>
          </cell>
        </row>
        <row r="728">
          <cell r="B728">
            <v>42292</v>
          </cell>
          <cell r="L728">
            <v>132.53711011999451</v>
          </cell>
          <cell r="N728">
            <v>0.85431569689173792</v>
          </cell>
        </row>
        <row r="729">
          <cell r="B729">
            <v>42292</v>
          </cell>
          <cell r="L729">
            <v>157.86707267260829</v>
          </cell>
          <cell r="N729">
            <v>0.85995880086767484</v>
          </cell>
        </row>
        <row r="730">
          <cell r="B730">
            <v>42292</v>
          </cell>
          <cell r="L730">
            <v>173.85552015097957</v>
          </cell>
          <cell r="N730">
            <v>0.85258353845065926</v>
          </cell>
        </row>
        <row r="731">
          <cell r="B731">
            <v>42292</v>
          </cell>
          <cell r="L731">
            <v>185.70037232822239</v>
          </cell>
          <cell r="N731">
            <v>0.85298872492432998</v>
          </cell>
        </row>
        <row r="732">
          <cell r="B732">
            <v>42292</v>
          </cell>
          <cell r="L732">
            <v>173.72225920519151</v>
          </cell>
          <cell r="N732">
            <v>0.87445614358935653</v>
          </cell>
        </row>
        <row r="733">
          <cell r="B733">
            <v>42292</v>
          </cell>
          <cell r="L733">
            <v>157.3639064533935</v>
          </cell>
          <cell r="N733">
            <v>0.86071258844555698</v>
          </cell>
        </row>
        <row r="734">
          <cell r="B734">
            <v>42292</v>
          </cell>
          <cell r="L734">
            <v>129.56708795956308</v>
          </cell>
          <cell r="N734">
            <v>0.83178260052664821</v>
          </cell>
        </row>
        <row r="735">
          <cell r="B735">
            <v>42292</v>
          </cell>
          <cell r="L735">
            <v>114.92848017439512</v>
          </cell>
          <cell r="N735">
            <v>0.81579593801412154</v>
          </cell>
        </row>
        <row r="736">
          <cell r="B736">
            <v>42292</v>
          </cell>
          <cell r="L736">
            <v>117.43133756407634</v>
          </cell>
          <cell r="N736">
            <v>0.84741064029814195</v>
          </cell>
        </row>
        <row r="737">
          <cell r="B737">
            <v>42292</v>
          </cell>
          <cell r="L737">
            <v>133.2538649844179</v>
          </cell>
          <cell r="N737">
            <v>0.86351368493935343</v>
          </cell>
        </row>
        <row r="738">
          <cell r="B738">
            <v>42292</v>
          </cell>
          <cell r="L738">
            <v>149.66338523825203</v>
          </cell>
          <cell r="N738">
            <v>0.85796090169008932</v>
          </cell>
        </row>
        <row r="739">
          <cell r="B739">
            <v>42292</v>
          </cell>
          <cell r="L739">
            <v>158.63601025253573</v>
          </cell>
          <cell r="N739">
            <v>0.87587353255487899</v>
          </cell>
        </row>
        <row r="740">
          <cell r="B740">
            <v>42292</v>
          </cell>
          <cell r="L740">
            <v>156.9486849509963</v>
          </cell>
          <cell r="N740">
            <v>0.89964332632124833</v>
          </cell>
        </row>
        <row r="741">
          <cell r="B741">
            <v>42292</v>
          </cell>
          <cell r="L741">
            <v>153.26350217219095</v>
          </cell>
          <cell r="N741">
            <v>0.89974186442807846</v>
          </cell>
        </row>
        <row r="742">
          <cell r="B742">
            <v>42292</v>
          </cell>
          <cell r="L742">
            <v>148.11552327695662</v>
          </cell>
          <cell r="N742">
            <v>0.8926459831907092</v>
          </cell>
        </row>
        <row r="743">
          <cell r="B743">
            <v>42292</v>
          </cell>
          <cell r="L743">
            <v>135.44905454574183</v>
          </cell>
          <cell r="N743">
            <v>0.89637891097816613</v>
          </cell>
        </row>
        <row r="744">
          <cell r="B744">
            <v>42292</v>
          </cell>
          <cell r="L744">
            <v>110.91341107750281</v>
          </cell>
          <cell r="N744">
            <v>0.92130018533017932</v>
          </cell>
        </row>
        <row r="745">
          <cell r="B745">
            <v>42292</v>
          </cell>
          <cell r="L745">
            <v>85.726779635992216</v>
          </cell>
          <cell r="N745">
            <v>0.88854642200175893</v>
          </cell>
        </row>
        <row r="746">
          <cell r="B746">
            <v>42292</v>
          </cell>
          <cell r="L746">
            <v>61.587677026004158</v>
          </cell>
          <cell r="N746">
            <v>0.8292481077702325</v>
          </cell>
        </row>
        <row r="747">
          <cell r="B747">
            <v>42292</v>
          </cell>
          <cell r="L747">
            <v>49.654432544775105</v>
          </cell>
          <cell r="N747">
            <v>0.80515455826334137</v>
          </cell>
        </row>
        <row r="748">
          <cell r="B748">
            <v>42292</v>
          </cell>
          <cell r="L748">
            <v>41.027486616093718</v>
          </cell>
          <cell r="N748">
            <v>0.76030856570839711</v>
          </cell>
        </row>
        <row r="749">
          <cell r="B749">
            <v>42292</v>
          </cell>
          <cell r="L749">
            <v>41.922575660191299</v>
          </cell>
          <cell r="N749">
            <v>0.68045096469421873</v>
          </cell>
        </row>
        <row r="750">
          <cell r="B750">
            <v>42292</v>
          </cell>
          <cell r="L750">
            <v>38.336932693511443</v>
          </cell>
          <cell r="N750">
            <v>0.57209911094834232</v>
          </cell>
        </row>
        <row r="751">
          <cell r="B751">
            <v>42292</v>
          </cell>
          <cell r="L751">
            <v>34.728260550839607</v>
          </cell>
          <cell r="N751">
            <v>0.49912649087425809</v>
          </cell>
        </row>
        <row r="752">
          <cell r="B752">
            <v>42292</v>
          </cell>
          <cell r="L752">
            <v>29.661175593938538</v>
          </cell>
          <cell r="N752">
            <v>0.41603510432367569</v>
          </cell>
        </row>
        <row r="753">
          <cell r="B753">
            <v>42292</v>
          </cell>
          <cell r="L753">
            <v>18.539304156926686</v>
          </cell>
          <cell r="N753">
            <v>0.43645126401315382</v>
          </cell>
        </row>
        <row r="754">
          <cell r="B754">
            <v>42292</v>
          </cell>
          <cell r="L754">
            <v>0</v>
          </cell>
          <cell r="N754">
            <v>0</v>
          </cell>
        </row>
        <row r="755">
          <cell r="B755">
            <v>42292</v>
          </cell>
          <cell r="L755">
            <v>0</v>
          </cell>
          <cell r="N755">
            <v>0</v>
          </cell>
        </row>
        <row r="756">
          <cell r="B756">
            <v>42292</v>
          </cell>
          <cell r="L756">
            <v>0</v>
          </cell>
          <cell r="N756">
            <v>0</v>
          </cell>
        </row>
        <row r="757">
          <cell r="B757">
            <v>42292</v>
          </cell>
          <cell r="L757">
            <v>0</v>
          </cell>
          <cell r="N757">
            <v>0</v>
          </cell>
        </row>
        <row r="758">
          <cell r="B758">
            <v>42293</v>
          </cell>
          <cell r="L758">
            <v>0</v>
          </cell>
          <cell r="N758">
            <v>0</v>
          </cell>
        </row>
        <row r="759">
          <cell r="B759">
            <v>42293</v>
          </cell>
          <cell r="L759">
            <v>0</v>
          </cell>
          <cell r="N759">
            <v>0</v>
          </cell>
        </row>
        <row r="760">
          <cell r="B760">
            <v>42293</v>
          </cell>
          <cell r="L760">
            <v>0</v>
          </cell>
          <cell r="N760">
            <v>0</v>
          </cell>
        </row>
        <row r="761">
          <cell r="B761">
            <v>42293</v>
          </cell>
          <cell r="L761">
            <v>0</v>
          </cell>
          <cell r="N761">
            <v>0</v>
          </cell>
        </row>
        <row r="762">
          <cell r="B762">
            <v>42293</v>
          </cell>
          <cell r="L762">
            <v>0</v>
          </cell>
          <cell r="N762">
            <v>0</v>
          </cell>
        </row>
        <row r="763">
          <cell r="B763">
            <v>42293</v>
          </cell>
          <cell r="L763">
            <v>0</v>
          </cell>
          <cell r="N763">
            <v>0</v>
          </cell>
        </row>
        <row r="764">
          <cell r="B764">
            <v>42293</v>
          </cell>
          <cell r="L764">
            <v>0</v>
          </cell>
          <cell r="N764">
            <v>0</v>
          </cell>
        </row>
        <row r="765">
          <cell r="B765">
            <v>42293</v>
          </cell>
          <cell r="L765">
            <v>0</v>
          </cell>
          <cell r="N765">
            <v>0</v>
          </cell>
        </row>
        <row r="766">
          <cell r="B766">
            <v>42293</v>
          </cell>
          <cell r="L766">
            <v>0</v>
          </cell>
          <cell r="N766">
            <v>0</v>
          </cell>
        </row>
        <row r="767">
          <cell r="B767">
            <v>42293</v>
          </cell>
          <cell r="L767">
            <v>0</v>
          </cell>
          <cell r="N767">
            <v>0</v>
          </cell>
        </row>
        <row r="768">
          <cell r="B768">
            <v>42293</v>
          </cell>
          <cell r="L768">
            <v>0</v>
          </cell>
          <cell r="N768">
            <v>0</v>
          </cell>
        </row>
        <row r="769">
          <cell r="B769">
            <v>42293</v>
          </cell>
          <cell r="L769">
            <v>0</v>
          </cell>
          <cell r="N769">
            <v>0</v>
          </cell>
        </row>
        <row r="770">
          <cell r="B770">
            <v>42293</v>
          </cell>
          <cell r="L770">
            <v>0</v>
          </cell>
          <cell r="N770">
            <v>0</v>
          </cell>
        </row>
        <row r="771">
          <cell r="B771">
            <v>42293</v>
          </cell>
          <cell r="L771">
            <v>0</v>
          </cell>
          <cell r="N771">
            <v>0</v>
          </cell>
        </row>
        <row r="772">
          <cell r="B772">
            <v>42293</v>
          </cell>
          <cell r="L772">
            <v>0</v>
          </cell>
          <cell r="N772">
            <v>0</v>
          </cell>
        </row>
        <row r="773">
          <cell r="B773">
            <v>42293</v>
          </cell>
          <cell r="L773">
            <v>0</v>
          </cell>
          <cell r="N773">
            <v>0</v>
          </cell>
        </row>
        <row r="774">
          <cell r="B774">
            <v>42293</v>
          </cell>
          <cell r="L774">
            <v>62.457089799751643</v>
          </cell>
          <cell r="N774">
            <v>0.61860041004306365</v>
          </cell>
        </row>
        <row r="775">
          <cell r="B775">
            <v>42293</v>
          </cell>
          <cell r="L775">
            <v>105.29903270152332</v>
          </cell>
          <cell r="N775">
            <v>0.65189450224853451</v>
          </cell>
        </row>
        <row r="776">
          <cell r="B776">
            <v>42293</v>
          </cell>
          <cell r="L776">
            <v>128.06211326344072</v>
          </cell>
          <cell r="N776">
            <v>0.77530846638516382</v>
          </cell>
        </row>
        <row r="777">
          <cell r="B777">
            <v>42293</v>
          </cell>
          <cell r="L777">
            <v>152.53683230956076</v>
          </cell>
          <cell r="N777">
            <v>0.78042969534672202</v>
          </cell>
        </row>
        <row r="778">
          <cell r="B778">
            <v>42293</v>
          </cell>
          <cell r="L778">
            <v>171.64537607301</v>
          </cell>
          <cell r="N778">
            <v>0.75723839637106849</v>
          </cell>
        </row>
        <row r="779">
          <cell r="B779">
            <v>42293</v>
          </cell>
          <cell r="L779">
            <v>183.33965017328856</v>
          </cell>
          <cell r="N779">
            <v>0.75759827049684736</v>
          </cell>
        </row>
        <row r="780">
          <cell r="B780">
            <v>42293</v>
          </cell>
          <cell r="L780">
            <v>172.95901037090761</v>
          </cell>
          <cell r="N780">
            <v>0.77017535606051324</v>
          </cell>
        </row>
        <row r="781">
          <cell r="B781">
            <v>42293</v>
          </cell>
          <cell r="L781">
            <v>156.67252805025493</v>
          </cell>
          <cell r="N781">
            <v>0.75807074960996534</v>
          </cell>
        </row>
        <row r="782">
          <cell r="B782">
            <v>42293</v>
          </cell>
          <cell r="L782">
            <v>126.91758190931232</v>
          </cell>
          <cell r="N782">
            <v>0.74459831342423088</v>
          </cell>
        </row>
        <row r="783">
          <cell r="B783">
            <v>42293</v>
          </cell>
          <cell r="L783">
            <v>112.57831773450745</v>
          </cell>
          <cell r="N783">
            <v>0.73028731204409503</v>
          </cell>
        </row>
        <row r="784">
          <cell r="B784">
            <v>42293</v>
          </cell>
          <cell r="L784">
            <v>116.46131826964888</v>
          </cell>
          <cell r="N784">
            <v>0.74926513869708744</v>
          </cell>
        </row>
        <row r="785">
          <cell r="B785">
            <v>42293</v>
          </cell>
          <cell r="L785">
            <v>132.1531467027975</v>
          </cell>
          <cell r="N785">
            <v>0.7635031590885919</v>
          </cell>
        </row>
        <row r="786">
          <cell r="B786">
            <v>42293</v>
          </cell>
          <cell r="L786">
            <v>141.12799259902758</v>
          </cell>
          <cell r="N786">
            <v>0.79782787327271942</v>
          </cell>
        </row>
        <row r="787">
          <cell r="B787">
            <v>42293</v>
          </cell>
          <cell r="L787">
            <v>149.58890342630738</v>
          </cell>
          <cell r="N787">
            <v>0.81448503813818396</v>
          </cell>
        </row>
        <row r="788">
          <cell r="B788">
            <v>42293</v>
          </cell>
          <cell r="L788">
            <v>147.07683725710802</v>
          </cell>
          <cell r="N788">
            <v>0.84182742377991682</v>
          </cell>
        </row>
        <row r="789">
          <cell r="B789">
            <v>42293</v>
          </cell>
          <cell r="L789">
            <v>143.62344720168781</v>
          </cell>
          <cell r="N789">
            <v>0.84191962929980468</v>
          </cell>
        </row>
        <row r="790">
          <cell r="B790">
            <v>42293</v>
          </cell>
          <cell r="L790">
            <v>141.31804302450357</v>
          </cell>
          <cell r="N790">
            <v>0.82039220534998869</v>
          </cell>
        </row>
        <row r="791">
          <cell r="B791">
            <v>42293</v>
          </cell>
          <cell r="L791">
            <v>129.23287778642603</v>
          </cell>
          <cell r="N791">
            <v>0.82382297736670407</v>
          </cell>
        </row>
        <row r="792">
          <cell r="B792">
            <v>42293</v>
          </cell>
          <cell r="L792">
            <v>112.40700604175588</v>
          </cell>
          <cell r="N792">
            <v>0.79713365932500924</v>
          </cell>
        </row>
        <row r="793">
          <cell r="B793">
            <v>42293</v>
          </cell>
          <cell r="L793">
            <v>86.88120347998057</v>
          </cell>
          <cell r="N793">
            <v>0.76879422378121609</v>
          </cell>
        </row>
        <row r="794">
          <cell r="B794">
            <v>42293</v>
          </cell>
          <cell r="L794">
            <v>63.164879083594379</v>
          </cell>
          <cell r="N794">
            <v>0.70899300683755362</v>
          </cell>
        </row>
        <row r="795">
          <cell r="B795">
            <v>42293</v>
          </cell>
          <cell r="L795">
            <v>50.926035517315007</v>
          </cell>
          <cell r="N795">
            <v>0.68839343241559625</v>
          </cell>
        </row>
        <row r="796">
          <cell r="B796">
            <v>42293</v>
          </cell>
          <cell r="L796">
            <v>41.249524155222595</v>
          </cell>
          <cell r="N796">
            <v>0.66310936378419438</v>
          </cell>
        </row>
        <row r="797">
          <cell r="B797">
            <v>42293</v>
          </cell>
          <cell r="L797">
            <v>42.149457351010788</v>
          </cell>
          <cell r="N797">
            <v>0.59346090079140235</v>
          </cell>
        </row>
        <row r="798">
          <cell r="B798">
            <v>42293</v>
          </cell>
          <cell r="L798">
            <v>37.788506859180373</v>
          </cell>
          <cell r="N798">
            <v>0.50894190510713833</v>
          </cell>
        </row>
        <row r="799">
          <cell r="B799">
            <v>42293</v>
          </cell>
          <cell r="L799">
            <v>34.231458278740135</v>
          </cell>
          <cell r="N799">
            <v>0.44402513881536665</v>
          </cell>
        </row>
        <row r="800">
          <cell r="B800">
            <v>42293</v>
          </cell>
          <cell r="L800">
            <v>27.744987959606586</v>
          </cell>
          <cell r="N800">
            <v>0.3900076306544521</v>
          </cell>
        </row>
        <row r="801">
          <cell r="B801">
            <v>42293</v>
          </cell>
          <cell r="L801">
            <v>17.341617798808041</v>
          </cell>
          <cell r="N801">
            <v>0.40914653981092919</v>
          </cell>
        </row>
        <row r="802">
          <cell r="B802">
            <v>42293</v>
          </cell>
          <cell r="L802">
            <v>0</v>
          </cell>
          <cell r="N802">
            <v>0</v>
          </cell>
        </row>
        <row r="803">
          <cell r="B803">
            <v>42293</v>
          </cell>
          <cell r="L803">
            <v>0</v>
          </cell>
          <cell r="N803">
            <v>0</v>
          </cell>
        </row>
        <row r="804">
          <cell r="B804">
            <v>42293</v>
          </cell>
          <cell r="L804">
            <v>0</v>
          </cell>
          <cell r="N804">
            <v>0</v>
          </cell>
        </row>
        <row r="805">
          <cell r="B805">
            <v>42293</v>
          </cell>
          <cell r="L805">
            <v>0</v>
          </cell>
          <cell r="N805">
            <v>0</v>
          </cell>
        </row>
        <row r="806">
          <cell r="B806">
            <v>42294</v>
          </cell>
          <cell r="L806">
            <v>0</v>
          </cell>
          <cell r="N806">
            <v>0</v>
          </cell>
        </row>
        <row r="807">
          <cell r="B807">
            <v>42294</v>
          </cell>
          <cell r="L807">
            <v>0</v>
          </cell>
          <cell r="N807">
            <v>0</v>
          </cell>
        </row>
        <row r="808">
          <cell r="B808">
            <v>42294</v>
          </cell>
          <cell r="L808">
            <v>0</v>
          </cell>
          <cell r="N808">
            <v>0</v>
          </cell>
        </row>
        <row r="809">
          <cell r="B809">
            <v>42294</v>
          </cell>
          <cell r="L809">
            <v>0</v>
          </cell>
          <cell r="N809">
            <v>0</v>
          </cell>
        </row>
        <row r="810">
          <cell r="B810">
            <v>42294</v>
          </cell>
          <cell r="L810">
            <v>0</v>
          </cell>
          <cell r="N810">
            <v>0</v>
          </cell>
        </row>
        <row r="811">
          <cell r="B811">
            <v>42294</v>
          </cell>
          <cell r="L811">
            <v>0</v>
          </cell>
          <cell r="N811">
            <v>0</v>
          </cell>
        </row>
        <row r="812">
          <cell r="B812">
            <v>42294</v>
          </cell>
          <cell r="L812">
            <v>0</v>
          </cell>
          <cell r="N812">
            <v>0</v>
          </cell>
        </row>
        <row r="813">
          <cell r="B813">
            <v>42294</v>
          </cell>
          <cell r="L813">
            <v>0</v>
          </cell>
          <cell r="N813">
            <v>0</v>
          </cell>
        </row>
        <row r="814">
          <cell r="B814">
            <v>42294</v>
          </cell>
          <cell r="L814">
            <v>0</v>
          </cell>
          <cell r="N814">
            <v>0</v>
          </cell>
        </row>
        <row r="815">
          <cell r="B815">
            <v>42294</v>
          </cell>
          <cell r="L815">
            <v>0</v>
          </cell>
          <cell r="N815">
            <v>0</v>
          </cell>
        </row>
        <row r="816">
          <cell r="B816">
            <v>42294</v>
          </cell>
          <cell r="L816">
            <v>0</v>
          </cell>
          <cell r="N816">
            <v>0</v>
          </cell>
        </row>
        <row r="817">
          <cell r="B817">
            <v>42294</v>
          </cell>
          <cell r="L817">
            <v>0</v>
          </cell>
          <cell r="N817">
            <v>0</v>
          </cell>
        </row>
        <row r="818">
          <cell r="B818">
            <v>42294</v>
          </cell>
          <cell r="L818">
            <v>0</v>
          </cell>
          <cell r="N818">
            <v>0</v>
          </cell>
        </row>
        <row r="819">
          <cell r="B819">
            <v>42294</v>
          </cell>
          <cell r="L819">
            <v>0</v>
          </cell>
          <cell r="N819">
            <v>0</v>
          </cell>
        </row>
        <row r="820">
          <cell r="B820">
            <v>42294</v>
          </cell>
          <cell r="L820">
            <v>0</v>
          </cell>
          <cell r="N820">
            <v>0</v>
          </cell>
        </row>
        <row r="821">
          <cell r="B821">
            <v>42294</v>
          </cell>
          <cell r="L821">
            <v>0</v>
          </cell>
          <cell r="N821">
            <v>0</v>
          </cell>
        </row>
        <row r="822">
          <cell r="B822">
            <v>42294</v>
          </cell>
          <cell r="L822">
            <v>25.075634578858018</v>
          </cell>
          <cell r="N822">
            <v>0.59719706691163466</v>
          </cell>
        </row>
        <row r="823">
          <cell r="B823">
            <v>42294</v>
          </cell>
          <cell r="L823">
            <v>32.751066038563565</v>
          </cell>
          <cell r="N823">
            <v>0.76653269164240656</v>
          </cell>
        </row>
        <row r="824">
          <cell r="B824">
            <v>42294</v>
          </cell>
          <cell r="L824">
            <v>43.739539570764251</v>
          </cell>
          <cell r="N824">
            <v>0.78365258016254691</v>
          </cell>
        </row>
        <row r="825">
          <cell r="B825">
            <v>42294</v>
          </cell>
          <cell r="L825">
            <v>51.204143635063325</v>
          </cell>
          <cell r="N825">
            <v>0.7825327477823667</v>
          </cell>
        </row>
        <row r="826">
          <cell r="B826">
            <v>42294</v>
          </cell>
          <cell r="L826">
            <v>53.829978669304374</v>
          </cell>
          <cell r="N826">
            <v>0.79904451483192385</v>
          </cell>
        </row>
        <row r="827">
          <cell r="B827">
            <v>42294</v>
          </cell>
          <cell r="L827">
            <v>57.708866880205228</v>
          </cell>
          <cell r="N827">
            <v>0.79840321948543891</v>
          </cell>
        </row>
        <row r="828">
          <cell r="B828">
            <v>42294</v>
          </cell>
          <cell r="L828">
            <v>52.992687038942741</v>
          </cell>
          <cell r="N828">
            <v>0.79468728133802746</v>
          </cell>
        </row>
        <row r="829">
          <cell r="B829">
            <v>42294</v>
          </cell>
          <cell r="L829">
            <v>47.284595567499132</v>
          </cell>
          <cell r="N829">
            <v>0.79658329299217934</v>
          </cell>
        </row>
        <row r="830">
          <cell r="B830">
            <v>42294</v>
          </cell>
          <cell r="L830">
            <v>47.651854602776268</v>
          </cell>
          <cell r="N830">
            <v>0.69561975611308169</v>
          </cell>
        </row>
        <row r="831">
          <cell r="B831">
            <v>42294</v>
          </cell>
          <cell r="L831">
            <v>44.736832241984672</v>
          </cell>
          <cell r="N831">
            <v>0.62718396022389344</v>
          </cell>
        </row>
        <row r="832">
          <cell r="B832">
            <v>42294</v>
          </cell>
          <cell r="L832">
            <v>45.646370689453065</v>
          </cell>
          <cell r="N832">
            <v>0.52138844390907557</v>
          </cell>
        </row>
        <row r="833">
          <cell r="B833">
            <v>42294</v>
          </cell>
          <cell r="L833">
            <v>49.30310246550345</v>
          </cell>
          <cell r="N833">
            <v>0.41788601598018138</v>
          </cell>
        </row>
        <row r="834">
          <cell r="B834">
            <v>42294</v>
          </cell>
          <cell r="L834">
            <v>45.44926480165082</v>
          </cell>
          <cell r="N834">
            <v>0.45138829130878122</v>
          </cell>
        </row>
        <row r="835">
          <cell r="B835">
            <v>42294</v>
          </cell>
          <cell r="L835">
            <v>34.511691048646448</v>
          </cell>
          <cell r="N835">
            <v>0.52147619643947918</v>
          </cell>
        </row>
        <row r="836">
          <cell r="B836">
            <v>42294</v>
          </cell>
          <cell r="L836">
            <v>27.395440318134444</v>
          </cell>
          <cell r="N836">
            <v>0.60570220374133943</v>
          </cell>
        </row>
        <row r="837">
          <cell r="B837">
            <v>42294</v>
          </cell>
          <cell r="L837">
            <v>24.373662211126451</v>
          </cell>
          <cell r="N837">
            <v>0.65694763091317443</v>
          </cell>
        </row>
        <row r="838">
          <cell r="B838">
            <v>42294</v>
          </cell>
          <cell r="L838">
            <v>20.800371818509173</v>
          </cell>
          <cell r="N838">
            <v>0.6941619533220591</v>
          </cell>
        </row>
        <row r="839">
          <cell r="B839">
            <v>42294</v>
          </cell>
          <cell r="L839">
            <v>20.388483267647608</v>
          </cell>
          <cell r="N839">
            <v>0.63084523586493491</v>
          </cell>
        </row>
        <row r="840">
          <cell r="B840">
            <v>42294</v>
          </cell>
          <cell r="L840">
            <v>21.396366074543227</v>
          </cell>
          <cell r="N840">
            <v>0.5164934506432981</v>
          </cell>
        </row>
        <row r="841">
          <cell r="B841">
            <v>42294</v>
          </cell>
          <cell r="L841">
            <v>20.31358027622543</v>
          </cell>
          <cell r="N841">
            <v>0.52471020458429851</v>
          </cell>
        </row>
        <row r="842">
          <cell r="B842">
            <v>42294</v>
          </cell>
          <cell r="L842">
            <v>18.173875245810397</v>
          </cell>
          <cell r="N842">
            <v>0.47641520206283777</v>
          </cell>
        </row>
        <row r="843">
          <cell r="B843">
            <v>42294</v>
          </cell>
          <cell r="L843">
            <v>20.132970672954887</v>
          </cell>
          <cell r="N843">
            <v>0.42255391069566195</v>
          </cell>
        </row>
        <row r="844">
          <cell r="B844">
            <v>42294</v>
          </cell>
          <cell r="L844">
            <v>18.604497920896403</v>
          </cell>
          <cell r="N844">
            <v>0.33818395861563322</v>
          </cell>
        </row>
        <row r="845">
          <cell r="B845">
            <v>42294</v>
          </cell>
          <cell r="L845">
            <v>20.920525615857045</v>
          </cell>
          <cell r="N845">
            <v>0.2966736037382352</v>
          </cell>
        </row>
        <row r="846">
          <cell r="B846">
            <v>42294</v>
          </cell>
          <cell r="L846">
            <v>22.570482966489617</v>
          </cell>
          <cell r="N846">
            <v>0.23036529925988838</v>
          </cell>
        </row>
        <row r="847">
          <cell r="B847">
            <v>42294</v>
          </cell>
          <cell r="L847">
            <v>20.744325708291822</v>
          </cell>
          <cell r="N847">
            <v>0.18223370547916459</v>
          </cell>
        </row>
        <row r="848">
          <cell r="B848">
            <v>42294</v>
          </cell>
          <cell r="L848">
            <v>14.536811421056559</v>
          </cell>
          <cell r="N848">
            <v>0.1975114002623784</v>
          </cell>
        </row>
        <row r="849">
          <cell r="B849">
            <v>42294</v>
          </cell>
          <cell r="L849">
            <v>9.0855071381603487</v>
          </cell>
          <cell r="N849">
            <v>0.18898879713763531</v>
          </cell>
        </row>
        <row r="850">
          <cell r="B850">
            <v>42294</v>
          </cell>
          <cell r="L850">
            <v>0</v>
          </cell>
          <cell r="N850">
            <v>0</v>
          </cell>
        </row>
        <row r="851">
          <cell r="B851">
            <v>42294</v>
          </cell>
          <cell r="L851">
            <v>0</v>
          </cell>
          <cell r="N851">
            <v>0</v>
          </cell>
        </row>
        <row r="852">
          <cell r="B852">
            <v>42294</v>
          </cell>
          <cell r="L852">
            <v>0</v>
          </cell>
          <cell r="N852">
            <v>0</v>
          </cell>
        </row>
        <row r="853">
          <cell r="B853">
            <v>42294</v>
          </cell>
          <cell r="L853">
            <v>0</v>
          </cell>
          <cell r="N853">
            <v>0</v>
          </cell>
        </row>
        <row r="854">
          <cell r="B854">
            <v>42295</v>
          </cell>
          <cell r="L854">
            <v>0</v>
          </cell>
          <cell r="N854">
            <v>0</v>
          </cell>
        </row>
        <row r="855">
          <cell r="B855">
            <v>42295</v>
          </cell>
          <cell r="L855">
            <v>0</v>
          </cell>
          <cell r="N855">
            <v>0</v>
          </cell>
        </row>
        <row r="856">
          <cell r="B856">
            <v>42295</v>
          </cell>
          <cell r="L856">
            <v>0</v>
          </cell>
          <cell r="N856">
            <v>0</v>
          </cell>
        </row>
        <row r="857">
          <cell r="B857">
            <v>42295</v>
          </cell>
          <cell r="L857">
            <v>0</v>
          </cell>
          <cell r="N857">
            <v>0</v>
          </cell>
        </row>
        <row r="858">
          <cell r="B858">
            <v>42295</v>
          </cell>
          <cell r="L858">
            <v>0</v>
          </cell>
          <cell r="N858">
            <v>0</v>
          </cell>
        </row>
        <row r="859">
          <cell r="B859">
            <v>42295</v>
          </cell>
          <cell r="L859">
            <v>0</v>
          </cell>
          <cell r="N859">
            <v>0</v>
          </cell>
        </row>
        <row r="860">
          <cell r="B860">
            <v>42295</v>
          </cell>
          <cell r="L860">
            <v>0</v>
          </cell>
          <cell r="N860">
            <v>0</v>
          </cell>
        </row>
        <row r="861">
          <cell r="B861">
            <v>42295</v>
          </cell>
          <cell r="L861">
            <v>0</v>
          </cell>
          <cell r="N861">
            <v>0</v>
          </cell>
        </row>
        <row r="862">
          <cell r="B862">
            <v>42295</v>
          </cell>
          <cell r="L862">
            <v>0</v>
          </cell>
          <cell r="N862">
            <v>0</v>
          </cell>
        </row>
        <row r="863">
          <cell r="B863">
            <v>42295</v>
          </cell>
          <cell r="L863">
            <v>0</v>
          </cell>
          <cell r="N863">
            <v>0</v>
          </cell>
        </row>
        <row r="864">
          <cell r="B864">
            <v>42295</v>
          </cell>
          <cell r="L864">
            <v>0</v>
          </cell>
          <cell r="N864">
            <v>0</v>
          </cell>
        </row>
        <row r="865">
          <cell r="B865">
            <v>42295</v>
          </cell>
          <cell r="L865">
            <v>0</v>
          </cell>
          <cell r="N865">
            <v>0</v>
          </cell>
        </row>
        <row r="866">
          <cell r="B866">
            <v>42295</v>
          </cell>
          <cell r="L866">
            <v>0</v>
          </cell>
          <cell r="N866">
            <v>0</v>
          </cell>
        </row>
        <row r="867">
          <cell r="B867">
            <v>42295</v>
          </cell>
          <cell r="L867">
            <v>0</v>
          </cell>
          <cell r="N867">
            <v>0</v>
          </cell>
        </row>
        <row r="868">
          <cell r="B868">
            <v>42295</v>
          </cell>
          <cell r="L868">
            <v>0</v>
          </cell>
          <cell r="N868">
            <v>0</v>
          </cell>
        </row>
        <row r="869">
          <cell r="B869">
            <v>42295</v>
          </cell>
          <cell r="L869">
            <v>0</v>
          </cell>
          <cell r="N869">
            <v>0</v>
          </cell>
        </row>
        <row r="870">
          <cell r="B870">
            <v>42295</v>
          </cell>
          <cell r="L870">
            <v>0</v>
          </cell>
          <cell r="N870">
            <v>0</v>
          </cell>
        </row>
        <row r="871">
          <cell r="B871">
            <v>42295</v>
          </cell>
          <cell r="L871">
            <v>0</v>
          </cell>
          <cell r="N871">
            <v>0</v>
          </cell>
        </row>
        <row r="872">
          <cell r="B872">
            <v>42295</v>
          </cell>
          <cell r="L872">
            <v>9.3184980964478186</v>
          </cell>
          <cell r="N872">
            <v>0.48075509814786133</v>
          </cell>
        </row>
        <row r="873">
          <cell r="B873">
            <v>42295</v>
          </cell>
          <cell r="L873">
            <v>11.585772572469185</v>
          </cell>
          <cell r="N873">
            <v>0.36243124901104079</v>
          </cell>
        </row>
        <row r="874">
          <cell r="B874">
            <v>42295</v>
          </cell>
          <cell r="L874">
            <v>11.303087164173915</v>
          </cell>
          <cell r="N874">
            <v>0.45642073447056852</v>
          </cell>
        </row>
        <row r="875">
          <cell r="B875">
            <v>42295</v>
          </cell>
          <cell r="L875">
            <v>12.844067009323734</v>
          </cell>
          <cell r="N875">
            <v>0.48513584279983191</v>
          </cell>
        </row>
        <row r="876">
          <cell r="B876">
            <v>42295</v>
          </cell>
          <cell r="L876">
            <v>14.458046657535155</v>
          </cell>
          <cell r="N876">
            <v>0.52330962077105525</v>
          </cell>
        </row>
        <row r="877">
          <cell r="B877">
            <v>42295</v>
          </cell>
          <cell r="L877">
            <v>14.592136561069307</v>
          </cell>
          <cell r="N877">
            <v>0.48695541566856826</v>
          </cell>
        </row>
        <row r="878">
          <cell r="B878">
            <v>42295</v>
          </cell>
          <cell r="L878">
            <v>12.707181700461026</v>
          </cell>
          <cell r="N878">
            <v>0.49748781009376786</v>
          </cell>
        </row>
        <row r="879">
          <cell r="B879">
            <v>42295</v>
          </cell>
          <cell r="L879">
            <v>12.193603015690403</v>
          </cell>
          <cell r="N879">
            <v>0.48017783625437527</v>
          </cell>
        </row>
        <row r="880">
          <cell r="B880">
            <v>42295</v>
          </cell>
          <cell r="L880">
            <v>14.981372266056963</v>
          </cell>
          <cell r="N880">
            <v>0.34396196476525076</v>
          </cell>
        </row>
        <row r="881">
          <cell r="B881">
            <v>42295</v>
          </cell>
          <cell r="L881">
            <v>13.060683513998377</v>
          </cell>
          <cell r="N881">
            <v>0.31873013343455864</v>
          </cell>
        </row>
        <row r="882">
          <cell r="B882">
            <v>42295</v>
          </cell>
          <cell r="L882">
            <v>13.946819454464151</v>
          </cell>
          <cell r="N882">
            <v>0.29390443578400549</v>
          </cell>
        </row>
        <row r="883">
          <cell r="B883">
            <v>42295</v>
          </cell>
          <cell r="L883">
            <v>22.021293875469713</v>
          </cell>
          <cell r="N883">
            <v>0.16967008515251686</v>
          </cell>
        </row>
        <row r="884">
          <cell r="B884">
            <v>42295</v>
          </cell>
          <cell r="L884">
            <v>22.97834584849728</v>
          </cell>
          <cell r="N884">
            <v>0.15866386352989154</v>
          </cell>
        </row>
        <row r="885">
          <cell r="B885">
            <v>42295</v>
          </cell>
          <cell r="L885">
            <v>14.644623318544426</v>
          </cell>
          <cell r="N885">
            <v>0.21807627074073588</v>
          </cell>
        </row>
        <row r="886">
          <cell r="B886">
            <v>42295</v>
          </cell>
          <cell r="L886">
            <v>13.441959358300979</v>
          </cell>
          <cell r="N886">
            <v>0.28019998073807878</v>
          </cell>
        </row>
        <row r="887">
          <cell r="B887">
            <v>42295</v>
          </cell>
          <cell r="L887">
            <v>11.994971968554463</v>
          </cell>
          <cell r="N887">
            <v>0.2933765249493886</v>
          </cell>
        </row>
        <row r="888">
          <cell r="B888">
            <v>42295</v>
          </cell>
          <cell r="L888">
            <v>11.433440803906601</v>
          </cell>
          <cell r="N888">
            <v>0.28635510884507953</v>
          </cell>
        </row>
        <row r="889">
          <cell r="B889">
            <v>42295</v>
          </cell>
          <cell r="L889">
            <v>9.9904617231376989</v>
          </cell>
          <cell r="N889">
            <v>0.33147545324869726</v>
          </cell>
        </row>
        <row r="890">
          <cell r="B890">
            <v>42295</v>
          </cell>
          <cell r="L890">
            <v>9.3175701125719108</v>
          </cell>
          <cell r="N890">
            <v>0.36311716256740839</v>
          </cell>
        </row>
        <row r="891">
          <cell r="B891">
            <v>42295</v>
          </cell>
          <cell r="L891">
            <v>10.91441160572905</v>
          </cell>
          <cell r="N891">
            <v>0.29548023425130276</v>
          </cell>
        </row>
        <row r="892">
          <cell r="B892">
            <v>42295</v>
          </cell>
          <cell r="L892">
            <v>9.1875941714884117</v>
          </cell>
          <cell r="N892">
            <v>0.33349683609230696</v>
          </cell>
        </row>
        <row r="893">
          <cell r="B893">
            <v>42295</v>
          </cell>
          <cell r="L893">
            <v>9.7309029177282387</v>
          </cell>
          <cell r="N893">
            <v>0.31214787986680914</v>
          </cell>
        </row>
        <row r="894">
          <cell r="B894">
            <v>42295</v>
          </cell>
          <cell r="L894">
            <v>10.64833845540098</v>
          </cell>
          <cell r="N894">
            <v>0.26452465667116443</v>
          </cell>
        </row>
        <row r="895">
          <cell r="B895">
            <v>42295</v>
          </cell>
          <cell r="L895">
            <v>10.378034479225416</v>
          </cell>
          <cell r="N895">
            <v>0.24119014321087492</v>
          </cell>
        </row>
        <row r="896">
          <cell r="B896">
            <v>42295</v>
          </cell>
          <cell r="L896">
            <v>0</v>
          </cell>
          <cell r="N896">
            <v>0</v>
          </cell>
        </row>
        <row r="897">
          <cell r="B897">
            <v>42295</v>
          </cell>
          <cell r="L897">
            <v>0</v>
          </cell>
          <cell r="N897">
            <v>0</v>
          </cell>
        </row>
        <row r="898">
          <cell r="B898">
            <v>42295</v>
          </cell>
          <cell r="L898">
            <v>0</v>
          </cell>
          <cell r="N898">
            <v>0</v>
          </cell>
        </row>
        <row r="899">
          <cell r="B899">
            <v>42295</v>
          </cell>
          <cell r="L899">
            <v>0</v>
          </cell>
          <cell r="N899">
            <v>0</v>
          </cell>
        </row>
        <row r="900">
          <cell r="B900">
            <v>42295</v>
          </cell>
          <cell r="L900">
            <v>0</v>
          </cell>
          <cell r="N900">
            <v>0</v>
          </cell>
        </row>
        <row r="901">
          <cell r="B901">
            <v>42295</v>
          </cell>
          <cell r="L901">
            <v>0</v>
          </cell>
          <cell r="N901">
            <v>0</v>
          </cell>
        </row>
        <row r="902">
          <cell r="B902">
            <v>42296</v>
          </cell>
          <cell r="L902">
            <v>0</v>
          </cell>
          <cell r="N902">
            <v>0</v>
          </cell>
        </row>
        <row r="903">
          <cell r="B903">
            <v>42296</v>
          </cell>
          <cell r="L903">
            <v>0</v>
          </cell>
          <cell r="N903">
            <v>0</v>
          </cell>
        </row>
        <row r="904">
          <cell r="B904">
            <v>42296</v>
          </cell>
          <cell r="L904">
            <v>0</v>
          </cell>
          <cell r="N904">
            <v>0</v>
          </cell>
        </row>
        <row r="905">
          <cell r="B905">
            <v>42296</v>
          </cell>
          <cell r="L905">
            <v>0</v>
          </cell>
          <cell r="N905">
            <v>0</v>
          </cell>
        </row>
        <row r="906">
          <cell r="B906">
            <v>42296</v>
          </cell>
          <cell r="L906">
            <v>0</v>
          </cell>
          <cell r="N906">
            <v>0</v>
          </cell>
        </row>
        <row r="907">
          <cell r="B907">
            <v>42296</v>
          </cell>
          <cell r="L907">
            <v>0</v>
          </cell>
          <cell r="N907">
            <v>0</v>
          </cell>
        </row>
        <row r="908">
          <cell r="B908">
            <v>42296</v>
          </cell>
          <cell r="L908">
            <v>0</v>
          </cell>
          <cell r="N908">
            <v>0</v>
          </cell>
        </row>
        <row r="909">
          <cell r="B909">
            <v>42296</v>
          </cell>
          <cell r="L909">
            <v>0</v>
          </cell>
          <cell r="N909">
            <v>0</v>
          </cell>
        </row>
        <row r="910">
          <cell r="B910">
            <v>42296</v>
          </cell>
          <cell r="L910">
            <v>0</v>
          </cell>
          <cell r="N910">
            <v>0</v>
          </cell>
        </row>
        <row r="911">
          <cell r="B911">
            <v>42296</v>
          </cell>
          <cell r="L911">
            <v>0</v>
          </cell>
          <cell r="N911">
            <v>0</v>
          </cell>
        </row>
        <row r="912">
          <cell r="B912">
            <v>42296</v>
          </cell>
          <cell r="L912">
            <v>0</v>
          </cell>
          <cell r="N912">
            <v>0</v>
          </cell>
        </row>
        <row r="913">
          <cell r="B913">
            <v>42296</v>
          </cell>
          <cell r="L913">
            <v>0</v>
          </cell>
          <cell r="N913">
            <v>0</v>
          </cell>
        </row>
        <row r="914">
          <cell r="B914">
            <v>42296</v>
          </cell>
          <cell r="L914">
            <v>0</v>
          </cell>
          <cell r="N914">
            <v>0</v>
          </cell>
        </row>
        <row r="915">
          <cell r="B915">
            <v>42296</v>
          </cell>
          <cell r="L915">
            <v>0</v>
          </cell>
          <cell r="N915">
            <v>0</v>
          </cell>
        </row>
        <row r="916">
          <cell r="B916">
            <v>42296</v>
          </cell>
          <cell r="L916">
            <v>0</v>
          </cell>
          <cell r="N916">
            <v>0</v>
          </cell>
        </row>
        <row r="917">
          <cell r="B917">
            <v>42296</v>
          </cell>
          <cell r="L917">
            <v>0</v>
          </cell>
          <cell r="N917">
            <v>0</v>
          </cell>
        </row>
        <row r="918">
          <cell r="B918">
            <v>42296</v>
          </cell>
          <cell r="L918">
            <v>55.618033863298272</v>
          </cell>
          <cell r="N918">
            <v>0.57847530035085259</v>
          </cell>
        </row>
        <row r="919">
          <cell r="B919">
            <v>42296</v>
          </cell>
          <cell r="L919">
            <v>93.76878085967374</v>
          </cell>
          <cell r="N919">
            <v>0.64639098431117448</v>
          </cell>
        </row>
        <row r="920">
          <cell r="B920">
            <v>42296</v>
          </cell>
          <cell r="L920">
            <v>123.24180779651179</v>
          </cell>
          <cell r="N920">
            <v>0.7663676327230633</v>
          </cell>
        </row>
        <row r="921">
          <cell r="B921">
            <v>42296</v>
          </cell>
          <cell r="L921">
            <v>146.79528933519765</v>
          </cell>
          <cell r="N921">
            <v>0.84652797907280664</v>
          </cell>
        </row>
        <row r="922">
          <cell r="B922">
            <v>42296</v>
          </cell>
          <cell r="L922">
            <v>155.850146085387</v>
          </cell>
          <cell r="N922">
            <v>0.88257289712929987</v>
          </cell>
        </row>
        <row r="923">
          <cell r="B923">
            <v>42296</v>
          </cell>
          <cell r="L923">
            <v>166.4682842991175</v>
          </cell>
          <cell r="N923">
            <v>0.89130195827481051</v>
          </cell>
        </row>
        <row r="924">
          <cell r="B924">
            <v>42296</v>
          </cell>
          <cell r="L924">
            <v>166.08039755311563</v>
          </cell>
          <cell r="N924">
            <v>0.88512693564759315</v>
          </cell>
        </row>
        <row r="925">
          <cell r="B925">
            <v>42296</v>
          </cell>
          <cell r="L925">
            <v>150.4416317394396</v>
          </cell>
          <cell r="N925">
            <v>0.92131561165172859</v>
          </cell>
        </row>
        <row r="926">
          <cell r="B926">
            <v>42296</v>
          </cell>
          <cell r="L926">
            <v>133.93712088254452</v>
          </cell>
          <cell r="N926">
            <v>0.88880981080727417</v>
          </cell>
        </row>
        <row r="927">
          <cell r="B927">
            <v>42296</v>
          </cell>
          <cell r="L927">
            <v>118.80478279151552</v>
          </cell>
          <cell r="N927">
            <v>0.88711474041429172</v>
          </cell>
        </row>
        <row r="928">
          <cell r="B928">
            <v>42296</v>
          </cell>
          <cell r="L928">
            <v>125.31202148783768</v>
          </cell>
          <cell r="N928">
            <v>0.79741031607940926</v>
          </cell>
        </row>
        <row r="929">
          <cell r="B929">
            <v>42296</v>
          </cell>
          <cell r="L929">
            <v>142.19638078424657</v>
          </cell>
          <cell r="N929">
            <v>0.75625659257974609</v>
          </cell>
        </row>
        <row r="930">
          <cell r="B930">
            <v>42296</v>
          </cell>
          <cell r="L930">
            <v>152.52091349300605</v>
          </cell>
          <cell r="N930">
            <v>0.76213208570232138</v>
          </cell>
        </row>
        <row r="931">
          <cell r="B931">
            <v>42296</v>
          </cell>
          <cell r="L931">
            <v>161.66485315086013</v>
          </cell>
          <cell r="N931">
            <v>0.7940873528602943</v>
          </cell>
        </row>
        <row r="932">
          <cell r="B932">
            <v>42296</v>
          </cell>
          <cell r="L932">
            <v>157.9634134007149</v>
          </cell>
          <cell r="N932">
            <v>0.81656755156145133</v>
          </cell>
        </row>
        <row r="933">
          <cell r="B933">
            <v>42296</v>
          </cell>
          <cell r="L933">
            <v>154.25440461910338</v>
          </cell>
          <cell r="N933">
            <v>0.83654469267201814</v>
          </cell>
        </row>
        <row r="934">
          <cell r="B934">
            <v>42296</v>
          </cell>
          <cell r="L934">
            <v>153.40654471834694</v>
          </cell>
          <cell r="N934">
            <v>0.83840754236595316</v>
          </cell>
        </row>
        <row r="935">
          <cell r="B935">
            <v>42296</v>
          </cell>
          <cell r="L935">
            <v>140.28760107997306</v>
          </cell>
          <cell r="N935">
            <v>0.84935680238955058</v>
          </cell>
        </row>
        <row r="936">
          <cell r="B936">
            <v>42296</v>
          </cell>
          <cell r="L936">
            <v>122.15139737766566</v>
          </cell>
          <cell r="N936">
            <v>0.89235364756149682</v>
          </cell>
        </row>
        <row r="937">
          <cell r="B937">
            <v>42296</v>
          </cell>
          <cell r="L937">
            <v>94.412802054265597</v>
          </cell>
          <cell r="N937">
            <v>0.95644127680695135</v>
          </cell>
        </row>
        <row r="938">
          <cell r="B938">
            <v>42296</v>
          </cell>
          <cell r="L938">
            <v>65.000177644841401</v>
          </cell>
          <cell r="N938">
            <v>1</v>
          </cell>
        </row>
        <row r="939">
          <cell r="B939">
            <v>42296</v>
          </cell>
          <cell r="L939">
            <v>52.40572614715456</v>
          </cell>
          <cell r="N939">
            <v>1</v>
          </cell>
        </row>
        <row r="940">
          <cell r="B940">
            <v>42296</v>
          </cell>
          <cell r="L940">
            <v>42.353341056345869</v>
          </cell>
          <cell r="N940">
            <v>0.97364797564537575</v>
          </cell>
        </row>
        <row r="941">
          <cell r="B941">
            <v>42296</v>
          </cell>
          <cell r="L941">
            <v>43.277356020148034</v>
          </cell>
          <cell r="N941">
            <v>0.78740180753090983</v>
          </cell>
        </row>
        <row r="942">
          <cell r="B942">
            <v>42296</v>
          </cell>
          <cell r="L942">
            <v>35.295576776207177</v>
          </cell>
          <cell r="N942">
            <v>0.70198272187689381</v>
          </cell>
        </row>
        <row r="943">
          <cell r="B943">
            <v>42296</v>
          </cell>
          <cell r="L943">
            <v>31.973188788359849</v>
          </cell>
          <cell r="N943">
            <v>0.60778144666034717</v>
          </cell>
        </row>
        <row r="944">
          <cell r="B944">
            <v>42296</v>
          </cell>
          <cell r="L944">
            <v>26.217638253112096</v>
          </cell>
          <cell r="N944">
            <v>0.50190351260124333</v>
          </cell>
        </row>
        <row r="945">
          <cell r="B945">
            <v>42296</v>
          </cell>
          <cell r="L945">
            <v>16.386969164838163</v>
          </cell>
          <cell r="N945">
            <v>0.53997473440673427</v>
          </cell>
        </row>
        <row r="946">
          <cell r="B946">
            <v>42296</v>
          </cell>
          <cell r="L946">
            <v>0</v>
          </cell>
          <cell r="N946">
            <v>0</v>
          </cell>
        </row>
        <row r="947">
          <cell r="B947">
            <v>42296</v>
          </cell>
          <cell r="L947">
            <v>0</v>
          </cell>
          <cell r="N947">
            <v>0</v>
          </cell>
        </row>
        <row r="948">
          <cell r="B948">
            <v>42296</v>
          </cell>
          <cell r="L948">
            <v>0</v>
          </cell>
          <cell r="N948">
            <v>0</v>
          </cell>
        </row>
        <row r="949">
          <cell r="B949">
            <v>42296</v>
          </cell>
          <cell r="L949">
            <v>0</v>
          </cell>
          <cell r="N949">
            <v>0</v>
          </cell>
        </row>
        <row r="950">
          <cell r="B950">
            <v>42297</v>
          </cell>
          <cell r="L950">
            <v>0</v>
          </cell>
          <cell r="N950">
            <v>0</v>
          </cell>
        </row>
        <row r="951">
          <cell r="B951">
            <v>42297</v>
          </cell>
          <cell r="L951">
            <v>0</v>
          </cell>
          <cell r="N951">
            <v>0</v>
          </cell>
        </row>
        <row r="952">
          <cell r="B952">
            <v>42297</v>
          </cell>
          <cell r="L952">
            <v>0</v>
          </cell>
          <cell r="N952">
            <v>0</v>
          </cell>
        </row>
        <row r="953">
          <cell r="B953">
            <v>42297</v>
          </cell>
          <cell r="L953">
            <v>0</v>
          </cell>
          <cell r="N953">
            <v>0</v>
          </cell>
        </row>
        <row r="954">
          <cell r="B954">
            <v>42297</v>
          </cell>
          <cell r="L954">
            <v>0</v>
          </cell>
          <cell r="N954">
            <v>0</v>
          </cell>
        </row>
        <row r="955">
          <cell r="B955">
            <v>42297</v>
          </cell>
          <cell r="L955">
            <v>0</v>
          </cell>
          <cell r="N955">
            <v>0</v>
          </cell>
        </row>
        <row r="956">
          <cell r="B956">
            <v>42297</v>
          </cell>
          <cell r="L956">
            <v>0</v>
          </cell>
          <cell r="N956">
            <v>0</v>
          </cell>
        </row>
        <row r="957">
          <cell r="B957">
            <v>42297</v>
          </cell>
          <cell r="L957">
            <v>0</v>
          </cell>
          <cell r="N957">
            <v>0</v>
          </cell>
        </row>
        <row r="958">
          <cell r="B958">
            <v>42297</v>
          </cell>
          <cell r="L958">
            <v>0</v>
          </cell>
          <cell r="N958">
            <v>0</v>
          </cell>
        </row>
        <row r="959">
          <cell r="B959">
            <v>42297</v>
          </cell>
          <cell r="L959">
            <v>0</v>
          </cell>
          <cell r="N959">
            <v>0</v>
          </cell>
        </row>
        <row r="960">
          <cell r="B960">
            <v>42297</v>
          </cell>
          <cell r="L960">
            <v>0</v>
          </cell>
          <cell r="N960">
            <v>0</v>
          </cell>
        </row>
        <row r="961">
          <cell r="B961">
            <v>42297</v>
          </cell>
          <cell r="L961">
            <v>0</v>
          </cell>
          <cell r="N961">
            <v>0</v>
          </cell>
        </row>
        <row r="962">
          <cell r="B962">
            <v>42297</v>
          </cell>
          <cell r="L962">
            <v>0</v>
          </cell>
          <cell r="N962">
            <v>0</v>
          </cell>
        </row>
        <row r="963">
          <cell r="B963">
            <v>42297</v>
          </cell>
          <cell r="L963">
            <v>0</v>
          </cell>
          <cell r="N963">
            <v>0</v>
          </cell>
        </row>
        <row r="964">
          <cell r="B964">
            <v>42297</v>
          </cell>
          <cell r="L964">
            <v>0</v>
          </cell>
          <cell r="N964">
            <v>0</v>
          </cell>
        </row>
        <row r="965">
          <cell r="B965">
            <v>42297</v>
          </cell>
          <cell r="L965">
            <v>0</v>
          </cell>
          <cell r="N965">
            <v>0</v>
          </cell>
        </row>
        <row r="966">
          <cell r="B966">
            <v>42297</v>
          </cell>
          <cell r="L966">
            <v>58.013777928419955</v>
          </cell>
          <cell r="N966">
            <v>0.5546098222871777</v>
          </cell>
        </row>
        <row r="967">
          <cell r="B967">
            <v>42297</v>
          </cell>
          <cell r="L967">
            <v>97.807866469754984</v>
          </cell>
          <cell r="N967">
            <v>0.61972358840459152</v>
          </cell>
        </row>
        <row r="968">
          <cell r="B968">
            <v>42297</v>
          </cell>
          <cell r="L968">
            <v>126.40163955059957</v>
          </cell>
          <cell r="N968">
            <v>0.7472411148787037</v>
          </cell>
        </row>
        <row r="969">
          <cell r="B969">
            <v>42297</v>
          </cell>
          <cell r="L969">
            <v>150.55901549992362</v>
          </cell>
          <cell r="N969">
            <v>0.82540087008993501</v>
          </cell>
        </row>
        <row r="970">
          <cell r="B970">
            <v>42297</v>
          </cell>
          <cell r="L970">
            <v>165.9464406666815</v>
          </cell>
          <cell r="N970">
            <v>0.82891139714889794</v>
          </cell>
        </row>
        <row r="971">
          <cell r="B971">
            <v>42297</v>
          </cell>
          <cell r="L971">
            <v>177.25244381992886</v>
          </cell>
          <cell r="N971">
            <v>0.83710972081537127</v>
          </cell>
        </row>
        <row r="972">
          <cell r="B972">
            <v>42297</v>
          </cell>
          <cell r="L972">
            <v>172.97325940401879</v>
          </cell>
          <cell r="N972">
            <v>0.84989097276766956</v>
          </cell>
        </row>
        <row r="973">
          <cell r="B973">
            <v>42297</v>
          </cell>
          <cell r="L973">
            <v>156.68543533987813</v>
          </cell>
          <cell r="N973">
            <v>0.88463901602976514</v>
          </cell>
        </row>
        <row r="974">
          <cell r="B974">
            <v>42297</v>
          </cell>
          <cell r="L974">
            <v>126.26142956680681</v>
          </cell>
          <cell r="N974">
            <v>0.94288200912498876</v>
          </cell>
        </row>
        <row r="975">
          <cell r="B975">
            <v>42297</v>
          </cell>
          <cell r="L975">
            <v>111.99629808218215</v>
          </cell>
          <cell r="N975">
            <v>0.94108381635268823</v>
          </cell>
        </row>
        <row r="976">
          <cell r="B976">
            <v>42297</v>
          </cell>
          <cell r="L976">
            <v>116.26037460202453</v>
          </cell>
          <cell r="N976">
            <v>0.85953016017697548</v>
          </cell>
        </row>
        <row r="977">
          <cell r="B977">
            <v>42297</v>
          </cell>
          <cell r="L977">
            <v>131.92512817801077</v>
          </cell>
          <cell r="N977">
            <v>0.81517048004960946</v>
          </cell>
        </row>
        <row r="978">
          <cell r="B978">
            <v>42297</v>
          </cell>
          <cell r="L978">
            <v>149.7952771501981</v>
          </cell>
          <cell r="N978">
            <v>0.77603225955157196</v>
          </cell>
        </row>
        <row r="979">
          <cell r="B979">
            <v>42297</v>
          </cell>
          <cell r="L979">
            <v>158.77580935344739</v>
          </cell>
          <cell r="N979">
            <v>0.80857034401540051</v>
          </cell>
        </row>
        <row r="980">
          <cell r="B980">
            <v>42297</v>
          </cell>
          <cell r="L980">
            <v>163.29614682820423</v>
          </cell>
          <cell r="N980">
            <v>0.78993424790530609</v>
          </cell>
        </row>
        <row r="981">
          <cell r="B981">
            <v>42297</v>
          </cell>
          <cell r="L981">
            <v>159.46192452602656</v>
          </cell>
          <cell r="N981">
            <v>0.80925981124455171</v>
          </cell>
        </row>
        <row r="982">
          <cell r="B982">
            <v>42297</v>
          </cell>
          <cell r="L982">
            <v>157.00156365765812</v>
          </cell>
          <cell r="N982">
            <v>0.81924413223455839</v>
          </cell>
        </row>
        <row r="983">
          <cell r="B983">
            <v>42297</v>
          </cell>
          <cell r="L983">
            <v>143.57518300002084</v>
          </cell>
          <cell r="N983">
            <v>0.82994312594986941</v>
          </cell>
        </row>
        <row r="984">
          <cell r="B984">
            <v>42297</v>
          </cell>
          <cell r="L984">
            <v>122.28447068496419</v>
          </cell>
          <cell r="N984">
            <v>0.89142002772072249</v>
          </cell>
        </row>
        <row r="985">
          <cell r="B985">
            <v>42297</v>
          </cell>
          <cell r="L985">
            <v>94.515656578163004</v>
          </cell>
          <cell r="N985">
            <v>0.95544060565487809</v>
          </cell>
        </row>
        <row r="986">
          <cell r="B986">
            <v>42297</v>
          </cell>
          <cell r="L986">
            <v>63.746379406852682</v>
          </cell>
          <cell r="N986">
            <v>1</v>
          </cell>
        </row>
        <row r="987">
          <cell r="B987">
            <v>42297</v>
          </cell>
          <cell r="L987">
            <v>51.394864185163655</v>
          </cell>
          <cell r="N987">
            <v>1</v>
          </cell>
        </row>
        <row r="988">
          <cell r="B988">
            <v>42297</v>
          </cell>
          <cell r="L988">
            <v>40.778349700443073</v>
          </cell>
          <cell r="N988">
            <v>1</v>
          </cell>
        </row>
        <row r="989">
          <cell r="B989">
            <v>42297</v>
          </cell>
          <cell r="L989">
            <v>41.668003370793159</v>
          </cell>
          <cell r="N989">
            <v>0.81784817613258709</v>
          </cell>
        </row>
        <row r="990">
          <cell r="B990">
            <v>42297</v>
          </cell>
          <cell r="L990">
            <v>35.690204193081044</v>
          </cell>
          <cell r="N990">
            <v>0.69425005994499311</v>
          </cell>
        </row>
        <row r="991">
          <cell r="B991">
            <v>42297</v>
          </cell>
          <cell r="L991">
            <v>32.330669754906239</v>
          </cell>
          <cell r="N991">
            <v>0.60108645501875779</v>
          </cell>
        </row>
        <row r="992">
          <cell r="B992">
            <v>42297</v>
          </cell>
          <cell r="L992">
            <v>25.570753939383017</v>
          </cell>
          <cell r="N992">
            <v>0.51462220508257661</v>
          </cell>
        </row>
        <row r="993">
          <cell r="B993">
            <v>42297</v>
          </cell>
          <cell r="L993">
            <v>15.982643145844534</v>
          </cell>
          <cell r="N993">
            <v>0.55365818634954878</v>
          </cell>
        </row>
        <row r="994">
          <cell r="B994">
            <v>42297</v>
          </cell>
          <cell r="L994">
            <v>0</v>
          </cell>
          <cell r="N994">
            <v>0</v>
          </cell>
        </row>
        <row r="995">
          <cell r="B995">
            <v>42297</v>
          </cell>
          <cell r="L995">
            <v>0</v>
          </cell>
          <cell r="N995">
            <v>0</v>
          </cell>
        </row>
        <row r="996">
          <cell r="B996">
            <v>42297</v>
          </cell>
          <cell r="L996">
            <v>0</v>
          </cell>
          <cell r="N996">
            <v>0</v>
          </cell>
        </row>
        <row r="997">
          <cell r="B997">
            <v>42297</v>
          </cell>
          <cell r="L997">
            <v>0</v>
          </cell>
          <cell r="N997">
            <v>0</v>
          </cell>
        </row>
        <row r="998">
          <cell r="B998">
            <v>42298</v>
          </cell>
          <cell r="L998">
            <v>0</v>
          </cell>
          <cell r="N998">
            <v>0</v>
          </cell>
        </row>
        <row r="999">
          <cell r="B999">
            <v>42298</v>
          </cell>
          <cell r="L999">
            <v>0</v>
          </cell>
          <cell r="N999">
            <v>0</v>
          </cell>
        </row>
        <row r="1000">
          <cell r="B1000">
            <v>42298</v>
          </cell>
          <cell r="L1000">
            <v>0</v>
          </cell>
          <cell r="N1000">
            <v>0</v>
          </cell>
        </row>
        <row r="1001">
          <cell r="B1001">
            <v>42298</v>
          </cell>
          <cell r="L1001">
            <v>0</v>
          </cell>
          <cell r="N1001">
            <v>0</v>
          </cell>
        </row>
        <row r="1002">
          <cell r="B1002">
            <v>42298</v>
          </cell>
          <cell r="L1002">
            <v>0</v>
          </cell>
          <cell r="N1002">
            <v>0</v>
          </cell>
        </row>
        <row r="1003">
          <cell r="B1003">
            <v>42298</v>
          </cell>
          <cell r="L1003">
            <v>0</v>
          </cell>
          <cell r="N1003">
            <v>0</v>
          </cell>
        </row>
        <row r="1004">
          <cell r="B1004">
            <v>42298</v>
          </cell>
          <cell r="L1004">
            <v>0</v>
          </cell>
          <cell r="N1004">
            <v>0</v>
          </cell>
        </row>
        <row r="1005">
          <cell r="B1005">
            <v>42298</v>
          </cell>
          <cell r="L1005">
            <v>0</v>
          </cell>
          <cell r="N1005">
            <v>0</v>
          </cell>
        </row>
        <row r="1006">
          <cell r="B1006">
            <v>42298</v>
          </cell>
          <cell r="L1006">
            <v>0</v>
          </cell>
          <cell r="N1006">
            <v>0</v>
          </cell>
        </row>
        <row r="1007">
          <cell r="B1007">
            <v>42298</v>
          </cell>
          <cell r="L1007">
            <v>0</v>
          </cell>
          <cell r="N1007">
            <v>0</v>
          </cell>
        </row>
        <row r="1008">
          <cell r="B1008">
            <v>42298</v>
          </cell>
          <cell r="L1008">
            <v>0</v>
          </cell>
          <cell r="N1008">
            <v>0</v>
          </cell>
        </row>
        <row r="1009">
          <cell r="B1009">
            <v>42298</v>
          </cell>
          <cell r="L1009">
            <v>0</v>
          </cell>
          <cell r="N1009">
            <v>0</v>
          </cell>
        </row>
        <row r="1010">
          <cell r="B1010">
            <v>42298</v>
          </cell>
          <cell r="L1010">
            <v>0</v>
          </cell>
          <cell r="N1010">
            <v>0</v>
          </cell>
        </row>
        <row r="1011">
          <cell r="B1011">
            <v>42298</v>
          </cell>
          <cell r="L1011">
            <v>0</v>
          </cell>
          <cell r="N1011">
            <v>0</v>
          </cell>
        </row>
        <row r="1012">
          <cell r="B1012">
            <v>42298</v>
          </cell>
          <cell r="L1012">
            <v>0</v>
          </cell>
          <cell r="N1012">
            <v>0</v>
          </cell>
        </row>
        <row r="1013">
          <cell r="B1013">
            <v>42298</v>
          </cell>
          <cell r="L1013">
            <v>0</v>
          </cell>
          <cell r="N1013">
            <v>0</v>
          </cell>
        </row>
        <row r="1014">
          <cell r="B1014">
            <v>42298</v>
          </cell>
          <cell r="L1014">
            <v>57.079049705463689</v>
          </cell>
          <cell r="N1014">
            <v>0.56302911982806891</v>
          </cell>
        </row>
        <row r="1015">
          <cell r="B1015">
            <v>42298</v>
          </cell>
          <cell r="L1015">
            <v>96.231968872994074</v>
          </cell>
          <cell r="N1015">
            <v>0.62913135053612002</v>
          </cell>
        </row>
        <row r="1016">
          <cell r="B1016">
            <v>42298</v>
          </cell>
          <cell r="L1016">
            <v>130.31581168182709</v>
          </cell>
          <cell r="N1016">
            <v>0.72394444451768925</v>
          </cell>
        </row>
        <row r="1017">
          <cell r="B1017">
            <v>42298</v>
          </cell>
          <cell r="L1017">
            <v>155.22124855852999</v>
          </cell>
          <cell r="N1017">
            <v>0.7996674199313456</v>
          </cell>
        </row>
        <row r="1018">
          <cell r="B1018">
            <v>42298</v>
          </cell>
          <cell r="L1018">
            <v>168.03944397490875</v>
          </cell>
          <cell r="N1018">
            <v>0.81762413595841854</v>
          </cell>
        </row>
        <row r="1019">
          <cell r="B1019">
            <v>42298</v>
          </cell>
          <cell r="L1019">
            <v>179.48804435354708</v>
          </cell>
          <cell r="N1019">
            <v>0.82571082330179935</v>
          </cell>
        </row>
        <row r="1020">
          <cell r="B1020">
            <v>42298</v>
          </cell>
          <cell r="L1020">
            <v>174.52020000866594</v>
          </cell>
          <cell r="N1020">
            <v>0.84136679739389997</v>
          </cell>
        </row>
        <row r="1021">
          <cell r="B1021">
            <v>42298</v>
          </cell>
          <cell r="L1021">
            <v>158.08671009713947</v>
          </cell>
          <cell r="N1021">
            <v>0.87576632722997749</v>
          </cell>
        </row>
        <row r="1022">
          <cell r="B1022">
            <v>42298</v>
          </cell>
          <cell r="L1022">
            <v>135.87633150592939</v>
          </cell>
          <cell r="N1022">
            <v>0.87513111364964058</v>
          </cell>
        </row>
        <row r="1023">
          <cell r="B1023">
            <v>42298</v>
          </cell>
          <cell r="L1023">
            <v>120.52489962977634</v>
          </cell>
          <cell r="N1023">
            <v>0.87346213022631669</v>
          </cell>
        </row>
        <row r="1024">
          <cell r="B1024">
            <v>42298</v>
          </cell>
          <cell r="L1024">
            <v>132.00846172919736</v>
          </cell>
          <cell r="N1024">
            <v>0.75610124668361289</v>
          </cell>
        </row>
        <row r="1025">
          <cell r="B1025">
            <v>42298</v>
          </cell>
          <cell r="L1025">
            <v>149.79508963239766</v>
          </cell>
          <cell r="N1025">
            <v>0.71707945198605183</v>
          </cell>
        </row>
        <row r="1026">
          <cell r="B1026">
            <v>42298</v>
          </cell>
          <cell r="L1026">
            <v>161.67963935866953</v>
          </cell>
          <cell r="N1026">
            <v>0.71814385796854086</v>
          </cell>
        </row>
        <row r="1027">
          <cell r="B1027">
            <v>42298</v>
          </cell>
          <cell r="L1027">
            <v>171.3726633010358</v>
          </cell>
          <cell r="N1027">
            <v>0.74825475248375417</v>
          </cell>
        </row>
        <row r="1028">
          <cell r="B1028">
            <v>42298</v>
          </cell>
          <cell r="L1028">
            <v>176.02364761726352</v>
          </cell>
          <cell r="N1028">
            <v>0.7319556209753858</v>
          </cell>
        </row>
        <row r="1029">
          <cell r="B1029">
            <v>42298</v>
          </cell>
          <cell r="L1029">
            <v>171.89058135382732</v>
          </cell>
          <cell r="N1029">
            <v>0.7498627502740417</v>
          </cell>
        </row>
        <row r="1030">
          <cell r="B1030">
            <v>42298</v>
          </cell>
          <cell r="L1030">
            <v>165.67518010104189</v>
          </cell>
          <cell r="N1030">
            <v>0.77544098623807789</v>
          </cell>
        </row>
        <row r="1031">
          <cell r="B1031">
            <v>42298</v>
          </cell>
          <cell r="L1031">
            <v>151.50705348028066</v>
          </cell>
          <cell r="N1031">
            <v>0.78556792875974901</v>
          </cell>
        </row>
        <row r="1032">
          <cell r="B1032">
            <v>42298</v>
          </cell>
          <cell r="L1032">
            <v>118.21743940415958</v>
          </cell>
          <cell r="N1032">
            <v>0.92100297531817954</v>
          </cell>
        </row>
        <row r="1033">
          <cell r="B1033">
            <v>42298</v>
          </cell>
          <cell r="L1033">
            <v>91.372181943354448</v>
          </cell>
          <cell r="N1033">
            <v>0.98714816044455567</v>
          </cell>
        </row>
        <row r="1034">
          <cell r="B1034">
            <v>42298</v>
          </cell>
          <cell r="L1034">
            <v>59.853165445652131</v>
          </cell>
          <cell r="N1034">
            <v>1</v>
          </cell>
        </row>
        <row r="1035">
          <cell r="B1035">
            <v>42298</v>
          </cell>
          <cell r="L1035">
            <v>48.256000383932992</v>
          </cell>
          <cell r="N1035">
            <v>1</v>
          </cell>
        </row>
        <row r="1036">
          <cell r="B1036">
            <v>42298</v>
          </cell>
          <cell r="L1036">
            <v>35.907489700949547</v>
          </cell>
          <cell r="N1036">
            <v>1</v>
          </cell>
        </row>
        <row r="1037">
          <cell r="B1037">
            <v>42298</v>
          </cell>
          <cell r="L1037">
            <v>36.690876724705454</v>
          </cell>
          <cell r="N1037">
            <v>0.9276970530903117</v>
          </cell>
        </row>
        <row r="1038">
          <cell r="B1038">
            <v>42298</v>
          </cell>
          <cell r="L1038">
            <v>31.335583172006054</v>
          </cell>
          <cell r="N1038">
            <v>0.78979806108922501</v>
          </cell>
        </row>
        <row r="1039">
          <cell r="B1039">
            <v>42298</v>
          </cell>
          <cell r="L1039">
            <v>28.385951103858531</v>
          </cell>
          <cell r="N1039">
            <v>0.68381256856992567</v>
          </cell>
        </row>
        <row r="1040">
          <cell r="B1040">
            <v>42298</v>
          </cell>
          <cell r="L1040">
            <v>20.843981129717214</v>
          </cell>
          <cell r="N1040">
            <v>0.63058011207884124</v>
          </cell>
        </row>
        <row r="1041">
          <cell r="B1041">
            <v>42298</v>
          </cell>
          <cell r="L1041">
            <v>13.028239719670379</v>
          </cell>
          <cell r="N1041">
            <v>0.67841192578475196</v>
          </cell>
        </row>
        <row r="1042">
          <cell r="B1042">
            <v>42298</v>
          </cell>
          <cell r="L1042">
            <v>0</v>
          </cell>
          <cell r="N1042">
            <v>0</v>
          </cell>
        </row>
        <row r="1043">
          <cell r="B1043">
            <v>42298</v>
          </cell>
          <cell r="L1043">
            <v>0</v>
          </cell>
          <cell r="N1043">
            <v>0</v>
          </cell>
        </row>
        <row r="1044">
          <cell r="B1044">
            <v>42298</v>
          </cell>
          <cell r="L1044">
            <v>0</v>
          </cell>
          <cell r="N1044">
            <v>0</v>
          </cell>
        </row>
        <row r="1045">
          <cell r="B1045">
            <v>42298</v>
          </cell>
          <cell r="L1045">
            <v>0</v>
          </cell>
          <cell r="N1045">
            <v>0</v>
          </cell>
        </row>
        <row r="1046">
          <cell r="B1046">
            <v>42299</v>
          </cell>
          <cell r="L1046">
            <v>0</v>
          </cell>
          <cell r="N1046">
            <v>0</v>
          </cell>
        </row>
        <row r="1047">
          <cell r="B1047">
            <v>42299</v>
          </cell>
          <cell r="L1047">
            <v>0</v>
          </cell>
          <cell r="N1047">
            <v>0</v>
          </cell>
        </row>
        <row r="1048">
          <cell r="B1048">
            <v>42299</v>
          </cell>
          <cell r="L1048">
            <v>0</v>
          </cell>
          <cell r="N1048">
            <v>0</v>
          </cell>
        </row>
        <row r="1049">
          <cell r="B1049">
            <v>42299</v>
          </cell>
          <cell r="L1049">
            <v>0</v>
          </cell>
          <cell r="N1049">
            <v>0</v>
          </cell>
        </row>
        <row r="1050">
          <cell r="B1050">
            <v>42299</v>
          </cell>
          <cell r="L1050">
            <v>0</v>
          </cell>
          <cell r="N1050">
            <v>0</v>
          </cell>
        </row>
        <row r="1051">
          <cell r="B1051">
            <v>42299</v>
          </cell>
          <cell r="L1051">
            <v>0</v>
          </cell>
          <cell r="N1051">
            <v>0</v>
          </cell>
        </row>
        <row r="1052">
          <cell r="B1052">
            <v>42299</v>
          </cell>
          <cell r="L1052">
            <v>0</v>
          </cell>
          <cell r="N1052">
            <v>0</v>
          </cell>
        </row>
        <row r="1053">
          <cell r="B1053">
            <v>42299</v>
          </cell>
          <cell r="L1053">
            <v>0</v>
          </cell>
          <cell r="N1053">
            <v>0</v>
          </cell>
        </row>
        <row r="1054">
          <cell r="B1054">
            <v>42299</v>
          </cell>
          <cell r="L1054">
            <v>0</v>
          </cell>
          <cell r="N1054">
            <v>0</v>
          </cell>
        </row>
        <row r="1055">
          <cell r="B1055">
            <v>42299</v>
          </cell>
          <cell r="L1055">
            <v>0</v>
          </cell>
          <cell r="N1055">
            <v>0</v>
          </cell>
        </row>
        <row r="1056">
          <cell r="B1056">
            <v>42299</v>
          </cell>
          <cell r="L1056">
            <v>0</v>
          </cell>
          <cell r="N1056">
            <v>0</v>
          </cell>
        </row>
        <row r="1057">
          <cell r="B1057">
            <v>42299</v>
          </cell>
          <cell r="L1057">
            <v>0</v>
          </cell>
          <cell r="N1057">
            <v>0</v>
          </cell>
        </row>
        <row r="1058">
          <cell r="B1058">
            <v>42299</v>
          </cell>
          <cell r="L1058">
            <v>0</v>
          </cell>
          <cell r="N1058">
            <v>0</v>
          </cell>
        </row>
        <row r="1059">
          <cell r="B1059">
            <v>42299</v>
          </cell>
          <cell r="L1059">
            <v>0</v>
          </cell>
          <cell r="N1059">
            <v>0</v>
          </cell>
        </row>
        <row r="1060">
          <cell r="B1060">
            <v>42299</v>
          </cell>
          <cell r="L1060">
            <v>0</v>
          </cell>
          <cell r="N1060">
            <v>0</v>
          </cell>
        </row>
        <row r="1061">
          <cell r="B1061">
            <v>42299</v>
          </cell>
          <cell r="L1061">
            <v>0</v>
          </cell>
          <cell r="N1061">
            <v>0</v>
          </cell>
        </row>
        <row r="1062">
          <cell r="B1062">
            <v>42299</v>
          </cell>
          <cell r="L1062">
            <v>54.587270896330693</v>
          </cell>
          <cell r="N1062">
            <v>0.55976516449146718</v>
          </cell>
        </row>
        <row r="1063">
          <cell r="B1063">
            <v>42299</v>
          </cell>
          <cell r="L1063">
            <v>92.030974251741299</v>
          </cell>
          <cell r="N1063">
            <v>0.62548419170065384</v>
          </cell>
        </row>
        <row r="1064">
          <cell r="B1064">
            <v>42299</v>
          </cell>
          <cell r="L1064">
            <v>130.89431444570684</v>
          </cell>
          <cell r="N1064">
            <v>0.68528500526740077</v>
          </cell>
        </row>
        <row r="1065">
          <cell r="B1065">
            <v>42299</v>
          </cell>
          <cell r="L1065">
            <v>155.91031245756952</v>
          </cell>
          <cell r="N1065">
            <v>0.75696428949725958</v>
          </cell>
        </row>
        <row r="1066">
          <cell r="B1066">
            <v>42299</v>
          </cell>
          <cell r="L1066">
            <v>171.55730766474008</v>
          </cell>
          <cell r="N1066">
            <v>0.76145698664259909</v>
          </cell>
        </row>
        <row r="1067">
          <cell r="B1067">
            <v>42299</v>
          </cell>
          <cell r="L1067">
            <v>183.24558162607258</v>
          </cell>
          <cell r="N1067">
            <v>0.76898815445627111</v>
          </cell>
        </row>
        <row r="1068">
          <cell r="B1068">
            <v>42299</v>
          </cell>
          <cell r="L1068">
            <v>171.34368279303291</v>
          </cell>
          <cell r="N1068">
            <v>0.81480302606240929</v>
          </cell>
        </row>
        <row r="1069">
          <cell r="B1069">
            <v>42299</v>
          </cell>
          <cell r="L1069">
            <v>155.20930589887809</v>
          </cell>
          <cell r="N1069">
            <v>0.84811648826745278</v>
          </cell>
        </row>
        <row r="1070">
          <cell r="B1070">
            <v>42299</v>
          </cell>
          <cell r="L1070">
            <v>127.98692024414194</v>
          </cell>
          <cell r="N1070">
            <v>0.88336666726795454</v>
          </cell>
        </row>
        <row r="1071">
          <cell r="B1071">
            <v>42299</v>
          </cell>
          <cell r="L1071">
            <v>113.52684124884732</v>
          </cell>
          <cell r="N1071">
            <v>0.88168197762386391</v>
          </cell>
        </row>
        <row r="1072">
          <cell r="B1072">
            <v>42299</v>
          </cell>
          <cell r="L1072">
            <v>115.65486108474047</v>
          </cell>
          <cell r="N1072">
            <v>0.82055461424455478</v>
          </cell>
        </row>
        <row r="1073">
          <cell r="B1073">
            <v>42299</v>
          </cell>
          <cell r="L1073">
            <v>131.23802865115422</v>
          </cell>
          <cell r="N1073">
            <v>0.77820643159622493</v>
          </cell>
        </row>
        <row r="1074">
          <cell r="B1074">
            <v>42299</v>
          </cell>
          <cell r="L1074">
            <v>147.25497317250432</v>
          </cell>
          <cell r="N1074">
            <v>0.7496982034826718</v>
          </cell>
        </row>
        <row r="1075">
          <cell r="B1075">
            <v>42299</v>
          </cell>
          <cell r="L1075">
            <v>156.08320897421322</v>
          </cell>
          <cell r="N1075">
            <v>0.78113213315126007</v>
          </cell>
        </row>
        <row r="1076">
          <cell r="B1076">
            <v>42299</v>
          </cell>
          <cell r="L1076">
            <v>154.08121147264109</v>
          </cell>
          <cell r="N1076">
            <v>0.79505237812845431</v>
          </cell>
        </row>
        <row r="1077">
          <cell r="B1077">
            <v>42299</v>
          </cell>
          <cell r="L1077">
            <v>150.46335747638921</v>
          </cell>
          <cell r="N1077">
            <v>0.81450315537008289</v>
          </cell>
        </row>
        <row r="1078">
          <cell r="B1078">
            <v>42299</v>
          </cell>
          <cell r="L1078">
            <v>145.32323875372714</v>
          </cell>
          <cell r="N1078">
            <v>0.84054466125615845</v>
          </cell>
        </row>
        <row r="1079">
          <cell r="B1079">
            <v>42299</v>
          </cell>
          <cell r="L1079">
            <v>132.89555920422427</v>
          </cell>
          <cell r="N1079">
            <v>0.85152183117947378</v>
          </cell>
        </row>
        <row r="1080">
          <cell r="B1080">
            <v>42299</v>
          </cell>
          <cell r="L1080">
            <v>109.05433299850429</v>
          </cell>
          <cell r="N1080">
            <v>0.94926903491575942</v>
          </cell>
        </row>
        <row r="1081">
          <cell r="B1081">
            <v>42299</v>
          </cell>
          <cell r="L1081">
            <v>84.289867947350302</v>
          </cell>
          <cell r="N1081">
            <v>1</v>
          </cell>
        </row>
        <row r="1082">
          <cell r="B1082">
            <v>42299</v>
          </cell>
          <cell r="L1082">
            <v>60.867963987347572</v>
          </cell>
          <cell r="N1082">
            <v>1</v>
          </cell>
        </row>
        <row r="1083">
          <cell r="B1083">
            <v>42299</v>
          </cell>
          <cell r="L1083">
            <v>49.074171293575795</v>
          </cell>
          <cell r="N1083">
            <v>1</v>
          </cell>
        </row>
        <row r="1084">
          <cell r="B1084">
            <v>42299</v>
          </cell>
          <cell r="L1084">
            <v>40.530446195588155</v>
          </cell>
          <cell r="N1084">
            <v>0.96628458952422402</v>
          </cell>
        </row>
        <row r="1085">
          <cell r="B1085">
            <v>42299</v>
          </cell>
          <cell r="L1085">
            <v>41.414691401284642</v>
          </cell>
          <cell r="N1085">
            <v>0.78144694120717551</v>
          </cell>
        </row>
        <row r="1086">
          <cell r="B1086">
            <v>42299</v>
          </cell>
          <cell r="L1086">
            <v>38.023253467806178</v>
          </cell>
          <cell r="N1086">
            <v>0.61886258779893821</v>
          </cell>
        </row>
        <row r="1087">
          <cell r="B1087">
            <v>42299</v>
          </cell>
          <cell r="L1087">
            <v>34.444108087032248</v>
          </cell>
          <cell r="N1087">
            <v>0.53581546550139592</v>
          </cell>
        </row>
        <row r="1088">
          <cell r="B1088">
            <v>42299</v>
          </cell>
          <cell r="L1088">
            <v>29.456144879924505</v>
          </cell>
          <cell r="N1088">
            <v>0.42426254449095324</v>
          </cell>
        </row>
        <row r="1089">
          <cell r="B1089">
            <v>42299</v>
          </cell>
          <cell r="L1089">
            <v>18.411152568444304</v>
          </cell>
          <cell r="N1089">
            <v>0.4564444141721678</v>
          </cell>
        </row>
        <row r="1090">
          <cell r="B1090">
            <v>42299</v>
          </cell>
          <cell r="L1090">
            <v>0</v>
          </cell>
          <cell r="N1090">
            <v>0</v>
          </cell>
        </row>
        <row r="1091">
          <cell r="B1091">
            <v>42299</v>
          </cell>
          <cell r="L1091">
            <v>0</v>
          </cell>
          <cell r="N1091">
            <v>0</v>
          </cell>
        </row>
        <row r="1092">
          <cell r="B1092">
            <v>42299</v>
          </cell>
          <cell r="L1092">
            <v>0</v>
          </cell>
          <cell r="N1092">
            <v>0</v>
          </cell>
        </row>
        <row r="1093">
          <cell r="B1093">
            <v>42299</v>
          </cell>
          <cell r="L1093">
            <v>0</v>
          </cell>
          <cell r="N1093">
            <v>0</v>
          </cell>
        </row>
        <row r="1094">
          <cell r="B1094">
            <v>42300</v>
          </cell>
          <cell r="L1094">
            <v>0</v>
          </cell>
          <cell r="N1094">
            <v>0</v>
          </cell>
        </row>
        <row r="1095">
          <cell r="B1095">
            <v>42300</v>
          </cell>
          <cell r="L1095">
            <v>0</v>
          </cell>
          <cell r="N1095">
            <v>0</v>
          </cell>
        </row>
        <row r="1096">
          <cell r="B1096">
            <v>42300</v>
          </cell>
          <cell r="L1096">
            <v>0</v>
          </cell>
          <cell r="N1096">
            <v>0</v>
          </cell>
        </row>
        <row r="1097">
          <cell r="B1097">
            <v>42300</v>
          </cell>
          <cell r="L1097">
            <v>0</v>
          </cell>
          <cell r="N1097">
            <v>0</v>
          </cell>
        </row>
        <row r="1098">
          <cell r="B1098">
            <v>42300</v>
          </cell>
          <cell r="L1098">
            <v>0</v>
          </cell>
          <cell r="N1098">
            <v>0</v>
          </cell>
        </row>
        <row r="1099">
          <cell r="B1099">
            <v>42300</v>
          </cell>
          <cell r="L1099">
            <v>0</v>
          </cell>
          <cell r="N1099">
            <v>0</v>
          </cell>
        </row>
        <row r="1100">
          <cell r="B1100">
            <v>42300</v>
          </cell>
          <cell r="L1100">
            <v>0</v>
          </cell>
          <cell r="N1100">
            <v>0</v>
          </cell>
        </row>
        <row r="1101">
          <cell r="B1101">
            <v>42300</v>
          </cell>
          <cell r="L1101">
            <v>0</v>
          </cell>
          <cell r="N1101">
            <v>0</v>
          </cell>
        </row>
        <row r="1102">
          <cell r="B1102">
            <v>42300</v>
          </cell>
          <cell r="L1102">
            <v>0</v>
          </cell>
          <cell r="N1102">
            <v>0</v>
          </cell>
        </row>
        <row r="1103">
          <cell r="B1103">
            <v>42300</v>
          </cell>
          <cell r="L1103">
            <v>0</v>
          </cell>
          <cell r="N1103">
            <v>0</v>
          </cell>
        </row>
        <row r="1104">
          <cell r="B1104">
            <v>42300</v>
          </cell>
          <cell r="L1104">
            <v>0</v>
          </cell>
          <cell r="N1104">
            <v>0</v>
          </cell>
        </row>
        <row r="1105">
          <cell r="B1105">
            <v>42300</v>
          </cell>
          <cell r="L1105">
            <v>0</v>
          </cell>
          <cell r="N1105">
            <v>0</v>
          </cell>
        </row>
        <row r="1106">
          <cell r="B1106">
            <v>42300</v>
          </cell>
          <cell r="L1106">
            <v>0</v>
          </cell>
          <cell r="N1106">
            <v>0</v>
          </cell>
        </row>
        <row r="1107">
          <cell r="B1107">
            <v>42300</v>
          </cell>
          <cell r="L1107">
            <v>0</v>
          </cell>
          <cell r="N1107">
            <v>0</v>
          </cell>
        </row>
        <row r="1108">
          <cell r="B1108">
            <v>42300</v>
          </cell>
          <cell r="L1108">
            <v>0</v>
          </cell>
          <cell r="N1108">
            <v>0</v>
          </cell>
        </row>
        <row r="1109">
          <cell r="B1109">
            <v>42300</v>
          </cell>
          <cell r="L1109">
            <v>0</v>
          </cell>
          <cell r="N1109">
            <v>0</v>
          </cell>
        </row>
        <row r="1110">
          <cell r="B1110">
            <v>42300</v>
          </cell>
          <cell r="L1110">
            <v>62.207029734921207</v>
          </cell>
          <cell r="N1110">
            <v>0.42685922491573408</v>
          </cell>
        </row>
        <row r="1111">
          <cell r="B1111">
            <v>42300</v>
          </cell>
          <cell r="L1111">
            <v>104.87744592845485</v>
          </cell>
          <cell r="N1111">
            <v>0.47697447823310446</v>
          </cell>
        </row>
        <row r="1112">
          <cell r="B1112">
            <v>42300</v>
          </cell>
          <cell r="L1112">
            <v>126.35726775771003</v>
          </cell>
          <cell r="N1112">
            <v>0.61690554237774542</v>
          </cell>
        </row>
        <row r="1113">
          <cell r="B1113">
            <v>42300</v>
          </cell>
          <cell r="L1113">
            <v>150.50616354739228</v>
          </cell>
          <cell r="N1113">
            <v>0.68143248718929139</v>
          </cell>
        </row>
        <row r="1114">
          <cell r="B1114">
            <v>42300</v>
          </cell>
          <cell r="L1114">
            <v>169.4151512042987</v>
          </cell>
          <cell r="N1114">
            <v>0.67008398235329625</v>
          </cell>
        </row>
        <row r="1115">
          <cell r="B1115">
            <v>42300</v>
          </cell>
          <cell r="L1115">
            <v>180.95747911460896</v>
          </cell>
          <cell r="N1115">
            <v>0.67671142816951679</v>
          </cell>
        </row>
        <row r="1116">
          <cell r="B1116">
            <v>42300</v>
          </cell>
          <cell r="L1116">
            <v>170.70905079134255</v>
          </cell>
          <cell r="N1116">
            <v>0.71070777987148381</v>
          </cell>
        </row>
        <row r="1117">
          <cell r="B1117">
            <v>42300</v>
          </cell>
          <cell r="L1117">
            <v>154.63443327516686</v>
          </cell>
          <cell r="N1117">
            <v>0.73976527721289109</v>
          </cell>
        </row>
        <row r="1118">
          <cell r="B1118">
            <v>42300</v>
          </cell>
          <cell r="L1118">
            <v>125.3409773057862</v>
          </cell>
          <cell r="N1118">
            <v>0.78386343506567613</v>
          </cell>
        </row>
        <row r="1119">
          <cell r="B1119">
            <v>42300</v>
          </cell>
          <cell r="L1119">
            <v>111.1798393572226</v>
          </cell>
          <cell r="N1119">
            <v>0.78236851040939415</v>
          </cell>
        </row>
        <row r="1120">
          <cell r="B1120">
            <v>42300</v>
          </cell>
          <cell r="L1120">
            <v>114.76561481501314</v>
          </cell>
          <cell r="N1120">
            <v>0.71859879115945235</v>
          </cell>
        </row>
        <row r="1121">
          <cell r="B1121">
            <v>42300</v>
          </cell>
          <cell r="L1121">
            <v>130.22896663396068</v>
          </cell>
          <cell r="N1121">
            <v>0.6815124688956915</v>
          </cell>
        </row>
        <row r="1122">
          <cell r="B1122">
            <v>42300</v>
          </cell>
          <cell r="L1122">
            <v>138.55313706489471</v>
          </cell>
          <cell r="N1122">
            <v>0.69241579197522596</v>
          </cell>
        </row>
        <row r="1123">
          <cell r="B1123">
            <v>42300</v>
          </cell>
          <cell r="L1123">
            <v>146.85968005439679</v>
          </cell>
          <cell r="N1123">
            <v>0.72144794011865188</v>
          </cell>
        </row>
        <row r="1124">
          <cell r="B1124">
            <v>42300</v>
          </cell>
          <cell r="L1124">
            <v>144.02229567770772</v>
          </cell>
          <cell r="N1124">
            <v>0.73916702245664001</v>
          </cell>
        </row>
        <row r="1125">
          <cell r="B1125">
            <v>42300</v>
          </cell>
          <cell r="L1125">
            <v>140.64062679681703</v>
          </cell>
          <cell r="N1125">
            <v>0.75725057706722554</v>
          </cell>
        </row>
        <row r="1126">
          <cell r="B1126">
            <v>42300</v>
          </cell>
          <cell r="L1126">
            <v>138.45120025113974</v>
          </cell>
          <cell r="N1126">
            <v>0.76670098962154865</v>
          </cell>
        </row>
        <row r="1127">
          <cell r="B1127">
            <v>42300</v>
          </cell>
          <cell r="L1127">
            <v>126.61120022966288</v>
          </cell>
          <cell r="N1127">
            <v>0.77671379135759477</v>
          </cell>
        </row>
        <row r="1128">
          <cell r="B1128">
            <v>42300</v>
          </cell>
          <cell r="L1128">
            <v>110.72833609511217</v>
          </cell>
          <cell r="N1128">
            <v>0.81245694048537531</v>
          </cell>
        </row>
        <row r="1129">
          <cell r="B1129">
            <v>42300</v>
          </cell>
          <cell r="L1129">
            <v>85.583732171511556</v>
          </cell>
          <cell r="N1129">
            <v>0.87080649654087983</v>
          </cell>
        </row>
        <row r="1130">
          <cell r="B1130">
            <v>42300</v>
          </cell>
          <cell r="L1130">
            <v>62.553187733494013</v>
          </cell>
          <cell r="N1130">
            <v>0.91838661225508145</v>
          </cell>
        </row>
        <row r="1131">
          <cell r="B1131">
            <v>42300</v>
          </cell>
          <cell r="L1131">
            <v>50.432865643917175</v>
          </cell>
          <cell r="N1131">
            <v>0.90581684706618915</v>
          </cell>
        </row>
        <row r="1132">
          <cell r="B1132">
            <v>42300</v>
          </cell>
          <cell r="L1132">
            <v>40.793941719987352</v>
          </cell>
          <cell r="N1132">
            <v>0.83429118274558878</v>
          </cell>
        </row>
        <row r="1133">
          <cell r="B1133">
            <v>42300</v>
          </cell>
          <cell r="L1133">
            <v>41.683935558527601</v>
          </cell>
          <cell r="N1133">
            <v>0.6747021528654038</v>
          </cell>
        </row>
        <row r="1134">
          <cell r="B1134">
            <v>42300</v>
          </cell>
          <cell r="L1134">
            <v>37.474676095146648</v>
          </cell>
          <cell r="N1134">
            <v>0.54567304658042992</v>
          </cell>
        </row>
        <row r="1135">
          <cell r="B1135">
            <v>42300</v>
          </cell>
          <cell r="L1135">
            <v>33.94716854097306</v>
          </cell>
          <cell r="N1135">
            <v>0.47244745962903351</v>
          </cell>
        </row>
        <row r="1136">
          <cell r="B1136">
            <v>42300</v>
          </cell>
          <cell r="L1136">
            <v>27.480324544280084</v>
          </cell>
          <cell r="N1136">
            <v>0.39519881042060984</v>
          </cell>
        </row>
        <row r="1137">
          <cell r="B1137">
            <v>42300</v>
          </cell>
          <cell r="L1137">
            <v>17.176193621994504</v>
          </cell>
          <cell r="N1137">
            <v>0.42517608930198503</v>
          </cell>
        </row>
        <row r="1138">
          <cell r="B1138">
            <v>42300</v>
          </cell>
          <cell r="L1138">
            <v>0</v>
          </cell>
          <cell r="N1138">
            <v>0</v>
          </cell>
        </row>
        <row r="1139">
          <cell r="B1139">
            <v>42300</v>
          </cell>
          <cell r="L1139">
            <v>0</v>
          </cell>
          <cell r="N1139">
            <v>0</v>
          </cell>
        </row>
        <row r="1140">
          <cell r="B1140">
            <v>42300</v>
          </cell>
          <cell r="L1140">
            <v>0</v>
          </cell>
          <cell r="N1140">
            <v>0</v>
          </cell>
        </row>
        <row r="1141">
          <cell r="B1141">
            <v>42300</v>
          </cell>
          <cell r="L1141">
            <v>0</v>
          </cell>
          <cell r="N1141">
            <v>0</v>
          </cell>
        </row>
        <row r="1142">
          <cell r="B1142">
            <v>42301</v>
          </cell>
          <cell r="L1142">
            <v>0</v>
          </cell>
          <cell r="N1142">
            <v>0</v>
          </cell>
        </row>
        <row r="1143">
          <cell r="B1143">
            <v>42301</v>
          </cell>
          <cell r="L1143">
            <v>0</v>
          </cell>
          <cell r="N1143">
            <v>0</v>
          </cell>
        </row>
        <row r="1144">
          <cell r="B1144">
            <v>42301</v>
          </cell>
          <cell r="L1144">
            <v>0</v>
          </cell>
          <cell r="N1144">
            <v>0</v>
          </cell>
        </row>
        <row r="1145">
          <cell r="B1145">
            <v>42301</v>
          </cell>
          <cell r="L1145">
            <v>0</v>
          </cell>
          <cell r="N1145">
            <v>0</v>
          </cell>
        </row>
        <row r="1146">
          <cell r="B1146">
            <v>42301</v>
          </cell>
          <cell r="L1146">
            <v>0</v>
          </cell>
          <cell r="N1146">
            <v>0</v>
          </cell>
        </row>
        <row r="1147">
          <cell r="B1147">
            <v>42301</v>
          </cell>
          <cell r="L1147">
            <v>0</v>
          </cell>
          <cell r="N1147">
            <v>0</v>
          </cell>
        </row>
        <row r="1148">
          <cell r="B1148">
            <v>42301</v>
          </cell>
          <cell r="L1148">
            <v>0</v>
          </cell>
          <cell r="N1148">
            <v>0</v>
          </cell>
        </row>
        <row r="1149">
          <cell r="B1149">
            <v>42301</v>
          </cell>
          <cell r="L1149">
            <v>0</v>
          </cell>
          <cell r="N1149">
            <v>0</v>
          </cell>
        </row>
        <row r="1150">
          <cell r="B1150">
            <v>42301</v>
          </cell>
          <cell r="L1150">
            <v>0</v>
          </cell>
          <cell r="N1150">
            <v>0</v>
          </cell>
        </row>
        <row r="1151">
          <cell r="B1151">
            <v>42301</v>
          </cell>
          <cell r="L1151">
            <v>0</v>
          </cell>
          <cell r="N1151">
            <v>0</v>
          </cell>
        </row>
        <row r="1152">
          <cell r="B1152">
            <v>42301</v>
          </cell>
          <cell r="L1152">
            <v>0</v>
          </cell>
          <cell r="N1152">
            <v>0</v>
          </cell>
        </row>
        <row r="1153">
          <cell r="B1153">
            <v>42301</v>
          </cell>
          <cell r="L1153">
            <v>0</v>
          </cell>
          <cell r="N1153">
            <v>0</v>
          </cell>
        </row>
        <row r="1154">
          <cell r="B1154">
            <v>42301</v>
          </cell>
          <cell r="L1154">
            <v>0</v>
          </cell>
          <cell r="N1154">
            <v>0</v>
          </cell>
        </row>
        <row r="1155">
          <cell r="B1155">
            <v>42301</v>
          </cell>
          <cell r="L1155">
            <v>0</v>
          </cell>
          <cell r="N1155">
            <v>0</v>
          </cell>
        </row>
        <row r="1156">
          <cell r="B1156">
            <v>42301</v>
          </cell>
          <cell r="L1156">
            <v>0</v>
          </cell>
          <cell r="N1156">
            <v>0</v>
          </cell>
        </row>
        <row r="1157">
          <cell r="B1157">
            <v>42301</v>
          </cell>
          <cell r="L1157">
            <v>0</v>
          </cell>
          <cell r="N1157">
            <v>0</v>
          </cell>
        </row>
        <row r="1158">
          <cell r="B1158">
            <v>42301</v>
          </cell>
          <cell r="L1158">
            <v>24.805703430376564</v>
          </cell>
          <cell r="N1158">
            <v>0.31670128272999415</v>
          </cell>
        </row>
        <row r="1159">
          <cell r="B1159">
            <v>42301</v>
          </cell>
          <cell r="L1159">
            <v>32.398511336827916</v>
          </cell>
          <cell r="N1159">
            <v>0.58293555318672152</v>
          </cell>
        </row>
        <row r="1160">
          <cell r="B1160">
            <v>42301</v>
          </cell>
          <cell r="L1160">
            <v>43.351031568649837</v>
          </cell>
          <cell r="N1160">
            <v>0.67171907326266045</v>
          </cell>
        </row>
        <row r="1161">
          <cell r="B1161">
            <v>42301</v>
          </cell>
          <cell r="L1161">
            <v>50.749332730813784</v>
          </cell>
          <cell r="N1161">
            <v>0.79708833622067443</v>
          </cell>
        </row>
        <row r="1162">
          <cell r="B1162">
            <v>42301</v>
          </cell>
          <cell r="L1162">
            <v>53.444685199067585</v>
          </cell>
          <cell r="N1162">
            <v>0.79090756066249102</v>
          </cell>
        </row>
        <row r="1163">
          <cell r="B1163">
            <v>42301</v>
          </cell>
          <cell r="L1163">
            <v>57.29580987863546</v>
          </cell>
          <cell r="N1163">
            <v>0.8135043440456502</v>
          </cell>
        </row>
        <row r="1164">
          <cell r="B1164">
            <v>42301</v>
          </cell>
          <cell r="L1164">
            <v>52.678577050183534</v>
          </cell>
          <cell r="N1164">
            <v>0.84625855892838764</v>
          </cell>
        </row>
        <row r="1165">
          <cell r="B1165">
            <v>42301</v>
          </cell>
          <cell r="L1165">
            <v>47.004319842449071</v>
          </cell>
          <cell r="N1165">
            <v>0.8783787850200433</v>
          </cell>
        </row>
        <row r="1166">
          <cell r="B1166">
            <v>42301</v>
          </cell>
          <cell r="L1166">
            <v>47.218999375097162</v>
          </cell>
          <cell r="N1166">
            <v>0.82245968843906281</v>
          </cell>
        </row>
        <row r="1167">
          <cell r="B1167">
            <v>42301</v>
          </cell>
          <cell r="L1167">
            <v>44.330456207574926</v>
          </cell>
          <cell r="N1167">
            <v>0.75954322797557039</v>
          </cell>
        </row>
        <row r="1168">
          <cell r="B1168">
            <v>42301</v>
          </cell>
          <cell r="L1168">
            <v>45.201235716945568</v>
          </cell>
          <cell r="N1168">
            <v>0.59646347940406641</v>
          </cell>
        </row>
        <row r="1169">
          <cell r="B1169">
            <v>42301</v>
          </cell>
          <cell r="L1169">
            <v>48.822307720400374</v>
          </cell>
          <cell r="N1169">
            <v>0.43641048233201957</v>
          </cell>
        </row>
        <row r="1170">
          <cell r="B1170">
            <v>42301</v>
          </cell>
          <cell r="L1170">
            <v>44.849262564911399</v>
          </cell>
          <cell r="N1170">
            <v>0.45768347914380125</v>
          </cell>
        </row>
        <row r="1171">
          <cell r="B1171">
            <v>42301</v>
          </cell>
          <cell r="L1171">
            <v>34.056082098463925</v>
          </cell>
          <cell r="N1171">
            <v>0.55537302561818225</v>
          </cell>
        </row>
        <row r="1172">
          <cell r="B1172">
            <v>42301</v>
          </cell>
          <cell r="L1172">
            <v>26.757981356921178</v>
          </cell>
          <cell r="N1172">
            <v>0.65206514526761117</v>
          </cell>
        </row>
        <row r="1173">
          <cell r="B1173">
            <v>42301</v>
          </cell>
          <cell r="L1173">
            <v>23.806516393660512</v>
          </cell>
          <cell r="N1173">
            <v>0.7637335826422289</v>
          </cell>
        </row>
        <row r="1174">
          <cell r="B1174">
            <v>42301</v>
          </cell>
          <cell r="L1174">
            <v>20.355023624483664</v>
          </cell>
          <cell r="N1174">
            <v>0.77361282603804826</v>
          </cell>
        </row>
        <row r="1175">
          <cell r="B1175">
            <v>42301</v>
          </cell>
          <cell r="L1175">
            <v>19.951953849741418</v>
          </cell>
          <cell r="N1175">
            <v>0.7739036822361175</v>
          </cell>
        </row>
        <row r="1176">
          <cell r="B1176">
            <v>42301</v>
          </cell>
          <cell r="L1176">
            <v>20.983931057479499</v>
          </cell>
          <cell r="N1176">
            <v>0.63960007506870875</v>
          </cell>
        </row>
        <row r="1177">
          <cell r="B1177">
            <v>42301</v>
          </cell>
          <cell r="L1177">
            <v>19.922016970631294</v>
          </cell>
          <cell r="N1177">
            <v>0.70896592080262966</v>
          </cell>
        </row>
        <row r="1178">
          <cell r="B1178">
            <v>42301</v>
          </cell>
          <cell r="L1178">
            <v>17.830661731548577</v>
          </cell>
          <cell r="N1178">
            <v>0.68769392488758874</v>
          </cell>
        </row>
        <row r="1179">
          <cell r="B1179">
            <v>42301</v>
          </cell>
          <cell r="L1179">
            <v>19.75275965446075</v>
          </cell>
          <cell r="N1179">
            <v>0.57289752711892694</v>
          </cell>
        </row>
        <row r="1180">
          <cell r="B1180">
            <v>42301</v>
          </cell>
          <cell r="L1180">
            <v>18.312133898371513</v>
          </cell>
          <cell r="N1180">
            <v>0.44766234368436103</v>
          </cell>
        </row>
        <row r="1181">
          <cell r="B1181">
            <v>42301</v>
          </cell>
          <cell r="L1181">
            <v>20.591765922991751</v>
          </cell>
          <cell r="N1181">
            <v>0.38575403813536535</v>
          </cell>
        </row>
        <row r="1182">
          <cell r="B1182">
            <v>42301</v>
          </cell>
          <cell r="L1182">
            <v>22.199780300125301</v>
          </cell>
          <cell r="N1182">
            <v>0.28914792726767852</v>
          </cell>
        </row>
        <row r="1183">
          <cell r="B1183">
            <v>42301</v>
          </cell>
          <cell r="L1183">
            <v>20.403616257660616</v>
          </cell>
          <cell r="N1183">
            <v>0.24934469210607951</v>
          </cell>
        </row>
        <row r="1184">
          <cell r="B1184">
            <v>42301</v>
          </cell>
          <cell r="L1184">
            <v>14.48480441959471</v>
          </cell>
          <cell r="N1184">
            <v>0.24753067377209501</v>
          </cell>
        </row>
        <row r="1185">
          <cell r="B1185">
            <v>42301</v>
          </cell>
          <cell r="L1185">
            <v>9.0530027622466935</v>
          </cell>
          <cell r="N1185">
            <v>0.2635896565923897</v>
          </cell>
        </row>
        <row r="1186">
          <cell r="B1186">
            <v>42301</v>
          </cell>
          <cell r="L1186">
            <v>0</v>
          </cell>
          <cell r="N1186">
            <v>0</v>
          </cell>
        </row>
        <row r="1187">
          <cell r="B1187">
            <v>42301</v>
          </cell>
          <cell r="L1187">
            <v>0</v>
          </cell>
          <cell r="N1187">
            <v>0</v>
          </cell>
        </row>
        <row r="1188">
          <cell r="B1188">
            <v>42301</v>
          </cell>
          <cell r="L1188">
            <v>0</v>
          </cell>
          <cell r="N1188">
            <v>0</v>
          </cell>
        </row>
        <row r="1189">
          <cell r="B1189">
            <v>42301</v>
          </cell>
          <cell r="L1189">
            <v>0</v>
          </cell>
          <cell r="N1189">
            <v>0</v>
          </cell>
        </row>
        <row r="1190">
          <cell r="B1190">
            <v>42302</v>
          </cell>
          <cell r="L1190">
            <v>0</v>
          </cell>
          <cell r="N1190">
            <v>0</v>
          </cell>
        </row>
        <row r="1191">
          <cell r="B1191">
            <v>42302</v>
          </cell>
          <cell r="L1191">
            <v>0</v>
          </cell>
          <cell r="N1191">
            <v>0</v>
          </cell>
        </row>
        <row r="1192">
          <cell r="B1192">
            <v>42302</v>
          </cell>
          <cell r="L1192">
            <v>0</v>
          </cell>
          <cell r="N1192">
            <v>0</v>
          </cell>
        </row>
        <row r="1193">
          <cell r="B1193">
            <v>42302</v>
          </cell>
          <cell r="L1193">
            <v>0</v>
          </cell>
          <cell r="N1193">
            <v>0</v>
          </cell>
        </row>
        <row r="1194">
          <cell r="B1194">
            <v>42302</v>
          </cell>
          <cell r="L1194">
            <v>0</v>
          </cell>
          <cell r="N1194">
            <v>0</v>
          </cell>
        </row>
        <row r="1195">
          <cell r="B1195">
            <v>42302</v>
          </cell>
          <cell r="L1195">
            <v>0</v>
          </cell>
          <cell r="N1195">
            <v>0</v>
          </cell>
        </row>
        <row r="1196">
          <cell r="B1196">
            <v>42302</v>
          </cell>
          <cell r="L1196">
            <v>0</v>
          </cell>
          <cell r="N1196">
            <v>0</v>
          </cell>
        </row>
        <row r="1197">
          <cell r="B1197">
            <v>42302</v>
          </cell>
          <cell r="L1197">
            <v>0</v>
          </cell>
          <cell r="N1197">
            <v>0</v>
          </cell>
        </row>
        <row r="1198">
          <cell r="B1198">
            <v>42302</v>
          </cell>
          <cell r="L1198">
            <v>0</v>
          </cell>
          <cell r="N1198">
            <v>0</v>
          </cell>
        </row>
        <row r="1199">
          <cell r="B1199">
            <v>42302</v>
          </cell>
          <cell r="L1199">
            <v>0</v>
          </cell>
          <cell r="N1199">
            <v>0</v>
          </cell>
        </row>
        <row r="1200">
          <cell r="B1200">
            <v>42302</v>
          </cell>
          <cell r="L1200">
            <v>0</v>
          </cell>
          <cell r="N1200">
            <v>0</v>
          </cell>
        </row>
        <row r="1201">
          <cell r="B1201">
            <v>42302</v>
          </cell>
          <cell r="L1201">
            <v>0</v>
          </cell>
          <cell r="N1201">
            <v>0</v>
          </cell>
        </row>
        <row r="1202">
          <cell r="B1202">
            <v>42302</v>
          </cell>
          <cell r="L1202">
            <v>0</v>
          </cell>
          <cell r="N1202">
            <v>0</v>
          </cell>
        </row>
        <row r="1203">
          <cell r="B1203">
            <v>42302</v>
          </cell>
          <cell r="L1203">
            <v>0</v>
          </cell>
          <cell r="N1203">
            <v>0</v>
          </cell>
        </row>
        <row r="1204">
          <cell r="B1204">
            <v>42302</v>
          </cell>
          <cell r="L1204">
            <v>0</v>
          </cell>
          <cell r="N1204">
            <v>0</v>
          </cell>
        </row>
        <row r="1205">
          <cell r="B1205">
            <v>42302</v>
          </cell>
          <cell r="L1205">
            <v>0</v>
          </cell>
          <cell r="N1205">
            <v>0</v>
          </cell>
        </row>
        <row r="1206">
          <cell r="B1206">
            <v>42302</v>
          </cell>
          <cell r="L1206">
            <v>0</v>
          </cell>
          <cell r="N1206">
            <v>0</v>
          </cell>
        </row>
        <row r="1207">
          <cell r="B1207">
            <v>42302</v>
          </cell>
          <cell r="L1207">
            <v>0</v>
          </cell>
          <cell r="N1207">
            <v>0</v>
          </cell>
        </row>
        <row r="1208">
          <cell r="B1208">
            <v>42302</v>
          </cell>
          <cell r="L1208">
            <v>9.2147815637060564</v>
          </cell>
          <cell r="N1208">
            <v>0.46738191776567983</v>
          </cell>
        </row>
        <row r="1209">
          <cell r="B1209">
            <v>42302</v>
          </cell>
          <cell r="L1209">
            <v>11.456820873610207</v>
          </cell>
          <cell r="N1209">
            <v>0.35234948703319235</v>
          </cell>
        </row>
        <row r="1210">
          <cell r="B1210">
            <v>42302</v>
          </cell>
          <cell r="L1210">
            <v>11.187130230869734</v>
          </cell>
          <cell r="N1210">
            <v>0.44333383752318095</v>
          </cell>
        </row>
        <row r="1211">
          <cell r="B1211">
            <v>42302</v>
          </cell>
          <cell r="L1211">
            <v>12.712301359822664</v>
          </cell>
          <cell r="N1211">
            <v>0.47122560099723276</v>
          </cell>
        </row>
        <row r="1212">
          <cell r="B1212">
            <v>42302</v>
          </cell>
          <cell r="L1212">
            <v>14.324696060896102</v>
          </cell>
          <cell r="N1212">
            <v>0.50777352913508489</v>
          </cell>
        </row>
        <row r="1213">
          <cell r="B1213">
            <v>42302</v>
          </cell>
          <cell r="L1213">
            <v>14.457549215852588</v>
          </cell>
          <cell r="N1213">
            <v>0.47249861292660461</v>
          </cell>
        </row>
        <row r="1214">
          <cell r="B1214">
            <v>42302</v>
          </cell>
          <cell r="L1214">
            <v>12.582411348385742</v>
          </cell>
          <cell r="N1214">
            <v>0.48300868095999405</v>
          </cell>
        </row>
        <row r="1215">
          <cell r="B1215">
            <v>42302</v>
          </cell>
          <cell r="L1215">
            <v>12.073875433509162</v>
          </cell>
          <cell r="N1215">
            <v>0.46620250508597383</v>
          </cell>
        </row>
        <row r="1216">
          <cell r="B1216">
            <v>42302</v>
          </cell>
          <cell r="L1216">
            <v>14.825750115938931</v>
          </cell>
          <cell r="N1216">
            <v>0.33414308090408323</v>
          </cell>
        </row>
        <row r="1217">
          <cell r="B1217">
            <v>42302</v>
          </cell>
          <cell r="L1217">
            <v>12.925012921587786</v>
          </cell>
          <cell r="N1217">
            <v>0.309631528112356</v>
          </cell>
        </row>
        <row r="1218">
          <cell r="B1218">
            <v>42302</v>
          </cell>
          <cell r="L1218">
            <v>13.772787233238285</v>
          </cell>
          <cell r="N1218">
            <v>0.28611894365959251</v>
          </cell>
        </row>
        <row r="1219">
          <cell r="B1219">
            <v>42302</v>
          </cell>
          <cell r="L1219">
            <v>21.746506157744662</v>
          </cell>
          <cell r="N1219">
            <v>0.16517554559859804</v>
          </cell>
        </row>
        <row r="1220">
          <cell r="B1220">
            <v>42302</v>
          </cell>
          <cell r="L1220">
            <v>22.725153885506636</v>
          </cell>
          <cell r="N1220">
            <v>0.15423292182895212</v>
          </cell>
        </row>
        <row r="1221">
          <cell r="B1221">
            <v>42302</v>
          </cell>
          <cell r="L1221">
            <v>14.483258312128035</v>
          </cell>
          <cell r="N1221">
            <v>0.21198614271464983</v>
          </cell>
        </row>
        <row r="1222">
          <cell r="B1222">
            <v>42302</v>
          </cell>
          <cell r="L1222">
            <v>13.319419957520253</v>
          </cell>
          <cell r="N1222">
            <v>0.27185197876693523</v>
          </cell>
        </row>
        <row r="1223">
          <cell r="B1223">
            <v>42302</v>
          </cell>
          <cell r="L1223">
            <v>11.88562357385778</v>
          </cell>
          <cell r="N1223">
            <v>0.28463595401104119</v>
          </cell>
        </row>
        <row r="1224">
          <cell r="B1224">
            <v>42302</v>
          </cell>
          <cell r="L1224">
            <v>11.327828090565456</v>
          </cell>
          <cell r="N1224">
            <v>0.27785765456492001</v>
          </cell>
        </row>
        <row r="1225">
          <cell r="B1225">
            <v>42302</v>
          </cell>
          <cell r="L1225">
            <v>9.8981780625837459</v>
          </cell>
          <cell r="N1225">
            <v>0.32163907379545065</v>
          </cell>
        </row>
        <row r="1226">
          <cell r="B1226">
            <v>42302</v>
          </cell>
          <cell r="L1226">
            <v>9.2365521091782075</v>
          </cell>
          <cell r="N1226">
            <v>0.35214918902550346</v>
          </cell>
        </row>
        <row r="1227">
          <cell r="B1227">
            <v>42302</v>
          </cell>
          <cell r="L1227">
            <v>10.81950876884885</v>
          </cell>
          <cell r="N1227">
            <v>0.28655523778870096</v>
          </cell>
        </row>
        <row r="1228">
          <cell r="B1228">
            <v>42302</v>
          </cell>
          <cell r="L1228">
            <v>9.1138094250810244</v>
          </cell>
          <cell r="N1228">
            <v>0.32320696448801306</v>
          </cell>
        </row>
        <row r="1229">
          <cell r="B1229">
            <v>42302</v>
          </cell>
          <cell r="L1229">
            <v>9.6527549074114987</v>
          </cell>
          <cell r="N1229">
            <v>0.30251671921467932</v>
          </cell>
        </row>
        <row r="1230">
          <cell r="B1230">
            <v>42302</v>
          </cell>
          <cell r="L1230">
            <v>10.567346913838197</v>
          </cell>
          <cell r="N1230">
            <v>0.25625312643876758</v>
          </cell>
        </row>
        <row r="1231">
          <cell r="B1231">
            <v>42302</v>
          </cell>
          <cell r="L1231">
            <v>10.299098876794611</v>
          </cell>
          <cell r="N1231">
            <v>0.2336482694724093</v>
          </cell>
        </row>
        <row r="1232">
          <cell r="B1232">
            <v>42302</v>
          </cell>
          <cell r="L1232">
            <v>0</v>
          </cell>
          <cell r="N1232">
            <v>0</v>
          </cell>
        </row>
        <row r="1233">
          <cell r="B1233">
            <v>42302</v>
          </cell>
          <cell r="L1233">
            <v>0</v>
          </cell>
          <cell r="N1233">
            <v>0</v>
          </cell>
        </row>
        <row r="1234">
          <cell r="B1234">
            <v>42302</v>
          </cell>
          <cell r="L1234">
            <v>0</v>
          </cell>
          <cell r="N1234">
            <v>0</v>
          </cell>
        </row>
        <row r="1235">
          <cell r="B1235">
            <v>42302</v>
          </cell>
          <cell r="L1235">
            <v>0</v>
          </cell>
          <cell r="N1235">
            <v>0</v>
          </cell>
        </row>
        <row r="1236">
          <cell r="B1236">
            <v>42302</v>
          </cell>
          <cell r="L1236">
            <v>0</v>
          </cell>
          <cell r="N1236">
            <v>0</v>
          </cell>
        </row>
        <row r="1237">
          <cell r="B1237">
            <v>42302</v>
          </cell>
          <cell r="L1237">
            <v>0</v>
          </cell>
          <cell r="N1237">
            <v>0</v>
          </cell>
        </row>
        <row r="1238">
          <cell r="B1238">
            <v>42303</v>
          </cell>
          <cell r="L1238">
            <v>0</v>
          </cell>
          <cell r="N1238">
            <v>0</v>
          </cell>
        </row>
        <row r="1239">
          <cell r="B1239">
            <v>42303</v>
          </cell>
          <cell r="L1239">
            <v>0</v>
          </cell>
          <cell r="N1239">
            <v>0</v>
          </cell>
        </row>
        <row r="1240">
          <cell r="B1240">
            <v>42303</v>
          </cell>
          <cell r="L1240">
            <v>0</v>
          </cell>
          <cell r="N1240">
            <v>0</v>
          </cell>
        </row>
        <row r="1241">
          <cell r="B1241">
            <v>42303</v>
          </cell>
          <cell r="L1241">
            <v>0</v>
          </cell>
          <cell r="N1241">
            <v>0</v>
          </cell>
        </row>
        <row r="1242">
          <cell r="B1242">
            <v>42303</v>
          </cell>
          <cell r="L1242">
            <v>0</v>
          </cell>
          <cell r="N1242">
            <v>0</v>
          </cell>
        </row>
        <row r="1243">
          <cell r="B1243">
            <v>42303</v>
          </cell>
          <cell r="L1243">
            <v>0</v>
          </cell>
          <cell r="N1243">
            <v>0</v>
          </cell>
        </row>
        <row r="1244">
          <cell r="B1244">
            <v>42303</v>
          </cell>
          <cell r="L1244">
            <v>0</v>
          </cell>
          <cell r="N1244">
            <v>0</v>
          </cell>
        </row>
        <row r="1245">
          <cell r="B1245">
            <v>42303</v>
          </cell>
          <cell r="L1245">
            <v>0</v>
          </cell>
          <cell r="N1245">
            <v>0</v>
          </cell>
        </row>
        <row r="1246">
          <cell r="B1246">
            <v>42303</v>
          </cell>
          <cell r="L1246">
            <v>0</v>
          </cell>
          <cell r="N1246">
            <v>0</v>
          </cell>
        </row>
        <row r="1247">
          <cell r="B1247">
            <v>42303</v>
          </cell>
          <cell r="L1247">
            <v>0</v>
          </cell>
          <cell r="N1247">
            <v>0</v>
          </cell>
        </row>
        <row r="1248">
          <cell r="B1248">
            <v>42303</v>
          </cell>
          <cell r="L1248">
            <v>0</v>
          </cell>
          <cell r="N1248">
            <v>0</v>
          </cell>
        </row>
        <row r="1249">
          <cell r="B1249">
            <v>42303</v>
          </cell>
          <cell r="L1249">
            <v>0</v>
          </cell>
          <cell r="N1249">
            <v>0</v>
          </cell>
        </row>
        <row r="1250">
          <cell r="B1250">
            <v>42303</v>
          </cell>
          <cell r="L1250">
            <v>0</v>
          </cell>
          <cell r="N1250">
            <v>0</v>
          </cell>
        </row>
        <row r="1251">
          <cell r="B1251">
            <v>42303</v>
          </cell>
          <cell r="L1251">
            <v>0</v>
          </cell>
          <cell r="N1251">
            <v>0</v>
          </cell>
        </row>
        <row r="1252">
          <cell r="B1252">
            <v>42303</v>
          </cell>
          <cell r="L1252">
            <v>0</v>
          </cell>
          <cell r="N1252">
            <v>0</v>
          </cell>
        </row>
        <row r="1253">
          <cell r="B1253">
            <v>42303</v>
          </cell>
          <cell r="L1253">
            <v>0</v>
          </cell>
          <cell r="N1253">
            <v>0</v>
          </cell>
        </row>
        <row r="1254">
          <cell r="B1254">
            <v>42303</v>
          </cell>
          <cell r="L1254">
            <v>55.257963219170584</v>
          </cell>
          <cell r="N1254">
            <v>0.56963443966745164</v>
          </cell>
        </row>
        <row r="1255">
          <cell r="B1255">
            <v>42303</v>
          </cell>
          <cell r="L1255">
            <v>93.161722627334981</v>
          </cell>
          <cell r="N1255">
            <v>0.63651216556846313</v>
          </cell>
        </row>
        <row r="1256">
          <cell r="B1256">
            <v>42303</v>
          </cell>
          <cell r="L1256">
            <v>121.91183574136176</v>
          </cell>
          <cell r="N1256">
            <v>0.7579490319470974</v>
          </cell>
        </row>
        <row r="1257">
          <cell r="B1257">
            <v>42303</v>
          </cell>
          <cell r="L1257">
            <v>145.21113833859891</v>
          </cell>
          <cell r="N1257">
            <v>0.83722881141853478</v>
          </cell>
        </row>
        <row r="1258">
          <cell r="B1258">
            <v>42303</v>
          </cell>
          <cell r="L1258">
            <v>153.85498443363366</v>
          </cell>
          <cell r="N1258">
            <v>0.87465521272483981</v>
          </cell>
        </row>
        <row r="1259">
          <cell r="B1259">
            <v>42303</v>
          </cell>
          <cell r="L1259">
            <v>164.33719141656863</v>
          </cell>
          <cell r="N1259">
            <v>0.88330596424683672</v>
          </cell>
        </row>
        <row r="1260">
          <cell r="B1260">
            <v>42303</v>
          </cell>
          <cell r="L1260">
            <v>164.31126277408947</v>
          </cell>
          <cell r="N1260">
            <v>0.87528051121143557</v>
          </cell>
        </row>
        <row r="1261">
          <cell r="B1261">
            <v>42303</v>
          </cell>
          <cell r="L1261">
            <v>148.83908546158301</v>
          </cell>
          <cell r="N1261">
            <v>0.91106661324638272</v>
          </cell>
        </row>
        <row r="1262">
          <cell r="B1262">
            <v>42303</v>
          </cell>
          <cell r="L1262">
            <v>133.01601147991636</v>
          </cell>
          <cell r="N1262">
            <v>0.87558141902787312</v>
          </cell>
        </row>
        <row r="1263">
          <cell r="B1263">
            <v>42303</v>
          </cell>
          <cell r="L1263">
            <v>117.98774116940669</v>
          </cell>
          <cell r="N1263">
            <v>0.87391157681642007</v>
          </cell>
        </row>
        <row r="1264">
          <cell r="B1264">
            <v>42303</v>
          </cell>
          <cell r="L1264">
            <v>124.35633371592559</v>
          </cell>
          <cell r="N1264">
            <v>0.78613536745954427</v>
          </cell>
        </row>
        <row r="1265">
          <cell r="B1265">
            <v>42303</v>
          </cell>
          <cell r="L1265">
            <v>141.11192503361573</v>
          </cell>
          <cell r="N1265">
            <v>0.74556353525049812</v>
          </cell>
        </row>
        <row r="1266">
          <cell r="B1266">
            <v>42303</v>
          </cell>
          <cell r="L1266">
            <v>151.01467550597573</v>
          </cell>
          <cell r="N1266">
            <v>0.75306272038238697</v>
          </cell>
        </row>
        <row r="1267">
          <cell r="B1267">
            <v>42303</v>
          </cell>
          <cell r="L1267">
            <v>160.06831312623805</v>
          </cell>
          <cell r="N1267">
            <v>0.78463772013371402</v>
          </cell>
        </row>
        <row r="1268">
          <cell r="B1268">
            <v>42303</v>
          </cell>
          <cell r="L1268">
            <v>156.1058352278778</v>
          </cell>
          <cell r="N1268">
            <v>0.80838854283096073</v>
          </cell>
        </row>
        <row r="1269">
          <cell r="B1269">
            <v>42303</v>
          </cell>
          <cell r="L1269">
            <v>152.44044270909106</v>
          </cell>
          <cell r="N1269">
            <v>0.82816558633632487</v>
          </cell>
        </row>
        <row r="1270">
          <cell r="B1270">
            <v>42303</v>
          </cell>
          <cell r="L1270">
            <v>151.71345352064424</v>
          </cell>
          <cell r="N1270">
            <v>0.82940305239067302</v>
          </cell>
        </row>
        <row r="1271">
          <cell r="B1271">
            <v>42303</v>
          </cell>
          <cell r="L1271">
            <v>138.73929880270444</v>
          </cell>
          <cell r="N1271">
            <v>0.84023471745342226</v>
          </cell>
        </row>
        <row r="1272">
          <cell r="B1272">
            <v>42303</v>
          </cell>
          <cell r="L1272">
            <v>121.2317484011333</v>
          </cell>
          <cell r="N1272">
            <v>0.87964964802630585</v>
          </cell>
        </row>
        <row r="1273">
          <cell r="B1273">
            <v>42303</v>
          </cell>
          <cell r="L1273">
            <v>93.701990400492136</v>
          </cell>
          <cell r="N1273">
            <v>0.94282489324736574</v>
          </cell>
        </row>
        <row r="1274">
          <cell r="B1274">
            <v>42303</v>
          </cell>
          <cell r="L1274">
            <v>64.618908030908997</v>
          </cell>
          <cell r="N1274">
            <v>1</v>
          </cell>
        </row>
        <row r="1275">
          <cell r="B1275">
            <v>42303</v>
          </cell>
          <cell r="L1275">
            <v>52.098331433787052</v>
          </cell>
          <cell r="N1275">
            <v>1</v>
          </cell>
        </row>
        <row r="1276">
          <cell r="B1276">
            <v>42303</v>
          </cell>
          <cell r="L1276">
            <v>42.062295531841869</v>
          </cell>
          <cell r="N1276">
            <v>0.95915176294139137</v>
          </cell>
        </row>
        <row r="1277">
          <cell r="B1277">
            <v>42303</v>
          </cell>
          <cell r="L1277">
            <v>42.979960809572475</v>
          </cell>
          <cell r="N1277">
            <v>0.77567853138697929</v>
          </cell>
        </row>
        <row r="1278">
          <cell r="B1278">
            <v>42303</v>
          </cell>
          <cell r="L1278">
            <v>35.007551195673422</v>
          </cell>
          <cell r="N1278">
            <v>0.69242961233831368</v>
          </cell>
        </row>
        <row r="1279">
          <cell r="B1279">
            <v>42303</v>
          </cell>
          <cell r="L1279">
            <v>31.712275180950247</v>
          </cell>
          <cell r="N1279">
            <v>0.59951029901737007</v>
          </cell>
        </row>
        <row r="1280">
          <cell r="B1280">
            <v>42303</v>
          </cell>
          <cell r="L1280">
            <v>25.990209240998908</v>
          </cell>
          <cell r="N1280">
            <v>0.49533006049491513</v>
          </cell>
        </row>
        <row r="1281">
          <cell r="B1281">
            <v>42303</v>
          </cell>
          <cell r="L1281">
            <v>16.244817832490522</v>
          </cell>
          <cell r="N1281">
            <v>0.53290266185467383</v>
          </cell>
        </row>
        <row r="1282">
          <cell r="B1282">
            <v>42303</v>
          </cell>
          <cell r="L1282">
            <v>0</v>
          </cell>
          <cell r="N1282">
            <v>0</v>
          </cell>
        </row>
        <row r="1283">
          <cell r="B1283">
            <v>42303</v>
          </cell>
          <cell r="L1283">
            <v>0</v>
          </cell>
          <cell r="N1283">
            <v>0</v>
          </cell>
        </row>
        <row r="1284">
          <cell r="B1284">
            <v>42303</v>
          </cell>
          <cell r="L1284">
            <v>0</v>
          </cell>
          <cell r="N1284">
            <v>0</v>
          </cell>
        </row>
        <row r="1285">
          <cell r="B1285">
            <v>42303</v>
          </cell>
          <cell r="L1285">
            <v>0</v>
          </cell>
          <cell r="N1285">
            <v>0</v>
          </cell>
        </row>
        <row r="1286">
          <cell r="B1286">
            <v>42304</v>
          </cell>
          <cell r="L1286">
            <v>0</v>
          </cell>
          <cell r="N1286">
            <v>0</v>
          </cell>
        </row>
        <row r="1287">
          <cell r="B1287">
            <v>42304</v>
          </cell>
          <cell r="L1287">
            <v>0</v>
          </cell>
          <cell r="N1287">
            <v>0</v>
          </cell>
        </row>
        <row r="1288">
          <cell r="B1288">
            <v>42304</v>
          </cell>
          <cell r="L1288">
            <v>0</v>
          </cell>
          <cell r="N1288">
            <v>0</v>
          </cell>
        </row>
        <row r="1289">
          <cell r="B1289">
            <v>42304</v>
          </cell>
          <cell r="L1289">
            <v>0</v>
          </cell>
          <cell r="N1289">
            <v>0</v>
          </cell>
        </row>
        <row r="1290">
          <cell r="B1290">
            <v>42304</v>
          </cell>
          <cell r="L1290">
            <v>0</v>
          </cell>
          <cell r="N1290">
            <v>0</v>
          </cell>
        </row>
        <row r="1291">
          <cell r="B1291">
            <v>42304</v>
          </cell>
          <cell r="L1291">
            <v>0</v>
          </cell>
          <cell r="N1291">
            <v>0</v>
          </cell>
        </row>
        <row r="1292">
          <cell r="B1292">
            <v>42304</v>
          </cell>
          <cell r="L1292">
            <v>0</v>
          </cell>
          <cell r="N1292">
            <v>0</v>
          </cell>
        </row>
        <row r="1293">
          <cell r="B1293">
            <v>42304</v>
          </cell>
          <cell r="L1293">
            <v>0</v>
          </cell>
          <cell r="N1293">
            <v>0</v>
          </cell>
        </row>
        <row r="1294">
          <cell r="B1294">
            <v>42304</v>
          </cell>
          <cell r="L1294">
            <v>0</v>
          </cell>
          <cell r="N1294">
            <v>0</v>
          </cell>
        </row>
        <row r="1295">
          <cell r="B1295">
            <v>42304</v>
          </cell>
          <cell r="L1295">
            <v>0</v>
          </cell>
          <cell r="N1295">
            <v>0</v>
          </cell>
        </row>
        <row r="1296">
          <cell r="B1296">
            <v>42304</v>
          </cell>
          <cell r="L1296">
            <v>0</v>
          </cell>
          <cell r="N1296">
            <v>0</v>
          </cell>
        </row>
        <row r="1297">
          <cell r="B1297">
            <v>42304</v>
          </cell>
          <cell r="L1297">
            <v>0</v>
          </cell>
          <cell r="N1297">
            <v>0</v>
          </cell>
        </row>
        <row r="1298">
          <cell r="B1298">
            <v>42304</v>
          </cell>
          <cell r="L1298">
            <v>0</v>
          </cell>
          <cell r="N1298">
            <v>0</v>
          </cell>
        </row>
        <row r="1299">
          <cell r="B1299">
            <v>42304</v>
          </cell>
          <cell r="L1299">
            <v>0</v>
          </cell>
          <cell r="N1299">
            <v>0</v>
          </cell>
        </row>
        <row r="1300">
          <cell r="B1300">
            <v>42304</v>
          </cell>
          <cell r="L1300">
            <v>0</v>
          </cell>
          <cell r="N1300">
            <v>0</v>
          </cell>
        </row>
        <row r="1301">
          <cell r="B1301">
            <v>42304</v>
          </cell>
          <cell r="L1301">
            <v>0</v>
          </cell>
          <cell r="N1301">
            <v>0</v>
          </cell>
        </row>
        <row r="1302">
          <cell r="B1302">
            <v>42304</v>
          </cell>
          <cell r="L1302">
            <v>57.76489911126442</v>
          </cell>
          <cell r="N1302">
            <v>0.53096931840033623</v>
          </cell>
        </row>
        <row r="1303">
          <cell r="B1303">
            <v>42304</v>
          </cell>
          <cell r="L1303">
            <v>97.388271211788265</v>
          </cell>
          <cell r="N1303">
            <v>0.59330757968691716</v>
          </cell>
        </row>
        <row r="1304">
          <cell r="B1304">
            <v>42304</v>
          </cell>
          <cell r="L1304">
            <v>125.35348899025713</v>
          </cell>
          <cell r="N1304">
            <v>0.71827670439131752</v>
          </cell>
        </row>
        <row r="1305">
          <cell r="B1305">
            <v>42304</v>
          </cell>
          <cell r="L1305">
            <v>149.31054659539112</v>
          </cell>
          <cell r="N1305">
            <v>0.79340684681966656</v>
          </cell>
        </row>
        <row r="1306">
          <cell r="B1306">
            <v>42304</v>
          </cell>
          <cell r="L1306">
            <v>164.49538916074869</v>
          </cell>
          <cell r="N1306">
            <v>0.79714451916566742</v>
          </cell>
        </row>
        <row r="1307">
          <cell r="B1307">
            <v>42304</v>
          </cell>
          <cell r="L1307">
            <v>175.7025315440049</v>
          </cell>
          <cell r="N1307">
            <v>0.8050286534646458</v>
          </cell>
        </row>
        <row r="1308">
          <cell r="B1308">
            <v>42304</v>
          </cell>
          <cell r="L1308">
            <v>171.63993518339782</v>
          </cell>
          <cell r="N1308">
            <v>0.81646690253917698</v>
          </cell>
        </row>
        <row r="1309">
          <cell r="B1309">
            <v>42304</v>
          </cell>
          <cell r="L1309">
            <v>155.47766203042548</v>
          </cell>
          <cell r="N1309">
            <v>0.84984839282505653</v>
          </cell>
        </row>
        <row r="1310">
          <cell r="B1310">
            <v>42304</v>
          </cell>
          <cell r="L1310">
            <v>125.31204447608724</v>
          </cell>
          <cell r="N1310">
            <v>0.90562828152784947</v>
          </cell>
        </row>
        <row r="1311">
          <cell r="B1311">
            <v>42304</v>
          </cell>
          <cell r="L1311">
            <v>111.15417538501477</v>
          </cell>
          <cell r="N1311">
            <v>0.90390113622814705</v>
          </cell>
        </row>
        <row r="1312">
          <cell r="B1312">
            <v>42304</v>
          </cell>
          <cell r="L1312">
            <v>115.25070671275</v>
          </cell>
          <cell r="N1312">
            <v>0.82654020159663821</v>
          </cell>
        </row>
        <row r="1313">
          <cell r="B1313">
            <v>42304</v>
          </cell>
          <cell r="L1313">
            <v>130.77941910760975</v>
          </cell>
          <cell r="N1313">
            <v>0.78388310746083001</v>
          </cell>
        </row>
        <row r="1314">
          <cell r="B1314">
            <v>42304</v>
          </cell>
          <cell r="L1314">
            <v>148.46539669728995</v>
          </cell>
          <cell r="N1314">
            <v>0.74639271799982776</v>
          </cell>
        </row>
        <row r="1315">
          <cell r="B1315">
            <v>42304</v>
          </cell>
          <cell r="L1315">
            <v>157.36619985659991</v>
          </cell>
          <cell r="N1315">
            <v>0.77768805270085994</v>
          </cell>
        </row>
        <row r="1316">
          <cell r="B1316">
            <v>42304</v>
          </cell>
          <cell r="L1316">
            <v>161.85301746832536</v>
          </cell>
          <cell r="N1316">
            <v>0.75973270196225806</v>
          </cell>
        </row>
        <row r="1317">
          <cell r="B1317">
            <v>42304</v>
          </cell>
          <cell r="L1317">
            <v>158.05268009781358</v>
          </cell>
          <cell r="N1317">
            <v>0.77831939128684602</v>
          </cell>
        </row>
        <row r="1318">
          <cell r="B1318">
            <v>42304</v>
          </cell>
          <cell r="L1318">
            <v>155.65755377288016</v>
          </cell>
          <cell r="N1318">
            <v>0.78770183449089914</v>
          </cell>
        </row>
        <row r="1319">
          <cell r="B1319">
            <v>42304</v>
          </cell>
          <cell r="L1319">
            <v>142.34610947574947</v>
          </cell>
          <cell r="N1319">
            <v>0.7979888986823388</v>
          </cell>
        </row>
        <row r="1320">
          <cell r="B1320">
            <v>42304</v>
          </cell>
          <cell r="L1320">
            <v>121.51321273931613</v>
          </cell>
          <cell r="N1320">
            <v>0.85515518332448992</v>
          </cell>
        </row>
        <row r="1321">
          <cell r="B1321">
            <v>42304</v>
          </cell>
          <cell r="L1321">
            <v>93.919538766017823</v>
          </cell>
          <cell r="N1321">
            <v>0.91657126929667376</v>
          </cell>
        </row>
        <row r="1322">
          <cell r="B1322">
            <v>42304</v>
          </cell>
          <cell r="L1322">
            <v>63.396976998593672</v>
          </cell>
          <cell r="N1322">
            <v>1</v>
          </cell>
        </row>
        <row r="1323">
          <cell r="B1323">
            <v>42304</v>
          </cell>
          <cell r="L1323">
            <v>51.113162079325932</v>
          </cell>
          <cell r="N1323">
            <v>1</v>
          </cell>
        </row>
        <row r="1324">
          <cell r="B1324">
            <v>42304</v>
          </cell>
          <cell r="L1324">
            <v>40.497632703365731</v>
          </cell>
          <cell r="N1324">
            <v>0.97071780757949644</v>
          </cell>
        </row>
        <row r="1325">
          <cell r="B1325">
            <v>42304</v>
          </cell>
          <cell r="L1325">
            <v>41.381162023205945</v>
          </cell>
          <cell r="N1325">
            <v>0.78503214242693442</v>
          </cell>
        </row>
        <row r="1326">
          <cell r="B1326">
            <v>42304</v>
          </cell>
          <cell r="L1326">
            <v>35.456648948264103</v>
          </cell>
          <cell r="N1326">
            <v>0.66616530749096925</v>
          </cell>
        </row>
        <row r="1327">
          <cell r="B1327">
            <v>42304</v>
          </cell>
          <cell r="L1327">
            <v>32.119099166829677</v>
          </cell>
          <cell r="N1327">
            <v>0.57677048406442188</v>
          </cell>
        </row>
        <row r="1328">
          <cell r="B1328">
            <v>42304</v>
          </cell>
          <cell r="L1328">
            <v>25.364622151602049</v>
          </cell>
          <cell r="N1328">
            <v>0.49455932847702222</v>
          </cell>
        </row>
        <row r="1329">
          <cell r="B1329">
            <v>42304</v>
          </cell>
          <cell r="L1329">
            <v>15.853803346559458</v>
          </cell>
          <cell r="N1329">
            <v>0.53207346698711155</v>
          </cell>
        </row>
        <row r="1330">
          <cell r="B1330">
            <v>42304</v>
          </cell>
          <cell r="L1330">
            <v>0</v>
          </cell>
          <cell r="N1330">
            <v>0</v>
          </cell>
        </row>
        <row r="1331">
          <cell r="B1331">
            <v>42304</v>
          </cell>
          <cell r="L1331">
            <v>0</v>
          </cell>
          <cell r="N1331">
            <v>0</v>
          </cell>
        </row>
        <row r="1332">
          <cell r="B1332">
            <v>42304</v>
          </cell>
          <cell r="L1332">
            <v>0</v>
          </cell>
          <cell r="N1332">
            <v>0</v>
          </cell>
        </row>
        <row r="1333">
          <cell r="B1333">
            <v>42304</v>
          </cell>
          <cell r="L1333">
            <v>0</v>
          </cell>
          <cell r="N1333">
            <v>0</v>
          </cell>
        </row>
        <row r="1334">
          <cell r="B1334">
            <v>42305</v>
          </cell>
          <cell r="L1334">
            <v>0</v>
          </cell>
          <cell r="N1334">
            <v>0</v>
          </cell>
        </row>
        <row r="1335">
          <cell r="B1335">
            <v>42305</v>
          </cell>
          <cell r="L1335">
            <v>0</v>
          </cell>
          <cell r="N1335">
            <v>0</v>
          </cell>
        </row>
        <row r="1336">
          <cell r="B1336">
            <v>42305</v>
          </cell>
          <cell r="L1336">
            <v>0</v>
          </cell>
          <cell r="N1336">
            <v>0</v>
          </cell>
        </row>
        <row r="1337">
          <cell r="B1337">
            <v>42305</v>
          </cell>
          <cell r="L1337">
            <v>0</v>
          </cell>
          <cell r="N1337">
            <v>0</v>
          </cell>
        </row>
        <row r="1338">
          <cell r="B1338">
            <v>42305</v>
          </cell>
          <cell r="L1338">
            <v>0</v>
          </cell>
          <cell r="N1338">
            <v>0</v>
          </cell>
        </row>
        <row r="1339">
          <cell r="B1339">
            <v>42305</v>
          </cell>
          <cell r="L1339">
            <v>0</v>
          </cell>
          <cell r="N1339">
            <v>0</v>
          </cell>
        </row>
        <row r="1340">
          <cell r="B1340">
            <v>42305</v>
          </cell>
          <cell r="L1340">
            <v>0</v>
          </cell>
          <cell r="N1340">
            <v>0</v>
          </cell>
        </row>
        <row r="1341">
          <cell r="B1341">
            <v>42305</v>
          </cell>
          <cell r="L1341">
            <v>0</v>
          </cell>
          <cell r="N1341">
            <v>0</v>
          </cell>
        </row>
        <row r="1342">
          <cell r="B1342">
            <v>42305</v>
          </cell>
          <cell r="L1342">
            <v>0</v>
          </cell>
          <cell r="N1342">
            <v>0</v>
          </cell>
        </row>
        <row r="1343">
          <cell r="B1343">
            <v>42305</v>
          </cell>
          <cell r="L1343">
            <v>0</v>
          </cell>
          <cell r="N1343">
            <v>0</v>
          </cell>
        </row>
        <row r="1344">
          <cell r="B1344">
            <v>42305</v>
          </cell>
          <cell r="L1344">
            <v>0</v>
          </cell>
          <cell r="N1344">
            <v>0</v>
          </cell>
        </row>
        <row r="1345">
          <cell r="B1345">
            <v>42305</v>
          </cell>
          <cell r="L1345">
            <v>0</v>
          </cell>
          <cell r="N1345">
            <v>0</v>
          </cell>
        </row>
        <row r="1346">
          <cell r="B1346">
            <v>42305</v>
          </cell>
          <cell r="L1346">
            <v>0</v>
          </cell>
          <cell r="N1346">
            <v>0</v>
          </cell>
        </row>
        <row r="1347">
          <cell r="B1347">
            <v>42305</v>
          </cell>
          <cell r="L1347">
            <v>0</v>
          </cell>
          <cell r="N1347">
            <v>0</v>
          </cell>
        </row>
        <row r="1348">
          <cell r="B1348">
            <v>42305</v>
          </cell>
          <cell r="L1348">
            <v>0</v>
          </cell>
          <cell r="N1348">
            <v>0</v>
          </cell>
        </row>
        <row r="1349">
          <cell r="B1349">
            <v>42305</v>
          </cell>
          <cell r="L1349">
            <v>0</v>
          </cell>
          <cell r="N1349">
            <v>0</v>
          </cell>
        </row>
        <row r="1350">
          <cell r="B1350">
            <v>42305</v>
          </cell>
          <cell r="L1350">
            <v>56.859196113966092</v>
          </cell>
          <cell r="N1350">
            <v>0.52092428099058596</v>
          </cell>
        </row>
        <row r="1351">
          <cell r="B1351">
            <v>42305</v>
          </cell>
          <cell r="L1351">
            <v>95.861308462864869</v>
          </cell>
          <cell r="N1351">
            <v>0.58208320828369042</v>
          </cell>
        </row>
        <row r="1352">
          <cell r="B1352">
            <v>42305</v>
          </cell>
          <cell r="L1352">
            <v>129.534689356287</v>
          </cell>
          <cell r="N1352">
            <v>0.67124952325130038</v>
          </cell>
        </row>
        <row r="1353">
          <cell r="B1353">
            <v>42305</v>
          </cell>
          <cell r="L1353">
            <v>154.29084125735537</v>
          </cell>
          <cell r="N1353">
            <v>0.74146072734369495</v>
          </cell>
        </row>
        <row r="1354">
          <cell r="B1354">
            <v>42305</v>
          </cell>
          <cell r="L1354">
            <v>166.89672880231487</v>
          </cell>
          <cell r="N1354">
            <v>0.75872577785482609</v>
          </cell>
        </row>
        <row r="1355">
          <cell r="B1355">
            <v>42305</v>
          </cell>
          <cell r="L1355">
            <v>178.26747549941169</v>
          </cell>
          <cell r="N1355">
            <v>0.76622993272873174</v>
          </cell>
        </row>
        <row r="1356">
          <cell r="B1356">
            <v>42305</v>
          </cell>
          <cell r="L1356">
            <v>173.46325697603885</v>
          </cell>
          <cell r="N1356">
            <v>0.78017368959047295</v>
          </cell>
        </row>
        <row r="1357">
          <cell r="B1357">
            <v>42305</v>
          </cell>
          <cell r="L1357">
            <v>157.1292928653244</v>
          </cell>
          <cell r="N1357">
            <v>0.81207132115320946</v>
          </cell>
        </row>
        <row r="1358">
          <cell r="B1358">
            <v>42305</v>
          </cell>
          <cell r="L1358">
            <v>135.28075155419447</v>
          </cell>
          <cell r="N1358">
            <v>0.81011869663815073</v>
          </cell>
        </row>
        <row r="1359">
          <cell r="B1359">
            <v>42305</v>
          </cell>
          <cell r="L1359">
            <v>119.99660884425992</v>
          </cell>
          <cell r="N1359">
            <v>0.80857369994619743</v>
          </cell>
        </row>
        <row r="1360">
          <cell r="B1360">
            <v>42305</v>
          </cell>
          <cell r="L1360">
            <v>131.47691696600631</v>
          </cell>
          <cell r="N1360">
            <v>0.69968076990484018</v>
          </cell>
        </row>
        <row r="1361">
          <cell r="B1361">
            <v>42305</v>
          </cell>
          <cell r="L1361">
            <v>149.19192530184759</v>
          </cell>
          <cell r="N1361">
            <v>0.66357079193983515</v>
          </cell>
        </row>
        <row r="1362">
          <cell r="B1362">
            <v>42305</v>
          </cell>
          <cell r="L1362">
            <v>160.81614910094007</v>
          </cell>
          <cell r="N1362">
            <v>0.66543378832346622</v>
          </cell>
        </row>
        <row r="1363">
          <cell r="B1363">
            <v>42305</v>
          </cell>
          <cell r="L1363">
            <v>170.45740504224344</v>
          </cell>
          <cell r="N1363">
            <v>0.69333461402118379</v>
          </cell>
        </row>
        <row r="1364">
          <cell r="B1364">
            <v>42305</v>
          </cell>
          <cell r="L1364">
            <v>175.0835099708606</v>
          </cell>
          <cell r="N1364">
            <v>0.67823195401842573</v>
          </cell>
        </row>
        <row r="1365">
          <cell r="B1365">
            <v>42305</v>
          </cell>
          <cell r="L1365">
            <v>170.97251830502495</v>
          </cell>
          <cell r="N1365">
            <v>0.69482474591324539</v>
          </cell>
        </row>
        <row r="1366">
          <cell r="B1366">
            <v>42305</v>
          </cell>
          <cell r="L1366">
            <v>164.74097235700373</v>
          </cell>
          <cell r="N1366">
            <v>0.71874080797685103</v>
          </cell>
        </row>
        <row r="1367">
          <cell r="B1367">
            <v>42305</v>
          </cell>
          <cell r="L1367">
            <v>150.65273684364649</v>
          </cell>
          <cell r="N1367">
            <v>0.72812726933179206</v>
          </cell>
        </row>
        <row r="1368">
          <cell r="B1368">
            <v>42305</v>
          </cell>
          <cell r="L1368">
            <v>117.51454381940025</v>
          </cell>
          <cell r="N1368">
            <v>0.8539229533602064</v>
          </cell>
        </row>
        <row r="1369">
          <cell r="B1369">
            <v>42305</v>
          </cell>
          <cell r="L1369">
            <v>90.828902511981894</v>
          </cell>
          <cell r="N1369">
            <v>0.91525054224683244</v>
          </cell>
        </row>
        <row r="1370">
          <cell r="B1370">
            <v>42305</v>
          </cell>
          <cell r="L1370">
            <v>59.496912349362937</v>
          </cell>
          <cell r="N1370">
            <v>1</v>
          </cell>
        </row>
        <row r="1371">
          <cell r="B1371">
            <v>42305</v>
          </cell>
          <cell r="L1371">
            <v>47.968774981177667</v>
          </cell>
          <cell r="N1371">
            <v>1</v>
          </cell>
        </row>
        <row r="1372">
          <cell r="B1372">
            <v>42305</v>
          </cell>
          <cell r="L1372">
            <v>35.589123732319521</v>
          </cell>
          <cell r="N1372">
            <v>1</v>
          </cell>
        </row>
        <row r="1373">
          <cell r="B1373">
            <v>42305</v>
          </cell>
          <cell r="L1373">
            <v>36.365565024956169</v>
          </cell>
          <cell r="N1373">
            <v>0.86266395402214024</v>
          </cell>
        </row>
        <row r="1374">
          <cell r="B1374">
            <v>42305</v>
          </cell>
          <cell r="L1374">
            <v>31.065132861653709</v>
          </cell>
          <cell r="N1374">
            <v>0.73425743780049157</v>
          </cell>
        </row>
        <row r="1375">
          <cell r="B1375">
            <v>42305</v>
          </cell>
          <cell r="L1375">
            <v>28.140958398806738</v>
          </cell>
          <cell r="N1375">
            <v>0.63572511667283538</v>
          </cell>
        </row>
        <row r="1376">
          <cell r="B1376">
            <v>42305</v>
          </cell>
          <cell r="L1376">
            <v>20.588993076781676</v>
          </cell>
          <cell r="N1376">
            <v>0.588374115156578</v>
          </cell>
        </row>
        <row r="1377">
          <cell r="B1377">
            <v>42305</v>
          </cell>
          <cell r="L1377">
            <v>12.868862993188893</v>
          </cell>
          <cell r="N1377">
            <v>0.63300444923541588</v>
          </cell>
        </row>
        <row r="1378">
          <cell r="B1378">
            <v>42305</v>
          </cell>
          <cell r="L1378">
            <v>0</v>
          </cell>
          <cell r="N1378">
            <v>0</v>
          </cell>
        </row>
        <row r="1379">
          <cell r="B1379">
            <v>42305</v>
          </cell>
          <cell r="L1379">
            <v>0</v>
          </cell>
          <cell r="N1379">
            <v>0</v>
          </cell>
        </row>
        <row r="1380">
          <cell r="B1380">
            <v>42305</v>
          </cell>
          <cell r="L1380">
            <v>0</v>
          </cell>
          <cell r="N1380">
            <v>0</v>
          </cell>
        </row>
        <row r="1381">
          <cell r="B1381">
            <v>42305</v>
          </cell>
          <cell r="L1381">
            <v>0</v>
          </cell>
          <cell r="N1381">
            <v>0</v>
          </cell>
        </row>
        <row r="1382">
          <cell r="B1382">
            <v>42306</v>
          </cell>
          <cell r="L1382">
            <v>0</v>
          </cell>
          <cell r="N1382">
            <v>0</v>
          </cell>
        </row>
        <row r="1383">
          <cell r="B1383">
            <v>42306</v>
          </cell>
          <cell r="L1383">
            <v>0</v>
          </cell>
          <cell r="N1383">
            <v>0</v>
          </cell>
        </row>
        <row r="1384">
          <cell r="B1384">
            <v>42306</v>
          </cell>
          <cell r="L1384">
            <v>0</v>
          </cell>
          <cell r="N1384">
            <v>0</v>
          </cell>
        </row>
        <row r="1385">
          <cell r="B1385">
            <v>42306</v>
          </cell>
          <cell r="L1385">
            <v>0</v>
          </cell>
          <cell r="N1385">
            <v>0</v>
          </cell>
        </row>
        <row r="1386">
          <cell r="B1386">
            <v>42306</v>
          </cell>
          <cell r="L1386">
            <v>0</v>
          </cell>
          <cell r="N1386">
            <v>0</v>
          </cell>
        </row>
        <row r="1387">
          <cell r="B1387">
            <v>42306</v>
          </cell>
          <cell r="L1387">
            <v>0</v>
          </cell>
          <cell r="N1387">
            <v>0</v>
          </cell>
        </row>
        <row r="1388">
          <cell r="B1388">
            <v>42306</v>
          </cell>
          <cell r="L1388">
            <v>0</v>
          </cell>
          <cell r="N1388">
            <v>0</v>
          </cell>
        </row>
        <row r="1389">
          <cell r="B1389">
            <v>42306</v>
          </cell>
          <cell r="L1389">
            <v>0</v>
          </cell>
          <cell r="N1389">
            <v>0</v>
          </cell>
        </row>
        <row r="1390">
          <cell r="B1390">
            <v>42306</v>
          </cell>
          <cell r="L1390">
            <v>0</v>
          </cell>
          <cell r="N1390">
            <v>0</v>
          </cell>
        </row>
        <row r="1391">
          <cell r="B1391">
            <v>42306</v>
          </cell>
          <cell r="L1391">
            <v>0</v>
          </cell>
          <cell r="N1391">
            <v>0</v>
          </cell>
        </row>
        <row r="1392">
          <cell r="B1392">
            <v>42306</v>
          </cell>
          <cell r="L1392">
            <v>0</v>
          </cell>
          <cell r="N1392">
            <v>0</v>
          </cell>
        </row>
        <row r="1393">
          <cell r="B1393">
            <v>42306</v>
          </cell>
          <cell r="L1393">
            <v>0</v>
          </cell>
          <cell r="N1393">
            <v>0</v>
          </cell>
        </row>
        <row r="1394">
          <cell r="B1394">
            <v>42306</v>
          </cell>
          <cell r="L1394">
            <v>0</v>
          </cell>
          <cell r="N1394">
            <v>0</v>
          </cell>
        </row>
        <row r="1395">
          <cell r="B1395">
            <v>42306</v>
          </cell>
          <cell r="L1395">
            <v>0</v>
          </cell>
          <cell r="N1395">
            <v>0</v>
          </cell>
        </row>
        <row r="1396">
          <cell r="B1396">
            <v>42306</v>
          </cell>
          <cell r="L1396">
            <v>0</v>
          </cell>
          <cell r="N1396">
            <v>0</v>
          </cell>
        </row>
        <row r="1397">
          <cell r="B1397">
            <v>42306</v>
          </cell>
          <cell r="L1397">
            <v>0</v>
          </cell>
          <cell r="N1397">
            <v>0</v>
          </cell>
        </row>
        <row r="1398">
          <cell r="B1398">
            <v>42306</v>
          </cell>
          <cell r="L1398">
            <v>54.381554692986739</v>
          </cell>
          <cell r="N1398">
            <v>0.55228166174728854</v>
          </cell>
        </row>
        <row r="1399">
          <cell r="B1399">
            <v>42306</v>
          </cell>
          <cell r="L1399">
            <v>91.684148658480396</v>
          </cell>
          <cell r="N1399">
            <v>0.61712209101637017</v>
          </cell>
        </row>
        <row r="1400">
          <cell r="B1400">
            <v>42306</v>
          </cell>
          <cell r="L1400">
            <v>130.29804046022466</v>
          </cell>
          <cell r="N1400">
            <v>0.67665784261004092</v>
          </cell>
        </row>
        <row r="1401">
          <cell r="B1401">
            <v>42306</v>
          </cell>
          <cell r="L1401">
            <v>155.20008097211098</v>
          </cell>
          <cell r="N1401">
            <v>0.74743474485363015</v>
          </cell>
        </row>
        <row r="1402">
          <cell r="B1402">
            <v>42306</v>
          </cell>
          <cell r="L1402">
            <v>170.72314165121614</v>
          </cell>
          <cell r="N1402">
            <v>0.75210278358846872</v>
          </cell>
        </row>
        <row r="1403">
          <cell r="B1403">
            <v>42306</v>
          </cell>
          <cell r="L1403">
            <v>182.35458351936637</v>
          </cell>
          <cell r="N1403">
            <v>0.75954143393339368</v>
          </cell>
        </row>
        <row r="1404">
          <cell r="B1404">
            <v>42306</v>
          </cell>
          <cell r="L1404">
            <v>170.48034765084199</v>
          </cell>
          <cell r="N1404">
            <v>0.8049360910302007</v>
          </cell>
        </row>
        <row r="1405">
          <cell r="B1405">
            <v>42306</v>
          </cell>
          <cell r="L1405">
            <v>154.42726569760953</v>
          </cell>
          <cell r="N1405">
            <v>0.83784614068428243</v>
          </cell>
        </row>
        <row r="1406">
          <cell r="B1406">
            <v>42306</v>
          </cell>
          <cell r="L1406">
            <v>127.41337788817427</v>
          </cell>
          <cell r="N1406">
            <v>0.87218087453941806</v>
          </cell>
        </row>
        <row r="1407">
          <cell r="B1407">
            <v>42306</v>
          </cell>
          <cell r="L1407">
            <v>113.01809823142626</v>
          </cell>
          <cell r="N1407">
            <v>0.87051751758747986</v>
          </cell>
        </row>
        <row r="1408">
          <cell r="B1408">
            <v>42306</v>
          </cell>
          <cell r="L1408">
            <v>115.01006591816669</v>
          </cell>
          <cell r="N1408">
            <v>0.81105540560504741</v>
          </cell>
        </row>
        <row r="1409">
          <cell r="B1409">
            <v>42306</v>
          </cell>
          <cell r="L1409">
            <v>130.50635472278444</v>
          </cell>
          <cell r="N1409">
            <v>0.76919746969410363</v>
          </cell>
        </row>
        <row r="1410">
          <cell r="B1410">
            <v>42306</v>
          </cell>
          <cell r="L1410">
            <v>146.38080879308475</v>
          </cell>
          <cell r="N1410">
            <v>0.74128854803585287</v>
          </cell>
        </row>
        <row r="1411">
          <cell r="B1411">
            <v>42306</v>
          </cell>
          <cell r="L1411">
            <v>155.15663665837761</v>
          </cell>
          <cell r="N1411">
            <v>0.77236987112672162</v>
          </cell>
        </row>
        <row r="1412">
          <cell r="B1412">
            <v>42306</v>
          </cell>
          <cell r="L1412">
            <v>153.04042480271957</v>
          </cell>
          <cell r="N1412">
            <v>0.78678170935311131</v>
          </cell>
        </row>
        <row r="1413">
          <cell r="B1413">
            <v>42306</v>
          </cell>
          <cell r="L1413">
            <v>149.44700866087595</v>
          </cell>
          <cell r="N1413">
            <v>0.80603014654719851</v>
          </cell>
        </row>
        <row r="1414">
          <cell r="B1414">
            <v>42306</v>
          </cell>
          <cell r="L1414">
            <v>144.30974288974011</v>
          </cell>
          <cell r="N1414">
            <v>0.83198443525443322</v>
          </cell>
        </row>
        <row r="1415">
          <cell r="B1415">
            <v>42306</v>
          </cell>
          <cell r="L1415">
            <v>131.96873496915492</v>
          </cell>
          <cell r="N1415">
            <v>0.84284981212291865</v>
          </cell>
        </row>
        <row r="1416">
          <cell r="B1416">
            <v>42306</v>
          </cell>
          <cell r="L1416">
            <v>108.37955651057148</v>
          </cell>
          <cell r="N1416">
            <v>0.93885789568219991</v>
          </cell>
        </row>
        <row r="1417">
          <cell r="B1417">
            <v>42306</v>
          </cell>
          <cell r="L1417">
            <v>83.768322223324702</v>
          </cell>
          <cell r="N1417">
            <v>1</v>
          </cell>
        </row>
        <row r="1418">
          <cell r="B1418">
            <v>42306</v>
          </cell>
          <cell r="L1418">
            <v>60.606734810353693</v>
          </cell>
          <cell r="N1418">
            <v>1</v>
          </cell>
        </row>
        <row r="1419">
          <cell r="B1419">
            <v>42306</v>
          </cell>
          <cell r="L1419">
            <v>48.863557950547886</v>
          </cell>
          <cell r="N1419">
            <v>1</v>
          </cell>
        </row>
        <row r="1420">
          <cell r="B1420">
            <v>42306</v>
          </cell>
          <cell r="L1420">
            <v>40.350038931849099</v>
          </cell>
          <cell r="N1420">
            <v>0.95401998482146633</v>
          </cell>
        </row>
        <row r="1421">
          <cell r="B1421">
            <v>42306</v>
          </cell>
          <cell r="L1421">
            <v>41.23034822582963</v>
          </cell>
          <cell r="N1421">
            <v>0.77152839553855002</v>
          </cell>
        </row>
        <row r="1422">
          <cell r="B1422">
            <v>42306</v>
          </cell>
          <cell r="L1422">
            <v>37.90939952662427</v>
          </cell>
          <cell r="N1422">
            <v>0.61011484264454219</v>
          </cell>
        </row>
        <row r="1423">
          <cell r="B1423">
            <v>42306</v>
          </cell>
          <cell r="L1423">
            <v>34.340971266835503</v>
          </cell>
          <cell r="N1423">
            <v>0.5282416078560972</v>
          </cell>
        </row>
        <row r="1424">
          <cell r="B1424">
            <v>42306</v>
          </cell>
          <cell r="L1424">
            <v>29.381726324467554</v>
          </cell>
          <cell r="N1424">
            <v>0.41806930511242846</v>
          </cell>
        </row>
        <row r="1425">
          <cell r="B1425">
            <v>42306</v>
          </cell>
          <cell r="L1425">
            <v>18.364638288180327</v>
          </cell>
          <cell r="N1425">
            <v>0.44978139487747498</v>
          </cell>
        </row>
        <row r="1426">
          <cell r="B1426">
            <v>42306</v>
          </cell>
          <cell r="L1426">
            <v>0</v>
          </cell>
          <cell r="N1426">
            <v>0</v>
          </cell>
        </row>
        <row r="1427">
          <cell r="B1427">
            <v>42306</v>
          </cell>
          <cell r="L1427">
            <v>0</v>
          </cell>
          <cell r="N1427">
            <v>0</v>
          </cell>
        </row>
        <row r="1428">
          <cell r="B1428">
            <v>42306</v>
          </cell>
          <cell r="L1428">
            <v>0</v>
          </cell>
          <cell r="N1428">
            <v>0</v>
          </cell>
        </row>
        <row r="1429">
          <cell r="B1429">
            <v>42306</v>
          </cell>
          <cell r="L1429">
            <v>0</v>
          </cell>
          <cell r="N1429">
            <v>0</v>
          </cell>
        </row>
        <row r="1430">
          <cell r="B1430">
            <v>42307</v>
          </cell>
          <cell r="L1430">
            <v>0</v>
          </cell>
          <cell r="N1430">
            <v>0</v>
          </cell>
        </row>
        <row r="1431">
          <cell r="B1431">
            <v>42307</v>
          </cell>
          <cell r="L1431">
            <v>0</v>
          </cell>
          <cell r="N1431">
            <v>0</v>
          </cell>
        </row>
        <row r="1432">
          <cell r="B1432">
            <v>42307</v>
          </cell>
          <cell r="L1432">
            <v>0</v>
          </cell>
          <cell r="N1432">
            <v>0</v>
          </cell>
        </row>
        <row r="1433">
          <cell r="B1433">
            <v>42307</v>
          </cell>
          <cell r="L1433">
            <v>0</v>
          </cell>
          <cell r="N1433">
            <v>0</v>
          </cell>
        </row>
        <row r="1434">
          <cell r="B1434">
            <v>42307</v>
          </cell>
          <cell r="L1434">
            <v>0</v>
          </cell>
          <cell r="N1434">
            <v>0</v>
          </cell>
        </row>
        <row r="1435">
          <cell r="B1435">
            <v>42307</v>
          </cell>
          <cell r="L1435">
            <v>0</v>
          </cell>
          <cell r="N1435">
            <v>0</v>
          </cell>
        </row>
        <row r="1436">
          <cell r="B1436">
            <v>42307</v>
          </cell>
          <cell r="L1436">
            <v>0</v>
          </cell>
          <cell r="N1436">
            <v>0</v>
          </cell>
        </row>
        <row r="1437">
          <cell r="B1437">
            <v>42307</v>
          </cell>
          <cell r="L1437">
            <v>0</v>
          </cell>
          <cell r="N1437">
            <v>0</v>
          </cell>
        </row>
        <row r="1438">
          <cell r="B1438">
            <v>42307</v>
          </cell>
          <cell r="L1438">
            <v>0</v>
          </cell>
          <cell r="N1438">
            <v>0</v>
          </cell>
        </row>
        <row r="1439">
          <cell r="B1439">
            <v>42307</v>
          </cell>
          <cell r="L1439">
            <v>0</v>
          </cell>
          <cell r="N1439">
            <v>0</v>
          </cell>
        </row>
        <row r="1440">
          <cell r="B1440">
            <v>42307</v>
          </cell>
          <cell r="L1440">
            <v>0</v>
          </cell>
          <cell r="N1440">
            <v>0</v>
          </cell>
        </row>
        <row r="1441">
          <cell r="B1441">
            <v>42307</v>
          </cell>
          <cell r="L1441">
            <v>0</v>
          </cell>
          <cell r="N1441">
            <v>0</v>
          </cell>
        </row>
        <row r="1442">
          <cell r="B1442">
            <v>42307</v>
          </cell>
          <cell r="L1442">
            <v>0</v>
          </cell>
          <cell r="N1442">
            <v>0</v>
          </cell>
        </row>
        <row r="1443">
          <cell r="B1443">
            <v>42307</v>
          </cell>
          <cell r="L1443">
            <v>0</v>
          </cell>
          <cell r="N1443">
            <v>0</v>
          </cell>
        </row>
        <row r="1444">
          <cell r="B1444">
            <v>42307</v>
          </cell>
          <cell r="L1444">
            <v>0</v>
          </cell>
          <cell r="N1444">
            <v>0</v>
          </cell>
        </row>
        <row r="1445">
          <cell r="B1445">
            <v>42307</v>
          </cell>
          <cell r="L1445">
            <v>0</v>
          </cell>
          <cell r="N1445">
            <v>0</v>
          </cell>
        </row>
        <row r="1446">
          <cell r="B1446">
            <v>42307</v>
          </cell>
          <cell r="L1446">
            <v>62.138115543826203</v>
          </cell>
          <cell r="N1446">
            <v>0.41968221064499678</v>
          </cell>
        </row>
        <row r="1447">
          <cell r="B1447">
            <v>42307</v>
          </cell>
          <cell r="L1447">
            <v>104.76126059729424</v>
          </cell>
          <cell r="N1447">
            <v>0.46895484919092506</v>
          </cell>
        </row>
        <row r="1448">
          <cell r="B1448">
            <v>42307</v>
          </cell>
          <cell r="L1448">
            <v>125.8874284451071</v>
          </cell>
          <cell r="N1448">
            <v>0.60812245352447003</v>
          </cell>
        </row>
        <row r="1449">
          <cell r="B1449">
            <v>42307</v>
          </cell>
          <cell r="L1449">
            <v>149.94653042396004</v>
          </cell>
          <cell r="N1449">
            <v>0.67173070681717217</v>
          </cell>
        </row>
        <row r="1450">
          <cell r="B1450">
            <v>42307</v>
          </cell>
          <cell r="L1450">
            <v>168.80052230347272</v>
          </cell>
          <cell r="N1450">
            <v>0.66048384718250297</v>
          </cell>
        </row>
        <row r="1451">
          <cell r="B1451">
            <v>42307</v>
          </cell>
          <cell r="L1451">
            <v>180.30097527953976</v>
          </cell>
          <cell r="N1451">
            <v>0.66701634314564762</v>
          </cell>
        </row>
        <row r="1452">
          <cell r="B1452">
            <v>42307</v>
          </cell>
          <cell r="L1452">
            <v>170.08898319067501</v>
          </cell>
          <cell r="N1452">
            <v>0.70052870343234042</v>
          </cell>
        </row>
        <row r="1453">
          <cell r="B1453">
            <v>42307</v>
          </cell>
          <cell r="L1453">
            <v>154.072753612741</v>
          </cell>
          <cell r="N1453">
            <v>0.72917002622923666</v>
          </cell>
        </row>
        <row r="1454">
          <cell r="B1454">
            <v>42307</v>
          </cell>
          <cell r="L1454">
            <v>124.90647997410576</v>
          </cell>
          <cell r="N1454">
            <v>0.77250805413290746</v>
          </cell>
        </row>
        <row r="1455">
          <cell r="B1455">
            <v>42307</v>
          </cell>
          <cell r="L1455">
            <v>110.79443193041182</v>
          </cell>
          <cell r="N1455">
            <v>0.77103478559448779</v>
          </cell>
        </row>
        <row r="1456">
          <cell r="B1456">
            <v>42307</v>
          </cell>
          <cell r="L1456">
            <v>114.29829496531038</v>
          </cell>
          <cell r="N1456">
            <v>0.70861937174561607</v>
          </cell>
        </row>
        <row r="1457">
          <cell r="B1457">
            <v>42307</v>
          </cell>
          <cell r="L1457">
            <v>129.69868078821827</v>
          </cell>
          <cell r="N1457">
            <v>0.67204807952217804</v>
          </cell>
        </row>
        <row r="1458">
          <cell r="B1458">
            <v>42307</v>
          </cell>
          <cell r="L1458">
            <v>137.84353120903131</v>
          </cell>
          <cell r="N1458">
            <v>0.68352033594380845</v>
          </cell>
        </row>
        <row r="1459">
          <cell r="B1459">
            <v>42307</v>
          </cell>
          <cell r="L1459">
            <v>146.10753188103558</v>
          </cell>
          <cell r="N1459">
            <v>0.71217950848456801</v>
          </cell>
        </row>
        <row r="1460">
          <cell r="B1460">
            <v>42307</v>
          </cell>
          <cell r="L1460">
            <v>143.18049288023516</v>
          </cell>
          <cell r="N1460">
            <v>0.73020190481997616</v>
          </cell>
        </row>
        <row r="1461">
          <cell r="B1461">
            <v>42307</v>
          </cell>
          <cell r="L1461">
            <v>139.81858967736446</v>
          </cell>
          <cell r="N1461">
            <v>0.74806612984814302</v>
          </cell>
        </row>
        <row r="1462">
          <cell r="B1462">
            <v>42307</v>
          </cell>
          <cell r="L1462">
            <v>137.66112547107883</v>
          </cell>
          <cell r="N1462">
            <v>0.75729647550569568</v>
          </cell>
        </row>
        <row r="1463">
          <cell r="B1463">
            <v>42307</v>
          </cell>
          <cell r="L1463">
            <v>125.8886906667754</v>
          </cell>
          <cell r="N1463">
            <v>0.76718645812902286</v>
          </cell>
        </row>
        <row r="1464">
          <cell r="B1464">
            <v>42307</v>
          </cell>
          <cell r="L1464">
            <v>110.26571051926547</v>
          </cell>
          <cell r="N1464">
            <v>0.80125942162050789</v>
          </cell>
        </row>
        <row r="1465">
          <cell r="B1465">
            <v>42307</v>
          </cell>
          <cell r="L1465">
            <v>85.226161338468913</v>
          </cell>
          <cell r="N1465">
            <v>0.8588047870510942</v>
          </cell>
        </row>
        <row r="1466">
          <cell r="B1466">
            <v>42307</v>
          </cell>
          <cell r="L1466">
            <v>62.38461137716714</v>
          </cell>
          <cell r="N1466">
            <v>0.90438222746616004</v>
          </cell>
        </row>
        <row r="1467">
          <cell r="B1467">
            <v>42307</v>
          </cell>
          <cell r="L1467">
            <v>50.29695268668155</v>
          </cell>
          <cell r="N1467">
            <v>0.89200413735839679</v>
          </cell>
        </row>
        <row r="1468">
          <cell r="B1468">
            <v>42307</v>
          </cell>
          <cell r="L1468">
            <v>40.668387505552438</v>
          </cell>
          <cell r="N1468">
            <v>0.82188465950309753</v>
          </cell>
        </row>
        <row r="1469">
          <cell r="B1469">
            <v>42307</v>
          </cell>
          <cell r="L1469">
            <v>41.555642151150344</v>
          </cell>
          <cell r="N1469">
            <v>0.66466883582406067</v>
          </cell>
        </row>
        <row r="1470">
          <cell r="B1470">
            <v>42307</v>
          </cell>
          <cell r="L1470">
            <v>37.388187301908999</v>
          </cell>
          <cell r="N1470">
            <v>0.53714369597559497</v>
          </cell>
        </row>
        <row r="1471">
          <cell r="B1471">
            <v>42307</v>
          </cell>
          <cell r="L1471">
            <v>33.868820975446702</v>
          </cell>
          <cell r="N1471">
            <v>0.46506268947996254</v>
          </cell>
        </row>
        <row r="1472">
          <cell r="B1472">
            <v>42307</v>
          </cell>
          <cell r="L1472">
            <v>27.40738580777278</v>
          </cell>
          <cell r="N1472">
            <v>0.38915657763561845</v>
          </cell>
        </row>
        <row r="1473">
          <cell r="B1473">
            <v>42307</v>
          </cell>
          <cell r="L1473">
            <v>17.130604281927781</v>
          </cell>
          <cell r="N1473">
            <v>0.41867553100465427</v>
          </cell>
        </row>
        <row r="1474">
          <cell r="B1474">
            <v>42307</v>
          </cell>
          <cell r="L1474">
            <v>0</v>
          </cell>
          <cell r="N1474">
            <v>0</v>
          </cell>
        </row>
        <row r="1475">
          <cell r="B1475">
            <v>42307</v>
          </cell>
          <cell r="L1475">
            <v>0</v>
          </cell>
          <cell r="N1475">
            <v>0</v>
          </cell>
        </row>
        <row r="1476">
          <cell r="B1476">
            <v>42307</v>
          </cell>
          <cell r="L1476">
            <v>0</v>
          </cell>
          <cell r="N1476">
            <v>0</v>
          </cell>
        </row>
        <row r="1477">
          <cell r="B1477">
            <v>42307</v>
          </cell>
          <cell r="L1477">
            <v>0</v>
          </cell>
          <cell r="N1477">
            <v>0</v>
          </cell>
        </row>
        <row r="1478">
          <cell r="B1478">
            <v>42308</v>
          </cell>
          <cell r="L1478">
            <v>0</v>
          </cell>
          <cell r="N1478">
            <v>0</v>
          </cell>
        </row>
        <row r="1479">
          <cell r="B1479">
            <v>42308</v>
          </cell>
          <cell r="L1479">
            <v>0</v>
          </cell>
          <cell r="N1479">
            <v>0</v>
          </cell>
        </row>
        <row r="1480">
          <cell r="B1480">
            <v>42308</v>
          </cell>
          <cell r="L1480">
            <v>0</v>
          </cell>
          <cell r="N1480">
            <v>0</v>
          </cell>
        </row>
        <row r="1481">
          <cell r="B1481">
            <v>42308</v>
          </cell>
          <cell r="L1481">
            <v>0</v>
          </cell>
          <cell r="N1481">
            <v>0</v>
          </cell>
        </row>
        <row r="1482">
          <cell r="B1482">
            <v>42308</v>
          </cell>
          <cell r="L1482">
            <v>0</v>
          </cell>
          <cell r="N1482">
            <v>0</v>
          </cell>
        </row>
        <row r="1483">
          <cell r="B1483">
            <v>42308</v>
          </cell>
          <cell r="L1483">
            <v>0</v>
          </cell>
          <cell r="N1483">
            <v>0</v>
          </cell>
        </row>
        <row r="1484">
          <cell r="B1484">
            <v>42308</v>
          </cell>
          <cell r="L1484">
            <v>0</v>
          </cell>
          <cell r="N1484">
            <v>0</v>
          </cell>
        </row>
        <row r="1485">
          <cell r="B1485">
            <v>42308</v>
          </cell>
          <cell r="L1485">
            <v>0</v>
          </cell>
          <cell r="N1485">
            <v>0</v>
          </cell>
        </row>
        <row r="1486">
          <cell r="B1486">
            <v>42308</v>
          </cell>
          <cell r="L1486">
            <v>0</v>
          </cell>
          <cell r="N1486">
            <v>0</v>
          </cell>
        </row>
        <row r="1487">
          <cell r="B1487">
            <v>42308</v>
          </cell>
          <cell r="L1487">
            <v>0</v>
          </cell>
          <cell r="N1487">
            <v>0</v>
          </cell>
        </row>
        <row r="1488">
          <cell r="B1488">
            <v>42308</v>
          </cell>
          <cell r="L1488">
            <v>0</v>
          </cell>
          <cell r="N1488">
            <v>0</v>
          </cell>
        </row>
        <row r="1489">
          <cell r="B1489">
            <v>42308</v>
          </cell>
          <cell r="L1489">
            <v>0</v>
          </cell>
          <cell r="N1489">
            <v>0</v>
          </cell>
        </row>
        <row r="1490">
          <cell r="B1490">
            <v>42308</v>
          </cell>
          <cell r="L1490">
            <v>0</v>
          </cell>
          <cell r="N1490">
            <v>0</v>
          </cell>
        </row>
        <row r="1491">
          <cell r="B1491">
            <v>42308</v>
          </cell>
          <cell r="L1491">
            <v>0</v>
          </cell>
          <cell r="N1491">
            <v>0</v>
          </cell>
        </row>
        <row r="1492">
          <cell r="B1492">
            <v>42308</v>
          </cell>
          <cell r="L1492">
            <v>0</v>
          </cell>
          <cell r="N1492">
            <v>0</v>
          </cell>
        </row>
        <row r="1493">
          <cell r="B1493">
            <v>42308</v>
          </cell>
          <cell r="L1493">
            <v>0</v>
          </cell>
          <cell r="N1493">
            <v>0</v>
          </cell>
        </row>
        <row r="1494">
          <cell r="B1494">
            <v>42308</v>
          </cell>
          <cell r="L1494">
            <v>24.764873508757521</v>
          </cell>
          <cell r="N1494">
            <v>0.30318694681377212</v>
          </cell>
        </row>
        <row r="1495">
          <cell r="B1495">
            <v>42308</v>
          </cell>
          <cell r="L1495">
            <v>32.345183734884706</v>
          </cell>
          <cell r="N1495">
            <v>0.55806041906864967</v>
          </cell>
        </row>
        <row r="1496">
          <cell r="B1496">
            <v>42308</v>
          </cell>
          <cell r="L1496">
            <v>43.292265652363625</v>
          </cell>
          <cell r="N1496">
            <v>0.642868351421645</v>
          </cell>
        </row>
        <row r="1497">
          <cell r="B1497">
            <v>42308</v>
          </cell>
          <cell r="L1497">
            <v>50.680537804120576</v>
          </cell>
          <cell r="N1497">
            <v>0.76285293218588668</v>
          </cell>
        </row>
        <row r="1498">
          <cell r="B1498">
            <v>42308</v>
          </cell>
          <cell r="L1498">
            <v>53.386405514493951</v>
          </cell>
          <cell r="N1498">
            <v>0.75673672951953252</v>
          </cell>
        </row>
        <row r="1499">
          <cell r="B1499">
            <v>42308</v>
          </cell>
          <cell r="L1499">
            <v>57.23333066831399</v>
          </cell>
          <cell r="N1499">
            <v>0.77835722830539555</v>
          </cell>
        </row>
        <row r="1500">
          <cell r="B1500">
            <v>42308</v>
          </cell>
          <cell r="L1500">
            <v>52.631064614909036</v>
          </cell>
          <cell r="N1500">
            <v>0.80954351590003859</v>
          </cell>
        </row>
        <row r="1501">
          <cell r="B1501">
            <v>42308</v>
          </cell>
          <cell r="L1501">
            <v>46.961925194962504</v>
          </cell>
          <cell r="N1501">
            <v>0.84027020160076649</v>
          </cell>
        </row>
        <row r="1502">
          <cell r="B1502">
            <v>42308</v>
          </cell>
          <cell r="L1502">
            <v>47.15352547511209</v>
          </cell>
          <cell r="N1502">
            <v>0.78715901932333632</v>
          </cell>
        </row>
        <row r="1503">
          <cell r="B1503">
            <v>42308</v>
          </cell>
          <cell r="L1503">
            <v>44.268987563714632</v>
          </cell>
          <cell r="N1503">
            <v>0.72694298683701253</v>
          </cell>
        </row>
        <row r="1504">
          <cell r="B1504">
            <v>42308</v>
          </cell>
          <cell r="L1504">
            <v>45.133904376566285</v>
          </cell>
          <cell r="N1504">
            <v>0.5709216405663966</v>
          </cell>
        </row>
        <row r="1505">
          <cell r="B1505">
            <v>42308</v>
          </cell>
          <cell r="L1505">
            <v>48.749582464838568</v>
          </cell>
          <cell r="N1505">
            <v>0.41772245432746996</v>
          </cell>
        </row>
        <row r="1506">
          <cell r="B1506">
            <v>42308</v>
          </cell>
          <cell r="L1506">
            <v>44.75850592406006</v>
          </cell>
          <cell r="N1506">
            <v>0.43831890838350185</v>
          </cell>
        </row>
        <row r="1507">
          <cell r="B1507">
            <v>42308</v>
          </cell>
          <cell r="L1507">
            <v>33.987166458940521</v>
          </cell>
          <cell r="N1507">
            <v>0.53187521382680236</v>
          </cell>
        </row>
        <row r="1508">
          <cell r="B1508">
            <v>42308</v>
          </cell>
          <cell r="L1508">
            <v>26.661558993040181</v>
          </cell>
          <cell r="N1508">
            <v>0.62546647579301584</v>
          </cell>
        </row>
        <row r="1509">
          <cell r="B1509">
            <v>42308</v>
          </cell>
          <cell r="L1509">
            <v>23.720729631354743</v>
          </cell>
          <cell r="N1509">
            <v>0.73257979796476069</v>
          </cell>
        </row>
        <row r="1510">
          <cell r="B1510">
            <v>42308</v>
          </cell>
          <cell r="L1510">
            <v>20.287660032110058</v>
          </cell>
          <cell r="N1510">
            <v>0.74183711494915194</v>
          </cell>
        </row>
        <row r="1511">
          <cell r="B1511">
            <v>42308</v>
          </cell>
          <cell r="L1511">
            <v>19.885924189890058</v>
          </cell>
          <cell r="N1511">
            <v>0.74211602439271163</v>
          </cell>
        </row>
        <row r="1512">
          <cell r="B1512">
            <v>42308</v>
          </cell>
          <cell r="L1512">
            <v>20.921545928848012</v>
          </cell>
          <cell r="N1512">
            <v>0.61312189983413845</v>
          </cell>
        </row>
        <row r="1513">
          <cell r="B1513">
            <v>42308</v>
          </cell>
          <cell r="L1513">
            <v>19.862788907600248</v>
          </cell>
          <cell r="N1513">
            <v>0.6796161370579451</v>
          </cell>
        </row>
        <row r="1514">
          <cell r="B1514">
            <v>42308</v>
          </cell>
          <cell r="L1514">
            <v>17.778747082332501</v>
          </cell>
          <cell r="N1514">
            <v>0.65918412712341579</v>
          </cell>
        </row>
        <row r="1515">
          <cell r="B1515">
            <v>42308</v>
          </cell>
          <cell r="L1515">
            <v>19.695248744100287</v>
          </cell>
          <cell r="N1515">
            <v>0.54914685542232111</v>
          </cell>
        </row>
        <row r="1516">
          <cell r="B1516">
            <v>42308</v>
          </cell>
          <cell r="L1516">
            <v>18.267910768913964</v>
          </cell>
          <cell r="N1516">
            <v>0.4288899620198548</v>
          </cell>
        </row>
        <row r="1517">
          <cell r="B1517">
            <v>42308</v>
          </cell>
          <cell r="L1517">
            <v>20.542037566087753</v>
          </cell>
          <cell r="N1517">
            <v>0.36957773442194108</v>
          </cell>
        </row>
        <row r="1518">
          <cell r="B1518">
            <v>42308</v>
          </cell>
          <cell r="L1518">
            <v>22.143707627902128</v>
          </cell>
          <cell r="N1518">
            <v>0.27705351562473124</v>
          </cell>
        </row>
        <row r="1519">
          <cell r="B1519">
            <v>42308</v>
          </cell>
          <cell r="L1519">
            <v>20.352080374371862</v>
          </cell>
          <cell r="N1519">
            <v>0.2389151608422323</v>
          </cell>
        </row>
        <row r="1520">
          <cell r="B1520">
            <v>42308</v>
          </cell>
          <cell r="L1520">
            <v>14.476937814331574</v>
          </cell>
          <cell r="N1520">
            <v>0.23670650593604328</v>
          </cell>
        </row>
        <row r="1521">
          <cell r="B1521">
            <v>42308</v>
          </cell>
          <cell r="L1521">
            <v>9.0480861339572343</v>
          </cell>
          <cell r="N1521">
            <v>0.25206325204896646</v>
          </cell>
        </row>
        <row r="1522">
          <cell r="B1522">
            <v>42308</v>
          </cell>
          <cell r="L1522">
            <v>0</v>
          </cell>
          <cell r="N1522">
            <v>0</v>
          </cell>
        </row>
        <row r="1523">
          <cell r="B1523">
            <v>42308</v>
          </cell>
          <cell r="L1523">
            <v>0</v>
          </cell>
          <cell r="N1523">
            <v>0</v>
          </cell>
        </row>
        <row r="1524">
          <cell r="B1524">
            <v>42308</v>
          </cell>
          <cell r="L1524">
            <v>0</v>
          </cell>
          <cell r="N1524">
            <v>0</v>
          </cell>
        </row>
        <row r="1525">
          <cell r="B1525">
            <v>42308</v>
          </cell>
          <cell r="L1525">
            <v>0</v>
          </cell>
          <cell r="N1525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sheetPr syncVertical="1" syncRef="A1"/>
  <dimension ref="A1:AH1043"/>
  <sheetViews>
    <sheetView showGridLines="0" workbookViewId="0">
      <selection activeCell="C11" sqref="C11"/>
    </sheetView>
  </sheetViews>
  <sheetFormatPr defaultColWidth="6" defaultRowHeight="12.75"/>
  <cols>
    <col min="1" max="1" width="12" style="115" customWidth="1"/>
    <col min="2" max="2" width="45.875" style="116" customWidth="1"/>
    <col min="3" max="3" width="64.875" style="3" customWidth="1"/>
    <col min="4" max="4" width="20.25" style="4" customWidth="1"/>
    <col min="5" max="5" width="6.375" style="4" customWidth="1"/>
    <col min="6" max="8" width="2.75" style="4" customWidth="1"/>
    <col min="9" max="9" width="1.5" style="4" customWidth="1"/>
    <col min="10" max="10" width="43.75" style="4" customWidth="1"/>
    <col min="11" max="11" width="14.75" style="3" customWidth="1"/>
    <col min="12" max="12" width="7.875" style="3" customWidth="1"/>
    <col min="13" max="13" width="6" style="4" customWidth="1"/>
    <col min="14" max="14" width="5.375" style="4" customWidth="1"/>
    <col min="15" max="15" width="3.125" style="4" customWidth="1"/>
    <col min="16" max="16" width="23.25" style="4" customWidth="1"/>
    <col min="17" max="22" width="6" style="4" customWidth="1"/>
    <col min="23" max="23" width="5.375" style="4" customWidth="1"/>
    <col min="24" max="31" width="6" style="4" customWidth="1"/>
    <col min="32" max="32" width="10.375" style="4" customWidth="1"/>
    <col min="33" max="33" width="9.75" style="4" customWidth="1"/>
    <col min="34" max="34" width="1.5" style="4" customWidth="1"/>
    <col min="35" max="16384" width="6" style="4"/>
  </cols>
  <sheetData>
    <row r="1" spans="1:16">
      <c r="A1" s="567"/>
      <c r="B1" s="2" t="s">
        <v>3</v>
      </c>
      <c r="E1" s="5" t="s">
        <v>4</v>
      </c>
      <c r="N1" s="4" t="s">
        <v>5</v>
      </c>
    </row>
    <row r="2" spans="1:16">
      <c r="A2" s="1" t="s">
        <v>6</v>
      </c>
      <c r="B2" s="6" t="str">
        <f>"1.71"</f>
        <v>1.71</v>
      </c>
      <c r="E2" s="7" t="s">
        <v>7</v>
      </c>
      <c r="F2" s="7" t="s">
        <v>8</v>
      </c>
      <c r="G2" s="7" t="s">
        <v>9</v>
      </c>
      <c r="H2" s="7" t="s">
        <v>10</v>
      </c>
      <c r="I2" s="7" t="s">
        <v>11</v>
      </c>
      <c r="J2" s="7" t="s">
        <v>12</v>
      </c>
      <c r="K2" s="3" t="s">
        <v>13</v>
      </c>
      <c r="N2" s="8" t="s">
        <v>14</v>
      </c>
      <c r="O2" s="4" t="s">
        <v>15</v>
      </c>
      <c r="P2" s="4" t="s">
        <v>16</v>
      </c>
    </row>
    <row r="3" spans="1:16">
      <c r="A3" s="1" t="s">
        <v>17</v>
      </c>
      <c r="B3" s="9" t="s">
        <v>18</v>
      </c>
      <c r="N3" s="10" t="s">
        <v>19</v>
      </c>
      <c r="O3" s="4" t="s">
        <v>15</v>
      </c>
      <c r="P3" s="11" t="s">
        <v>20</v>
      </c>
    </row>
    <row r="4" spans="1:16">
      <c r="A4" s="1" t="s">
        <v>21</v>
      </c>
      <c r="B4" s="12" t="str">
        <f>+"Hills' Turbo Tables V"&amp;B2&amp;" "&amp;B3&amp;" Copyright HTL Telemanagement, Ltd 1991-7"</f>
        <v>Hills' Turbo Tables V1.71 07/20/97 Copyright HTL Telemanagement, Ltd 1991-7</v>
      </c>
      <c r="C4" s="13" t="s">
        <v>2</v>
      </c>
      <c r="N4" s="14" t="s">
        <v>22</v>
      </c>
      <c r="O4" s="4" t="s">
        <v>23</v>
      </c>
      <c r="P4" s="4" t="s">
        <v>24</v>
      </c>
    </row>
    <row r="5" spans="1:16">
      <c r="A5" s="1"/>
      <c r="B5" s="15" t="b">
        <f>RETURN(TTName)</f>
        <v>0</v>
      </c>
      <c r="N5" s="16" t="s">
        <v>25</v>
      </c>
      <c r="O5" s="4" t="s">
        <v>15</v>
      </c>
      <c r="P5" s="4" t="s">
        <v>26</v>
      </c>
    </row>
    <row r="6" spans="1:16">
      <c r="A6" s="1"/>
      <c r="B6" s="17" t="s">
        <v>27</v>
      </c>
      <c r="N6" s="14" t="s">
        <v>28</v>
      </c>
      <c r="O6" s="4" t="s">
        <v>15</v>
      </c>
      <c r="P6" s="4" t="s">
        <v>29</v>
      </c>
    </row>
    <row r="7" spans="1:16">
      <c r="A7" s="1" t="s">
        <v>30</v>
      </c>
      <c r="B7" s="18">
        <f>1000</f>
        <v>1000</v>
      </c>
      <c r="C7" s="3" t="s">
        <v>31</v>
      </c>
      <c r="N7" s="19"/>
      <c r="P7" s="4" t="s">
        <v>32</v>
      </c>
    </row>
    <row r="8" spans="1:16">
      <c r="A8" s="1" t="s">
        <v>33</v>
      </c>
      <c r="B8" s="15">
        <f>IF(MaxN&gt;=10000,MaxN+500,MaxN+200)</f>
        <v>1200</v>
      </c>
      <c r="N8" s="19"/>
      <c r="P8" s="4" t="s">
        <v>34</v>
      </c>
    </row>
    <row r="9" spans="1:16">
      <c r="A9" s="1" t="s">
        <v>35</v>
      </c>
      <c r="B9" s="20" t="str">
        <f>"N&gt;"&amp;FIXED(MaxN,0)</f>
        <v>N&gt;1,000</v>
      </c>
      <c r="N9" s="8" t="s">
        <v>36</v>
      </c>
      <c r="O9" s="4" t="s">
        <v>15</v>
      </c>
      <c r="P9" s="11" t="s">
        <v>37</v>
      </c>
    </row>
    <row r="10" spans="1:16">
      <c r="A10" s="21" t="s">
        <v>38</v>
      </c>
      <c r="B10" s="20" t="str">
        <f>"A&gt;"&amp;FIXED(MaxN,0)</f>
        <v>A&gt;1,000</v>
      </c>
      <c r="N10" s="14" t="s">
        <v>39</v>
      </c>
      <c r="O10" s="4" t="s">
        <v>15</v>
      </c>
      <c r="P10" s="11" t="s">
        <v>40</v>
      </c>
    </row>
    <row r="11" spans="1:16">
      <c r="A11" s="21" t="s">
        <v>41</v>
      </c>
      <c r="B11" s="20" t="str">
        <f>"CCS&gt;"&amp;FIXED(36*MaxN,0)</f>
        <v>CCS&gt;36,000</v>
      </c>
      <c r="C11" s="3" t="s">
        <v>42</v>
      </c>
      <c r="N11" s="19" t="s">
        <v>43</v>
      </c>
      <c r="O11" s="4" t="s">
        <v>15</v>
      </c>
      <c r="P11" s="4" t="s">
        <v>44</v>
      </c>
    </row>
    <row r="12" spans="1:16">
      <c r="A12" s="1"/>
      <c r="B12" s="20"/>
      <c r="N12" s="19"/>
      <c r="P12" s="4" t="s">
        <v>45</v>
      </c>
    </row>
    <row r="13" spans="1:16">
      <c r="A13" s="1" t="s">
        <v>46</v>
      </c>
      <c r="B13" s="22" t="s">
        <v>46</v>
      </c>
      <c r="N13" s="19"/>
      <c r="P13" s="4" t="s">
        <v>47</v>
      </c>
    </row>
    <row r="14" spans="1:16">
      <c r="A14" s="1" t="s">
        <v>48</v>
      </c>
      <c r="B14" s="23"/>
      <c r="N14" s="19"/>
    </row>
    <row r="15" spans="1:16">
      <c r="A15" s="1" t="s">
        <v>49</v>
      </c>
      <c r="B15" s="24" t="str">
        <f>GET.CELL(32,B15)</f>
        <v>[Dimensionamento_Oficial.xlsm]TTAB171</v>
      </c>
    </row>
    <row r="16" spans="1:16">
      <c r="A16" s="1" t="s">
        <v>50</v>
      </c>
      <c r="B16" s="12" t="b">
        <f>FALSE</f>
        <v>0</v>
      </c>
      <c r="C16" s="3" t="s">
        <v>51</v>
      </c>
    </row>
    <row r="17" spans="1:12">
      <c r="A17" s="1" t="s">
        <v>52</v>
      </c>
      <c r="B17" s="12" t="str">
        <f>"TurboTables"</f>
        <v>TurboTables</v>
      </c>
      <c r="C17" s="3" t="s">
        <v>51</v>
      </c>
      <c r="E17" s="5" t="s">
        <v>53</v>
      </c>
      <c r="J17" s="4" t="s">
        <v>54</v>
      </c>
      <c r="K17" s="3" t="s">
        <v>55</v>
      </c>
    </row>
    <row r="18" spans="1:12">
      <c r="A18" s="25" t="s">
        <v>56</v>
      </c>
      <c r="B18" s="18" t="str">
        <f>GET.WORKSPACE(26)</f>
        <v>Henrique Santiago Rodrigues Calixto</v>
      </c>
      <c r="E18" s="26"/>
      <c r="F18" s="27"/>
      <c r="G18" s="28"/>
      <c r="H18" s="27"/>
      <c r="I18" s="28"/>
      <c r="J18" s="27" t="s">
        <v>57</v>
      </c>
      <c r="K18" s="3">
        <v>1</v>
      </c>
    </row>
    <row r="19" spans="1:12">
      <c r="A19" s="25" t="s">
        <v>58</v>
      </c>
      <c r="B19" s="15" t="str">
        <f>GET.WORKSPACE(27)</f>
        <v/>
      </c>
      <c r="E19" s="29">
        <v>5</v>
      </c>
      <c r="F19" s="30">
        <v>10</v>
      </c>
      <c r="G19" s="4">
        <v>5</v>
      </c>
      <c r="H19" s="30"/>
      <c r="J19" s="30" t="str">
        <f>+TTName</f>
        <v>Hills' Turbo Tables V1.71 07/20/97 Copyright HTL Telemanagement, Ltd 1991-7</v>
      </c>
    </row>
    <row r="20" spans="1:12">
      <c r="A20" s="567"/>
      <c r="B20" s="12" t="b">
        <f>INIT()</f>
        <v>1</v>
      </c>
      <c r="E20" s="29">
        <v>5</v>
      </c>
      <c r="F20" s="30">
        <v>40</v>
      </c>
      <c r="G20" s="4">
        <v>30</v>
      </c>
      <c r="H20" s="30"/>
      <c r="J20" s="30" t="s">
        <v>59</v>
      </c>
    </row>
    <row r="21" spans="1:12">
      <c r="A21" s="1"/>
      <c r="B21" s="31" t="b">
        <f>IF(Installed)</f>
        <v>1</v>
      </c>
      <c r="E21" s="29">
        <v>5</v>
      </c>
      <c r="F21" s="30">
        <v>190</v>
      </c>
      <c r="G21" s="4">
        <v>30</v>
      </c>
      <c r="H21" s="30">
        <v>400</v>
      </c>
      <c r="J21" s="30" t="s">
        <v>2</v>
      </c>
    </row>
    <row r="22" spans="1:12">
      <c r="A22" s="1"/>
      <c r="B22" s="32" t="s">
        <v>60</v>
      </c>
      <c r="E22" s="29">
        <v>5</v>
      </c>
      <c r="F22" s="30">
        <v>40</v>
      </c>
      <c r="G22" s="4">
        <v>45</v>
      </c>
      <c r="H22" s="30"/>
      <c r="J22" s="30" t="s">
        <v>61</v>
      </c>
    </row>
    <row r="23" spans="1:12">
      <c r="A23" s="1"/>
      <c r="B23" s="32" t="s">
        <v>62</v>
      </c>
      <c r="E23" s="29">
        <v>5</v>
      </c>
      <c r="F23" s="30">
        <v>190</v>
      </c>
      <c r="G23" s="4">
        <v>45</v>
      </c>
      <c r="H23" s="30">
        <v>400</v>
      </c>
      <c r="J23" s="30" t="s">
        <v>2</v>
      </c>
    </row>
    <row r="24" spans="1:12">
      <c r="A24" s="1"/>
      <c r="B24" s="32">
        <f xml:space="preserve">      DIALOG.BOX(LoadTTab)</f>
        <v>6</v>
      </c>
      <c r="E24" s="29">
        <v>13</v>
      </c>
      <c r="F24" s="30">
        <v>10</v>
      </c>
      <c r="G24" s="4">
        <v>65</v>
      </c>
      <c r="H24" s="30"/>
      <c r="J24" s="30" t="s">
        <v>63</v>
      </c>
      <c r="K24" s="3" t="b">
        <v>1</v>
      </c>
      <c r="L24" s="3" t="s">
        <v>64</v>
      </c>
    </row>
    <row r="25" spans="1:12">
      <c r="A25" s="1"/>
      <c r="B25" s="32" t="s">
        <v>65</v>
      </c>
      <c r="E25" s="29">
        <v>6</v>
      </c>
      <c r="F25" s="30">
        <v>190</v>
      </c>
      <c r="G25" s="4">
        <v>65</v>
      </c>
      <c r="H25" s="30">
        <v>400</v>
      </c>
      <c r="J25" s="30"/>
      <c r="K25" s="3" t="s">
        <v>66</v>
      </c>
      <c r="L25" s="3" t="s">
        <v>67</v>
      </c>
    </row>
    <row r="26" spans="1:12">
      <c r="A26" s="1"/>
      <c r="B26" s="32" t="s">
        <v>68</v>
      </c>
      <c r="E26" s="29">
        <v>13</v>
      </c>
      <c r="F26" s="30">
        <v>10</v>
      </c>
      <c r="G26" s="4">
        <v>85</v>
      </c>
      <c r="H26" s="30"/>
      <c r="J26" s="30" t="s">
        <v>69</v>
      </c>
      <c r="K26" s="3" t="b">
        <v>1</v>
      </c>
      <c r="L26" s="3" t="s">
        <v>70</v>
      </c>
    </row>
    <row r="27" spans="1:12">
      <c r="A27" s="1"/>
      <c r="B27" s="32" t="s">
        <v>71</v>
      </c>
      <c r="E27" s="29">
        <v>6</v>
      </c>
      <c r="F27" s="30">
        <v>190</v>
      </c>
      <c r="G27" s="4">
        <v>85</v>
      </c>
      <c r="H27" s="30">
        <v>400</v>
      </c>
      <c r="J27" s="30"/>
      <c r="K27" s="3" t="s">
        <v>72</v>
      </c>
      <c r="L27" s="3" t="s">
        <v>73</v>
      </c>
    </row>
    <row r="28" spans="1:12">
      <c r="A28" s="1"/>
      <c r="B28" s="31" t="b">
        <f>ELSE()</f>
        <v>1</v>
      </c>
      <c r="E28" s="29">
        <v>13</v>
      </c>
      <c r="F28" s="30">
        <v>30</v>
      </c>
      <c r="G28" s="4">
        <v>100</v>
      </c>
      <c r="H28" s="30"/>
      <c r="J28" s="30" t="s">
        <v>74</v>
      </c>
      <c r="K28" s="3" t="b">
        <v>1</v>
      </c>
      <c r="L28" s="3" t="s">
        <v>75</v>
      </c>
    </row>
    <row r="29" spans="1:12">
      <c r="A29" s="1"/>
      <c r="B29" s="31" t="b">
        <f xml:space="preserve">   ALERT("You must install TurboTables before you can use it",2)</f>
        <v>0</v>
      </c>
      <c r="E29" s="29">
        <v>13</v>
      </c>
      <c r="F29" s="30">
        <v>30</v>
      </c>
      <c r="G29" s="4">
        <v>115</v>
      </c>
      <c r="H29" s="30"/>
      <c r="J29" s="30" t="s">
        <v>76</v>
      </c>
      <c r="K29" s="3" t="b">
        <v>0</v>
      </c>
      <c r="L29" s="3" t="s">
        <v>77</v>
      </c>
    </row>
    <row r="30" spans="1:12">
      <c r="A30" s="33"/>
      <c r="B30" s="12" t="b">
        <f xml:space="preserve">   FILE.CLOSE()</f>
        <v>0</v>
      </c>
      <c r="E30" s="29">
        <v>1</v>
      </c>
      <c r="F30" s="30">
        <v>190</v>
      </c>
      <c r="G30" s="4">
        <v>135</v>
      </c>
      <c r="H30" s="30"/>
      <c r="J30" s="30" t="s">
        <v>78</v>
      </c>
    </row>
    <row r="31" spans="1:12">
      <c r="A31" s="33"/>
      <c r="B31" s="31" t="b">
        <f>END.IF()</f>
        <v>1</v>
      </c>
      <c r="E31" s="34">
        <v>2</v>
      </c>
      <c r="F31" s="35">
        <v>350</v>
      </c>
      <c r="G31" s="36">
        <v>135</v>
      </c>
      <c r="H31" s="35"/>
      <c r="I31" s="36"/>
      <c r="J31" s="35" t="s">
        <v>79</v>
      </c>
    </row>
    <row r="32" spans="1:12">
      <c r="A32" s="1"/>
      <c r="B32" s="23" t="b">
        <f>RETURN()</f>
        <v>1</v>
      </c>
    </row>
    <row r="33" spans="1:11">
      <c r="A33" s="1"/>
      <c r="B33" s="20"/>
    </row>
    <row r="34" spans="1:11">
      <c r="A34" s="1"/>
      <c r="B34" s="20"/>
    </row>
    <row r="35" spans="1:11">
      <c r="A35" s="1" t="s">
        <v>80</v>
      </c>
      <c r="B35" s="37" t="b">
        <v>1</v>
      </c>
      <c r="E35" s="5" t="s">
        <v>81</v>
      </c>
    </row>
    <row r="36" spans="1:11">
      <c r="A36" s="1" t="s">
        <v>82</v>
      </c>
      <c r="B36" s="17" t="s">
        <v>83</v>
      </c>
      <c r="C36" s="4"/>
      <c r="D36" s="38"/>
      <c r="E36" s="26"/>
      <c r="F36" s="27"/>
      <c r="G36" s="28"/>
      <c r="H36" s="27"/>
      <c r="I36" s="28"/>
      <c r="J36" s="27" t="s">
        <v>84</v>
      </c>
      <c r="K36" s="3">
        <v>1</v>
      </c>
    </row>
    <row r="37" spans="1:11">
      <c r="A37" s="1" t="s">
        <v>85</v>
      </c>
      <c r="B37" s="18"/>
      <c r="C37" s="4"/>
      <c r="E37" s="29">
        <v>5</v>
      </c>
      <c r="F37" s="30">
        <v>10</v>
      </c>
      <c r="G37" s="4">
        <v>5</v>
      </c>
      <c r="H37" s="30"/>
      <c r="J37" s="30" t="str">
        <f>+TTName</f>
        <v>Hills' Turbo Tables V1.71 07/20/97 Copyright HTL Telemanagement, Ltd 1991-7</v>
      </c>
    </row>
    <row r="38" spans="1:11">
      <c r="A38" s="1"/>
      <c r="B38" s="39" t="s">
        <v>86</v>
      </c>
      <c r="C38" s="4"/>
      <c r="E38" s="29">
        <v>5</v>
      </c>
      <c r="F38" s="30">
        <v>40</v>
      </c>
      <c r="G38" s="4">
        <v>30</v>
      </c>
      <c r="H38" s="30"/>
      <c r="J38" s="30" t="s">
        <v>59</v>
      </c>
    </row>
    <row r="39" spans="1:11">
      <c r="A39" s="1"/>
      <c r="B39" s="12" t="b">
        <f>WINDOW.RESTORE()</f>
        <v>1</v>
      </c>
      <c r="C39" s="4"/>
      <c r="E39" s="29">
        <v>5</v>
      </c>
      <c r="F39" s="30">
        <v>190</v>
      </c>
      <c r="G39" s="4">
        <v>30</v>
      </c>
      <c r="H39" s="30">
        <v>400</v>
      </c>
      <c r="J39" s="30" t="str">
        <f>ExcelUser</f>
        <v>Henrique Santiago Rodrigues Calixto</v>
      </c>
      <c r="K39" s="3" t="s">
        <v>87</v>
      </c>
    </row>
    <row r="40" spans="1:11">
      <c r="A40" s="1"/>
      <c r="B40" s="12" t="b">
        <f>SET.VALUE(ExcelUser,"")</f>
        <v>1</v>
      </c>
      <c r="C40" s="4"/>
      <c r="E40" s="29">
        <v>5</v>
      </c>
      <c r="F40" s="30">
        <v>40</v>
      </c>
      <c r="G40" s="4">
        <v>45</v>
      </c>
      <c r="H40" s="30"/>
      <c r="J40" s="30" t="s">
        <v>61</v>
      </c>
    </row>
    <row r="41" spans="1:11">
      <c r="A41" s="1"/>
      <c r="B41" s="12" t="b">
        <f>SET.VALUE(ExcelCompany,"")</f>
        <v>1</v>
      </c>
      <c r="C41" s="4"/>
      <c r="E41" s="29">
        <v>5</v>
      </c>
      <c r="F41" s="30">
        <v>190</v>
      </c>
      <c r="G41" s="4">
        <v>45</v>
      </c>
      <c r="H41" s="30">
        <v>400</v>
      </c>
      <c r="J41" s="30" t="str">
        <f>ExcelCompany</f>
        <v/>
      </c>
      <c r="K41" s="3" t="s">
        <v>88</v>
      </c>
    </row>
    <row r="42" spans="1:11">
      <c r="A42" s="1"/>
      <c r="B42" s="12" t="b">
        <f>INIT()</f>
        <v>1</v>
      </c>
      <c r="C42" s="4"/>
      <c r="E42" s="34">
        <v>1</v>
      </c>
      <c r="F42" s="35">
        <v>190</v>
      </c>
      <c r="G42" s="36">
        <v>60</v>
      </c>
      <c r="H42" s="35"/>
      <c r="I42" s="36"/>
      <c r="J42" s="35" t="s">
        <v>78</v>
      </c>
    </row>
    <row r="43" spans="1:11">
      <c r="A43" s="1"/>
      <c r="B43" s="12" t="b">
        <f>SET.VALUE(Installed,FALSE)</f>
        <v>1</v>
      </c>
      <c r="C43" s="4"/>
    </row>
    <row r="44" spans="1:11">
      <c r="A44" s="1"/>
      <c r="B44" s="20" t="b">
        <f>SELECT(PROGRAM)</f>
        <v>1</v>
      </c>
      <c r="C44" s="4"/>
    </row>
    <row r="45" spans="1:11">
      <c r="A45" s="1"/>
      <c r="B45" s="40" t="b">
        <f>CELL.PROTECTION(TRUE)</f>
        <v>1</v>
      </c>
      <c r="C45" s="4"/>
    </row>
    <row r="46" spans="1:11">
      <c r="A46" s="1"/>
      <c r="B46" s="40"/>
      <c r="C46" s="4"/>
      <c r="E46" s="5" t="s">
        <v>89</v>
      </c>
    </row>
    <row r="47" spans="1:11">
      <c r="A47" s="1"/>
      <c r="B47" s="12" t="b">
        <f>PROTECT.DOCUMENT(FALSE,TRUE,"HTLT"&amp;VerMod,FALSE)</f>
        <v>1</v>
      </c>
      <c r="C47" s="4"/>
      <c r="E47" s="26"/>
      <c r="F47" s="27"/>
      <c r="G47" s="28"/>
      <c r="H47" s="27"/>
      <c r="I47" s="28"/>
      <c r="J47" s="27" t="s">
        <v>84</v>
      </c>
    </row>
    <row r="48" spans="1:11">
      <c r="A48" s="1"/>
      <c r="B48" s="12" t="b">
        <f>IF(MaxN&gt;1000)</f>
        <v>1</v>
      </c>
      <c r="C48" s="4" t="s">
        <v>42</v>
      </c>
      <c r="E48" s="29"/>
      <c r="F48" s="30"/>
      <c r="H48" s="30"/>
      <c r="J48" s="30"/>
    </row>
    <row r="49" spans="1:11">
      <c r="A49" s="1"/>
      <c r="B49" s="12" t="b">
        <f xml:space="preserve">   SAVE.AS("TTAB5000.XLS",1)</f>
        <v>1</v>
      </c>
      <c r="C49" s="4"/>
      <c r="E49" s="29"/>
      <c r="F49" s="30"/>
      <c r="H49" s="30"/>
      <c r="J49" s="30"/>
    </row>
    <row r="50" spans="1:11">
      <c r="A50" s="1"/>
      <c r="B50" s="32" t="b">
        <f xml:space="preserve">   ELSE()</f>
        <v>1</v>
      </c>
      <c r="C50" s="4"/>
      <c r="E50" s="29"/>
      <c r="F50" s="30"/>
      <c r="H50" s="30"/>
      <c r="J50" s="30"/>
    </row>
    <row r="51" spans="1:11">
      <c r="A51" s="1"/>
      <c r="B51" s="12" t="b">
        <f>SAVE.AS("TURBOTAB.XLS",1)</f>
        <v>1</v>
      </c>
      <c r="C51" s="4"/>
      <c r="E51" s="29">
        <v>5</v>
      </c>
      <c r="F51" s="30">
        <v>10</v>
      </c>
      <c r="G51" s="4">
        <v>5</v>
      </c>
      <c r="H51" s="30"/>
      <c r="J51" s="30" t="str">
        <f>+TTName</f>
        <v>Hills' Turbo Tables V1.71 07/20/97 Copyright HTL Telemanagement, Ltd 1991-7</v>
      </c>
    </row>
    <row r="52" spans="1:11">
      <c r="A52" s="1"/>
      <c r="B52" s="32" t="b">
        <f xml:space="preserve">   END.IF()</f>
        <v>1</v>
      </c>
      <c r="C52" s="4"/>
      <c r="E52" s="29"/>
      <c r="F52" s="30"/>
      <c r="H52" s="30"/>
      <c r="J52" s="30"/>
    </row>
    <row r="53" spans="1:11">
      <c r="A53" s="1"/>
      <c r="B53" s="12" t="b">
        <f>PROTECT.DOCUMENT(FALSE,FALSE,"HTLT"&amp;VerMod,FALSE)</f>
        <v>1</v>
      </c>
      <c r="C53" s="4"/>
      <c r="E53" s="29">
        <v>5</v>
      </c>
      <c r="F53" s="30">
        <v>40</v>
      </c>
      <c r="G53" s="4">
        <v>30</v>
      </c>
      <c r="H53" s="30"/>
      <c r="J53" s="30" t="s">
        <v>59</v>
      </c>
    </row>
    <row r="54" spans="1:11">
      <c r="A54" s="1"/>
      <c r="B54" s="12" t="b">
        <f>WINDOW.MAXIMIZE()</f>
        <v>1</v>
      </c>
      <c r="C54" s="4"/>
      <c r="E54" s="29">
        <v>5</v>
      </c>
      <c r="F54" s="30">
        <v>190</v>
      </c>
      <c r="G54" s="4">
        <v>30</v>
      </c>
      <c r="H54" s="30">
        <v>400</v>
      </c>
      <c r="J54" s="30" t="str">
        <f>RegName</f>
        <v>Henrique Santiago Rodrigues Calixto</v>
      </c>
    </row>
    <row r="55" spans="1:11">
      <c r="A55" s="1"/>
      <c r="B55" s="12" t="b">
        <f>SET.VALUE(Installed,TRUE)</f>
        <v>1</v>
      </c>
      <c r="C55" s="4"/>
      <c r="E55" s="29">
        <v>5</v>
      </c>
      <c r="F55" s="30">
        <v>190</v>
      </c>
      <c r="G55" s="4">
        <v>45</v>
      </c>
      <c r="H55" s="30">
        <v>400</v>
      </c>
      <c r="J55" s="30" t="str">
        <f>RegCompany</f>
        <v/>
      </c>
    </row>
    <row r="56" spans="1:11">
      <c r="A56" s="33"/>
      <c r="B56" s="12" t="b">
        <f>SAVE.AS("TTAB"&amp;VerMod&amp;".XLS",1)</f>
        <v>0</v>
      </c>
      <c r="C56" s="4"/>
      <c r="E56" s="29">
        <v>5</v>
      </c>
      <c r="F56" s="30">
        <v>40</v>
      </c>
      <c r="G56" s="4">
        <v>60</v>
      </c>
      <c r="H56" s="30"/>
      <c r="J56" s="30" t="s">
        <v>90</v>
      </c>
    </row>
    <row r="57" spans="1:11">
      <c r="A57" s="1"/>
      <c r="B57" s="15" t="b">
        <f>RETURN()</f>
        <v>1</v>
      </c>
      <c r="C57" s="4"/>
      <c r="E57" s="29">
        <v>5</v>
      </c>
      <c r="F57" s="30">
        <v>190</v>
      </c>
      <c r="G57" s="4">
        <v>60</v>
      </c>
      <c r="H57" s="30">
        <v>400</v>
      </c>
      <c r="J57" s="30" t="str">
        <f>ExcelUser</f>
        <v>Henrique Santiago Rodrigues Calixto</v>
      </c>
    </row>
    <row r="58" spans="1:11">
      <c r="A58" s="1"/>
      <c r="B58" s="20"/>
      <c r="C58" s="4"/>
      <c r="E58" s="29">
        <v>5</v>
      </c>
      <c r="F58" s="30">
        <v>190</v>
      </c>
      <c r="G58" s="4">
        <v>75</v>
      </c>
      <c r="H58" s="30">
        <v>400</v>
      </c>
      <c r="J58" s="30" t="str">
        <f>ExcelCompany</f>
        <v/>
      </c>
    </row>
    <row r="59" spans="1:11">
      <c r="A59" s="1"/>
      <c r="B59" s="41"/>
      <c r="E59" s="29">
        <v>5</v>
      </c>
      <c r="F59" s="30">
        <v>34</v>
      </c>
      <c r="G59" s="4">
        <v>90</v>
      </c>
      <c r="H59" s="30"/>
      <c r="J59" s="30" t="s">
        <v>91</v>
      </c>
    </row>
    <row r="60" spans="1:11">
      <c r="A60" s="1"/>
      <c r="B60" s="41"/>
      <c r="E60" s="29">
        <v>5</v>
      </c>
      <c r="F60" s="30">
        <v>37</v>
      </c>
      <c r="G60" s="4">
        <v>105</v>
      </c>
      <c r="H60" s="30"/>
      <c r="J60" s="30" t="s">
        <v>92</v>
      </c>
    </row>
    <row r="61" spans="1:11">
      <c r="A61" s="1"/>
      <c r="B61" s="20" t="s">
        <v>93</v>
      </c>
      <c r="E61" s="34">
        <v>1</v>
      </c>
      <c r="F61" s="35">
        <v>250</v>
      </c>
      <c r="G61" s="36">
        <v>135</v>
      </c>
      <c r="H61" s="35"/>
      <c r="I61" s="36"/>
      <c r="J61" s="35" t="s">
        <v>78</v>
      </c>
    </row>
    <row r="62" spans="1:11">
      <c r="A62" s="1"/>
      <c r="B62" s="20" t="s">
        <v>94</v>
      </c>
      <c r="D62" s="29"/>
      <c r="J62" s="4" t="b">
        <f>RETURN(TRUE)</f>
        <v>1</v>
      </c>
      <c r="K62" s="3" t="b">
        <f>RETURN(TRUE)</f>
        <v>1</v>
      </c>
    </row>
    <row r="63" spans="1:11">
      <c r="A63" s="1"/>
      <c r="B63" s="20" t="s">
        <v>95</v>
      </c>
    </row>
    <row r="64" spans="1:11">
      <c r="A64" s="1"/>
      <c r="B64" s="20" t="s">
        <v>96</v>
      </c>
    </row>
    <row r="65" spans="1:34">
      <c r="A65" s="1"/>
      <c r="B65" s="20" t="s">
        <v>97</v>
      </c>
    </row>
    <row r="66" spans="1:34">
      <c r="A66" s="1"/>
      <c r="B66" s="20" t="s">
        <v>98</v>
      </c>
    </row>
    <row r="67" spans="1:34">
      <c r="A67" s="1"/>
      <c r="B67" s="20" t="s">
        <v>99</v>
      </c>
    </row>
    <row r="68" spans="1:34">
      <c r="A68" s="1" t="s">
        <v>100</v>
      </c>
      <c r="B68" s="20" t="s">
        <v>101</v>
      </c>
    </row>
    <row r="69" spans="1:34">
      <c r="A69" s="1" t="s">
        <v>102</v>
      </c>
      <c r="B69" s="20" t="s">
        <v>103</v>
      </c>
    </row>
    <row r="70" spans="1:34">
      <c r="A70" s="1" t="s">
        <v>1</v>
      </c>
      <c r="B70" s="20" t="s">
        <v>104</v>
      </c>
    </row>
    <row r="71" spans="1:34">
      <c r="A71" s="1" t="s">
        <v>0</v>
      </c>
      <c r="B71" s="20" t="s">
        <v>105</v>
      </c>
    </row>
    <row r="72" spans="1:34">
      <c r="A72" s="1" t="s">
        <v>106</v>
      </c>
      <c r="B72" s="20" t="s">
        <v>107</v>
      </c>
      <c r="C72" s="13" t="s">
        <v>2</v>
      </c>
    </row>
    <row r="73" spans="1:34">
      <c r="A73" s="1" t="s">
        <v>108</v>
      </c>
      <c r="B73" s="20" t="s">
        <v>109</v>
      </c>
      <c r="C73" s="13" t="s">
        <v>2</v>
      </c>
    </row>
    <row r="74" spans="1:34">
      <c r="A74" s="1" t="s">
        <v>110</v>
      </c>
      <c r="B74" s="20" t="s">
        <v>111</v>
      </c>
      <c r="C74" s="13" t="s">
        <v>2</v>
      </c>
    </row>
    <row r="75" spans="1:34">
      <c r="A75" s="1" t="s">
        <v>112</v>
      </c>
      <c r="B75" s="20" t="s">
        <v>113</v>
      </c>
    </row>
    <row r="76" spans="1:34">
      <c r="A76" s="1"/>
      <c r="B76" s="20"/>
    </row>
    <row r="77" spans="1:34">
      <c r="A77" s="1" t="s">
        <v>114</v>
      </c>
      <c r="B77" s="18" t="b">
        <f>RESULT(3)</f>
        <v>1</v>
      </c>
    </row>
    <row r="78" spans="1:34">
      <c r="A78" s="1"/>
      <c r="B78" s="12" t="b">
        <f>ARGUMENT("A_in_CCS",1,GOSC_A)</f>
        <v>1</v>
      </c>
      <c r="W78" s="4" t="s">
        <v>115</v>
      </c>
      <c r="X78" s="4" t="s">
        <v>2</v>
      </c>
      <c r="AF78" s="4" t="s">
        <v>116</v>
      </c>
      <c r="AG78" s="4" t="s">
        <v>117</v>
      </c>
      <c r="AH78" s="4">
        <v>0</v>
      </c>
    </row>
    <row r="79" spans="1:34">
      <c r="A79" s="1"/>
      <c r="B79" s="12" t="b">
        <f>ARGUMENT("Numb_Lines",1,GOSC_N)</f>
        <v>1</v>
      </c>
      <c r="W79" s="4" t="s">
        <v>118</v>
      </c>
      <c r="AF79" s="4" t="s">
        <v>119</v>
      </c>
      <c r="AG79" s="4" t="s">
        <v>120</v>
      </c>
      <c r="AH79" s="4">
        <v>0</v>
      </c>
    </row>
    <row r="80" spans="1:34">
      <c r="A80" s="1"/>
      <c r="B80" s="12" t="b">
        <f>ARGUMENT("Formula",3,GOSC_Form)</f>
        <v>1</v>
      </c>
      <c r="AF80" s="4" t="s">
        <v>121</v>
      </c>
      <c r="AG80" s="4" t="s">
        <v>122</v>
      </c>
      <c r="AH80" s="4">
        <v>0</v>
      </c>
    </row>
    <row r="81" spans="1:34">
      <c r="A81" s="1" t="s">
        <v>123</v>
      </c>
      <c r="B81" s="12">
        <v>81517.7</v>
      </c>
      <c r="AF81" s="4" t="s">
        <v>124</v>
      </c>
      <c r="AG81" s="4" t="s">
        <v>125</v>
      </c>
      <c r="AH81" s="4">
        <v>0</v>
      </c>
    </row>
    <row r="82" spans="1:34">
      <c r="A82" s="1" t="s">
        <v>126</v>
      </c>
      <c r="B82" s="12">
        <v>2400</v>
      </c>
      <c r="AF82" s="4" t="s">
        <v>127</v>
      </c>
      <c r="AG82" s="4" t="s">
        <v>128</v>
      </c>
      <c r="AH82" s="4">
        <v>0</v>
      </c>
    </row>
    <row r="83" spans="1:34">
      <c r="A83" s="1" t="s">
        <v>129</v>
      </c>
      <c r="B83" s="12" t="s">
        <v>130</v>
      </c>
      <c r="AF83" s="4" t="s">
        <v>131</v>
      </c>
      <c r="AG83" s="4" t="s">
        <v>132</v>
      </c>
      <c r="AH83" s="4">
        <v>0</v>
      </c>
    </row>
    <row r="84" spans="1:34">
      <c r="A84" s="1"/>
      <c r="B84" s="12" t="b">
        <f>IF(GOSC_A&gt;300000,RETURN(CCS_too_Big))</f>
        <v>0</v>
      </c>
      <c r="AF84" s="4" t="s">
        <v>133</v>
      </c>
      <c r="AG84" s="4" t="s">
        <v>134</v>
      </c>
      <c r="AH84" s="4">
        <v>0</v>
      </c>
    </row>
    <row r="85" spans="1:34">
      <c r="A85" s="1"/>
      <c r="B85" s="15" t="b">
        <f>RETURN(GOS(GOSC_A/36,GOSC_N,GOSC_Form))</f>
        <v>1</v>
      </c>
      <c r="AF85" s="4" t="s">
        <v>135</v>
      </c>
      <c r="AG85" s="4" t="s">
        <v>136</v>
      </c>
      <c r="AH85" s="4">
        <v>0</v>
      </c>
    </row>
    <row r="86" spans="1:34">
      <c r="A86" s="1"/>
      <c r="B86" s="20"/>
      <c r="AF86" s="4" t="s">
        <v>137</v>
      </c>
      <c r="AG86" s="4" t="s">
        <v>138</v>
      </c>
      <c r="AH86" s="4">
        <v>0</v>
      </c>
    </row>
    <row r="87" spans="1:34">
      <c r="A87" s="1" t="s">
        <v>139</v>
      </c>
      <c r="B87" s="18" t="b">
        <f>RESULT(3)</f>
        <v>1</v>
      </c>
    </row>
    <row r="88" spans="1:34">
      <c r="A88" s="1"/>
      <c r="B88" s="12" t="b">
        <f>ARGUMENT("A_in_Erl",1,E_A)</f>
        <v>1</v>
      </c>
    </row>
    <row r="89" spans="1:34">
      <c r="A89" s="1"/>
      <c r="B89" s="12" t="b">
        <f>ARGUMENT("Numb_Lines",1,E_N)</f>
        <v>1</v>
      </c>
    </row>
    <row r="90" spans="1:34">
      <c r="A90" s="1"/>
      <c r="B90" s="12" t="b">
        <f>ARGUMENT("Formula",19,E_FormTemp)</f>
        <v>1</v>
      </c>
    </row>
    <row r="91" spans="1:34">
      <c r="A91" s="33"/>
      <c r="B91" s="20"/>
    </row>
    <row r="92" spans="1:34">
      <c r="A92" s="1" t="s">
        <v>140</v>
      </c>
      <c r="B92" s="12">
        <v>0.7746079378667603</v>
      </c>
    </row>
    <row r="93" spans="1:34">
      <c r="A93" s="1"/>
      <c r="B93" s="12" t="b">
        <f>IF(E_A&gt;MaxNTest, RETURN(A_too_Big))</f>
        <v>0</v>
      </c>
    </row>
    <row r="94" spans="1:34">
      <c r="A94" s="1"/>
      <c r="B94" s="12" t="b">
        <f>IF(E_A&lt;0,RETURN("A&lt;0"))</f>
        <v>0</v>
      </c>
    </row>
    <row r="95" spans="1:34">
      <c r="A95" s="1"/>
      <c r="B95" s="12" t="b">
        <f>IF(E_A=0,RETURN(0))</f>
        <v>0</v>
      </c>
    </row>
    <row r="96" spans="1:34">
      <c r="A96" s="1"/>
      <c r="B96" s="12"/>
    </row>
    <row r="97" spans="1:2">
      <c r="A97" s="1" t="s">
        <v>141</v>
      </c>
      <c r="B97" s="12">
        <v>1</v>
      </c>
    </row>
    <row r="98" spans="1:2">
      <c r="A98" s="1"/>
      <c r="B98" s="12" t="b">
        <f>IF(E_N&lt;0,RETURN("N&lt;0"))</f>
        <v>0</v>
      </c>
    </row>
    <row r="99" spans="1:2">
      <c r="A99" s="1"/>
      <c r="B99" s="12" t="b">
        <f>IF(E_N&gt;MaxNTest, RETURN(N_too_Big))</f>
        <v>0</v>
      </c>
    </row>
    <row r="100" spans="1:2">
      <c r="A100" s="1"/>
      <c r="B100" s="12"/>
    </row>
    <row r="101" spans="1:2">
      <c r="A101" s="1" t="s">
        <v>142</v>
      </c>
      <c r="B101" s="12" t="s">
        <v>143</v>
      </c>
    </row>
    <row r="102" spans="1:2">
      <c r="A102" s="1" t="s">
        <v>144</v>
      </c>
      <c r="B102" s="12" t="str">
        <f>IF(ISNA(E_FormTemp),"POIS",UPPER(E_FormTemp))</f>
        <v>ERLB</v>
      </c>
    </row>
    <row r="103" spans="1:2">
      <c r="A103" s="1"/>
      <c r="B103" s="12" t="b">
        <f>IF(ISERR(FIND(E_Form,"POIS ERLB ERLC")))</f>
        <v>1</v>
      </c>
    </row>
    <row r="104" spans="1:2">
      <c r="A104" s="1"/>
      <c r="B104" s="12" t="b">
        <f xml:space="preserve">    RETURN("Formula must be POIS,ERLB or ERLC")</f>
        <v>1</v>
      </c>
    </row>
    <row r="105" spans="1:2">
      <c r="A105" s="1"/>
      <c r="B105" s="12" t="b">
        <f>END.IF()</f>
        <v>0</v>
      </c>
    </row>
    <row r="106" spans="1:2">
      <c r="A106" s="1"/>
      <c r="B106" s="12" t="b">
        <f>ARGUMENT("",17,E_ExactTemp)</f>
        <v>1</v>
      </c>
    </row>
    <row r="107" spans="1:2">
      <c r="A107" s="1" t="s">
        <v>145</v>
      </c>
      <c r="B107" s="12">
        <v>1</v>
      </c>
    </row>
    <row r="108" spans="1:2">
      <c r="A108" s="1" t="s">
        <v>146</v>
      </c>
      <c r="B108" s="12">
        <f>IF(ISNA(E_ExactTemp),0,E_ExactTemp)</f>
        <v>1</v>
      </c>
    </row>
    <row r="109" spans="1:2">
      <c r="A109" s="1"/>
      <c r="B109" s="12" t="b">
        <f>ARGUMENT("",17,E_F6Temp)</f>
        <v>1</v>
      </c>
    </row>
    <row r="110" spans="1:2">
      <c r="A110" s="1" t="s">
        <v>147</v>
      </c>
      <c r="B110" s="12" t="e">
        <v>#N/A</v>
      </c>
    </row>
    <row r="111" spans="1:2">
      <c r="A111" s="1" t="s">
        <v>148</v>
      </c>
      <c r="B111" s="12">
        <f>IF(ISNA(E_F6Temp),0,E_F6Temp)</f>
        <v>0</v>
      </c>
    </row>
    <row r="112" spans="1:2">
      <c r="A112" s="1"/>
      <c r="B112" s="12"/>
    </row>
    <row r="113" spans="1:3">
      <c r="A113" s="1"/>
      <c r="B113" s="12" t="b">
        <f>IF(E_N=0,RETURN(1))</f>
        <v>0</v>
      </c>
    </row>
    <row r="114" spans="1:3">
      <c r="A114" s="1"/>
      <c r="B114" s="12"/>
      <c r="C114" s="3" t="s">
        <v>149</v>
      </c>
    </row>
    <row r="115" spans="1:3">
      <c r="A115" s="1"/>
      <c r="B115" s="12" t="b">
        <f>IF(EXACT(E_Form,"ERLB"),GOTO(_ErlBMain))</f>
        <v>1</v>
      </c>
      <c r="C115" s="3" t="s">
        <v>150</v>
      </c>
    </row>
    <row r="116" spans="1:3">
      <c r="A116" s="1"/>
      <c r="B116" s="12" t="b">
        <f>IF(EXACT(E_Form,"POIS"),GOTO(_PoissMain))</f>
        <v>0</v>
      </c>
      <c r="C116" s="3" t="s">
        <v>151</v>
      </c>
    </row>
    <row r="117" spans="1:3">
      <c r="A117" s="1" t="s">
        <v>152</v>
      </c>
      <c r="B117" s="12">
        <f>1</f>
        <v>1</v>
      </c>
      <c r="C117" s="3" t="s">
        <v>153</v>
      </c>
    </row>
    <row r="118" spans="1:3">
      <c r="A118" s="1"/>
      <c r="B118" s="12" t="b">
        <f>IF(E_A&gt;=E_N,RETURN(1))</f>
        <v>0</v>
      </c>
      <c r="C118" s="3" t="s">
        <v>154</v>
      </c>
    </row>
    <row r="119" spans="1:3">
      <c r="A119" s="1"/>
      <c r="B119" s="12"/>
      <c r="C119" s="3" t="s">
        <v>155</v>
      </c>
    </row>
    <row r="120" spans="1:3">
      <c r="A120" s="1" t="s">
        <v>156</v>
      </c>
      <c r="B120" s="39"/>
    </row>
    <row r="121" spans="1:3">
      <c r="A121" s="1" t="s">
        <v>157</v>
      </c>
      <c r="B121" s="12">
        <f>E_A/E_N</f>
        <v>0.7746079378667603</v>
      </c>
      <c r="C121" s="3" t="s">
        <v>158</v>
      </c>
    </row>
    <row r="122" spans="1:3">
      <c r="A122" s="1"/>
      <c r="B122" s="12" t="b">
        <f>IF(E_Exact&gt;=2)</f>
        <v>1</v>
      </c>
      <c r="C122" s="3" t="s">
        <v>159</v>
      </c>
    </row>
    <row r="123" spans="1:3">
      <c r="A123" s="1"/>
      <c r="B123" s="12" t="b">
        <f xml:space="preserve">    IF(E_A&gt;1.1*E_N)</f>
        <v>1</v>
      </c>
    </row>
    <row r="124" spans="1:3">
      <c r="A124" s="1"/>
      <c r="B124" s="12" t="e">
        <f xml:space="preserve">        _ErlBHighA()</f>
        <v>#N/A</v>
      </c>
      <c r="C124" s="3" t="s">
        <v>160</v>
      </c>
    </row>
    <row r="125" spans="1:3">
      <c r="A125" s="1"/>
      <c r="B125" s="12" t="b">
        <f xml:space="preserve">    ELSE()</f>
        <v>1</v>
      </c>
      <c r="C125" s="3" t="s">
        <v>161</v>
      </c>
    </row>
    <row r="126" spans="1:3">
      <c r="A126" s="1"/>
      <c r="B126" s="12" t="e">
        <f xml:space="preserve">        _ErlBReg()</f>
        <v>#N/A</v>
      </c>
    </row>
    <row r="127" spans="1:3">
      <c r="A127" s="1"/>
      <c r="B127" s="12" t="b">
        <f xml:space="preserve">    END.IF()</f>
        <v>1</v>
      </c>
      <c r="C127" s="3" t="s">
        <v>162</v>
      </c>
    </row>
    <row r="128" spans="1:3">
      <c r="A128" s="1"/>
      <c r="B128" s="12" t="b">
        <f>ELSE.IF(OR(E_N&lt;=1,E_A&lt;0.0001))</f>
        <v>1</v>
      </c>
    </row>
    <row r="129" spans="1:12">
      <c r="A129" s="1"/>
      <c r="B129" s="12" t="e">
        <f xml:space="preserve">    _ErlBReg()</f>
        <v>#N/A</v>
      </c>
    </row>
    <row r="130" spans="1:12">
      <c r="A130" s="1"/>
      <c r="B130" s="12" t="b">
        <f>ELSE.IF(E_N&lt;=50)</f>
        <v>1</v>
      </c>
    </row>
    <row r="131" spans="1:12">
      <c r="A131" s="1"/>
      <c r="B131" s="12" t="e">
        <f xml:space="preserve">    _ErlBReg()</f>
        <v>#N/A</v>
      </c>
      <c r="C131" s="3" t="s">
        <v>163</v>
      </c>
    </row>
    <row r="132" spans="1:12">
      <c r="A132" s="1"/>
      <c r="B132" s="12" t="b">
        <f>ELSE.IF(E_A&gt;=2*E_N)</f>
        <v>1</v>
      </c>
      <c r="C132" s="3" t="s">
        <v>164</v>
      </c>
    </row>
    <row r="133" spans="1:12">
      <c r="A133" s="1"/>
      <c r="B133" s="12" t="e">
        <f xml:space="preserve">    _ErlBHighA()</f>
        <v>#N/A</v>
      </c>
      <c r="C133" s="3" t="s">
        <v>165</v>
      </c>
    </row>
    <row r="134" spans="1:12">
      <c r="A134" s="1"/>
      <c r="B134" s="12" t="b">
        <f>ELSE.IF(TestLag())</f>
        <v>1</v>
      </c>
    </row>
    <row r="135" spans="1:12">
      <c r="A135" s="1"/>
      <c r="B135" s="42" t="e">
        <f xml:space="preserve">        _ErlBLAG15()</f>
        <v>#N/A</v>
      </c>
      <c r="C135" s="3" t="s">
        <v>158</v>
      </c>
    </row>
    <row r="136" spans="1:12">
      <c r="A136" s="1"/>
      <c r="B136" s="42" t="b">
        <f xml:space="preserve">    ELSE()</f>
        <v>1</v>
      </c>
      <c r="C136" s="3" t="s">
        <v>166</v>
      </c>
    </row>
    <row r="137" spans="1:12">
      <c r="A137" s="1"/>
      <c r="B137" s="42" t="e">
        <f xml:space="preserve">        _ErlbTrap()</f>
        <v>#N/A</v>
      </c>
      <c r="C137" s="3" t="s">
        <v>167</v>
      </c>
    </row>
    <row r="138" spans="1:12">
      <c r="A138" s="1"/>
      <c r="B138" s="42" t="b">
        <f>END.IF()</f>
        <v>1</v>
      </c>
      <c r="C138" s="3" t="s">
        <v>168</v>
      </c>
    </row>
    <row r="139" spans="1:12">
      <c r="A139" s="1"/>
      <c r="B139" s="12"/>
    </row>
    <row r="140" spans="1:12" s="46" customFormat="1">
      <c r="A140" s="43"/>
      <c r="B140" s="44" t="s">
        <v>169</v>
      </c>
      <c r="C140" s="45" t="s">
        <v>170</v>
      </c>
      <c r="K140" s="45"/>
      <c r="L140" s="45"/>
    </row>
    <row r="141" spans="1:12" s="46" customFormat="1">
      <c r="A141" s="43"/>
      <c r="B141" s="44" t="s">
        <v>171</v>
      </c>
      <c r="C141" s="45"/>
      <c r="K141" s="45"/>
      <c r="L141" s="45"/>
    </row>
    <row r="142" spans="1:12" s="46" customFormat="1">
      <c r="A142" s="43"/>
      <c r="B142" s="44" t="s">
        <v>172</v>
      </c>
      <c r="C142" s="45" t="s">
        <v>173</v>
      </c>
      <c r="K142" s="45"/>
      <c r="L142" s="45"/>
    </row>
    <row r="143" spans="1:12" s="46" customFormat="1">
      <c r="A143" s="43"/>
      <c r="B143" s="44" t="s">
        <v>174</v>
      </c>
      <c r="C143" s="45" t="s">
        <v>175</v>
      </c>
      <c r="K143" s="45"/>
      <c r="L143" s="45"/>
    </row>
    <row r="144" spans="1:12" s="46" customFormat="1">
      <c r="A144" s="43"/>
      <c r="B144" s="44" t="s">
        <v>176</v>
      </c>
      <c r="C144" s="45" t="s">
        <v>177</v>
      </c>
      <c r="K144" s="45"/>
      <c r="L144" s="45"/>
    </row>
    <row r="145" spans="1:12" s="46" customFormat="1">
      <c r="A145" s="43"/>
      <c r="B145" s="44" t="s">
        <v>178</v>
      </c>
      <c r="C145" s="45"/>
      <c r="K145" s="45"/>
      <c r="L145" s="45"/>
    </row>
    <row r="146" spans="1:12" s="46" customFormat="1">
      <c r="A146" s="43"/>
      <c r="B146" s="44" t="s">
        <v>179</v>
      </c>
      <c r="C146" s="45" t="s">
        <v>180</v>
      </c>
      <c r="K146" s="45"/>
      <c r="L146" s="45"/>
    </row>
    <row r="147" spans="1:12" s="46" customFormat="1">
      <c r="A147" s="43"/>
      <c r="B147" s="44" t="s">
        <v>181</v>
      </c>
      <c r="C147" s="45" t="s">
        <v>182</v>
      </c>
      <c r="K147" s="45"/>
      <c r="L147" s="45"/>
    </row>
    <row r="148" spans="1:12" s="46" customFormat="1">
      <c r="A148" s="43"/>
      <c r="B148" s="44" t="s">
        <v>183</v>
      </c>
      <c r="C148" s="45"/>
      <c r="K148" s="45"/>
      <c r="L148" s="45"/>
    </row>
    <row r="149" spans="1:12" s="46" customFormat="1">
      <c r="A149" s="43"/>
      <c r="B149" s="44" t="s">
        <v>184</v>
      </c>
      <c r="C149" s="45"/>
      <c r="K149" s="45"/>
      <c r="L149" s="45"/>
    </row>
    <row r="150" spans="1:12" s="46" customFormat="1">
      <c r="A150" s="43"/>
      <c r="B150" s="44" t="s">
        <v>185</v>
      </c>
      <c r="C150" s="45"/>
      <c r="K150" s="45"/>
      <c r="L150" s="45"/>
    </row>
    <row r="151" spans="1:12">
      <c r="A151" s="1"/>
      <c r="B151" s="12"/>
      <c r="C151" s="3" t="s">
        <v>186</v>
      </c>
    </row>
    <row r="152" spans="1:12">
      <c r="A152" s="1"/>
      <c r="B152" s="12"/>
      <c r="C152" s="3" t="s">
        <v>165</v>
      </c>
    </row>
    <row r="153" spans="1:12">
      <c r="A153" s="1" t="s">
        <v>187</v>
      </c>
      <c r="B153" s="12">
        <f>IF(E_E0&gt;99999,0,1/E_E0)</f>
        <v>0.43649525133867556</v>
      </c>
      <c r="C153" s="3" t="s">
        <v>188</v>
      </c>
    </row>
    <row r="154" spans="1:12">
      <c r="A154" s="1"/>
      <c r="B154" s="12" t="b">
        <f>IF(EXACT(E_Form,"ERLC"))</f>
        <v>1</v>
      </c>
    </row>
    <row r="155" spans="1:12">
      <c r="A155" s="1" t="s">
        <v>189</v>
      </c>
      <c r="B155" s="12">
        <f xml:space="preserve">    E_A/E_N</f>
        <v>0.23756062593506611</v>
      </c>
      <c r="C155" s="3" t="s">
        <v>190</v>
      </c>
    </row>
    <row r="156" spans="1:12">
      <c r="A156" s="1" t="s">
        <v>191</v>
      </c>
      <c r="B156" s="12">
        <f xml:space="preserve">    E_ERLB/(1-E_OCC*(1-E_ERLB))</f>
        <v>4.6699999999999998E-2</v>
      </c>
      <c r="C156" s="3" t="s">
        <v>192</v>
      </c>
    </row>
    <row r="157" spans="1:12">
      <c r="A157" s="1"/>
      <c r="B157" s="12" t="b">
        <f xml:space="preserve">    IF(E_Exact=0)</f>
        <v>1</v>
      </c>
      <c r="C157" s="3" t="s">
        <v>193</v>
      </c>
    </row>
    <row r="158" spans="1:12">
      <c r="A158" s="1"/>
      <c r="B158" s="12" t="b">
        <f xml:space="preserve">        SET.VALUE(E_ERLC,ROUND(E_ERLC,4))</f>
        <v>1</v>
      </c>
      <c r="C158" s="3" t="s">
        <v>194</v>
      </c>
    </row>
    <row r="159" spans="1:12">
      <c r="A159" s="1"/>
      <c r="B159" s="12" t="b">
        <f xml:space="preserve">    END.IF()</f>
        <v>1</v>
      </c>
      <c r="C159" s="3" t="s">
        <v>182</v>
      </c>
    </row>
    <row r="160" spans="1:12">
      <c r="A160" s="1"/>
      <c r="B160" s="12" t="b">
        <f xml:space="preserve">    RETURN(E_ERLC)</f>
        <v>1</v>
      </c>
    </row>
    <row r="161" spans="1:3">
      <c r="A161" s="1"/>
      <c r="B161" s="12" t="b">
        <f>ELSE()</f>
        <v>1</v>
      </c>
    </row>
    <row r="162" spans="1:3">
      <c r="A162" s="1"/>
      <c r="B162" s="12" t="b">
        <f xml:space="preserve">    IF(E_Exact=0)</f>
        <v>1</v>
      </c>
      <c r="C162" s="3" t="s">
        <v>195</v>
      </c>
    </row>
    <row r="163" spans="1:3">
      <c r="A163" s="1"/>
      <c r="B163" s="12" t="b">
        <f xml:space="preserve">        SET.VALUE(E_ERLB,ROUND(E_ERLB,4))</f>
        <v>1</v>
      </c>
      <c r="C163" s="3" t="s">
        <v>151</v>
      </c>
    </row>
    <row r="164" spans="1:3">
      <c r="A164" s="1"/>
      <c r="B164" s="12" t="b">
        <f xml:space="preserve">    END.IF()</f>
        <v>1</v>
      </c>
      <c r="C164" s="3" t="s">
        <v>196</v>
      </c>
    </row>
    <row r="165" spans="1:3">
      <c r="A165" s="1"/>
      <c r="B165" s="12" t="b">
        <f xml:space="preserve">    RETURN(E_ERLB)</f>
        <v>1</v>
      </c>
      <c r="C165" s="3" t="s">
        <v>197</v>
      </c>
    </row>
    <row r="166" spans="1:3">
      <c r="A166" s="1"/>
      <c r="B166" s="12" t="b">
        <f>END.IF()</f>
        <v>0</v>
      </c>
      <c r="C166" s="3" t="s">
        <v>198</v>
      </c>
    </row>
    <row r="167" spans="1:3">
      <c r="A167" s="1"/>
      <c r="B167" s="12"/>
      <c r="C167" s="3" t="s">
        <v>199</v>
      </c>
    </row>
    <row r="168" spans="1:3">
      <c r="A168" s="1" t="s">
        <v>200</v>
      </c>
      <c r="B168" s="12"/>
      <c r="C168" s="3" t="s">
        <v>201</v>
      </c>
    </row>
    <row r="169" spans="1:3">
      <c r="A169" s="1"/>
      <c r="B169" s="12" t="b">
        <f>IF(OR(E_F6=0,E_N&gt;=1))</f>
        <v>1</v>
      </c>
    </row>
    <row r="170" spans="1:3">
      <c r="A170" s="1" t="s">
        <v>202</v>
      </c>
      <c r="B170" s="12"/>
      <c r="C170" s="3" t="s">
        <v>203</v>
      </c>
    </row>
    <row r="171" spans="1:3">
      <c r="A171" s="1" t="s">
        <v>204</v>
      </c>
      <c r="B171" s="12">
        <f xml:space="preserve">    1</f>
        <v>2.2909756679668951</v>
      </c>
      <c r="C171" s="3" t="s">
        <v>165</v>
      </c>
    </row>
    <row r="172" spans="1:3">
      <c r="A172" s="1"/>
      <c r="B172" s="12" t="b">
        <f xml:space="preserve">    IF(E_N=0,GOTO(E_ERLB))</f>
        <v>0</v>
      </c>
      <c r="C172" s="3" t="s">
        <v>205</v>
      </c>
    </row>
    <row r="173" spans="1:3">
      <c r="A173" s="1"/>
      <c r="B173" s="12" t="b">
        <f xml:space="preserve">    FOR("E_COUNT",1,E_N)</f>
        <v>1</v>
      </c>
      <c r="C173" s="3" t="s">
        <v>206</v>
      </c>
    </row>
    <row r="174" spans="1:3">
      <c r="A174" s="1"/>
      <c r="B174" s="12" t="b">
        <f xml:space="preserve">        SET.VALUE(E_E0,1+E_COUNT*E_E0/E_A)</f>
        <v>1</v>
      </c>
    </row>
    <row r="175" spans="1:3">
      <c r="A175" s="1"/>
      <c r="B175" s="12" t="b">
        <f xml:space="preserve">        IF(E_E0&gt;99999,GOTO(E_ERLB))</f>
        <v>0</v>
      </c>
      <c r="C175" s="3" t="s">
        <v>165</v>
      </c>
    </row>
    <row r="176" spans="1:3">
      <c r="A176" s="1"/>
      <c r="B176" s="12" t="b">
        <f xml:space="preserve">    NEXT()</f>
        <v>1</v>
      </c>
      <c r="C176" s="3" t="s">
        <v>207</v>
      </c>
    </row>
    <row r="177" spans="1:3">
      <c r="A177" s="1"/>
      <c r="B177" s="12" t="b">
        <f>ELSE()</f>
        <v>1</v>
      </c>
      <c r="C177" s="3" t="s">
        <v>208</v>
      </c>
    </row>
    <row r="178" spans="1:3">
      <c r="A178" s="1"/>
      <c r="B178" s="12" t="b">
        <f xml:space="preserve">    SET.VALUE(E_E0,1+E_N*E_E0/E_A)</f>
        <v>0</v>
      </c>
      <c r="C178" s="3" t="s">
        <v>209</v>
      </c>
    </row>
    <row r="179" spans="1:3">
      <c r="A179" s="1"/>
      <c r="B179" s="12" t="b">
        <f>END.IF()</f>
        <v>0</v>
      </c>
      <c r="C179" s="3" t="s">
        <v>210</v>
      </c>
    </row>
    <row r="180" spans="1:3">
      <c r="A180" s="1"/>
      <c r="B180" s="12" t="b">
        <f>RETURN()</f>
        <v>1</v>
      </c>
      <c r="C180" s="3" t="s">
        <v>207</v>
      </c>
    </row>
    <row r="181" spans="1:3">
      <c r="A181" s="1"/>
      <c r="B181" s="12"/>
    </row>
    <row r="182" spans="1:3">
      <c r="A182" s="1" t="s">
        <v>211</v>
      </c>
      <c r="B182" s="12"/>
      <c r="C182" s="3" t="s">
        <v>208</v>
      </c>
    </row>
    <row r="183" spans="1:3">
      <c r="A183" s="1"/>
      <c r="B183" s="12" t="b">
        <f>SET.VALUE(E_E0,1)</f>
        <v>1</v>
      </c>
      <c r="C183" s="3" t="s">
        <v>212</v>
      </c>
    </row>
    <row r="184" spans="1:3">
      <c r="A184" s="1" t="s">
        <v>213</v>
      </c>
      <c r="B184" s="12">
        <f>1</f>
        <v>7.8766671501083446E-7</v>
      </c>
    </row>
    <row r="185" spans="1:3">
      <c r="A185" s="1"/>
      <c r="B185" s="12"/>
      <c r="C185" s="3" t="s">
        <v>164</v>
      </c>
    </row>
    <row r="186" spans="1:3">
      <c r="A186" s="1" t="s">
        <v>214</v>
      </c>
      <c r="B186" s="12" t="b">
        <f>FOR("H_Count",E_N,1,-1)</f>
        <v>1</v>
      </c>
      <c r="C186" s="3" t="s">
        <v>215</v>
      </c>
    </row>
    <row r="187" spans="1:3">
      <c r="A187" s="1"/>
      <c r="B187" s="12" t="b">
        <f xml:space="preserve">    SET.VALUE(H_AHigh,H_Count*H_AHigh/E_A)</f>
        <v>1</v>
      </c>
      <c r="C187" s="3" t="s">
        <v>216</v>
      </c>
    </row>
    <row r="188" spans="1:3">
      <c r="A188" s="1"/>
      <c r="B188" s="12" t="b">
        <f xml:space="preserve">    SET.VALUE(E_E0,E_E0+H_AHigh)</f>
        <v>1</v>
      </c>
      <c r="C188" s="3" t="s">
        <v>217</v>
      </c>
    </row>
    <row r="189" spans="1:3">
      <c r="A189" s="1"/>
      <c r="B189" s="12" t="b">
        <f xml:space="preserve">    IF(H_AHigh&lt;0.000001,BREAK())</f>
        <v>1</v>
      </c>
      <c r="C189" s="3" t="s">
        <v>218</v>
      </c>
    </row>
    <row r="190" spans="1:3">
      <c r="A190" s="1"/>
      <c r="B190" s="12" t="b">
        <f>NEXT()</f>
        <v>1</v>
      </c>
    </row>
    <row r="191" spans="1:3">
      <c r="A191" s="1"/>
      <c r="B191" s="12" t="b">
        <f>RETURN()</f>
        <v>1</v>
      </c>
      <c r="C191" s="47"/>
    </row>
    <row r="192" spans="1:3" ht="13.7" customHeight="1">
      <c r="A192" s="1"/>
      <c r="B192" s="12"/>
      <c r="C192" s="47"/>
    </row>
    <row r="193" spans="1:3">
      <c r="A193" s="48" t="s">
        <v>219</v>
      </c>
      <c r="B193" s="49"/>
      <c r="C193" s="47" t="s">
        <v>220</v>
      </c>
    </row>
    <row r="194" spans="1:3">
      <c r="A194" s="21" t="s">
        <v>221</v>
      </c>
      <c r="B194" s="12">
        <f>E_A/E_N</f>
        <v>0.10604618852232867</v>
      </c>
      <c r="C194" s="47"/>
    </row>
    <row r="195" spans="1:3">
      <c r="A195" s="33"/>
      <c r="B195" s="50" t="b">
        <f>IF(Trap_X&lt;1)</f>
        <v>1</v>
      </c>
      <c r="C195" s="4"/>
    </row>
    <row r="196" spans="1:3">
      <c r="A196" s="51" t="s">
        <v>222</v>
      </c>
      <c r="B196" s="12">
        <f>LN(SQRT(2*PI())*(1+1/12/E_N))</f>
        <v>0.92052189561697317</v>
      </c>
      <c r="C196" s="47"/>
    </row>
    <row r="197" spans="1:3">
      <c r="A197" s="51" t="s">
        <v>223</v>
      </c>
      <c r="B197" s="12">
        <f>+B196+(E_N+0.5)*(LN(E_N+0.5)-1)-9.21</f>
        <v>149.48925191373911</v>
      </c>
      <c r="C197" s="47"/>
    </row>
    <row r="198" spans="1:3">
      <c r="A198" s="21"/>
      <c r="B198" s="12">
        <f>E_N*LN(E_A)-E_A</f>
        <v>84.803869321219324</v>
      </c>
      <c r="C198" s="47"/>
    </row>
    <row r="199" spans="1:3">
      <c r="A199" s="21"/>
      <c r="B199" s="12" t="b">
        <f>IF(B198&lt;B197)</f>
        <v>1</v>
      </c>
      <c r="C199" s="52" t="s">
        <v>224</v>
      </c>
    </row>
    <row r="200" spans="1:3">
      <c r="A200" s="21"/>
      <c r="B200" s="12" t="b">
        <f xml:space="preserve">   SET.VALUE(E_E0,99999)</f>
        <v>1</v>
      </c>
      <c r="C200" s="47"/>
    </row>
    <row r="201" spans="1:3">
      <c r="A201" s="21"/>
      <c r="B201" s="12" t="b">
        <f xml:space="preserve">   RETURN()</f>
        <v>1</v>
      </c>
      <c r="C201" s="47"/>
    </row>
    <row r="202" spans="1:3">
      <c r="A202" s="21"/>
      <c r="B202" s="12" t="b">
        <f>END.IF()</f>
        <v>0</v>
      </c>
      <c r="C202" s="47"/>
    </row>
    <row r="203" spans="1:3">
      <c r="A203" s="33"/>
      <c r="B203" s="12" t="b">
        <f>END.IF()</f>
        <v>1</v>
      </c>
      <c r="C203" s="47"/>
    </row>
    <row r="204" spans="1:3">
      <c r="A204" s="33"/>
      <c r="B204" s="12"/>
      <c r="C204" s="47"/>
    </row>
    <row r="205" spans="1:3">
      <c r="A205" s="51" t="s">
        <v>225</v>
      </c>
      <c r="B205" s="12">
        <f>MAX(E_N*(1/Trap_X-1),0)</f>
        <v>0.11362058670994157</v>
      </c>
      <c r="C205" s="47"/>
    </row>
    <row r="206" spans="1:3">
      <c r="A206" s="1" t="s">
        <v>226</v>
      </c>
      <c r="B206" s="53">
        <f>1/2/E_N</f>
        <v>9.2592592592592587E-3</v>
      </c>
      <c r="C206" s="47"/>
    </row>
    <row r="207" spans="1:3">
      <c r="A207" s="1" t="s">
        <v>227</v>
      </c>
      <c r="B207" s="53">
        <f>E_X-1</f>
        <v>-2.0996670612324353E-3</v>
      </c>
      <c r="C207" s="47"/>
    </row>
    <row r="208" spans="1:3">
      <c r="A208" s="54"/>
      <c r="B208" s="53">
        <f>-E_N*(LN(Trap_X)+(1-Trap_X))</f>
        <v>1.1919912928757843E-4</v>
      </c>
      <c r="C208" s="47"/>
    </row>
    <row r="209" spans="1:3">
      <c r="A209" s="51" t="s">
        <v>228</v>
      </c>
      <c r="B209" s="53">
        <f>IF(Trap_X&lt;1,B208-9.21,-9.21)</f>
        <v>-9.2098808008707138</v>
      </c>
      <c r="C209" s="52" t="s">
        <v>229</v>
      </c>
    </row>
    <row r="210" spans="1:3">
      <c r="A210" s="51" t="s">
        <v>230</v>
      </c>
      <c r="B210" s="12">
        <f>SQRT(Trap_B0^2-4*Trap_A0*Trap_C0)</f>
        <v>0.584047176973156</v>
      </c>
      <c r="C210" s="47"/>
    </row>
    <row r="211" spans="1:3">
      <c r="A211" s="51" t="s">
        <v>231</v>
      </c>
      <c r="B211" s="12">
        <f>(-Trap_B0+Trap_Radical)/2/Trap_A0</f>
        <v>31.651929577856976</v>
      </c>
      <c r="C211" s="47"/>
    </row>
    <row r="212" spans="1:3">
      <c r="A212" s="21"/>
      <c r="B212" s="12"/>
      <c r="C212" s="47"/>
    </row>
    <row r="213" spans="1:3">
      <c r="A213" s="1" t="s">
        <v>232</v>
      </c>
      <c r="B213" s="12">
        <f>qsimp(zMax,zUpperLimit)</f>
        <v>10.001513794438894</v>
      </c>
      <c r="C213" s="47"/>
    </row>
    <row r="214" spans="1:3">
      <c r="A214" s="1"/>
      <c r="B214" s="12" t="b">
        <f>IF(Trap_X&lt;1)</f>
        <v>1</v>
      </c>
      <c r="C214" s="47"/>
    </row>
    <row r="215" spans="1:3">
      <c r="A215" s="21" t="s">
        <v>233</v>
      </c>
      <c r="B215" s="12">
        <f xml:space="preserve">   MAX((-Trap_B0-Trap_Radical)/2/Trap_A0,0)</f>
        <v>0</v>
      </c>
      <c r="C215" s="47"/>
    </row>
    <row r="216" spans="1:3">
      <c r="A216" s="1"/>
      <c r="B216" s="12" t="b">
        <f xml:space="preserve">   SET.VALUE(Trap_E0,Trap_E0+qsimp(zLowerLimit,zMax))</f>
        <v>1</v>
      </c>
      <c r="C216" s="47"/>
    </row>
    <row r="217" spans="1:3">
      <c r="A217" s="1"/>
      <c r="B217" s="12" t="b">
        <f>END.IF()</f>
        <v>1</v>
      </c>
    </row>
    <row r="218" spans="1:3">
      <c r="A218" s="1"/>
      <c r="B218" s="12" t="b">
        <f xml:space="preserve"> SET.VALUE(E_E0,Trap_E0)</f>
        <v>1</v>
      </c>
    </row>
    <row r="219" spans="1:3">
      <c r="A219" s="55"/>
      <c r="B219" s="15" t="b">
        <f>RETURN()</f>
        <v>1</v>
      </c>
      <c r="C219" s="47"/>
    </row>
    <row r="220" spans="1:3">
      <c r="A220" s="1"/>
      <c r="B220" s="12"/>
      <c r="C220" s="47"/>
    </row>
    <row r="221" spans="1:3">
      <c r="A221" s="47"/>
      <c r="B221" s="40"/>
      <c r="C221" s="47"/>
    </row>
    <row r="222" spans="1:3">
      <c r="A222" s="47"/>
      <c r="B222" s="40"/>
      <c r="C222" s="4"/>
    </row>
    <row r="223" spans="1:3">
      <c r="A223" s="56" t="s">
        <v>234</v>
      </c>
      <c r="B223" s="57" t="b">
        <f>RESULT(1)</f>
        <v>1</v>
      </c>
      <c r="C223" s="52" t="s">
        <v>235</v>
      </c>
    </row>
    <row r="224" spans="1:3">
      <c r="A224" s="58"/>
      <c r="B224" s="12" t="b">
        <f>ARGUMENT("",1,qsimp_Lower)</f>
        <v>1</v>
      </c>
      <c r="C224" s="47" t="s">
        <v>236</v>
      </c>
    </row>
    <row r="225" spans="1:3">
      <c r="A225" s="58"/>
      <c r="B225" s="12" t="b">
        <f>ARGUMENT("",1,qsimp_Upper)</f>
        <v>1</v>
      </c>
      <c r="C225" s="47" t="s">
        <v>237</v>
      </c>
    </row>
    <row r="226" spans="1:3">
      <c r="A226" s="59"/>
      <c r="B226" s="60"/>
      <c r="C226" s="47"/>
    </row>
    <row r="227" spans="1:3">
      <c r="A227" s="58" t="s">
        <v>238</v>
      </c>
      <c r="B227" s="12">
        <v>0</v>
      </c>
      <c r="C227" s="47" t="s">
        <v>236</v>
      </c>
    </row>
    <row r="228" spans="1:3">
      <c r="A228" s="58" t="s">
        <v>239</v>
      </c>
      <c r="B228" s="61">
        <v>0.11362058670994157</v>
      </c>
      <c r="C228" s="47" t="s">
        <v>237</v>
      </c>
    </row>
    <row r="229" spans="1:3">
      <c r="A229" s="59" t="s">
        <v>240</v>
      </c>
      <c r="B229" s="60">
        <f>0.000001</f>
        <v>0.11339103334651217</v>
      </c>
      <c r="C229" s="47"/>
    </row>
    <row r="230" spans="1:3">
      <c r="A230" s="59" t="s">
        <v>241</v>
      </c>
      <c r="B230" s="60">
        <f>0</f>
        <v>0.11339103334042679</v>
      </c>
      <c r="C230" s="47"/>
    </row>
    <row r="231" spans="1:3">
      <c r="A231" s="59" t="s">
        <v>242</v>
      </c>
      <c r="B231" s="60">
        <f>0.000001</f>
        <v>0.11339046981698869</v>
      </c>
      <c r="C231" s="47"/>
    </row>
    <row r="232" spans="1:3">
      <c r="A232" s="59" t="s">
        <v>243</v>
      </c>
      <c r="B232" s="60">
        <f>0</f>
        <v>0.11339089245956727</v>
      </c>
      <c r="C232" s="47"/>
    </row>
    <row r="233" spans="1:3">
      <c r="A233" s="59"/>
      <c r="B233" s="60" t="b">
        <f>FOR("qsimp_j",1,6)</f>
        <v>1</v>
      </c>
      <c r="C233" s="47" t="s">
        <v>244</v>
      </c>
    </row>
    <row r="234" spans="1:3">
      <c r="A234" s="59"/>
      <c r="B234" s="60" t="b">
        <f xml:space="preserve"> SET.VALUE(qsimp_st,TRAPZD(qsimp_Lower,qsimp_Upper,qsimp_j))</f>
        <v>1</v>
      </c>
      <c r="C234" s="47"/>
    </row>
    <row r="235" spans="1:3">
      <c r="A235" s="59"/>
      <c r="B235" s="60" t="b">
        <f xml:space="preserve">   SET.VALUE(qsimp_s,(4*qsimp_st-qsimp_ost)/3)</f>
        <v>1</v>
      </c>
      <c r="C235" s="47"/>
    </row>
    <row r="236" spans="1:3">
      <c r="A236" s="59"/>
      <c r="B236" s="60">
        <f>ABS(qsimp_s-qsimp_os)</f>
        <v>6.0853821981510237E-12</v>
      </c>
      <c r="C236" s="47"/>
    </row>
    <row r="237" spans="1:3">
      <c r="A237" s="59"/>
      <c r="B237" s="62">
        <f>ABS(qsimp_os)*0.0005</f>
        <v>5.6695516673256085E-5</v>
      </c>
      <c r="C237" s="4"/>
    </row>
    <row r="238" spans="1:3">
      <c r="A238" s="59"/>
      <c r="B238" s="60"/>
      <c r="C238" s="47"/>
    </row>
    <row r="239" spans="1:3">
      <c r="A239" s="59"/>
      <c r="B239" s="60" t="b">
        <f xml:space="preserve">   IF(B236&lt;B237)</f>
        <v>1</v>
      </c>
      <c r="C239" s="47"/>
    </row>
    <row r="240" spans="1:3">
      <c r="A240" s="59"/>
      <c r="B240" s="60" t="b">
        <f xml:space="preserve">      RETURN(qsimp_s)</f>
        <v>1</v>
      </c>
      <c r="C240" s="47"/>
    </row>
    <row r="241" spans="1:3">
      <c r="A241" s="59"/>
      <c r="B241" s="60" t="b">
        <f xml:space="preserve">   END.IF()</f>
        <v>0</v>
      </c>
      <c r="C241" s="47"/>
    </row>
    <row r="242" spans="1:3">
      <c r="A242" s="59"/>
      <c r="B242" s="60" t="b">
        <f xml:space="preserve">   SET.VALUE(qsimp_os,qsimp_s)</f>
        <v>1</v>
      </c>
      <c r="C242" s="47"/>
    </row>
    <row r="243" spans="1:3">
      <c r="A243" s="59"/>
      <c r="B243" s="60" t="b">
        <f xml:space="preserve">   SET.VALUE(qsimp_ost,qsimp_st)</f>
        <v>1</v>
      </c>
      <c r="C243" s="47"/>
    </row>
    <row r="244" spans="1:3">
      <c r="A244" s="59"/>
      <c r="B244" s="60" t="b">
        <f>NEXT()</f>
        <v>1</v>
      </c>
      <c r="C244" s="47"/>
    </row>
    <row r="245" spans="1:3">
      <c r="A245" s="63"/>
      <c r="B245" s="64" t="b">
        <f>RETURN(qsimp_s)</f>
        <v>1</v>
      </c>
      <c r="C245" s="52" t="s">
        <v>245</v>
      </c>
    </row>
    <row r="246" spans="1:3">
      <c r="A246" s="47"/>
      <c r="B246" s="40"/>
      <c r="C246" s="47"/>
    </row>
    <row r="247" spans="1:3">
      <c r="A247" s="56" t="s">
        <v>246</v>
      </c>
      <c r="B247" s="57" t="b">
        <f>RESULT(1)</f>
        <v>1</v>
      </c>
      <c r="C247" s="52" t="s">
        <v>235</v>
      </c>
    </row>
    <row r="248" spans="1:3">
      <c r="A248" s="58"/>
      <c r="B248" s="12" t="b">
        <f>ARGUMENT("",1,Trapzd_Lower)</f>
        <v>1</v>
      </c>
      <c r="C248" s="47" t="s">
        <v>236</v>
      </c>
    </row>
    <row r="249" spans="1:3">
      <c r="A249" s="58"/>
      <c r="B249" s="12" t="b">
        <f>ARGUMENT("",1,Trapzd_Upper)</f>
        <v>1</v>
      </c>
      <c r="C249" s="47" t="s">
        <v>237</v>
      </c>
    </row>
    <row r="250" spans="1:3">
      <c r="A250" s="59"/>
      <c r="B250" s="12" t="b">
        <f>ARGUMENT("",1,Trapzd_steps)</f>
        <v>1</v>
      </c>
      <c r="C250" s="47" t="s">
        <v>247</v>
      </c>
    </row>
    <row r="251" spans="1:3">
      <c r="A251" s="59"/>
      <c r="B251" s="12"/>
      <c r="C251" s="47"/>
    </row>
    <row r="252" spans="1:3">
      <c r="A252" s="58" t="s">
        <v>248</v>
      </c>
      <c r="B252" s="65">
        <v>0</v>
      </c>
      <c r="C252" s="47" t="s">
        <v>236</v>
      </c>
    </row>
    <row r="253" spans="1:3">
      <c r="A253" s="58" t="s">
        <v>249</v>
      </c>
      <c r="B253" s="12">
        <v>0.11362058670994157</v>
      </c>
      <c r="C253" s="47" t="s">
        <v>237</v>
      </c>
    </row>
    <row r="254" spans="1:3">
      <c r="A254" s="59" t="s">
        <v>250</v>
      </c>
      <c r="B254" s="66">
        <v>3</v>
      </c>
      <c r="C254" s="47" t="s">
        <v>247</v>
      </c>
    </row>
    <row r="255" spans="1:3">
      <c r="A255" s="58"/>
      <c r="B255" s="60"/>
    </row>
    <row r="256" spans="1:3">
      <c r="A256" s="59"/>
      <c r="B256" s="60" t="b">
        <f>IF(Trapzd_steps=1)</f>
        <v>1</v>
      </c>
      <c r="C256" s="47"/>
    </row>
    <row r="257" spans="1:3">
      <c r="A257" s="58" t="s">
        <v>251</v>
      </c>
      <c r="B257" s="62">
        <f xml:space="preserve">   0.5*(Trapzd_Upper-Trapzd_Lower)*(TrapFN(Trapzd_Lower)+TrapFN(Trapzd_Upper))</f>
        <v>0.11339089245956727</v>
      </c>
      <c r="C257" s="52" t="s">
        <v>252</v>
      </c>
    </row>
    <row r="258" spans="1:3">
      <c r="A258" s="59"/>
      <c r="B258" s="60" t="b">
        <f>ELSE()</f>
        <v>1</v>
      </c>
      <c r="C258" s="47"/>
    </row>
    <row r="259" spans="1:3">
      <c r="A259" s="59"/>
      <c r="B259" s="67"/>
      <c r="C259" s="47"/>
    </row>
    <row r="260" spans="1:3">
      <c r="A260" s="1" t="s">
        <v>253</v>
      </c>
      <c r="B260" s="66">
        <f xml:space="preserve">   2^(Trapzd_steps-2)</f>
        <v>2</v>
      </c>
    </row>
    <row r="261" spans="1:3">
      <c r="A261" s="59" t="s">
        <v>254</v>
      </c>
      <c r="B261" s="60">
        <f xml:space="preserve">   (Trapzd_Upper-Trapzd_Lower)/Trapzd_tnm</f>
        <v>5.6810293354970787E-2</v>
      </c>
      <c r="C261" s="47"/>
    </row>
    <row r="262" spans="1:3">
      <c r="A262" s="21" t="s">
        <v>255</v>
      </c>
      <c r="B262" s="12">
        <f xml:space="preserve">   Trapzd_Lower+0.5*Trapzd_del</f>
        <v>0.14202573338742697</v>
      </c>
    </row>
    <row r="263" spans="1:3">
      <c r="A263" s="1" t="s">
        <v>256</v>
      </c>
      <c r="B263" s="12">
        <f xml:space="preserve">   0</f>
        <v>1.9959642593928684</v>
      </c>
      <c r="C263" s="4"/>
    </row>
    <row r="264" spans="1:3">
      <c r="A264" s="1" t="s">
        <v>257</v>
      </c>
      <c r="B264" s="12"/>
      <c r="C264" s="4"/>
    </row>
    <row r="265" spans="1:3">
      <c r="A265" s="33"/>
      <c r="B265" s="12" t="b">
        <f>FOR("Trapzd_N",1,Trapzd_tnm)</f>
        <v>1</v>
      </c>
    </row>
    <row r="266" spans="1:3">
      <c r="A266" s="1"/>
      <c r="B266" s="12" t="b">
        <f xml:space="preserve">    SET.VALUE(trapzd_Sum,trapzd_Sum+TrapFN(trapzd_x))</f>
        <v>1</v>
      </c>
    </row>
    <row r="267" spans="1:3">
      <c r="A267" s="1"/>
      <c r="B267" s="12" t="b">
        <f xml:space="preserve">    SET.VALUE(trapzd_x,trapzd_x+Trapzd_del)</f>
        <v>1</v>
      </c>
    </row>
    <row r="268" spans="1:3">
      <c r="A268" s="1"/>
      <c r="B268" s="12" t="b">
        <f>NEXT()</f>
        <v>1</v>
      </c>
    </row>
    <row r="269" spans="1:3">
      <c r="A269" s="1"/>
      <c r="B269" s="12" t="b">
        <f xml:space="preserve">   SET.VALUE(Trapzd_S,0.5*(Trapzd_S+trapzd_Sum*Trapzd_del))</f>
        <v>1</v>
      </c>
    </row>
    <row r="270" spans="1:3">
      <c r="A270" s="1"/>
      <c r="B270" s="12" t="b">
        <f>END.IF()</f>
        <v>1</v>
      </c>
    </row>
    <row r="271" spans="1:3">
      <c r="A271" s="55"/>
      <c r="B271" s="15" t="b">
        <f xml:space="preserve"> RETURN(Trapzd_S)</f>
        <v>1</v>
      </c>
    </row>
    <row r="272" spans="1:3">
      <c r="A272" s="25"/>
      <c r="B272" s="20"/>
    </row>
    <row r="273" spans="1:3">
      <c r="A273" s="56" t="s">
        <v>258</v>
      </c>
      <c r="B273" s="57" t="b">
        <f>RESULT(1)</f>
        <v>1</v>
      </c>
    </row>
    <row r="274" spans="1:3">
      <c r="A274" s="59"/>
      <c r="B274" s="60" t="b">
        <f>ARGUMENT("",1,TrapFN_X)</f>
        <v>1</v>
      </c>
    </row>
    <row r="275" spans="1:3">
      <c r="A275" s="59" t="s">
        <v>259</v>
      </c>
      <c r="B275" s="68">
        <v>8.521544003245618E-2</v>
      </c>
    </row>
    <row r="276" spans="1:3">
      <c r="A276" s="59"/>
      <c r="B276" s="60">
        <f>+LN(Trap_X)-Trap_X*TrapFN_X+E_N*LN(1+TrapFN_X/E_N)</f>
        <v>-1.9901174431514734E-3</v>
      </c>
    </row>
    <row r="277" spans="1:3">
      <c r="A277" s="59"/>
      <c r="B277" s="69">
        <f>EXP(B276)</f>
        <v>0.99801186152755494</v>
      </c>
    </row>
    <row r="278" spans="1:3">
      <c r="A278" s="63"/>
      <c r="B278" s="64" t="b">
        <f>RETURN(B277)</f>
        <v>1</v>
      </c>
    </row>
    <row r="279" spans="1:3">
      <c r="A279" s="25"/>
      <c r="B279" s="70"/>
    </row>
    <row r="280" spans="1:3">
      <c r="A280" s="1"/>
      <c r="B280" s="12"/>
      <c r="C280" s="3" t="s">
        <v>164</v>
      </c>
    </row>
    <row r="281" spans="1:3">
      <c r="A281" s="71" t="s">
        <v>260</v>
      </c>
      <c r="B281" s="12"/>
      <c r="C281" s="3" t="s">
        <v>261</v>
      </c>
    </row>
    <row r="282" spans="1:3">
      <c r="A282" s="1"/>
      <c r="B282" s="12" t="b">
        <f>SET.VALUE(E_E0,LGW00*((LGX00/E_A+1)^E_N))</f>
        <v>1</v>
      </c>
      <c r="C282" s="3" t="s">
        <v>262</v>
      </c>
    </row>
    <row r="283" spans="1:3">
      <c r="A283" s="1"/>
      <c r="B283" s="12" t="b">
        <f>SET.VALUE(E_E0,E_E0+_LGW01*((_LGX01/E_A+1)^E_N))</f>
        <v>1</v>
      </c>
      <c r="C283" s="3" t="s">
        <v>263</v>
      </c>
    </row>
    <row r="284" spans="1:3">
      <c r="A284" s="1"/>
      <c r="B284" s="12" t="b">
        <f>SET.VALUE(E_E0,E_E0+_LGW02*((_LGX02/E_A+1)^E_N))</f>
        <v>1</v>
      </c>
      <c r="C284" s="3" t="s">
        <v>264</v>
      </c>
    </row>
    <row r="285" spans="1:3">
      <c r="A285" s="1"/>
      <c r="B285" s="12" t="b">
        <f>SET.VALUE(E_E0,E_E0+_LGW03*((_LGX03/E_A+1)^E_N))</f>
        <v>1</v>
      </c>
      <c r="C285" s="3" t="s">
        <v>265</v>
      </c>
    </row>
    <row r="286" spans="1:3">
      <c r="A286" s="1"/>
      <c r="B286" s="12" t="b">
        <f>SET.VALUE(E_E0,E_E0+_LGW04*((_LGX04/E_A+1)^E_N))</f>
        <v>1</v>
      </c>
      <c r="C286" s="3" t="s">
        <v>266</v>
      </c>
    </row>
    <row r="287" spans="1:3">
      <c r="A287" s="1"/>
      <c r="B287" s="12" t="b">
        <f>SET.VALUE(E_E0,E_E0+_LGW05*((_LGX05/E_A+1)^E_N))</f>
        <v>1</v>
      </c>
    </row>
    <row r="288" spans="1:3">
      <c r="A288" s="1"/>
      <c r="B288" s="12" t="b">
        <f>SET.VALUE(E_E0,E_E0+_LGW06*((_LGX06/E_A+1)^E_N))</f>
        <v>1</v>
      </c>
      <c r="C288" s="3" t="s">
        <v>267</v>
      </c>
    </row>
    <row r="289" spans="1:3">
      <c r="A289" s="1"/>
      <c r="B289" s="12" t="b">
        <f>SET.VALUE(E_E0,E_E0+_LGW07*((_LGX07/E_A+1)^E_N))</f>
        <v>1</v>
      </c>
      <c r="C289" s="3" t="s">
        <v>267</v>
      </c>
    </row>
    <row r="290" spans="1:3">
      <c r="A290" s="1"/>
      <c r="B290" s="12" t="b">
        <f>SET.VALUE(E_E0,E_E0+_LGW08*((_LGX08/E_A+1)^E_N))</f>
        <v>1</v>
      </c>
      <c r="C290" s="3" t="s">
        <v>268</v>
      </c>
    </row>
    <row r="291" spans="1:3">
      <c r="A291" s="1"/>
      <c r="B291" s="12" t="b">
        <f>SET.VALUE(E_E0,E_E0+_LGW09*((_LGX09/E_A+1)^E_N))</f>
        <v>1</v>
      </c>
    </row>
    <row r="292" spans="1:3">
      <c r="A292" s="1"/>
      <c r="B292" s="12" t="b">
        <f>SET.VALUE(E_E0,E_E0+_LGW10*((_LGX10/E_A+1)^E_N))</f>
        <v>1</v>
      </c>
    </row>
    <row r="293" spans="1:3">
      <c r="A293" s="1"/>
      <c r="B293" s="12" t="b">
        <f>SET.VALUE(E_E0,E_E0+_LGW11*((_LGX11/E_A+1)^E_N))</f>
        <v>1</v>
      </c>
      <c r="C293" s="3" t="s">
        <v>269</v>
      </c>
    </row>
    <row r="294" spans="1:3">
      <c r="A294" s="1"/>
      <c r="B294" s="12" t="b">
        <f>SET.VALUE(E_E0,E_E0+_LGW12*((_LGX12/E_A+1)^E_N))</f>
        <v>1</v>
      </c>
      <c r="C294" s="3" t="s">
        <v>270</v>
      </c>
    </row>
    <row r="295" spans="1:3">
      <c r="A295" s="1"/>
      <c r="B295" s="12" t="b">
        <f>SET.VALUE(E_E0,E_E0+_LGW13*((_LGX13/E_A+1)^E_N))</f>
        <v>1</v>
      </c>
      <c r="C295" s="3" t="s">
        <v>271</v>
      </c>
    </row>
    <row r="296" spans="1:3">
      <c r="A296" s="1"/>
      <c r="B296" s="12" t="b">
        <f>SET.VALUE(E_E0,E_E0+_LGW14*((_LGX14/E_A+1)^E_N))</f>
        <v>1</v>
      </c>
      <c r="C296" s="3" t="s">
        <v>272</v>
      </c>
    </row>
    <row r="297" spans="1:3">
      <c r="A297" s="1"/>
      <c r="B297" s="12" t="b">
        <f>RETURN()</f>
        <v>1</v>
      </c>
      <c r="C297" s="3" t="s">
        <v>273</v>
      </c>
    </row>
    <row r="298" spans="1:3">
      <c r="A298" s="1" t="s">
        <v>274</v>
      </c>
      <c r="B298" s="9" t="s">
        <v>275</v>
      </c>
      <c r="C298" s="3" t="s">
        <v>276</v>
      </c>
    </row>
    <row r="299" spans="1:3">
      <c r="A299" s="1" t="s">
        <v>277</v>
      </c>
      <c r="B299" s="12">
        <f>1</f>
        <v>0.05</v>
      </c>
      <c r="C299" s="3">
        <f>+P_L</f>
        <v>54</v>
      </c>
    </row>
    <row r="300" spans="1:3">
      <c r="A300" s="1"/>
      <c r="B300" s="12" t="b">
        <f>IF(E_N=0,RETURN(1))</f>
        <v>0</v>
      </c>
      <c r="C300" s="3" t="s">
        <v>278</v>
      </c>
    </row>
    <row r="301" spans="1:3">
      <c r="A301" s="1"/>
      <c r="B301" s="12" t="b">
        <f>IF(E_F6&gt;0)</f>
        <v>1</v>
      </c>
    </row>
    <row r="302" spans="1:3">
      <c r="A302" s="1"/>
      <c r="B302" s="12" t="b">
        <f xml:space="preserve">    SET.VALUE(P_DB,P_DB*E_A/(E_N-1))</f>
        <v>1</v>
      </c>
    </row>
    <row r="303" spans="1:3">
      <c r="A303" s="1"/>
      <c r="B303" s="12" t="b">
        <f xml:space="preserve">    SET.VALUE(P_S,P_S+P_DB)</f>
        <v>1</v>
      </c>
    </row>
    <row r="304" spans="1:3">
      <c r="A304" s="1"/>
      <c r="B304" s="12" t="b">
        <f>ELSE()</f>
        <v>1</v>
      </c>
      <c r="C304" s="3" t="s">
        <v>279</v>
      </c>
    </row>
    <row r="305" spans="1:3">
      <c r="A305" s="1" t="s">
        <v>280</v>
      </c>
      <c r="B305" s="12">
        <f xml:space="preserve">    0.0000001</f>
        <v>1.5313557434822659E-3</v>
      </c>
      <c r="C305" s="3" t="s">
        <v>281</v>
      </c>
    </row>
    <row r="306" spans="1:3">
      <c r="A306" s="1" t="s">
        <v>282</v>
      </c>
      <c r="B306" s="12">
        <f xml:space="preserve">    0</f>
        <v>4.9990307207122393E-2</v>
      </c>
    </row>
    <row r="307" spans="1:3">
      <c r="A307" s="1"/>
      <c r="B307" s="12" t="b">
        <f xml:space="preserve">    IF(OR(E_N&lt;10,E_Exact&gt;1))</f>
        <v>1</v>
      </c>
      <c r="C307" s="3" t="s">
        <v>283</v>
      </c>
    </row>
    <row r="308" spans="1:3">
      <c r="A308" s="1"/>
      <c r="B308" s="12" t="e">
        <f xml:space="preserve">        _PoissExact()</f>
        <v>#N/A</v>
      </c>
    </row>
    <row r="309" spans="1:3">
      <c r="A309" s="1"/>
      <c r="B309" s="12" t="b">
        <f xml:space="preserve">    ELSE.IF(E_A&lt;E_N/5)</f>
        <v>1</v>
      </c>
    </row>
    <row r="310" spans="1:3">
      <c r="A310" s="1"/>
      <c r="B310" s="12" t="b">
        <f xml:space="preserve">        RETURN(0)</f>
        <v>1</v>
      </c>
      <c r="C310" s="3" t="s">
        <v>284</v>
      </c>
    </row>
    <row r="311" spans="1:3">
      <c r="A311" s="1"/>
      <c r="B311" s="12" t="b">
        <f xml:space="preserve">    ELSE()</f>
        <v>1</v>
      </c>
      <c r="C311" s="3" t="s">
        <v>285</v>
      </c>
    </row>
    <row r="312" spans="1:3">
      <c r="A312" s="1" t="s">
        <v>286</v>
      </c>
      <c r="B312" s="12">
        <f xml:space="preserve">        0</f>
        <v>1E-4</v>
      </c>
      <c r="C312" s="3" t="s">
        <v>287</v>
      </c>
    </row>
    <row r="313" spans="1:3">
      <c r="A313" s="1" t="s">
        <v>288</v>
      </c>
      <c r="B313" s="12">
        <f xml:space="preserve">        E_N-1</f>
        <v>4999</v>
      </c>
      <c r="C313" s="3" t="s">
        <v>289</v>
      </c>
    </row>
    <row r="314" spans="1:3">
      <c r="A314" s="1" t="s">
        <v>290</v>
      </c>
      <c r="B314" s="12">
        <f xml:space="preserve">        E_A/(E_N-1)</f>
        <v>0.9773314272935959</v>
      </c>
      <c r="C314" s="3" t="s">
        <v>291</v>
      </c>
    </row>
    <row r="315" spans="1:3">
      <c r="A315" s="1" t="s">
        <v>292</v>
      </c>
      <c r="B315" s="12">
        <f xml:space="preserve">        LN(SQRT(2*PI()*P_N0)*(1+1/12/P_N0))</f>
        <v>5.1774517887731815</v>
      </c>
      <c r="C315" s="3" t="s">
        <v>293</v>
      </c>
    </row>
    <row r="316" spans="1:3">
      <c r="A316" s="1" t="s">
        <v>294</v>
      </c>
      <c r="B316" s="12">
        <f xml:space="preserve">        EXP(P_N0*(LN(P_X)+(1-P_X))-P_C)</f>
        <v>9.7292518567778253E-5</v>
      </c>
      <c r="C316" s="3" t="s">
        <v>295</v>
      </c>
    </row>
    <row r="317" spans="1:3">
      <c r="A317" s="1"/>
      <c r="B317" s="12" t="b">
        <f xml:space="preserve">        SET.VALUE(P_DB,P_X0)</f>
        <v>1</v>
      </c>
      <c r="C317" s="3" t="s">
        <v>296</v>
      </c>
    </row>
    <row r="318" spans="1:3">
      <c r="A318" s="1"/>
      <c r="B318" s="12" t="b">
        <f xml:space="preserve">        SET.VALUE(P_TEST,0.0001)</f>
        <v>1</v>
      </c>
      <c r="C318" s="3" t="s">
        <v>297</v>
      </c>
    </row>
    <row r="319" spans="1:3">
      <c r="A319" s="1"/>
      <c r="B319" s="9" t="s">
        <v>298</v>
      </c>
      <c r="C319" s="3" t="s">
        <v>289</v>
      </c>
    </row>
    <row r="320" spans="1:3">
      <c r="A320" s="1"/>
      <c r="B320" s="72" t="s">
        <v>299</v>
      </c>
    </row>
    <row r="321" spans="1:3">
      <c r="A321" s="1"/>
      <c r="B321" s="72" t="s">
        <v>300</v>
      </c>
      <c r="C321" s="3" t="s">
        <v>269</v>
      </c>
    </row>
    <row r="322" spans="1:3">
      <c r="A322" s="1"/>
      <c r="B322" s="9" t="b">
        <f xml:space="preserve">        IF(E_A&lt;E_N)</f>
        <v>1</v>
      </c>
    </row>
    <row r="323" spans="1:3">
      <c r="A323" s="1"/>
      <c r="B323" s="9" t="e">
        <f xml:space="preserve">            _PoissForward()</f>
        <v>#N/A</v>
      </c>
      <c r="C323" s="3" t="s">
        <v>301</v>
      </c>
    </row>
    <row r="324" spans="1:3">
      <c r="A324" s="1"/>
      <c r="B324" s="12" t="b">
        <f xml:space="preserve">        ELSE()</f>
        <v>1</v>
      </c>
      <c r="C324" s="3" t="s">
        <v>302</v>
      </c>
    </row>
    <row r="325" spans="1:3">
      <c r="A325" s="1"/>
      <c r="B325" s="12" t="b">
        <f xml:space="preserve">            SET.VALUE(P_S,P_X0)</f>
        <v>1</v>
      </c>
      <c r="C325" s="3" t="s">
        <v>303</v>
      </c>
    </row>
    <row r="326" spans="1:3">
      <c r="A326" s="1" t="s">
        <v>304</v>
      </c>
      <c r="B326" s="12" t="b">
        <f xml:space="preserve">            FOR("P_L",P_N0,1,-1)</f>
        <v>1</v>
      </c>
      <c r="C326" s="3" t="s">
        <v>272</v>
      </c>
    </row>
    <row r="327" spans="1:3">
      <c r="A327" s="1"/>
      <c r="B327" s="12" t="b">
        <f xml:space="preserve">                SET.VALUE(P_X0,P_X0*P_L/E_A)</f>
        <v>1</v>
      </c>
      <c r="C327" s="3" t="s">
        <v>305</v>
      </c>
    </row>
    <row r="328" spans="1:3">
      <c r="A328" s="1"/>
      <c r="B328" s="12" t="b">
        <f xml:space="preserve">                SET.VALUE(P_S,P_S+P_X0)</f>
        <v>1</v>
      </c>
    </row>
    <row r="329" spans="1:3">
      <c r="A329" s="1"/>
      <c r="B329" s="12" t="b">
        <f xml:space="preserve">                IF(P_X0&lt;P_TEST,BREAK())</f>
        <v>1</v>
      </c>
    </row>
    <row r="330" spans="1:3">
      <c r="A330" s="1"/>
      <c r="B330" s="12" t="b">
        <f xml:space="preserve">            NEXT()</f>
        <v>1</v>
      </c>
      <c r="C330" s="3" t="s">
        <v>278</v>
      </c>
    </row>
    <row r="331" spans="1:3">
      <c r="A331" s="1"/>
      <c r="B331" s="39" t="s">
        <v>306</v>
      </c>
      <c r="C331" s="3" t="s">
        <v>265</v>
      </c>
    </row>
    <row r="332" spans="1:3">
      <c r="A332" s="1"/>
      <c r="B332" s="12" t="b">
        <f xml:space="preserve">            SET.VALUE(P_B,1-P_S)</f>
        <v>1</v>
      </c>
      <c r="C332" s="3" t="s">
        <v>307</v>
      </c>
    </row>
    <row r="333" spans="1:3">
      <c r="A333" s="1"/>
      <c r="B333" s="12" t="b">
        <f xml:space="preserve">        END.IF()</f>
        <v>1</v>
      </c>
      <c r="C333" s="3" t="s">
        <v>308</v>
      </c>
    </row>
    <row r="334" spans="1:3">
      <c r="A334" s="1"/>
      <c r="B334" s="12" t="b">
        <f xml:space="preserve">    END.IF()</f>
        <v>1</v>
      </c>
      <c r="C334" s="3" t="s">
        <v>309</v>
      </c>
    </row>
    <row r="335" spans="1:3">
      <c r="A335" s="1"/>
      <c r="B335" s="12" t="b">
        <f>END.IF()</f>
        <v>1</v>
      </c>
      <c r="C335" s="3" t="s">
        <v>310</v>
      </c>
    </row>
    <row r="336" spans="1:3">
      <c r="A336" s="1" t="s">
        <v>311</v>
      </c>
      <c r="B336" s="12" t="b">
        <f>IF(E_Exact=0)</f>
        <v>1</v>
      </c>
      <c r="C336" s="3" t="s">
        <v>312</v>
      </c>
    </row>
    <row r="337" spans="1:3">
      <c r="A337" s="1"/>
      <c r="B337" s="12" t="b">
        <f xml:space="preserve">    SET.VALUE(P_B,ROUND(P_B,4))</f>
        <v>1</v>
      </c>
    </row>
    <row r="338" spans="1:3">
      <c r="A338" s="1"/>
      <c r="B338" s="12" t="b">
        <f>END.IF()</f>
        <v>1</v>
      </c>
    </row>
    <row r="339" spans="1:3">
      <c r="A339" s="1"/>
      <c r="B339" s="12" t="b">
        <f>RETURN(P_B)</f>
        <v>1</v>
      </c>
    </row>
    <row r="340" spans="1:3">
      <c r="A340" s="1"/>
      <c r="B340" s="12">
        <f>+P_B</f>
        <v>1</v>
      </c>
      <c r="C340" s="3" t="s">
        <v>313</v>
      </c>
    </row>
    <row r="341" spans="1:3">
      <c r="A341" s="1" t="s">
        <v>314</v>
      </c>
      <c r="B341" s="12"/>
      <c r="C341" s="3" t="s">
        <v>315</v>
      </c>
    </row>
    <row r="342" spans="1:3">
      <c r="A342" s="1"/>
      <c r="B342" s="12" t="b">
        <f>IF(E_A&lt;=80)</f>
        <v>1</v>
      </c>
      <c r="C342" s="3" t="s">
        <v>303</v>
      </c>
    </row>
    <row r="343" spans="1:3">
      <c r="A343" s="1"/>
      <c r="B343" s="12" t="b">
        <f xml:space="preserve">    SET.VALUE(P_X0,EXP(-E_A))</f>
        <v>1</v>
      </c>
      <c r="C343" s="3" t="s">
        <v>272</v>
      </c>
    </row>
    <row r="344" spans="1:3">
      <c r="A344" s="1"/>
      <c r="B344" s="12" t="b">
        <f xml:space="preserve">    SET.VALUE(P_N0,1)</f>
        <v>1</v>
      </c>
      <c r="C344" s="3" t="s">
        <v>316</v>
      </c>
    </row>
    <row r="345" spans="1:3">
      <c r="A345" s="1"/>
      <c r="B345" s="12" t="b">
        <f>ELSE()</f>
        <v>1</v>
      </c>
      <c r="C345" s="3" t="s">
        <v>317</v>
      </c>
    </row>
    <row r="346" spans="1:3">
      <c r="A346" s="1"/>
      <c r="B346" s="12" t="b">
        <f xml:space="preserve">    SET.VALUE(P_N0,INT(E_A*(1-SQRT((36-LN(2*PI()*E_A))/E_A))))</f>
        <v>1</v>
      </c>
    </row>
    <row r="347" spans="1:3">
      <c r="A347" s="1"/>
      <c r="B347" s="12" t="b">
        <f xml:space="preserve">    SET.VALUE(P_X,E_A/P_N0)</f>
        <v>1</v>
      </c>
      <c r="C347" s="3" t="s">
        <v>318</v>
      </c>
    </row>
    <row r="348" spans="1:3">
      <c r="A348" s="1"/>
      <c r="B348" s="12" t="b">
        <f xml:space="preserve">    SET.VALUE(P_C,LN(SQRT(2*PI()*P_N0)*(1+1/12/P_N0)))</f>
        <v>1</v>
      </c>
      <c r="C348" s="3" t="s">
        <v>319</v>
      </c>
    </row>
    <row r="349" spans="1:3">
      <c r="A349" s="1"/>
      <c r="B349" s="12" t="b">
        <f xml:space="preserve">    SET.VALUE(P_X0,EXP((P_N0*LN(P_X)+(P_N0-E_A)-P_C)))</f>
        <v>1</v>
      </c>
      <c r="C349" s="3" t="s">
        <v>312</v>
      </c>
    </row>
    <row r="350" spans="1:3">
      <c r="A350" s="1"/>
      <c r="B350" s="12" t="b">
        <f xml:space="preserve">    SET.VALUE(P_N0,P_N0+1)</f>
        <v>1</v>
      </c>
    </row>
    <row r="351" spans="1:3">
      <c r="A351" s="1"/>
      <c r="B351" s="12" t="b">
        <f>END.IF()</f>
        <v>1</v>
      </c>
      <c r="C351" s="3" t="s">
        <v>320</v>
      </c>
    </row>
    <row r="352" spans="1:3">
      <c r="A352" s="1"/>
      <c r="B352" s="12"/>
    </row>
    <row r="353" spans="1:2">
      <c r="A353" s="1"/>
      <c r="B353" s="12" t="b">
        <f>SET.VALUE(P_S,P_X0)</f>
        <v>1</v>
      </c>
    </row>
    <row r="354" spans="1:2">
      <c r="A354" s="1"/>
      <c r="B354" s="12"/>
    </row>
    <row r="355" spans="1:2">
      <c r="A355" s="1"/>
      <c r="B355" s="12" t="b">
        <f>IF(E_N&gt;1)</f>
        <v>1</v>
      </c>
    </row>
    <row r="356" spans="1:2">
      <c r="A356" s="1"/>
      <c r="B356" s="12" t="b">
        <f xml:space="preserve">    FOR("P_L",P_N0,E_N-1)</f>
        <v>1</v>
      </c>
    </row>
    <row r="357" spans="1:2">
      <c r="A357" s="1"/>
      <c r="B357" s="12" t="b">
        <f xml:space="preserve">        SET.VALUE(P_X0,P_X0*E_A/P_L)</f>
        <v>1</v>
      </c>
    </row>
    <row r="358" spans="1:2">
      <c r="A358" s="1"/>
      <c r="B358" s="12" t="b">
        <f xml:space="preserve">        SET.VALUE(P_S,P_S+P_X0)</f>
        <v>1</v>
      </c>
    </row>
    <row r="359" spans="1:2">
      <c r="A359" s="1"/>
      <c r="B359" s="12" t="b">
        <f xml:space="preserve">    NEXT()</f>
        <v>1</v>
      </c>
    </row>
    <row r="360" spans="1:2">
      <c r="A360" s="1"/>
      <c r="B360" s="12" t="b">
        <f>END.IF()</f>
        <v>1</v>
      </c>
    </row>
    <row r="361" spans="1:2">
      <c r="A361" s="1"/>
      <c r="B361" s="12"/>
    </row>
    <row r="362" spans="1:2">
      <c r="A362" s="1"/>
      <c r="B362" s="12" t="b">
        <f>SET.VALUE(P_B,1-P_S)</f>
        <v>1</v>
      </c>
    </row>
    <row r="363" spans="1:2">
      <c r="A363" s="1"/>
      <c r="B363" s="12" t="b">
        <f>SET.VALUE(P_DB,P_X0)</f>
        <v>1</v>
      </c>
    </row>
    <row r="364" spans="1:2">
      <c r="A364" s="1"/>
      <c r="B364" s="12" t="b">
        <f>IF(E_Exact&gt;0)</f>
        <v>1</v>
      </c>
    </row>
    <row r="365" spans="1:2">
      <c r="A365" s="1"/>
      <c r="B365" s="12" t="b">
        <f xml:space="preserve">    SET.VALUE(P_N0,E_N-1)</f>
        <v>1</v>
      </c>
    </row>
    <row r="366" spans="1:2">
      <c r="A366" s="1"/>
      <c r="B366" s="12" t="b">
        <f xml:space="preserve">    SET.VALUE(P_C,E_A/(E_N-1))</f>
        <v>1</v>
      </c>
    </row>
    <row r="367" spans="1:2">
      <c r="A367" s="1"/>
      <c r="B367" s="12" t="b">
        <f xml:space="preserve">    SET.VALUE(P_DB,LN(SQRT(2*PI()*P_N0)*(1+1/12/P_N0)))</f>
        <v>1</v>
      </c>
    </row>
    <row r="368" spans="1:2">
      <c r="A368" s="1"/>
      <c r="B368" s="12" t="b">
        <f>END.IF()</f>
        <v>1</v>
      </c>
    </row>
    <row r="369" spans="1:2">
      <c r="A369" s="1"/>
      <c r="B369" s="12" t="b">
        <f>RETURN()</f>
        <v>1</v>
      </c>
    </row>
    <row r="370" spans="1:2">
      <c r="A370" s="1"/>
      <c r="B370" s="12"/>
    </row>
    <row r="371" spans="1:2">
      <c r="A371" s="1" t="s">
        <v>321</v>
      </c>
      <c r="B371" s="12"/>
    </row>
    <row r="372" spans="1:2">
      <c r="A372" s="1"/>
      <c r="B372" s="12" t="b">
        <f>SET.VALUE(P_S,0)</f>
        <v>1</v>
      </c>
    </row>
    <row r="373" spans="1:2">
      <c r="A373" s="1"/>
      <c r="B373" s="12" t="b">
        <f>FOR("P_L",P_N0+1,9999)</f>
        <v>1</v>
      </c>
    </row>
    <row r="374" spans="1:2">
      <c r="A374" s="1"/>
      <c r="B374" s="12" t="b">
        <f xml:space="preserve">    SET.VALUE(P_X0,P_X0*E_A/P_L)</f>
        <v>1</v>
      </c>
    </row>
    <row r="375" spans="1:2">
      <c r="A375" s="1"/>
      <c r="B375" s="12" t="b">
        <f xml:space="preserve">    SET.VALUE(P_S,P_S+P_X0)</f>
        <v>1</v>
      </c>
    </row>
    <row r="376" spans="1:2">
      <c r="A376" s="1"/>
      <c r="B376" s="12" t="b">
        <f xml:space="preserve">    IF(P_X0&lt;P_TEST,BREAK())</f>
        <v>1</v>
      </c>
    </row>
    <row r="377" spans="1:2">
      <c r="A377" s="1"/>
      <c r="B377" s="12" t="b">
        <f>NEXT()</f>
        <v>1</v>
      </c>
    </row>
    <row r="378" spans="1:2">
      <c r="A378" s="1"/>
      <c r="B378" s="12"/>
    </row>
    <row r="379" spans="1:2">
      <c r="A379" s="1"/>
      <c r="B379" s="12" t="b">
        <f>SET.VALUE(P_B,P_S)</f>
        <v>1</v>
      </c>
    </row>
    <row r="380" spans="1:2">
      <c r="A380" s="1"/>
      <c r="B380" s="12" t="b">
        <f>SET.VALUE(P_S,P_B)</f>
        <v>1</v>
      </c>
    </row>
    <row r="381" spans="1:2">
      <c r="A381" s="1"/>
      <c r="B381" s="12" t="b">
        <f>RETURN()</f>
        <v>1</v>
      </c>
    </row>
    <row r="382" spans="1:2">
      <c r="A382" s="1"/>
      <c r="B382" s="12"/>
    </row>
    <row r="383" spans="1:2">
      <c r="A383" s="1" t="s">
        <v>322</v>
      </c>
      <c r="B383" s="12">
        <f>GOS(E_A,E_N-1,"ERLB",E_Exact)</f>
        <v>2.0999999999999999E-3</v>
      </c>
    </row>
    <row r="384" spans="1:2">
      <c r="A384" s="1"/>
      <c r="B384" s="12" t="b">
        <f>SET.VALUE(P_B,1-P_X0/_PoisErlB)</f>
        <v>1</v>
      </c>
    </row>
    <row r="385" spans="1:2">
      <c r="A385" s="1"/>
      <c r="B385" s="12" t="b">
        <f>RETURN()</f>
        <v>1</v>
      </c>
    </row>
    <row r="386" spans="1:2">
      <c r="A386" s="1"/>
      <c r="B386" s="12"/>
    </row>
    <row r="387" spans="1:2">
      <c r="A387" s="1" t="s">
        <v>323</v>
      </c>
      <c r="B387" s="12">
        <v>9.3308000000000002E-2</v>
      </c>
    </row>
    <row r="388" spans="1:2">
      <c r="A388" s="1" t="s">
        <v>324</v>
      </c>
      <c r="B388" s="12">
        <v>0.49269200000000002</v>
      </c>
    </row>
    <row r="389" spans="1:2">
      <c r="A389" s="1" t="s">
        <v>325</v>
      </c>
      <c r="B389" s="12">
        <v>1.2156</v>
      </c>
    </row>
    <row r="390" spans="1:2">
      <c r="A390" s="1" t="s">
        <v>326</v>
      </c>
      <c r="B390" s="12">
        <v>2.2699500000000001</v>
      </c>
    </row>
    <row r="391" spans="1:2">
      <c r="A391" s="1" t="s">
        <v>327</v>
      </c>
      <c r="B391" s="12">
        <v>3.6676199999999999</v>
      </c>
    </row>
    <row r="392" spans="1:2">
      <c r="A392" s="1" t="s">
        <v>328</v>
      </c>
      <c r="B392" s="12">
        <v>5.4253400000000003</v>
      </c>
    </row>
    <row r="393" spans="1:2">
      <c r="A393" s="1" t="s">
        <v>329</v>
      </c>
      <c r="B393" s="12">
        <v>7.5659200000000002</v>
      </c>
    </row>
    <row r="394" spans="1:2">
      <c r="A394" s="1" t="s">
        <v>330</v>
      </c>
      <c r="B394" s="12">
        <v>10.120229999999999</v>
      </c>
    </row>
    <row r="395" spans="1:2">
      <c r="A395" s="1" t="s">
        <v>331</v>
      </c>
      <c r="B395" s="12">
        <v>13.130280000000001</v>
      </c>
    </row>
    <row r="396" spans="1:2">
      <c r="A396" s="1" t="s">
        <v>332</v>
      </c>
      <c r="B396" s="12">
        <v>16.654409999999999</v>
      </c>
    </row>
    <row r="397" spans="1:2">
      <c r="A397" s="1" t="s">
        <v>333</v>
      </c>
      <c r="B397" s="12">
        <v>20.776479999999999</v>
      </c>
    </row>
    <row r="398" spans="1:2">
      <c r="A398" s="1" t="s">
        <v>334</v>
      </c>
      <c r="B398" s="12">
        <v>25.623899999999999</v>
      </c>
    </row>
    <row r="399" spans="1:2">
      <c r="A399" s="1" t="s">
        <v>335</v>
      </c>
      <c r="B399" s="12">
        <v>31.407499999999999</v>
      </c>
    </row>
    <row r="400" spans="1:2">
      <c r="A400" s="1" t="s">
        <v>336</v>
      </c>
      <c r="B400" s="12">
        <v>38.530700000000003</v>
      </c>
    </row>
    <row r="401" spans="1:2">
      <c r="A401" s="1" t="s">
        <v>337</v>
      </c>
      <c r="B401" s="12">
        <v>48.02608</v>
      </c>
    </row>
    <row r="402" spans="1:2">
      <c r="A402" s="1" t="s">
        <v>338</v>
      </c>
      <c r="B402" s="12">
        <v>0.21823500000000001</v>
      </c>
    </row>
    <row r="403" spans="1:2">
      <c r="A403" s="1" t="s">
        <v>339</v>
      </c>
      <c r="B403" s="12">
        <v>0.34221000000000001</v>
      </c>
    </row>
    <row r="404" spans="1:2">
      <c r="A404" s="1" t="s">
        <v>340</v>
      </c>
      <c r="B404" s="12">
        <v>0.26303599999999999</v>
      </c>
    </row>
    <row r="405" spans="1:2">
      <c r="A405" s="1" t="s">
        <v>341</v>
      </c>
      <c r="B405" s="12">
        <v>0.12642500000000001</v>
      </c>
    </row>
    <row r="406" spans="1:2">
      <c r="A406" s="1" t="s">
        <v>342</v>
      </c>
      <c r="B406" s="12">
        <v>4.0206800000000001E-2</v>
      </c>
    </row>
    <row r="407" spans="1:2">
      <c r="A407" s="1" t="s">
        <v>343</v>
      </c>
      <c r="B407" s="12">
        <v>8.5638799999999994E-3</v>
      </c>
    </row>
    <row r="408" spans="1:2">
      <c r="A408" s="1" t="s">
        <v>344</v>
      </c>
      <c r="B408" s="12">
        <v>1.21243E-3</v>
      </c>
    </row>
    <row r="409" spans="1:2">
      <c r="A409" s="1" t="s">
        <v>345</v>
      </c>
      <c r="B409" s="12">
        <v>1.11674E-4</v>
      </c>
    </row>
    <row r="410" spans="1:2">
      <c r="A410" s="1" t="s">
        <v>346</v>
      </c>
      <c r="B410" s="12">
        <v>6.4598999999999998E-6</v>
      </c>
    </row>
    <row r="411" spans="1:2">
      <c r="A411" s="1" t="s">
        <v>347</v>
      </c>
      <c r="B411" s="12">
        <v>2.2259999999999999E-7</v>
      </c>
    </row>
    <row r="412" spans="1:2">
      <c r="A412" s="1" t="s">
        <v>348</v>
      </c>
      <c r="B412" s="12">
        <v>4.2000000000000004E-9</v>
      </c>
    </row>
    <row r="413" spans="1:2">
      <c r="A413" s="1" t="s">
        <v>349</v>
      </c>
      <c r="B413" s="12">
        <v>3.92189E-11</v>
      </c>
    </row>
    <row r="414" spans="1:2">
      <c r="A414" s="1" t="s">
        <v>350</v>
      </c>
      <c r="B414" s="12">
        <v>1.4565100000000001E-13</v>
      </c>
    </row>
    <row r="415" spans="1:2">
      <c r="A415" s="1" t="s">
        <v>351</v>
      </c>
      <c r="B415" s="12">
        <v>1.4830299999999999E-16</v>
      </c>
    </row>
    <row r="416" spans="1:2">
      <c r="A416" s="1" t="s">
        <v>352</v>
      </c>
      <c r="B416" s="15">
        <v>1.6005899999999999E-20</v>
      </c>
    </row>
    <row r="417" spans="1:2">
      <c r="A417" s="1"/>
      <c r="B417" s="70"/>
    </row>
    <row r="418" spans="1:2">
      <c r="A418" s="1" t="s">
        <v>353</v>
      </c>
      <c r="B418" s="70" t="b">
        <f>RESULT(1)</f>
        <v>1</v>
      </c>
    </row>
    <row r="419" spans="1:2">
      <c r="A419" s="1" t="s">
        <v>354</v>
      </c>
      <c r="B419" s="40">
        <f>0</f>
        <v>0</v>
      </c>
    </row>
    <row r="420" spans="1:2">
      <c r="A420" s="1"/>
      <c r="B420" s="73"/>
    </row>
    <row r="421" spans="1:2">
      <c r="A421" s="1"/>
      <c r="B421" s="74" t="b">
        <f>IF(E_N&lt;1000)</f>
        <v>1</v>
      </c>
    </row>
    <row r="422" spans="1:2">
      <c r="A422" s="1"/>
      <c r="B422" s="74" t="b">
        <f xml:space="preserve"> IF(E_X&gt;1.024444+E_N*0.00005555)</f>
        <v>1</v>
      </c>
    </row>
    <row r="423" spans="1:2">
      <c r="A423" s="1"/>
      <c r="B423" s="74" t="b">
        <f xml:space="preserve">    SET.VALUE(E_UseLag,1)</f>
        <v>1</v>
      </c>
    </row>
    <row r="424" spans="1:2">
      <c r="A424" s="1"/>
      <c r="B424" s="74" t="b">
        <f xml:space="preserve">  END.IF()</f>
        <v>1</v>
      </c>
    </row>
    <row r="425" spans="1:2">
      <c r="A425" s="1"/>
      <c r="B425" s="74" t="b">
        <f>ELSE.IF(E_N&lt;=5000)</f>
        <v>1</v>
      </c>
    </row>
    <row r="426" spans="1:2">
      <c r="A426" s="1"/>
      <c r="B426" s="74" t="b">
        <f xml:space="preserve">  IF(E_X&gt;1.075+E_N*0.000005)</f>
        <v>1</v>
      </c>
    </row>
    <row r="427" spans="1:2">
      <c r="A427" s="1"/>
      <c r="B427" s="74" t="b">
        <f xml:space="preserve">   SET.VALUE(E_UseLag,1)</f>
        <v>1</v>
      </c>
    </row>
    <row r="428" spans="1:2">
      <c r="A428" s="1"/>
      <c r="B428" s="74" t="b">
        <f xml:space="preserve">  END.IF()</f>
        <v>1</v>
      </c>
    </row>
    <row r="429" spans="1:2">
      <c r="A429" s="1"/>
      <c r="B429" s="74" t="b">
        <f>ELSE()</f>
        <v>1</v>
      </c>
    </row>
    <row r="430" spans="1:2">
      <c r="A430" s="1"/>
      <c r="B430" s="74" t="b">
        <f xml:space="preserve">  IF(E_X&gt;1.1)</f>
        <v>1</v>
      </c>
    </row>
    <row r="431" spans="1:2">
      <c r="A431" s="1"/>
      <c r="B431" s="74" t="b">
        <f xml:space="preserve">   SET.VALUE(E_UseLag,1)</f>
        <v>0</v>
      </c>
    </row>
    <row r="432" spans="1:2">
      <c r="A432" s="1"/>
      <c r="B432" s="74" t="b">
        <f xml:space="preserve">  END.IF()</f>
        <v>0</v>
      </c>
    </row>
    <row r="433" spans="1:3">
      <c r="A433" s="1"/>
      <c r="B433" s="74" t="b">
        <f>END.IF()</f>
        <v>1</v>
      </c>
    </row>
    <row r="434" spans="1:3">
      <c r="A434" s="1"/>
      <c r="B434" s="70" t="b">
        <f>RETURN(E_UseLag)</f>
        <v>1</v>
      </c>
    </row>
    <row r="435" spans="1:3">
      <c r="A435" s="1"/>
      <c r="B435" s="70"/>
    </row>
    <row r="436" spans="1:3">
      <c r="A436" s="1"/>
      <c r="B436" s="20"/>
    </row>
    <row r="437" spans="1:3">
      <c r="A437" s="1" t="s">
        <v>355</v>
      </c>
      <c r="B437" s="18" t="b">
        <f>RESULT(3)</f>
        <v>1</v>
      </c>
    </row>
    <row r="438" spans="1:3">
      <c r="A438" s="1"/>
      <c r="B438" s="12" t="b">
        <f>ARGUMENT("A_in_CCS",1,NC_A)</f>
        <v>1</v>
      </c>
    </row>
    <row r="439" spans="1:3">
      <c r="A439" s="1"/>
      <c r="B439" s="12" t="b">
        <f>ARGUMENT("GOS_Required",1,NC_B0)</f>
        <v>1</v>
      </c>
    </row>
    <row r="440" spans="1:3">
      <c r="A440" s="1"/>
      <c r="B440" s="12" t="b">
        <f>ARGUMENT("Formula",19,NC_Form)</f>
        <v>1</v>
      </c>
    </row>
    <row r="441" spans="1:3">
      <c r="A441" s="1" t="s">
        <v>356</v>
      </c>
      <c r="B441" s="12">
        <v>0</v>
      </c>
    </row>
    <row r="442" spans="1:3">
      <c r="A442" s="1" t="s">
        <v>357</v>
      </c>
      <c r="B442" s="12">
        <v>2</v>
      </c>
    </row>
    <row r="443" spans="1:3">
      <c r="A443" s="1" t="s">
        <v>358</v>
      </c>
      <c r="B443" s="12" t="e">
        <v>#N/A</v>
      </c>
    </row>
    <row r="444" spans="1:3">
      <c r="A444" s="1"/>
      <c r="B444" s="9" t="s">
        <v>275</v>
      </c>
    </row>
    <row r="445" spans="1:3">
      <c r="A445" s="1"/>
      <c r="B445" s="12" t="b">
        <f>IF(NC_A&gt;300000,RETURN(CCS_too_Big))</f>
        <v>0</v>
      </c>
      <c r="C445" s="4"/>
    </row>
    <row r="446" spans="1:3">
      <c r="A446" s="1"/>
      <c r="B446" s="15" t="b">
        <f>RETURN(NLines(NC_A/36,NC_B0,NC_Form))</f>
        <v>1</v>
      </c>
      <c r="C446" s="4"/>
    </row>
    <row r="447" spans="1:3">
      <c r="A447" s="1"/>
      <c r="B447" s="20"/>
      <c r="C447" s="4"/>
    </row>
    <row r="448" spans="1:3">
      <c r="A448" s="1" t="s">
        <v>359</v>
      </c>
      <c r="B448" s="75" t="b">
        <f>RESULT(3)</f>
        <v>1</v>
      </c>
      <c r="C448" s="4"/>
    </row>
    <row r="449" spans="1:3">
      <c r="A449" s="1"/>
      <c r="B449" s="75" t="b">
        <f>ARGUMENT("A_in_Erl",1,N_A)</f>
        <v>1</v>
      </c>
      <c r="C449" s="4"/>
    </row>
    <row r="450" spans="1:3">
      <c r="A450" s="1"/>
      <c r="B450" s="75" t="b">
        <f>ARGUMENT("GOS_Required",1,N_B0)</f>
        <v>1</v>
      </c>
      <c r="C450" s="4"/>
    </row>
    <row r="451" spans="1:3">
      <c r="A451" s="1"/>
      <c r="B451" s="75" t="b">
        <f>ARGUMENT("Formula",19,N_FormTemp)</f>
        <v>1</v>
      </c>
      <c r="C451" s="4"/>
    </row>
    <row r="452" spans="1:3">
      <c r="A452" s="1" t="s">
        <v>360</v>
      </c>
      <c r="B452" s="75">
        <v>19200</v>
      </c>
      <c r="C452" s="4"/>
    </row>
    <row r="453" spans="1:3">
      <c r="A453" s="1" t="s">
        <v>361</v>
      </c>
      <c r="B453" s="75">
        <v>1E-3</v>
      </c>
      <c r="C453" s="4"/>
    </row>
    <row r="454" spans="1:3">
      <c r="A454" s="1"/>
      <c r="B454" s="75" t="b">
        <f>IF(ISNA(N_A),RETURN("A missing"))</f>
        <v>0</v>
      </c>
      <c r="C454" s="76" t="s">
        <v>362</v>
      </c>
    </row>
    <row r="455" spans="1:3">
      <c r="A455" s="1"/>
      <c r="B455" s="75" t="b">
        <f>IF(N_A&gt;MaxN,RETURN(A_too_Big))</f>
        <v>0</v>
      </c>
      <c r="C455" s="4"/>
    </row>
    <row r="456" spans="1:3">
      <c r="A456" s="1"/>
      <c r="B456" s="75" t="b">
        <f>IF(N_A&lt;0,RETURN("A&lt;0"))</f>
        <v>0</v>
      </c>
      <c r="C456" s="77" t="b">
        <f>IF(N_A&lt;0,RETURN("A&lt;0"))</f>
        <v>0</v>
      </c>
    </row>
    <row r="457" spans="1:3">
      <c r="A457" s="1"/>
      <c r="B457" s="75" t="b">
        <f>IF(ISNA(N_B0),RETURN("B missing"))</f>
        <v>0</v>
      </c>
      <c r="C457" s="76" t="s">
        <v>362</v>
      </c>
    </row>
    <row r="458" spans="1:3">
      <c r="A458" s="1"/>
      <c r="B458" s="75" t="b">
        <f>IF((N_B0)&lt;0, RETURN("B&lt;0"))</f>
        <v>0</v>
      </c>
      <c r="C458" s="4"/>
    </row>
    <row r="459" spans="1:3">
      <c r="A459" s="1"/>
      <c r="B459" s="75" t="b">
        <f>IF((N_B0)&gt;1,RETURN("B&gt;1"))</f>
        <v>0</v>
      </c>
      <c r="C459" s="4"/>
    </row>
    <row r="460" spans="1:3">
      <c r="A460" s="1"/>
      <c r="B460" s="75"/>
      <c r="C460" s="4"/>
    </row>
    <row r="461" spans="1:3">
      <c r="A461" s="1" t="s">
        <v>363</v>
      </c>
      <c r="B461" s="75" t="s">
        <v>143</v>
      </c>
      <c r="C461" s="4"/>
    </row>
    <row r="462" spans="1:3">
      <c r="A462" s="1" t="s">
        <v>364</v>
      </c>
      <c r="B462" s="75" t="str">
        <f>IF(ISNA(N_FormTemp),"POIS",UPPER(N_FormTemp))</f>
        <v>ERLB</v>
      </c>
      <c r="C462" s="4"/>
    </row>
    <row r="463" spans="1:3">
      <c r="A463" s="1"/>
      <c r="B463" s="75" t="b">
        <f>IF(ISERR(FIND(N_Form,"POIS ERLB ERLC")))</f>
        <v>1</v>
      </c>
      <c r="C463" s="4"/>
    </row>
    <row r="464" spans="1:3">
      <c r="A464" s="1"/>
      <c r="B464" s="75" t="b">
        <f xml:space="preserve">    RETURN("Formula must be POIS,ERLB or ERLC")</f>
        <v>1</v>
      </c>
      <c r="C464" s="4"/>
    </row>
    <row r="465" spans="1:3">
      <c r="A465" s="1"/>
      <c r="B465" s="75" t="b">
        <f>END.IF()</f>
        <v>0</v>
      </c>
      <c r="C465" s="4"/>
    </row>
    <row r="466" spans="1:3">
      <c r="A466" s="1"/>
      <c r="B466" s="75"/>
      <c r="C466" s="4"/>
    </row>
    <row r="467" spans="1:3">
      <c r="A467" s="1"/>
      <c r="B467" s="75" t="b">
        <f>ARGUMENT(,17,N_ExactTemp)</f>
        <v>1</v>
      </c>
      <c r="C467" s="4"/>
    </row>
    <row r="468" spans="1:3">
      <c r="A468" s="1" t="s">
        <v>365</v>
      </c>
      <c r="B468" s="75">
        <v>3</v>
      </c>
      <c r="C468" s="4"/>
    </row>
    <row r="469" spans="1:3">
      <c r="A469" s="1" t="s">
        <v>366</v>
      </c>
      <c r="B469" s="75">
        <f>IF(ISNA(N_ExactTemp),0,N_ExactTemp)</f>
        <v>3</v>
      </c>
      <c r="C469" s="4"/>
    </row>
    <row r="470" spans="1:3">
      <c r="A470" s="1"/>
      <c r="B470" s="75"/>
      <c r="C470" s="4"/>
    </row>
    <row r="471" spans="1:3">
      <c r="A471" s="1"/>
      <c r="B471" s="75" t="b">
        <f>ARGUMENT(,17,N_F6Temp)</f>
        <v>1</v>
      </c>
      <c r="C471" s="4"/>
    </row>
    <row r="472" spans="1:3">
      <c r="A472" s="1" t="s">
        <v>367</v>
      </c>
      <c r="B472" s="75" t="e">
        <v>#N/A</v>
      </c>
      <c r="C472" s="4"/>
    </row>
    <row r="473" spans="1:3">
      <c r="A473" s="1" t="s">
        <v>368</v>
      </c>
      <c r="B473" s="78">
        <f>IF(ISNA(N_F6Temp),0,N_F6Temp)</f>
        <v>228</v>
      </c>
      <c r="C473" s="4"/>
    </row>
    <row r="474" spans="1:3">
      <c r="A474" s="1" t="s">
        <v>369</v>
      </c>
      <c r="B474" s="75">
        <f>0</f>
        <v>19408</v>
      </c>
      <c r="C474" s="4"/>
    </row>
    <row r="475" spans="1:3">
      <c r="A475" s="1" t="s">
        <v>370</v>
      </c>
      <c r="B475" s="75">
        <f>1</f>
        <v>19180</v>
      </c>
      <c r="C475" s="4"/>
    </row>
    <row r="476" spans="1:3">
      <c r="A476" s="1"/>
      <c r="B476" s="78" t="s">
        <v>86</v>
      </c>
      <c r="C476" s="4"/>
    </row>
    <row r="477" spans="1:3">
      <c r="A477" s="1" t="s">
        <v>371</v>
      </c>
      <c r="B477" s="75">
        <f>0</f>
        <v>9.9816688124066896E-4</v>
      </c>
      <c r="C477" s="4"/>
    </row>
    <row r="478" spans="1:3">
      <c r="A478" s="1"/>
      <c r="B478" s="75" t="b">
        <f>IF(N_A&gt;0)</f>
        <v>1</v>
      </c>
      <c r="C478" s="4"/>
    </row>
    <row r="479" spans="1:3">
      <c r="A479" s="1"/>
      <c r="B479" s="75" t="b">
        <f>IF(EXACT(N_Form,"ERLB"))</f>
        <v>1</v>
      </c>
      <c r="C479" s="4"/>
    </row>
    <row r="480" spans="1:3">
      <c r="A480" s="1"/>
      <c r="B480" s="78" t="b">
        <f xml:space="preserve">    SET.VALUE(N_Nstart1,IF(N_A&gt;20,INT(N_A*(1-N_B0)),1))</f>
        <v>1</v>
      </c>
      <c r="C480" s="4"/>
    </row>
    <row r="481" spans="1:3">
      <c r="A481" s="1"/>
      <c r="B481" s="78" t="b">
        <f>ELSE.IF(EXACT(N_Form,"POIS"))</f>
        <v>1</v>
      </c>
      <c r="C481" s="4"/>
    </row>
    <row r="482" spans="1:3">
      <c r="A482" s="1"/>
      <c r="B482" s="78" t="b">
        <f xml:space="preserve">   IF(N_B0&lt;=0.5)</f>
        <v>1</v>
      </c>
      <c r="C482" s="4"/>
    </row>
    <row r="483" spans="1:3">
      <c r="A483" s="1"/>
      <c r="B483" s="78" t="b">
        <f xml:space="preserve">    SET.VALUE(N_Nstart1,INT(N_A+1))</f>
        <v>1</v>
      </c>
      <c r="C483" s="4"/>
    </row>
    <row r="484" spans="1:3">
      <c r="A484" s="1"/>
      <c r="B484" s="78" t="b">
        <f xml:space="preserve">   ELSE()</f>
        <v>1</v>
      </c>
      <c r="C484" s="4"/>
    </row>
    <row r="485" spans="1:3">
      <c r="A485" s="1"/>
      <c r="B485" s="78" t="b">
        <f xml:space="preserve">    SET.VALUE(N_Nstart1,INT(N_A+1))</f>
        <v>1</v>
      </c>
      <c r="C485" s="4"/>
    </row>
    <row r="486" spans="1:3">
      <c r="A486" s="1"/>
      <c r="B486" s="78" t="b">
        <f xml:space="preserve">   END.IF()</f>
        <v>1</v>
      </c>
      <c r="C486" s="4"/>
    </row>
    <row r="487" spans="1:3">
      <c r="A487" s="1"/>
      <c r="B487" s="75" t="b">
        <f>ELSE()</f>
        <v>1</v>
      </c>
      <c r="C487" s="4"/>
    </row>
    <row r="488" spans="1:3">
      <c r="A488" s="1"/>
      <c r="B488" s="78" t="b">
        <f xml:space="preserve">    SET.VALUE(N_Nstart1,INT(N_A+1))</f>
        <v>1</v>
      </c>
      <c r="C488" s="4"/>
    </row>
    <row r="489" spans="1:3">
      <c r="A489" s="1"/>
      <c r="B489" s="75" t="b">
        <f>END.IF()</f>
        <v>1</v>
      </c>
      <c r="C489" s="4"/>
    </row>
    <row r="490" spans="1:3">
      <c r="A490" s="1" t="s">
        <v>372</v>
      </c>
      <c r="B490" s="78" t="b">
        <f xml:space="preserve">    SET.VALUE(N_F6,0)</f>
        <v>1</v>
      </c>
      <c r="C490" s="4"/>
    </row>
    <row r="491" spans="1:3">
      <c r="A491" s="1" t="s">
        <v>373</v>
      </c>
      <c r="B491" s="75">
        <f xml:space="preserve">    0</f>
        <v>1</v>
      </c>
      <c r="C491" s="11" t="s">
        <v>374</v>
      </c>
    </row>
    <row r="492" spans="1:3">
      <c r="A492" s="1" t="s">
        <v>375</v>
      </c>
      <c r="B492" s="75">
        <f xml:space="preserve">    1</f>
        <v>9.9816688124066896E-4</v>
      </c>
      <c r="C492" s="4"/>
    </row>
    <row r="493" spans="1:3">
      <c r="A493" s="1"/>
      <c r="B493" s="78" t="b">
        <f xml:space="preserve">    IF(N_Nstart1&lt; 2)</f>
        <v>1</v>
      </c>
      <c r="C493" s="4"/>
    </row>
    <row r="494" spans="1:3">
      <c r="A494" s="1"/>
      <c r="B494" s="78" t="b">
        <f xml:space="preserve">        SET.VALUE(N_Nstart1,1)</f>
        <v>1</v>
      </c>
      <c r="C494" s="4"/>
    </row>
    <row r="495" spans="1:3">
      <c r="A495" s="1"/>
      <c r="B495" s="78" t="b">
        <f xml:space="preserve">        SET.VALUE(N_NFlag,1)</f>
        <v>1</v>
      </c>
      <c r="C495" s="11"/>
    </row>
    <row r="496" spans="1:3">
      <c r="A496" s="1"/>
      <c r="B496" s="78" t="b">
        <f xml:space="preserve">    END.IF()</f>
        <v>1</v>
      </c>
      <c r="C496" s="4"/>
    </row>
    <row r="497" spans="1:3">
      <c r="A497" s="1"/>
      <c r="B497" s="78" t="s">
        <v>86</v>
      </c>
      <c r="C497" s="4"/>
    </row>
    <row r="498" spans="1:3">
      <c r="A498" s="1"/>
      <c r="B498" s="78" t="b">
        <f xml:space="preserve">    FOR("N_N",N_Nstart1,MaxNTest)</f>
        <v>1</v>
      </c>
      <c r="C498" s="4"/>
    </row>
    <row r="499" spans="1:3">
      <c r="A499" s="1"/>
      <c r="B499" s="78" t="b">
        <f xml:space="preserve">        IF(N_F6=0)</f>
        <v>1</v>
      </c>
      <c r="C499" s="4"/>
    </row>
    <row r="500" spans="1:3">
      <c r="A500" s="1"/>
      <c r="B500" s="78" t="b">
        <f xml:space="preserve">            IF(EXACT(N_Form,"ERLC"))</f>
        <v>1</v>
      </c>
      <c r="C500" s="4"/>
    </row>
    <row r="501" spans="1:3">
      <c r="A501" s="1"/>
      <c r="B501" s="78" t="b">
        <f xml:space="preserve">                SET.VALUE(N_ERLB,GOS(N_A,N_N,"ERLB",1))</f>
        <v>1</v>
      </c>
      <c r="C501" s="4"/>
    </row>
    <row r="502" spans="1:3">
      <c r="A502" s="1" t="s">
        <v>376</v>
      </c>
      <c r="B502" s="78">
        <f xml:space="preserve">                N_A/N_N</f>
        <v>0.96153846153846156</v>
      </c>
      <c r="C502" s="4"/>
    </row>
    <row r="503" spans="1:3">
      <c r="A503" s="1"/>
      <c r="B503" s="78" t="b">
        <f xml:space="preserve">                SET.VALUE(N_BTest,N_ERLB/(1-N_OCC*(1-(N_ERLB))))</f>
        <v>1</v>
      </c>
      <c r="C503" s="4"/>
    </row>
    <row r="504" spans="1:3">
      <c r="A504" s="1"/>
      <c r="B504" s="78" t="b">
        <f xml:space="preserve">            ELSE()</f>
        <v>1</v>
      </c>
      <c r="C504" s="4"/>
    </row>
    <row r="505" spans="1:3">
      <c r="A505" s="1"/>
      <c r="B505" s="78" t="b">
        <f xml:space="preserve">                SET.VALUE(N_BTest,GOS(N_A,N_N,N_Form,1))</f>
        <v>1</v>
      </c>
      <c r="C505" s="4"/>
    </row>
    <row r="506" spans="1:3">
      <c r="A506" s="1"/>
      <c r="B506" s="78" t="b">
        <f xml:space="preserve">                SET.VALUE(N_ERLB,N_BTest)</f>
        <v>1</v>
      </c>
      <c r="C506" s="4"/>
    </row>
    <row r="507" spans="1:3">
      <c r="A507" s="1"/>
      <c r="B507" s="78" t="b">
        <f xml:space="preserve">            END.IF()</f>
        <v>1</v>
      </c>
      <c r="C507" s="4"/>
    </row>
    <row r="508" spans="1:3">
      <c r="A508" s="1"/>
      <c r="B508" s="78" t="b">
        <f xml:space="preserve">        ELSE.IF(EXACT(N_Form,"POIS"))</f>
        <v>1</v>
      </c>
      <c r="C508" s="4"/>
    </row>
    <row r="509" spans="1:3">
      <c r="A509" s="1"/>
      <c r="B509" s="78" t="b">
        <f xml:space="preserve">            IF(N_F6=1)</f>
        <v>1</v>
      </c>
      <c r="C509" s="4"/>
    </row>
    <row r="510" spans="1:3">
      <c r="A510" s="1" t="s">
        <v>377</v>
      </c>
      <c r="B510" s="75">
        <f xml:space="preserve">                GOS(N_A,N_N-2,N_Form,1)-N_BTest</f>
        <v>5.5286540737910922E-3</v>
      </c>
      <c r="C510" s="4"/>
    </row>
    <row r="511" spans="1:3">
      <c r="A511" s="1"/>
      <c r="B511" s="78" t="b">
        <f xml:space="preserve">            END.IF()</f>
        <v>1</v>
      </c>
      <c r="C511" s="4"/>
    </row>
    <row r="512" spans="1:3">
      <c r="A512" s="1" t="s">
        <v>378</v>
      </c>
      <c r="B512" s="75">
        <f xml:space="preserve">            N_BTest-N_A/(N_N-1)*(N_DB)</f>
        <v>1.7069901514959619E-2</v>
      </c>
      <c r="C512" s="4"/>
    </row>
    <row r="513" spans="1:3">
      <c r="A513" s="1"/>
      <c r="B513" s="78" t="b">
        <f xml:space="preserve">            SET.VALUE(N_DB,N_BTest-N_BNew)</f>
        <v>1</v>
      </c>
      <c r="C513" s="4"/>
    </row>
    <row r="514" spans="1:3">
      <c r="A514" s="1"/>
      <c r="B514" s="78" t="b">
        <f xml:space="preserve">            SET.VALUE(N_BTest,N_BNew)</f>
        <v>1</v>
      </c>
      <c r="C514" s="4"/>
    </row>
    <row r="515" spans="1:3">
      <c r="A515" s="1"/>
      <c r="B515" s="75" t="b">
        <f xml:space="preserve">        ELSE()</f>
        <v>1</v>
      </c>
      <c r="C515" s="4"/>
    </row>
    <row r="516" spans="1:3">
      <c r="A516" s="1"/>
      <c r="B516" s="78" t="b">
        <f xml:space="preserve">            SET.VALUE(N_ERLB,1/(1+N_N/N_A/N_ERLB))</f>
        <v>1</v>
      </c>
      <c r="C516" s="4"/>
    </row>
    <row r="517" spans="1:3">
      <c r="A517" s="1"/>
      <c r="B517" s="78" t="b">
        <f xml:space="preserve">            IF(EXACT(N_Form,"ERLC"))</f>
        <v>1</v>
      </c>
      <c r="C517" s="11" t="s">
        <v>374</v>
      </c>
    </row>
    <row r="518" spans="1:3">
      <c r="A518" s="1"/>
      <c r="B518" s="78" t="b">
        <f xml:space="preserve">                SET.VALUE(N_OCC,N_A/N_N)</f>
        <v>1</v>
      </c>
      <c r="C518" s="11" t="s">
        <v>374</v>
      </c>
    </row>
    <row r="519" spans="1:3">
      <c r="A519" s="1"/>
      <c r="B519" s="78" t="b">
        <f xml:space="preserve">                SET.VALUE(N_BTest,N_ERLB/(1-N_OCC*(1-(N_ERLB))))</f>
        <v>1</v>
      </c>
      <c r="C519" s="11" t="s">
        <v>374</v>
      </c>
    </row>
    <row r="520" spans="1:3">
      <c r="A520" s="1"/>
      <c r="B520" s="20" t="b">
        <f xml:space="preserve">            ELSE()</f>
        <v>1</v>
      </c>
      <c r="C520" s="4"/>
    </row>
    <row r="521" spans="1:3">
      <c r="A521" s="1"/>
      <c r="B521" s="78" t="b">
        <f xml:space="preserve">               SET.VALUE(N_BTest,N_ERLB)</f>
        <v>1</v>
      </c>
      <c r="C521" s="4"/>
    </row>
    <row r="522" spans="1:3">
      <c r="A522" s="1"/>
      <c r="B522" s="20" t="b">
        <f xml:space="preserve">            END.IF()</f>
        <v>1</v>
      </c>
      <c r="C522" s="4"/>
    </row>
    <row r="523" spans="1:3">
      <c r="A523" s="1"/>
      <c r="B523" s="78" t="b">
        <f xml:space="preserve">        END.IF()</f>
        <v>1</v>
      </c>
      <c r="C523" s="4"/>
    </row>
    <row r="524" spans="1:3">
      <c r="A524" s="1"/>
      <c r="B524" s="75"/>
      <c r="C524" s="4"/>
    </row>
    <row r="525" spans="1:3">
      <c r="A525" s="1"/>
      <c r="B525" s="78" t="b">
        <f xml:space="preserve">        IF(N_BTest&lt;N_B0)</f>
        <v>1</v>
      </c>
      <c r="C525" s="4"/>
    </row>
    <row r="526" spans="1:3">
      <c r="A526" s="1"/>
      <c r="B526" s="78" t="b">
        <f xml:space="preserve">            IF(N_NFlag&gt;0)</f>
        <v>1</v>
      </c>
      <c r="C526" s="4"/>
    </row>
    <row r="527" spans="1:3">
      <c r="A527" s="1"/>
      <c r="B527" s="78" t="b">
        <f xml:space="preserve">                BREAK()</f>
        <v>1</v>
      </c>
      <c r="C527" s="4"/>
    </row>
    <row r="528" spans="1:3">
      <c r="A528" s="1"/>
      <c r="B528" s="78" t="b">
        <f xml:space="preserve">            END.IF()</f>
        <v>0</v>
      </c>
      <c r="C528" s="4"/>
    </row>
    <row r="529" spans="1:3">
      <c r="A529" s="1"/>
      <c r="B529" s="78" t="b">
        <f xml:space="preserve">            SET.VALUE(N_Nstart1,(N_Nstart1)-10)</f>
        <v>1</v>
      </c>
      <c r="C529" s="4"/>
    </row>
    <row r="530" spans="1:3">
      <c r="A530" s="1"/>
      <c r="B530" s="78" t="b">
        <f xml:space="preserve">            GOTO(LRESTART)</f>
        <v>1</v>
      </c>
      <c r="C530" s="4"/>
    </row>
    <row r="531" spans="1:3">
      <c r="A531" s="1"/>
      <c r="B531" s="78" t="b">
        <f xml:space="preserve">        END.IF()</f>
        <v>0</v>
      </c>
      <c r="C531" s="4"/>
    </row>
    <row r="532" spans="1:3">
      <c r="A532" s="1"/>
      <c r="B532" s="78" t="b">
        <f xml:space="preserve">        SET.VALUE(N_NFlag,IF(N_BTest&lt;1,1,0))</f>
        <v>1</v>
      </c>
      <c r="C532" s="4"/>
    </row>
    <row r="533" spans="1:3">
      <c r="A533" s="1"/>
      <c r="B533" s="78" t="b">
        <f xml:space="preserve">        SET.VALUE(N_F6,N_F6+1)</f>
        <v>1</v>
      </c>
      <c r="C533" s="4"/>
    </row>
    <row r="534" spans="1:3">
      <c r="A534" s="1"/>
      <c r="B534" s="78" t="b">
        <f xml:space="preserve">    NEXT()</f>
        <v>1</v>
      </c>
      <c r="C534" s="4"/>
    </row>
    <row r="535" spans="1:3">
      <c r="A535" s="1"/>
      <c r="B535" s="78" t="b">
        <f xml:space="preserve">    SET.VALUE(N_OUT,N_N)</f>
        <v>1</v>
      </c>
      <c r="C535" s="4"/>
    </row>
    <row r="536" spans="1:3">
      <c r="A536" s="1"/>
      <c r="B536" s="78" t="b">
        <f>END.IF()</f>
        <v>1</v>
      </c>
      <c r="C536" s="4"/>
    </row>
    <row r="537" spans="1:3" ht="13.5" thickBot="1">
      <c r="A537" s="1"/>
      <c r="B537" s="79" t="b">
        <f>RETURN(N_OUT)</f>
        <v>1</v>
      </c>
      <c r="C537" s="4"/>
    </row>
    <row r="538" spans="1:3" ht="13.5" thickTop="1">
      <c r="A538" s="1"/>
      <c r="B538" s="70"/>
    </row>
    <row r="539" spans="1:3">
      <c r="A539" s="1" t="s">
        <v>379</v>
      </c>
      <c r="B539" s="18" t="b">
        <f>RESULT(3)</f>
        <v>1</v>
      </c>
    </row>
    <row r="540" spans="1:3">
      <c r="A540" s="1"/>
      <c r="B540" s="12" t="b">
        <f>ARGUMENT("Numb_Lines",1,TC_N)</f>
        <v>1</v>
      </c>
    </row>
    <row r="541" spans="1:3">
      <c r="A541" s="1"/>
      <c r="B541" s="12" t="b">
        <f>ARGUMENT("GOS_Required",1,TC_B0)</f>
        <v>1</v>
      </c>
    </row>
    <row r="542" spans="1:3">
      <c r="A542" s="1"/>
      <c r="B542" s="12" t="b">
        <f>ARGUMENT("Formula",19,TC_Form)</f>
        <v>1</v>
      </c>
    </row>
    <row r="543" spans="1:3">
      <c r="A543" s="1" t="s">
        <v>380</v>
      </c>
      <c r="B543" s="12">
        <v>2400</v>
      </c>
    </row>
    <row r="544" spans="1:3">
      <c r="A544" s="1" t="s">
        <v>381</v>
      </c>
      <c r="B544" s="12">
        <v>1E-3</v>
      </c>
    </row>
    <row r="545" spans="1:3">
      <c r="A545" s="1" t="s">
        <v>382</v>
      </c>
      <c r="B545" s="12" t="s">
        <v>130</v>
      </c>
    </row>
    <row r="546" spans="1:3">
      <c r="A546" s="1"/>
      <c r="B546" s="9" t="s">
        <v>86</v>
      </c>
    </row>
    <row r="547" spans="1:3">
      <c r="A547" s="1"/>
      <c r="B547" s="12" t="b">
        <f>IF(TC_N&gt;MaxN,RETURN(N_too_Big))</f>
        <v>0</v>
      </c>
      <c r="C547" s="80" t="s">
        <v>383</v>
      </c>
    </row>
    <row r="548" spans="1:3">
      <c r="A548" s="1"/>
      <c r="B548" s="15">
        <f>Traffic(TC_N,TC_B0,TC_Form,1)</f>
        <v>2264.3795647506577</v>
      </c>
    </row>
    <row r="549" spans="1:3">
      <c r="A549" s="1"/>
      <c r="B549" s="12" t="b">
        <f>IF(ISNUMBER(B548))</f>
        <v>1</v>
      </c>
      <c r="C549" s="76"/>
    </row>
    <row r="550" spans="1:3">
      <c r="A550" s="1"/>
      <c r="B550" s="12" t="b">
        <f xml:space="preserve">   RETURN(ROUND(B548*36,1))</f>
        <v>1</v>
      </c>
      <c r="C550" s="76"/>
    </row>
    <row r="551" spans="1:3">
      <c r="A551" s="1"/>
      <c r="B551" s="12" t="b">
        <f>ELSE()</f>
        <v>1</v>
      </c>
      <c r="C551" s="76"/>
    </row>
    <row r="552" spans="1:3">
      <c r="A552" s="1"/>
      <c r="B552" s="12" t="b">
        <f xml:space="preserve">   RETURN(B548)</f>
        <v>1</v>
      </c>
      <c r="C552" s="76"/>
    </row>
    <row r="553" spans="1:3">
      <c r="A553" s="1"/>
      <c r="B553" s="15" t="b">
        <f>END.IF()</f>
        <v>0</v>
      </c>
      <c r="C553" s="76"/>
    </row>
    <row r="554" spans="1:3">
      <c r="A554" s="1"/>
      <c r="B554" s="20"/>
    </row>
    <row r="555" spans="1:3">
      <c r="A555" s="1" t="s">
        <v>384</v>
      </c>
      <c r="B555" s="18" t="b">
        <f>RESULT(3)</f>
        <v>1</v>
      </c>
    </row>
    <row r="556" spans="1:3">
      <c r="A556" s="1"/>
      <c r="B556" s="12" t="b">
        <f>ARGUMENT("Numb_Lines",1,T_N)</f>
        <v>1</v>
      </c>
    </row>
    <row r="557" spans="1:3">
      <c r="A557" s="1"/>
      <c r="B557" s="12" t="b">
        <f>ARGUMENT("GOS_Required",1,T_B0)</f>
        <v>1</v>
      </c>
    </row>
    <row r="558" spans="1:3">
      <c r="A558" s="1"/>
      <c r="B558" s="12" t="b">
        <f>ARGUMENT("Formula",19,T_FormTemp)</f>
        <v>1</v>
      </c>
    </row>
    <row r="559" spans="1:3">
      <c r="A559" s="1"/>
      <c r="B559" s="12"/>
    </row>
    <row r="560" spans="1:3">
      <c r="A560" s="1" t="s">
        <v>385</v>
      </c>
      <c r="B560" s="12">
        <v>0</v>
      </c>
    </row>
    <row r="561" spans="1:3">
      <c r="A561" s="1" t="s">
        <v>386</v>
      </c>
      <c r="B561" s="12">
        <v>0.05</v>
      </c>
    </row>
    <row r="562" spans="1:3">
      <c r="A562" s="1"/>
      <c r="B562" s="12" t="b">
        <f>IF(T_N=0,RETURN(0))</f>
        <v>1</v>
      </c>
      <c r="C562" s="3" t="s">
        <v>42</v>
      </c>
    </row>
    <row r="563" spans="1:3">
      <c r="A563" s="1"/>
      <c r="B563" s="12" t="b">
        <f>IF(T_N&lt;0,RETURN("N&lt;0"))</f>
        <v>0</v>
      </c>
      <c r="C563" s="80" t="s">
        <v>387</v>
      </c>
    </row>
    <row r="564" spans="1:3">
      <c r="A564" s="1"/>
      <c r="B564" s="12" t="b">
        <f>IF(T_N&gt;MaxN,RETURN(N_too_Big))</f>
        <v>0</v>
      </c>
    </row>
    <row r="565" spans="1:3">
      <c r="A565" s="1"/>
      <c r="B565" s="12" t="b">
        <f>IF(ISNA(T_B0),RETURN(0))</f>
        <v>0</v>
      </c>
      <c r="C565" s="81" t="s">
        <v>388</v>
      </c>
    </row>
    <row r="566" spans="1:3">
      <c r="A566" s="1"/>
      <c r="B566" s="12" t="b">
        <f>IF(T_B0&lt;0,RETURN("B&lt;0"))</f>
        <v>0</v>
      </c>
    </row>
    <row r="567" spans="1:3">
      <c r="A567" s="1"/>
      <c r="B567" s="12" t="b">
        <f>IF(T_B0&gt;1,RETURN("B&gt;1"))</f>
        <v>0</v>
      </c>
      <c r="C567" s="3" t="s">
        <v>389</v>
      </c>
    </row>
    <row r="568" spans="1:3">
      <c r="A568" s="1"/>
      <c r="B568" s="12"/>
      <c r="C568" s="3" t="s">
        <v>390</v>
      </c>
    </row>
    <row r="569" spans="1:3">
      <c r="A569" s="1" t="s">
        <v>391</v>
      </c>
      <c r="B569" s="12" t="s">
        <v>130</v>
      </c>
      <c r="C569" s="3" t="s">
        <v>392</v>
      </c>
    </row>
    <row r="570" spans="1:3">
      <c r="A570" s="1" t="s">
        <v>393</v>
      </c>
      <c r="B570" s="12" t="str">
        <f>IF(ISNA(T_FormTemp),"POIS",UPPER(T_FormTemp))</f>
        <v>POIS</v>
      </c>
      <c r="C570" s="3" t="s">
        <v>394</v>
      </c>
    </row>
    <row r="571" spans="1:3">
      <c r="A571" s="1"/>
      <c r="B571" s="12" t="b">
        <f>IF(ISERR(FIND(T_Form,"POIS ERLB ERLC")))</f>
        <v>1</v>
      </c>
      <c r="C571" s="3" t="s">
        <v>395</v>
      </c>
    </row>
    <row r="572" spans="1:3">
      <c r="A572" s="1"/>
      <c r="B572" s="12" t="b">
        <f xml:space="preserve">    RETURN("Formula must be POIS,ERLB or ERLC")</f>
        <v>1</v>
      </c>
      <c r="C572" s="3" t="s">
        <v>392</v>
      </c>
    </row>
    <row r="573" spans="1:3">
      <c r="A573" s="1"/>
      <c r="B573" s="12" t="b">
        <f>END.IF()</f>
        <v>0</v>
      </c>
      <c r="C573" s="3" t="s">
        <v>396</v>
      </c>
    </row>
    <row r="574" spans="1:3">
      <c r="A574" s="1"/>
      <c r="B574" s="12"/>
    </row>
    <row r="575" spans="1:3">
      <c r="A575" s="1"/>
      <c r="B575" s="12" t="b">
        <f>ARGUMENT("",17,T_ExactTemp)</f>
        <v>1</v>
      </c>
    </row>
    <row r="576" spans="1:3">
      <c r="A576" s="1" t="s">
        <v>397</v>
      </c>
      <c r="B576" s="12">
        <v>1</v>
      </c>
      <c r="C576" s="3" t="s">
        <v>398</v>
      </c>
    </row>
    <row r="577" spans="1:3">
      <c r="A577" s="1" t="s">
        <v>399</v>
      </c>
      <c r="B577" s="12">
        <f>IF(ISNA(T_ExactTemp),0,T_ExactTemp)</f>
        <v>1</v>
      </c>
      <c r="C577" s="3" t="s">
        <v>400</v>
      </c>
    </row>
    <row r="578" spans="1:3">
      <c r="A578" s="33"/>
      <c r="B578" s="12"/>
      <c r="C578" s="4"/>
    </row>
    <row r="579" spans="1:3">
      <c r="A579" s="1"/>
      <c r="B579" s="12" t="b">
        <f>ARGUMENT("",17,T_F6Temp)</f>
        <v>1</v>
      </c>
    </row>
    <row r="580" spans="1:3">
      <c r="A580" s="1" t="s">
        <v>401</v>
      </c>
      <c r="B580" s="12" t="e">
        <v>#N/A</v>
      </c>
      <c r="C580" s="3" t="s">
        <v>402</v>
      </c>
    </row>
    <row r="581" spans="1:3">
      <c r="A581" s="1" t="s">
        <v>403</v>
      </c>
      <c r="B581" s="82">
        <f>IF(ISNA(T_F6Temp),0,T_F6Temp)</f>
        <v>0</v>
      </c>
      <c r="C581" s="3" t="s">
        <v>404</v>
      </c>
    </row>
    <row r="582" spans="1:3">
      <c r="A582" s="1"/>
      <c r="B582" s="9"/>
    </row>
    <row r="583" spans="1:3">
      <c r="A583" s="1"/>
      <c r="B583" s="12" t="b">
        <f>IF(EXACT(T_Form,"POIS"))</f>
        <v>1</v>
      </c>
    </row>
    <row r="584" spans="1:3">
      <c r="A584" s="1"/>
      <c r="B584" s="12" t="e">
        <f xml:space="preserve">    _PoissInv()</f>
        <v>#N/A</v>
      </c>
      <c r="C584" s="3" t="s">
        <v>405</v>
      </c>
    </row>
    <row r="585" spans="1:3">
      <c r="A585" s="1"/>
      <c r="B585" s="12" t="b">
        <f>ELSE.IF(EXACT(T_Form,"ERLB"))</f>
        <v>1</v>
      </c>
      <c r="C585" s="3" t="s">
        <v>406</v>
      </c>
    </row>
    <row r="586" spans="1:3">
      <c r="A586" s="1"/>
      <c r="B586" s="12" t="e">
        <f xml:space="preserve">    _ErlBInv()</f>
        <v>#N/A</v>
      </c>
      <c r="C586" s="3" t="s">
        <v>407</v>
      </c>
    </row>
    <row r="587" spans="1:3">
      <c r="A587" s="1"/>
      <c r="B587" s="12" t="b">
        <f>ELSE()</f>
        <v>1</v>
      </c>
      <c r="C587" s="3" t="s">
        <v>408</v>
      </c>
    </row>
    <row r="588" spans="1:3">
      <c r="A588" s="1"/>
      <c r="B588" s="12" t="e">
        <f xml:space="preserve">    _ErlCInv()</f>
        <v>#N/A</v>
      </c>
      <c r="C588" s="3" t="s">
        <v>409</v>
      </c>
    </row>
    <row r="589" spans="1:3">
      <c r="A589" s="1"/>
      <c r="B589" s="12" t="b">
        <f>END.IF()</f>
        <v>1</v>
      </c>
      <c r="C589" s="3" t="s">
        <v>410</v>
      </c>
    </row>
    <row r="590" spans="1:3">
      <c r="A590" s="1"/>
      <c r="B590" s="12" t="b">
        <f>IF(T_Exact=0)</f>
        <v>1</v>
      </c>
      <c r="C590" s="3" t="s">
        <v>411</v>
      </c>
    </row>
    <row r="591" spans="1:3">
      <c r="A591" s="1" t="s">
        <v>412</v>
      </c>
      <c r="B591" s="12">
        <f xml:space="preserve">    IF(T_A&lt;10,3,IF(T_A&lt;100,2,1))</f>
        <v>3</v>
      </c>
    </row>
    <row r="592" spans="1:3">
      <c r="A592" s="1"/>
      <c r="B592" s="12" t="b">
        <f xml:space="preserve">    SET.VALUE(T_A,ROUND(T_A,T_Round))</f>
        <v>1</v>
      </c>
    </row>
    <row r="593" spans="1:3">
      <c r="A593" s="1"/>
      <c r="B593" s="12" t="b">
        <f>END.IF()</f>
        <v>1</v>
      </c>
      <c r="C593" s="3" t="s">
        <v>413</v>
      </c>
    </row>
    <row r="594" spans="1:3">
      <c r="A594" s="1"/>
      <c r="B594" s="12" t="b">
        <f>RETURN(T_A)</f>
        <v>1</v>
      </c>
      <c r="C594" s="3" t="s">
        <v>406</v>
      </c>
    </row>
    <row r="595" spans="1:3">
      <c r="A595" s="1"/>
      <c r="B595" s="12"/>
      <c r="C595" s="3" t="s">
        <v>407</v>
      </c>
    </row>
    <row r="596" spans="1:3">
      <c r="A596" s="1" t="s">
        <v>414</v>
      </c>
      <c r="B596" s="83">
        <v>5.1293294387550578E-2</v>
      </c>
      <c r="C596" s="3" t="s">
        <v>409</v>
      </c>
    </row>
    <row r="597" spans="1:3">
      <c r="A597" s="1" t="s">
        <v>415</v>
      </c>
      <c r="B597" s="84">
        <v>0.14947215353646387</v>
      </c>
      <c r="C597" s="3" t="s">
        <v>416</v>
      </c>
    </row>
    <row r="598" spans="1:3">
      <c r="A598" s="1" t="s">
        <v>417</v>
      </c>
      <c r="B598" s="84">
        <v>-8.4666316407115728E-3</v>
      </c>
    </row>
    <row r="599" spans="1:3">
      <c r="A599" s="1" t="s">
        <v>418</v>
      </c>
      <c r="B599" s="84">
        <v>5.1265525664537126E-2</v>
      </c>
    </row>
    <row r="600" spans="1:3">
      <c r="A600" s="1" t="s">
        <v>419</v>
      </c>
      <c r="B600" s="84">
        <v>0.05</v>
      </c>
    </row>
    <row r="601" spans="1:3">
      <c r="A601" s="1" t="s">
        <v>420</v>
      </c>
      <c r="B601" s="66">
        <f>1</f>
        <v>3</v>
      </c>
    </row>
    <row r="602" spans="1:3">
      <c r="A602" s="1" t="s">
        <v>421</v>
      </c>
      <c r="B602" s="12"/>
      <c r="C602" s="3" t="s">
        <v>422</v>
      </c>
    </row>
    <row r="603" spans="1:3">
      <c r="A603" s="1"/>
      <c r="B603" s="12" t="b">
        <f>IF(T_N=1)</f>
        <v>1</v>
      </c>
      <c r="C603" s="3" t="s">
        <v>423</v>
      </c>
    </row>
    <row r="604" spans="1:3">
      <c r="A604" s="1"/>
      <c r="B604" s="12" t="b">
        <f xml:space="preserve">    SET.VALUE(T_A,T_B0/(1-T_B0))</f>
        <v>1</v>
      </c>
      <c r="C604" s="3" t="s">
        <v>392</v>
      </c>
    </row>
    <row r="605" spans="1:3">
      <c r="A605" s="1"/>
      <c r="B605" s="12" t="b">
        <f>ELSE.IF(T_N=2)</f>
        <v>1</v>
      </c>
      <c r="C605" s="3" t="s">
        <v>404</v>
      </c>
    </row>
    <row r="606" spans="1:3">
      <c r="A606" s="1"/>
      <c r="B606" s="12" t="b">
        <f xml:space="preserve">    SET.VALUE(T_A,(SQRT(1+2*(1/T_B0-1))+1)/(1/T_B0-1))</f>
        <v>1</v>
      </c>
    </row>
    <row r="607" spans="1:3">
      <c r="A607" s="1"/>
      <c r="B607" s="12" t="b">
        <f>ELSE()</f>
        <v>1</v>
      </c>
      <c r="C607" s="3" t="s">
        <v>424</v>
      </c>
    </row>
    <row r="608" spans="1:3">
      <c r="A608" s="1"/>
      <c r="B608" s="85"/>
    </row>
    <row r="609" spans="1:3">
      <c r="A609" s="1"/>
      <c r="B609" s="9" t="b">
        <f xml:space="preserve">    IF(OR(AND(T_N&gt;400,T_B0&gt;=0.05),AND(T_N&gt;800,T_B0&gt;=0.04),T_Exact&gt;1))</f>
        <v>1</v>
      </c>
      <c r="C609" s="3" t="s">
        <v>425</v>
      </c>
    </row>
    <row r="610" spans="1:3">
      <c r="A610" s="1"/>
      <c r="B610" s="12" t="b">
        <f xml:space="preserve">        SET.VALUE(T_Atest,1)</f>
        <v>1</v>
      </c>
      <c r="C610" s="3" t="s">
        <v>426</v>
      </c>
    </row>
    <row r="611" spans="1:3">
      <c r="A611" s="1"/>
      <c r="B611" s="12" t="b">
        <f xml:space="preserve">    ELSE()</f>
        <v>1</v>
      </c>
      <c r="C611" s="3" t="s">
        <v>392</v>
      </c>
    </row>
    <row r="612" spans="1:3">
      <c r="A612" s="1"/>
      <c r="B612" s="86" t="s">
        <v>427</v>
      </c>
    </row>
    <row r="613" spans="1:3">
      <c r="A613" s="1"/>
      <c r="B613" s="12" t="b">
        <f xml:space="preserve">        SET.VALUE(T_Atest,IF(AND(T_B0&lt;0.3,T_N&lt;=1000),0.05,T_N/1000))</f>
        <v>1</v>
      </c>
      <c r="C613" s="3" t="s">
        <v>428</v>
      </c>
    </row>
    <row r="614" spans="1:3">
      <c r="A614" s="1"/>
      <c r="B614" s="9" t="b">
        <f xml:space="preserve">    END.IF()</f>
        <v>1</v>
      </c>
      <c r="C614" s="3" t="s">
        <v>429</v>
      </c>
    </row>
    <row r="615" spans="1:3">
      <c r="A615" s="1"/>
      <c r="B615" s="12" t="b">
        <f xml:space="preserve">    SET.VALUE(T_A,T_N/(1-T_B0))</f>
        <v>1</v>
      </c>
      <c r="C615" s="3" t="s">
        <v>430</v>
      </c>
    </row>
    <row r="616" spans="1:3">
      <c r="A616" s="1"/>
      <c r="B616" s="12" t="b">
        <f xml:space="preserve">    SET.VALUE(T_DA,2*T_Atest)</f>
        <v>1</v>
      </c>
      <c r="C616" s="3" t="s">
        <v>404</v>
      </c>
    </row>
    <row r="617" spans="1:3">
      <c r="A617" s="1"/>
      <c r="B617" s="12" t="b">
        <f xml:space="preserve">    WHILE(ABS(T_DA)&gt;T_Atest)</f>
        <v>1</v>
      </c>
      <c r="C617" s="3" t="s">
        <v>431</v>
      </c>
    </row>
    <row r="618" spans="1:3">
      <c r="A618" s="1"/>
      <c r="B618" s="73"/>
    </row>
    <row r="619" spans="1:3">
      <c r="A619" s="1"/>
      <c r="B619" s="12" t="b">
        <f xml:space="preserve">        SET.VALUE(T_B,GOS(T_A,T_N,"ERLB",1))</f>
        <v>1</v>
      </c>
      <c r="C619" s="3" t="s">
        <v>432</v>
      </c>
    </row>
    <row r="620" spans="1:3">
      <c r="A620" s="1"/>
      <c r="B620" s="12" t="b">
        <f xml:space="preserve">        SET.VALUE(T_DB,((T_N/T_A-1+T_B)*T_B))</f>
        <v>1</v>
      </c>
    </row>
    <row r="621" spans="1:3">
      <c r="A621" s="1"/>
      <c r="B621" s="12" t="b">
        <f xml:space="preserve">        SET.VALUE(T_DA,IF(T_DB&gt;0.00001,(T_B0-T_B)/T_DB,0))</f>
        <v>1</v>
      </c>
    </row>
    <row r="622" spans="1:3">
      <c r="A622" s="1"/>
      <c r="B622" s="12" t="b">
        <f xml:space="preserve">        SET.VALUE(T_DA,MAX(-T_N/2,T_DA))</f>
        <v>1</v>
      </c>
    </row>
    <row r="623" spans="1:3">
      <c r="A623" s="1"/>
      <c r="B623" s="12"/>
    </row>
    <row r="624" spans="1:3">
      <c r="A624" s="1"/>
      <c r="B624" s="12" t="b">
        <f xml:space="preserve">        SET.VALUE(T_A,T_A+T_DA)</f>
        <v>1</v>
      </c>
      <c r="C624" s="3" t="s">
        <v>433</v>
      </c>
    </row>
    <row r="625" spans="1:12">
      <c r="A625" s="1"/>
      <c r="B625" s="12"/>
    </row>
    <row r="626" spans="1:12">
      <c r="A626" s="1"/>
      <c r="B626" s="12" t="b">
        <f xml:space="preserve">    NEXT()</f>
        <v>1</v>
      </c>
      <c r="C626" s="3" t="s">
        <v>434</v>
      </c>
    </row>
    <row r="627" spans="1:12">
      <c r="A627" s="1"/>
      <c r="B627" s="12" t="b">
        <f xml:space="preserve">    IF(T_Exact&gt;1)</f>
        <v>1</v>
      </c>
      <c r="C627" s="3" t="s">
        <v>407</v>
      </c>
    </row>
    <row r="628" spans="1:12">
      <c r="A628" s="1"/>
      <c r="B628" s="12" t="b">
        <f xml:space="preserve">        WHILE(ABS(T_DA)&gt;0.1)</f>
        <v>1</v>
      </c>
      <c r="C628" s="3" t="s">
        <v>435</v>
      </c>
    </row>
    <row r="629" spans="1:12">
      <c r="A629" s="1"/>
      <c r="B629" s="12"/>
    </row>
    <row r="630" spans="1:12">
      <c r="A630" s="1"/>
      <c r="B630" s="12" t="b">
        <f xml:space="preserve">            SET.VALUE(T_Steps,T_Steps+1)</f>
        <v>1</v>
      </c>
      <c r="C630" s="3" t="s">
        <v>409</v>
      </c>
    </row>
    <row r="631" spans="1:12">
      <c r="A631" s="1"/>
      <c r="B631" s="12" t="b">
        <f xml:space="preserve">            SET.VALUE(T_B,GOS(T_A,T_N,"ERLB",2))</f>
        <v>1</v>
      </c>
      <c r="C631" s="3" t="s">
        <v>436</v>
      </c>
    </row>
    <row r="632" spans="1:12">
      <c r="A632" s="1"/>
      <c r="B632" s="12" t="b">
        <f xml:space="preserve">            SET.VALUE(T_DB,((T_N/T_A-1+T_B)*T_B))</f>
        <v>1</v>
      </c>
      <c r="C632" s="3" t="s">
        <v>437</v>
      </c>
    </row>
    <row r="633" spans="1:12">
      <c r="A633" s="1"/>
      <c r="B633" s="12" t="b">
        <f xml:space="preserve">            SET.VALUE(T_DA,IF(T_DB&gt;0.00001,(T_B0-T_B)/T_DB,0))</f>
        <v>1</v>
      </c>
      <c r="C633" s="3" t="s">
        <v>438</v>
      </c>
      <c r="K633" s="4"/>
      <c r="L633" s="4"/>
    </row>
    <row r="634" spans="1:12">
      <c r="A634" s="1"/>
      <c r="B634" s="12" t="b">
        <f xml:space="preserve">            SET.VALUE(T_A,T_A+T_DA)</f>
        <v>1</v>
      </c>
      <c r="C634" s="3" t="s">
        <v>439</v>
      </c>
    </row>
    <row r="635" spans="1:12">
      <c r="A635" s="1"/>
      <c r="B635" s="12" t="b">
        <f xml:space="preserve">        NEXT()</f>
        <v>1</v>
      </c>
      <c r="C635" s="3" t="s">
        <v>440</v>
      </c>
    </row>
    <row r="636" spans="1:12">
      <c r="A636" s="1"/>
      <c r="B636" s="12" t="b">
        <f xml:space="preserve">    END.IF()</f>
        <v>1</v>
      </c>
    </row>
    <row r="637" spans="1:12">
      <c r="A637" s="1"/>
      <c r="B637" s="12" t="b">
        <f>END.IF()</f>
        <v>1</v>
      </c>
    </row>
    <row r="638" spans="1:12">
      <c r="A638" s="1"/>
      <c r="B638" s="87"/>
    </row>
    <row r="639" spans="1:12">
      <c r="A639" s="1"/>
      <c r="B639" s="12" t="b">
        <f>RETURN()</f>
        <v>1</v>
      </c>
    </row>
    <row r="640" spans="1:12">
      <c r="A640" s="1"/>
      <c r="B640" s="12"/>
    </row>
    <row r="641" spans="1:3">
      <c r="A641" s="1" t="s">
        <v>441</v>
      </c>
      <c r="B641" s="12"/>
      <c r="C641" s="3" t="s">
        <v>442</v>
      </c>
    </row>
    <row r="642" spans="1:3">
      <c r="A642" s="1"/>
      <c r="B642" s="12" t="b">
        <f>IF(T_N=1)</f>
        <v>1</v>
      </c>
    </row>
    <row r="643" spans="1:3">
      <c r="A643" s="1"/>
      <c r="B643" s="12" t="b">
        <f xml:space="preserve">    SET.VALUE(T_A,-LN(1-T_B0))</f>
        <v>1</v>
      </c>
      <c r="C643" s="3" t="s">
        <v>443</v>
      </c>
    </row>
    <row r="644" spans="1:3">
      <c r="A644" s="1"/>
      <c r="B644" s="12" t="b">
        <f>ELSE.IF(T_N=2)</f>
        <v>1</v>
      </c>
      <c r="C644" s="3" t="s">
        <v>392</v>
      </c>
    </row>
    <row r="645" spans="1:3">
      <c r="A645" s="1"/>
      <c r="B645" s="12" t="b">
        <f xml:space="preserve">    SET.VALUE(T_A,T_N)</f>
        <v>1</v>
      </c>
    </row>
    <row r="646" spans="1:3">
      <c r="A646" s="1" t="s">
        <v>444</v>
      </c>
      <c r="B646" s="12">
        <f xml:space="preserve">    1</f>
        <v>5.0087639255882999E-2</v>
      </c>
      <c r="C646" s="3" t="s">
        <v>445</v>
      </c>
    </row>
    <row r="647" spans="1:3">
      <c r="A647" s="1"/>
      <c r="B647" s="40"/>
      <c r="C647" s="47"/>
    </row>
    <row r="648" spans="1:3">
      <c r="A648" s="1"/>
      <c r="B648" s="40"/>
    </row>
    <row r="649" spans="1:3">
      <c r="A649" s="1"/>
      <c r="B649" s="12" t="b">
        <f xml:space="preserve">    WHILE(ABS(T_PTemp-T_B0)&gt;0.0001)</f>
        <v>1</v>
      </c>
      <c r="C649" s="3" t="s">
        <v>446</v>
      </c>
    </row>
    <row r="650" spans="1:3">
      <c r="A650" s="1"/>
      <c r="B650" s="12" t="b">
        <f xml:space="preserve">        SET.VALUE(T_A,-LN((1-T_B0)/(1+T_A)))</f>
        <v>1</v>
      </c>
      <c r="C650" s="3" t="s">
        <v>447</v>
      </c>
    </row>
    <row r="651" spans="1:3">
      <c r="A651" s="1"/>
      <c r="B651" s="12" t="b">
        <f xml:space="preserve">        SET.VALUE(T_PTemp,1-(1+T_A)*EXP(-T_A))</f>
        <v>1</v>
      </c>
    </row>
    <row r="652" spans="1:3">
      <c r="A652" s="1"/>
      <c r="B652" s="12" t="b">
        <f xml:space="preserve">    NEXT()</f>
        <v>1</v>
      </c>
      <c r="C652" s="3" t="s">
        <v>448</v>
      </c>
    </row>
    <row r="653" spans="1:3">
      <c r="A653" s="1"/>
      <c r="B653" s="12" t="b">
        <f>ELSE()</f>
        <v>1</v>
      </c>
      <c r="C653" s="3" t="s">
        <v>449</v>
      </c>
    </row>
    <row r="654" spans="1:3">
      <c r="A654" s="1"/>
      <c r="B654" s="12" t="b">
        <f>SET.VALUE(T_Atest,IF(T_N&lt;100,MAX(T_N/500,0.05),MIN(T_N/1000,1)))</f>
        <v>1</v>
      </c>
      <c r="C654" s="3" t="s">
        <v>450</v>
      </c>
    </row>
    <row r="655" spans="1:3">
      <c r="A655" s="1"/>
      <c r="B655" s="9" t="s">
        <v>451</v>
      </c>
      <c r="C655" s="3" t="s">
        <v>452</v>
      </c>
    </row>
    <row r="656" spans="1:3">
      <c r="A656" s="1" t="s">
        <v>453</v>
      </c>
      <c r="B656" s="12">
        <f xml:space="preserve">    0.0001</f>
        <v>9.9999999999999995E-7</v>
      </c>
      <c r="C656" s="3" t="s">
        <v>454</v>
      </c>
    </row>
    <row r="657" spans="1:3">
      <c r="A657" s="1"/>
      <c r="B657" s="12" t="b">
        <f xml:space="preserve">    SET.VALUE(T_A,T_N)</f>
        <v>1</v>
      </c>
      <c r="C657" s="3" t="s">
        <v>455</v>
      </c>
    </row>
    <row r="658" spans="1:3">
      <c r="A658" s="1" t="s">
        <v>456</v>
      </c>
      <c r="B658" s="12">
        <f xml:space="preserve">    T_N-1</f>
        <v>2</v>
      </c>
      <c r="C658" s="3" t="s">
        <v>457</v>
      </c>
    </row>
    <row r="659" spans="1:3">
      <c r="A659" s="1" t="s">
        <v>458</v>
      </c>
      <c r="B659" s="12">
        <f xml:space="preserve">    LN(SQRT(2*PI()*T_N0)*(1+1/12/T_N0))</f>
        <v>1.3063341180049006</v>
      </c>
    </row>
    <row r="660" spans="1:3">
      <c r="A660" s="1"/>
      <c r="B660" s="9"/>
    </row>
    <row r="661" spans="1:3">
      <c r="A661" s="1"/>
      <c r="B661" s="12" t="b">
        <f xml:space="preserve">    SET.VALUE(T_DA,2*T_Atest)</f>
        <v>1</v>
      </c>
    </row>
    <row r="662" spans="1:3">
      <c r="A662" s="1"/>
      <c r="B662" s="12"/>
    </row>
    <row r="663" spans="1:3">
      <c r="A663" s="1"/>
      <c r="B663" s="12" t="b">
        <f xml:space="preserve">    WHILE((ABS(T_DA)&gt;T_Atest))</f>
        <v>1</v>
      </c>
    </row>
    <row r="664" spans="1:3">
      <c r="A664" s="1"/>
      <c r="B664" s="12" t="b">
        <f xml:space="preserve">        SET.VALUE(T_B,GOS(T_A,T_N,"POIS",1))</f>
        <v>1</v>
      </c>
    </row>
    <row r="665" spans="1:3">
      <c r="A665" s="1"/>
      <c r="B665" s="12" t="b">
        <f xml:space="preserve">        SET.VALUE(T_DB,EXP((T_N0*LN(T_A/T_N0)+(T_N0-T_A)-T_C)))</f>
        <v>1</v>
      </c>
      <c r="C665" s="3" t="s">
        <v>459</v>
      </c>
    </row>
    <row r="666" spans="1:3">
      <c r="A666" s="1"/>
      <c r="B666" s="12" t="b">
        <f xml:space="preserve">        SET.VALUE(T_DA,IF(T_DB&gt;0.00001,(T_B0-T_B)/T_DB,0))</f>
        <v>1</v>
      </c>
      <c r="C666" s="3" t="s">
        <v>460</v>
      </c>
    </row>
    <row r="667" spans="1:3">
      <c r="A667" s="1"/>
      <c r="B667" s="12" t="b">
        <f xml:space="preserve">        SET.VALUE(T_DA,MAX(-T_N/2,T_DA))</f>
        <v>1</v>
      </c>
      <c r="C667" s="3" t="s">
        <v>461</v>
      </c>
    </row>
    <row r="668" spans="1:3">
      <c r="A668" s="1"/>
      <c r="B668" s="12" t="b">
        <f xml:space="preserve">        SET.VALUE(T_A,T_A+T_DA)</f>
        <v>1</v>
      </c>
      <c r="C668" s="3" t="s">
        <v>462</v>
      </c>
    </row>
    <row r="669" spans="1:3">
      <c r="A669" s="1"/>
      <c r="B669" s="12" t="b">
        <f xml:space="preserve">        IF(T_Ptest&lt;&gt;0.000001)</f>
        <v>1</v>
      </c>
      <c r="C669" s="3" t="s">
        <v>463</v>
      </c>
    </row>
    <row r="670" spans="1:3">
      <c r="A670" s="1"/>
      <c r="B670" s="12" t="b">
        <f xml:space="preserve">            IF(ABS(T_DA)&lt;1)</f>
        <v>1</v>
      </c>
      <c r="C670" s="3" t="s">
        <v>464</v>
      </c>
    </row>
    <row r="671" spans="1:3">
      <c r="A671" s="1"/>
      <c r="B671" s="12" t="b">
        <f xml:space="preserve">                SET.VALUE(T_Ptest,0.000001)</f>
        <v>1</v>
      </c>
      <c r="C671" s="3" t="s">
        <v>465</v>
      </c>
    </row>
    <row r="672" spans="1:3">
      <c r="A672" s="1"/>
      <c r="B672" s="12" t="b">
        <f xml:space="preserve">            END.IF()</f>
        <v>1</v>
      </c>
      <c r="C672" s="3" t="s">
        <v>466</v>
      </c>
    </row>
    <row r="673" spans="1:3">
      <c r="A673" s="1"/>
      <c r="B673" s="12" t="b">
        <f xml:space="preserve">        END.IF()</f>
        <v>1</v>
      </c>
      <c r="C673" s="3" t="s">
        <v>467</v>
      </c>
    </row>
    <row r="674" spans="1:3">
      <c r="A674" s="1"/>
      <c r="B674" s="12" t="b">
        <f xml:space="preserve">    NEXT()</f>
        <v>1</v>
      </c>
      <c r="C674" s="3" t="s">
        <v>468</v>
      </c>
    </row>
    <row r="675" spans="1:3">
      <c r="A675" s="1"/>
      <c r="B675" s="12" t="b">
        <f>END.IF()</f>
        <v>1</v>
      </c>
      <c r="C675" s="3" t="s">
        <v>469</v>
      </c>
    </row>
    <row r="676" spans="1:3">
      <c r="A676" s="1"/>
      <c r="B676" s="12" t="b">
        <f>RETURN()</f>
        <v>1</v>
      </c>
    </row>
    <row r="677" spans="1:3" ht="13.5" thickBot="1">
      <c r="A677" s="1"/>
      <c r="B677" s="12"/>
    </row>
    <row r="678" spans="1:3">
      <c r="A678" s="88" t="s">
        <v>470</v>
      </c>
      <c r="B678" s="89" t="b">
        <f>IF(T_N=1)</f>
        <v>1</v>
      </c>
    </row>
    <row r="679" spans="1:3">
      <c r="A679" s="90"/>
      <c r="B679" s="91" t="b">
        <f xml:space="preserve">    SET.VALUE(T_A,T_B0)</f>
        <v>1</v>
      </c>
    </row>
    <row r="680" spans="1:3">
      <c r="A680" s="90"/>
      <c r="B680" s="91" t="b">
        <f xml:space="preserve">   RETURN()</f>
        <v>1</v>
      </c>
      <c r="C680" s="13"/>
    </row>
    <row r="681" spans="1:3">
      <c r="A681" s="90"/>
      <c r="B681" s="92" t="b">
        <f>ELSE()</f>
        <v>1</v>
      </c>
    </row>
    <row r="682" spans="1:3">
      <c r="A682" s="90" t="s">
        <v>471</v>
      </c>
      <c r="B682" s="92">
        <f>0</f>
        <v>0</v>
      </c>
    </row>
    <row r="683" spans="1:3">
      <c r="A683" s="90"/>
      <c r="B683" s="92"/>
    </row>
    <row r="684" spans="1:3">
      <c r="A684" s="90"/>
      <c r="B684" s="91" t="b">
        <f>IF(T_N&lt;=10)</f>
        <v>1</v>
      </c>
    </row>
    <row r="685" spans="1:3">
      <c r="A685" s="90"/>
      <c r="B685" s="92"/>
    </row>
    <row r="686" spans="1:3">
      <c r="A686" s="90"/>
      <c r="B686" s="91" t="b">
        <f>ELSE.IF(T_N&lt;=50)</f>
        <v>1</v>
      </c>
    </row>
    <row r="687" spans="1:3">
      <c r="A687" s="90"/>
      <c r="B687" s="92" t="b">
        <f xml:space="preserve">   SET.VALUE(T_LowerLimit,0.29)</f>
        <v>1</v>
      </c>
    </row>
    <row r="688" spans="1:3">
      <c r="A688" s="90"/>
      <c r="B688" s="91" t="b">
        <f>ELSE.IF(T_N&lt;=200)</f>
        <v>1</v>
      </c>
    </row>
    <row r="689" spans="1:3">
      <c r="A689" s="90"/>
      <c r="B689" s="92" t="b">
        <f xml:space="preserve">   SET.VALUE(T_LowerLimit,0.6)</f>
        <v>1</v>
      </c>
    </row>
    <row r="690" spans="1:3">
      <c r="A690" s="90"/>
      <c r="B690" s="91" t="b">
        <f>ELSE.IF(T_N&lt;=1000)</f>
        <v>1</v>
      </c>
    </row>
    <row r="691" spans="1:3">
      <c r="A691" s="90"/>
      <c r="B691" s="92" t="b">
        <f xml:space="preserve">   SET.VALUE(T_LowerLimit,0.79)</f>
        <v>1</v>
      </c>
    </row>
    <row r="692" spans="1:3">
      <c r="A692" s="90"/>
      <c r="B692" s="91" t="b">
        <f>ELSE()</f>
        <v>1</v>
      </c>
    </row>
    <row r="693" spans="1:3">
      <c r="A693" s="90"/>
      <c r="B693" s="92" t="b">
        <f xml:space="preserve">   SET.VALUE(T_LowerLimit,0.9)</f>
        <v>1</v>
      </c>
    </row>
    <row r="694" spans="1:3">
      <c r="A694" s="90"/>
      <c r="B694" s="91" t="b">
        <f>END.IF()</f>
        <v>1</v>
      </c>
    </row>
    <row r="695" spans="1:3">
      <c r="A695" s="90"/>
      <c r="B695" s="91"/>
    </row>
    <row r="696" spans="1:3" ht="13.5" thickBot="1">
      <c r="A696" s="90"/>
      <c r="B696" s="93" t="b">
        <f>SET.VALUE(T_A,Golden(T_LowerLimit,1,"ERLC",T_B0,0.0001))</f>
        <v>0</v>
      </c>
    </row>
    <row r="697" spans="1:3" ht="13.5" thickBot="1">
      <c r="A697" s="94"/>
      <c r="B697" s="76" t="b">
        <f>END.IF()</f>
        <v>1</v>
      </c>
    </row>
    <row r="698" spans="1:3">
      <c r="A698" s="1"/>
      <c r="B698" s="12" t="b">
        <f>RETURN()</f>
        <v>1</v>
      </c>
    </row>
    <row r="699" spans="1:3">
      <c r="A699" s="1"/>
      <c r="B699" s="12"/>
    </row>
    <row r="700" spans="1:3">
      <c r="A700" s="1"/>
      <c r="B700" s="12"/>
    </row>
    <row r="701" spans="1:3">
      <c r="A701" s="21" t="s">
        <v>472</v>
      </c>
      <c r="B701" s="12" t="b">
        <f>IF(T_N=1)</f>
        <v>1</v>
      </c>
      <c r="C701" s="3" t="s">
        <v>473</v>
      </c>
    </row>
    <row r="702" spans="1:3">
      <c r="A702" s="1"/>
      <c r="B702" s="12" t="b">
        <f xml:space="preserve">    SET.VALUE(T_A,T_B0)</f>
        <v>1</v>
      </c>
    </row>
    <row r="703" spans="1:3">
      <c r="A703" s="1"/>
      <c r="B703" s="12" t="b">
        <f xml:space="preserve"> RETURN()</f>
        <v>1</v>
      </c>
      <c r="C703" s="13" t="s">
        <v>474</v>
      </c>
    </row>
    <row r="704" spans="1:3">
      <c r="A704" s="1"/>
      <c r="B704" s="12" t="b">
        <f>ELSE()</f>
        <v>1</v>
      </c>
      <c r="C704" s="3" t="s">
        <v>475</v>
      </c>
    </row>
    <row r="705" spans="1:4">
      <c r="A705" s="1"/>
      <c r="B705" s="12" t="b">
        <f xml:space="preserve">    IF(T_Exact&gt;0)</f>
        <v>1</v>
      </c>
      <c r="C705" s="3" t="s">
        <v>476</v>
      </c>
    </row>
    <row r="706" spans="1:4">
      <c r="A706" s="1"/>
      <c r="B706" s="12" t="b">
        <f xml:space="preserve">        SET.VALUE(T_Atest,1)</f>
        <v>0</v>
      </c>
      <c r="C706" s="3" t="s">
        <v>477</v>
      </c>
    </row>
    <row r="707" spans="1:4">
      <c r="A707" s="1"/>
      <c r="B707" s="12" t="b">
        <f xml:space="preserve">    ELSE()</f>
        <v>1</v>
      </c>
      <c r="C707" s="3" t="s">
        <v>478</v>
      </c>
    </row>
    <row r="708" spans="1:4">
      <c r="A708" s="1"/>
      <c r="B708" s="12" t="b">
        <f xml:space="preserve">        SET.VALUE(T_Atest,IF(T_N&gt;1000,1,IF(AND(T_B0&lt;=0.3,T_N&gt;100),0.4,MAX(T_N/1000,0.01))))</f>
        <v>1</v>
      </c>
      <c r="C708" s="47" t="s">
        <v>479</v>
      </c>
    </row>
    <row r="709" spans="1:4">
      <c r="A709" s="1"/>
      <c r="B709" s="12" t="b">
        <f xml:space="preserve">    END.IF()</f>
        <v>1</v>
      </c>
      <c r="C709" s="3" t="s">
        <v>480</v>
      </c>
    </row>
    <row r="710" spans="1:4">
      <c r="A710" s="1"/>
      <c r="B710" s="40"/>
    </row>
    <row r="711" spans="1:4">
      <c r="A711" s="1" t="s">
        <v>481</v>
      </c>
      <c r="B711" s="12">
        <f xml:space="preserve">    T_N/1000</f>
        <v>1</v>
      </c>
      <c r="C711" s="3" t="s">
        <v>482</v>
      </c>
    </row>
    <row r="712" spans="1:4">
      <c r="A712" s="1" t="s">
        <v>483</v>
      </c>
      <c r="B712" s="12">
        <f xml:space="preserve">    2</f>
        <v>2</v>
      </c>
      <c r="C712" s="3" t="s">
        <v>484</v>
      </c>
    </row>
    <row r="713" spans="1:4">
      <c r="A713" s="1"/>
      <c r="B713" s="12" t="b">
        <f xml:space="preserve">    IF(T_B0&lt;=0.1)</f>
        <v>1</v>
      </c>
      <c r="C713" s="3" t="s">
        <v>465</v>
      </c>
    </row>
    <row r="714" spans="1:4">
      <c r="A714" s="1"/>
      <c r="B714" s="12" t="b">
        <f xml:space="preserve">    IF(T_N&lt;=1000)</f>
        <v>1</v>
      </c>
      <c r="C714" s="3" t="s">
        <v>485</v>
      </c>
    </row>
    <row r="715" spans="1:4">
      <c r="A715" s="1"/>
      <c r="B715" s="12" t="b">
        <f xml:space="preserve">        SET.VALUE(T_A,(0.85+T_X*(0.287-0.166*T_X))*T_N)</f>
        <v>1</v>
      </c>
      <c r="C715" s="3" t="s">
        <v>486</v>
      </c>
      <c r="D715" s="4" t="s">
        <v>487</v>
      </c>
    </row>
    <row r="716" spans="1:4">
      <c r="A716" s="1"/>
      <c r="B716" s="12" t="b">
        <f xml:space="preserve">  ELSE.IF(T_N&lt;2000)</f>
        <v>1</v>
      </c>
      <c r="C716" s="3" t="s">
        <v>485</v>
      </c>
    </row>
    <row r="717" spans="1:4">
      <c r="A717" s="1"/>
      <c r="B717" s="12" t="b">
        <f xml:space="preserve">        SET.VALUE(T_A,0.9*T_N)</f>
        <v>0</v>
      </c>
    </row>
    <row r="718" spans="1:4">
      <c r="A718" s="1"/>
      <c r="B718" s="12" t="b">
        <f xml:space="preserve">  ELSE.IF(T_N&lt;=5000)</f>
        <v>1</v>
      </c>
      <c r="C718" s="3" t="s">
        <v>485</v>
      </c>
    </row>
    <row r="719" spans="1:4">
      <c r="A719" s="1"/>
      <c r="B719" s="12" t="b">
        <f xml:space="preserve">        SET.VALUE(T_A,0.94*T_N)</f>
        <v>1</v>
      </c>
    </row>
    <row r="720" spans="1:4">
      <c r="A720" s="1"/>
      <c r="B720" s="12" t="b">
        <f xml:space="preserve">  ELSE.IF(T_N&lt;=10000)</f>
        <v>1</v>
      </c>
      <c r="C720" s="3" t="s">
        <v>485</v>
      </c>
    </row>
    <row r="721" spans="1:3">
      <c r="A721" s="1"/>
      <c r="B721" s="12" t="b">
        <f xml:space="preserve">        SET.VALUE(T_A,0.96*T_N)</f>
        <v>1</v>
      </c>
    </row>
    <row r="722" spans="1:3">
      <c r="A722" s="1"/>
      <c r="B722" s="12" t="b">
        <f xml:space="preserve">  ELSE()</f>
        <v>1</v>
      </c>
      <c r="C722" s="3" t="s">
        <v>485</v>
      </c>
    </row>
    <row r="723" spans="1:3">
      <c r="A723" s="1"/>
      <c r="B723" s="12" t="b">
        <f xml:space="preserve">        SET.VALUE(T_A,0.97*T_N)</f>
        <v>0</v>
      </c>
    </row>
    <row r="724" spans="1:3">
      <c r="A724" s="1"/>
      <c r="B724" s="12" t="b">
        <f xml:space="preserve">    ELSE()</f>
        <v>1</v>
      </c>
      <c r="C724" s="3" t="s">
        <v>485</v>
      </c>
    </row>
    <row r="725" spans="1:3">
      <c r="A725" s="1"/>
      <c r="B725" s="12" t="b">
        <f xml:space="preserve">    SET.VALUE(T_A,0.98*T_N)</f>
        <v>1</v>
      </c>
      <c r="C725" s="3" t="s">
        <v>485</v>
      </c>
    </row>
    <row r="726" spans="1:3">
      <c r="A726" s="1"/>
      <c r="B726" s="12" t="b">
        <f xml:space="preserve">    END.IF()</f>
        <v>1</v>
      </c>
      <c r="C726" s="3" t="s">
        <v>485</v>
      </c>
    </row>
    <row r="727" spans="1:3">
      <c r="A727" s="1"/>
      <c r="B727" s="12" t="b">
        <f xml:space="preserve">    ELSE.IF(T_B0&lt;=0.5)</f>
        <v>1</v>
      </c>
      <c r="C727" s="3" t="s">
        <v>467</v>
      </c>
    </row>
    <row r="728" spans="1:3">
      <c r="A728" s="1"/>
      <c r="B728" s="12" t="b">
        <f xml:space="preserve">        SET.VALUE(T_A,0.985*T_N)</f>
        <v>1</v>
      </c>
      <c r="C728" s="3" t="s">
        <v>468</v>
      </c>
    </row>
    <row r="729" spans="1:3">
      <c r="A729" s="1"/>
      <c r="B729" s="12" t="b">
        <f xml:space="preserve">    ELSE()</f>
        <v>1</v>
      </c>
      <c r="C729" s="3" t="s">
        <v>488</v>
      </c>
    </row>
    <row r="730" spans="1:3">
      <c r="A730" s="1"/>
      <c r="B730" s="12" t="b">
        <f xml:space="preserve">        SET.VALUE(T_A,0.998*T_N)</f>
        <v>0</v>
      </c>
    </row>
    <row r="731" spans="1:3">
      <c r="A731" s="1"/>
      <c r="B731" s="12" t="b">
        <f xml:space="preserve">    END.IF()</f>
        <v>0</v>
      </c>
    </row>
    <row r="732" spans="1:3">
      <c r="A732" s="1"/>
      <c r="B732" s="12" t="b">
        <f>SET.VALUE(C_DA,T_Atest+1)</f>
        <v>1</v>
      </c>
      <c r="C732" s="3" t="s">
        <v>489</v>
      </c>
    </row>
    <row r="733" spans="1:3">
      <c r="A733" s="1"/>
      <c r="B733" s="40"/>
    </row>
    <row r="734" spans="1:3">
      <c r="A734" s="1"/>
      <c r="B734" s="12" t="b">
        <f xml:space="preserve">    WHILE(ABS(C_DA)&gt;T_Atest)</f>
        <v>1</v>
      </c>
    </row>
    <row r="735" spans="1:3">
      <c r="A735" s="1" t="s">
        <v>490</v>
      </c>
      <c r="B735" s="12">
        <f xml:space="preserve">        GOS(T_A,T_N,"ERLB")</f>
        <v>8.0000000000000004E-4</v>
      </c>
    </row>
    <row r="736" spans="1:3">
      <c r="A736" s="1"/>
      <c r="B736" s="12"/>
    </row>
    <row r="737" spans="1:4">
      <c r="A737" s="1"/>
      <c r="B737" s="9" t="s">
        <v>491</v>
      </c>
      <c r="C737" s="3" t="s">
        <v>492</v>
      </c>
      <c r="D737" s="4" t="s">
        <v>493</v>
      </c>
    </row>
    <row r="738" spans="1:4">
      <c r="A738" s="1" t="s">
        <v>494</v>
      </c>
      <c r="B738" s="12">
        <f xml:space="preserve">        T_A/T_N</f>
        <v>0.92672168223233309</v>
      </c>
      <c r="C738" s="95"/>
    </row>
    <row r="739" spans="1:4">
      <c r="A739" s="1" t="s">
        <v>495</v>
      </c>
      <c r="B739" s="12">
        <f xml:space="preserve">        C_ERLB/(1-C_OCC*(1-C_ERLB))</f>
        <v>1.080793427713812E-2</v>
      </c>
      <c r="C739" s="95"/>
    </row>
    <row r="740" spans="1:4">
      <c r="A740" s="1" t="s">
        <v>496</v>
      </c>
      <c r="B740" s="12">
        <f xml:space="preserve">        (1/C_OCC-C_ERLC)*C_ERLB+C_ERLC^2/T_N*(1/C_ERLB-1)</f>
        <v>1.0005092467840512E-3</v>
      </c>
      <c r="C740" s="80"/>
    </row>
    <row r="741" spans="1:4">
      <c r="A741" s="1" t="s">
        <v>497</v>
      </c>
      <c r="B741" s="12">
        <f xml:space="preserve">        T_A</f>
        <v>926.72168223233314</v>
      </c>
      <c r="C741" s="95"/>
    </row>
    <row r="742" spans="1:4">
      <c r="A742" s="1" t="s">
        <v>498</v>
      </c>
      <c r="B742" s="12">
        <f xml:space="preserve">        IF(C_DB&gt;0.00001,(T_B0-C_ERLC)/C_DB,0)</f>
        <v>-0.80752304862256119</v>
      </c>
      <c r="C742" s="95"/>
    </row>
    <row r="743" spans="1:4">
      <c r="A743" s="1" t="s">
        <v>499</v>
      </c>
      <c r="B743" s="12">
        <f xml:space="preserve">        IF(C_DANEW&gt;1,ABS((T_N-T_A)/2),C_DANEW)</f>
        <v>-0.80752304862256119</v>
      </c>
      <c r="C743" s="95" t="s">
        <v>500</v>
      </c>
    </row>
    <row r="744" spans="1:4">
      <c r="A744" s="1"/>
      <c r="B744" s="40"/>
      <c r="C744" s="95" t="s">
        <v>501</v>
      </c>
    </row>
    <row r="745" spans="1:4">
      <c r="A745" s="1"/>
      <c r="B745" s="12" t="b">
        <f xml:space="preserve">        SET.VALUE(T_A,T_A+C_DA)</f>
        <v>1</v>
      </c>
      <c r="C745" s="80"/>
    </row>
    <row r="746" spans="1:4">
      <c r="A746" s="1"/>
      <c r="B746" s="12">
        <f>ABS(C_DA)</f>
        <v>0.80752304862256119</v>
      </c>
      <c r="C746" s="80"/>
    </row>
    <row r="747" spans="1:4">
      <c r="A747" s="1"/>
      <c r="B747" s="70">
        <f>T_Atest</f>
        <v>0.4</v>
      </c>
      <c r="C747" s="80"/>
    </row>
    <row r="748" spans="1:4">
      <c r="A748" s="1"/>
      <c r="B748" s="40"/>
      <c r="C748" s="80"/>
    </row>
    <row r="749" spans="1:4">
      <c r="A749" s="1"/>
      <c r="B749" s="12" t="b">
        <f xml:space="preserve">        IF(C_ERLC&lt;0.0001)</f>
        <v>1</v>
      </c>
      <c r="C749" s="80"/>
    </row>
    <row r="750" spans="1:4">
      <c r="A750" s="1"/>
      <c r="B750" s="12" t="b">
        <f xml:space="preserve">            BREAK()</f>
        <v>1</v>
      </c>
      <c r="C750" s="80"/>
    </row>
    <row r="751" spans="1:4">
      <c r="A751" s="1"/>
      <c r="B751" s="12" t="b">
        <f xml:space="preserve">        END.IF()</f>
        <v>0</v>
      </c>
      <c r="C751" s="80"/>
    </row>
    <row r="752" spans="1:4">
      <c r="A752" s="1"/>
      <c r="B752" s="12" t="b">
        <f xml:space="preserve">    NEXT()</f>
        <v>1</v>
      </c>
      <c r="C752" s="80"/>
    </row>
    <row r="753" spans="1:3">
      <c r="A753" s="1"/>
      <c r="B753" s="12"/>
      <c r="C753" s="80"/>
    </row>
    <row r="754" spans="1:3">
      <c r="A754" s="1"/>
      <c r="B754" s="12" t="b">
        <f xml:space="preserve">    IF(T_Exact&gt;1)</f>
        <v>1</v>
      </c>
      <c r="C754" s="80"/>
    </row>
    <row r="755" spans="1:3">
      <c r="A755" s="1"/>
      <c r="B755" s="12" t="b">
        <f xml:space="preserve">        SET.VALUE(T_Atest,IF(T_N&lt;=300,T_N/10000,1))</f>
        <v>0</v>
      </c>
      <c r="C755" s="80" t="s">
        <v>502</v>
      </c>
    </row>
    <row r="756" spans="1:3">
      <c r="A756" s="1"/>
      <c r="B756" s="12" t="b">
        <f xml:space="preserve">        WHILE(ABS(C_DA)&gt;T_Atest)</f>
        <v>0</v>
      </c>
      <c r="C756" s="80"/>
    </row>
    <row r="757" spans="1:3">
      <c r="A757" s="1"/>
      <c r="B757" s="12" t="b">
        <f xml:space="preserve">            SET.VALUE(C_ERLB,GOS(T_A,T_N,"ERLB",2))</f>
        <v>0</v>
      </c>
    </row>
    <row r="758" spans="1:3">
      <c r="A758" s="1"/>
      <c r="B758" s="12" t="b">
        <f xml:space="preserve">            SET.VALUE(C_OCC,T_A/T_N)</f>
        <v>0</v>
      </c>
    </row>
    <row r="759" spans="1:3">
      <c r="A759" s="1"/>
      <c r="B759" s="12" t="b">
        <f xml:space="preserve">            SET.VALUE(C_ERLC,C_ERLB/(1-C_OCC*(1-C_ERLB)))</f>
        <v>0</v>
      </c>
    </row>
    <row r="760" spans="1:3">
      <c r="A760" s="1"/>
      <c r="B760" s="12" t="b">
        <f xml:space="preserve">            SET.VALUE(C_DB,(1/C_OCC-C_ERLC)*C_ERLB+C_ERLC^2/T_N*(1/C_ERLB-1))</f>
        <v>0</v>
      </c>
    </row>
    <row r="761" spans="1:3">
      <c r="A761" s="1"/>
      <c r="B761" s="12" t="b">
        <f xml:space="preserve">            SET.VALUE(C_AOLD,T_A)</f>
        <v>0</v>
      </c>
    </row>
    <row r="762" spans="1:3">
      <c r="A762" s="1"/>
      <c r="B762" s="12" t="b">
        <f xml:space="preserve">            SET.VALUE(C_DANEW,IF(C_DB&gt;0.00001,(T_B0-C_ERLC)/C_DB,0))</f>
        <v>0</v>
      </c>
    </row>
    <row r="763" spans="1:3">
      <c r="A763" s="1"/>
      <c r="B763" s="9" t="s">
        <v>503</v>
      </c>
      <c r="C763" s="95" t="s">
        <v>504</v>
      </c>
    </row>
    <row r="764" spans="1:3">
      <c r="A764" s="1"/>
      <c r="B764" s="12"/>
      <c r="C764" s="95" t="s">
        <v>505</v>
      </c>
    </row>
    <row r="765" spans="1:3">
      <c r="A765" s="1"/>
      <c r="B765" s="12" t="b">
        <f xml:space="preserve">            SET.VALUE(T_A,T_A+C_DA)</f>
        <v>0</v>
      </c>
      <c r="C765" s="80"/>
    </row>
    <row r="766" spans="1:3">
      <c r="A766" s="1"/>
      <c r="B766" s="12" t="b">
        <f xml:space="preserve">        NEXT()</f>
        <v>0</v>
      </c>
    </row>
    <row r="767" spans="1:3">
      <c r="A767" s="1"/>
      <c r="B767" s="12" t="b">
        <f xml:space="preserve">    END.IF()</f>
        <v>0</v>
      </c>
    </row>
    <row r="768" spans="1:3">
      <c r="A768" s="1"/>
      <c r="B768" s="12" t="b">
        <f>END.IF()</f>
        <v>1</v>
      </c>
    </row>
    <row r="769" spans="1:3">
      <c r="A769" s="1"/>
      <c r="B769" s="12"/>
    </row>
    <row r="770" spans="1:3">
      <c r="A770" s="1"/>
      <c r="B770" s="15" t="b">
        <f>RETURN()</f>
        <v>1</v>
      </c>
    </row>
    <row r="771" spans="1:3">
      <c r="A771" s="1"/>
      <c r="B771" s="20"/>
    </row>
    <row r="772" spans="1:3">
      <c r="A772" s="1"/>
      <c r="B772" s="20"/>
    </row>
    <row r="773" spans="1:3" ht="13.5" thickBot="1">
      <c r="A773" s="1"/>
      <c r="B773" s="20"/>
    </row>
    <row r="774" spans="1:3">
      <c r="A774" s="88" t="s">
        <v>506</v>
      </c>
      <c r="B774" s="89">
        <f>0.61803399</f>
        <v>0.61803399000000003</v>
      </c>
      <c r="C774" s="3" t="s">
        <v>507</v>
      </c>
    </row>
    <row r="775" spans="1:3">
      <c r="A775" s="90" t="s">
        <v>508</v>
      </c>
      <c r="B775" s="96">
        <f>1-B774</f>
        <v>0.38196600999999997</v>
      </c>
    </row>
    <row r="776" spans="1:3">
      <c r="A776" s="97" t="s">
        <v>509</v>
      </c>
      <c r="B776" s="98" t="b">
        <f>RESULT(1)</f>
        <v>1</v>
      </c>
      <c r="C776" s="3" t="s">
        <v>510</v>
      </c>
    </row>
    <row r="777" spans="1:3">
      <c r="A777" s="90"/>
      <c r="B777" s="91" t="b">
        <f>ARGUMENT("",1,Gold_ax)</f>
        <v>1</v>
      </c>
    </row>
    <row r="778" spans="1:3">
      <c r="A778" s="90"/>
      <c r="B778" s="91" t="b">
        <f>ARGUMENT("",1,Gold_cx)</f>
        <v>1</v>
      </c>
    </row>
    <row r="779" spans="1:3">
      <c r="A779" s="90"/>
      <c r="B779" s="91" t="b">
        <f>ARGUMENT("",2,Gold_Form)</f>
        <v>1</v>
      </c>
    </row>
    <row r="780" spans="1:3">
      <c r="A780" s="99"/>
      <c r="B780" s="91" t="b">
        <f>ARGUMENT("",1,Gold_Param1)</f>
        <v>1</v>
      </c>
    </row>
    <row r="781" spans="1:3">
      <c r="A781" s="99"/>
      <c r="B781" s="91" t="b">
        <f>ARGUMENT("",1,Gold_Tol)</f>
        <v>1</v>
      </c>
    </row>
    <row r="782" spans="1:3">
      <c r="A782" s="99"/>
      <c r="B782" s="91" t="b">
        <f>ARGUMENT("",1,Gold_Param2)</f>
        <v>1</v>
      </c>
    </row>
    <row r="783" spans="1:3">
      <c r="A783" s="90" t="s">
        <v>511</v>
      </c>
      <c r="B783" s="100">
        <v>0</v>
      </c>
    </row>
    <row r="784" spans="1:3">
      <c r="A784" s="90" t="s">
        <v>512</v>
      </c>
      <c r="B784" s="100">
        <f>(Gold_ax+Gold_cx)/2</f>
        <v>0.5</v>
      </c>
    </row>
    <row r="785" spans="1:2">
      <c r="A785" s="90" t="s">
        <v>513</v>
      </c>
      <c r="B785" s="100">
        <v>1</v>
      </c>
    </row>
    <row r="786" spans="1:2">
      <c r="A786" s="101" t="s">
        <v>514</v>
      </c>
      <c r="B786" s="100" t="s">
        <v>515</v>
      </c>
    </row>
    <row r="787" spans="1:2">
      <c r="A787" s="90" t="s">
        <v>516</v>
      </c>
      <c r="B787" s="100">
        <v>0.05</v>
      </c>
    </row>
    <row r="788" spans="1:2">
      <c r="A788" s="90" t="s">
        <v>517</v>
      </c>
      <c r="B788" s="100">
        <v>1E-3</v>
      </c>
    </row>
    <row r="789" spans="1:2">
      <c r="A789" s="102" t="s">
        <v>518</v>
      </c>
      <c r="B789" s="103" t="e">
        <v>#N/A</v>
      </c>
    </row>
    <row r="790" spans="1:2">
      <c r="A790" s="102"/>
      <c r="B790" s="104"/>
    </row>
    <row r="791" spans="1:2">
      <c r="A791" s="90" t="s">
        <v>519</v>
      </c>
      <c r="B791" s="105">
        <f>+Gold_ax</f>
        <v>0.17102302825627275</v>
      </c>
    </row>
    <row r="792" spans="1:2">
      <c r="A792" s="90" t="s">
        <v>520</v>
      </c>
      <c r="B792" s="100">
        <v>0.17110956339021322</v>
      </c>
    </row>
    <row r="793" spans="1:2">
      <c r="A793" s="90" t="s">
        <v>521</v>
      </c>
      <c r="B793" s="100">
        <v>0.17116304504431765</v>
      </c>
    </row>
    <row r="794" spans="1:2">
      <c r="A794" s="90" t="s">
        <v>522</v>
      </c>
      <c r="B794" s="106">
        <f>+Gold_cx</f>
        <v>0.17124958017889141</v>
      </c>
    </row>
    <row r="795" spans="1:2">
      <c r="A795" s="90"/>
      <c r="B795" s="105" t="b">
        <f>IF(ABS(Gold_cx-Gold_bx)&gt;ABS(Gold_bx-Gold_ax))</f>
        <v>1</v>
      </c>
    </row>
    <row r="796" spans="1:2">
      <c r="A796" s="90"/>
      <c r="B796" s="100" t="b">
        <f xml:space="preserve">  SET.VALUE(Gold_x1,Gold_bx)</f>
        <v>1</v>
      </c>
    </row>
    <row r="797" spans="1:2">
      <c r="A797" s="90"/>
      <c r="B797" s="100" t="b">
        <f xml:space="preserve">   SET.VALUE(Gold_x2,Gold_bx+Gold_C*(Gold_cx-Gold_bx))</f>
        <v>1</v>
      </c>
    </row>
    <row r="798" spans="1:2">
      <c r="A798" s="99"/>
      <c r="B798" s="107" t="b">
        <f>ELSE()</f>
        <v>1</v>
      </c>
    </row>
    <row r="799" spans="1:2">
      <c r="A799" s="90"/>
      <c r="B799" s="100" t="b">
        <f xml:space="preserve">  SET.VALUE(Gold_x2,Gold_bx)</f>
        <v>1</v>
      </c>
    </row>
    <row r="800" spans="1:2">
      <c r="A800" s="99"/>
      <c r="B800" s="100" t="b">
        <f xml:space="preserve">   SET.VALUE(Gold_x1,Gold_bx-Gold_C*(Gold_bx-Gold_ax))</f>
        <v>1</v>
      </c>
    </row>
    <row r="801" spans="1:2">
      <c r="A801" s="90"/>
      <c r="B801" s="106" t="b">
        <f>END.IF()</f>
        <v>1</v>
      </c>
    </row>
    <row r="802" spans="1:2">
      <c r="A802" s="90"/>
      <c r="B802" s="100"/>
    </row>
    <row r="803" spans="1:2">
      <c r="A803" s="90" t="s">
        <v>523</v>
      </c>
      <c r="B803" s="105">
        <f>GoldFunc(Gold_x1*T_N)</f>
        <v>1.2699048104608535E-6</v>
      </c>
    </row>
    <row r="804" spans="1:2">
      <c r="A804" s="90" t="s">
        <v>524</v>
      </c>
      <c r="B804" s="106">
        <f>GoldFunc(Gold_x2*T_N)</f>
        <v>3.0246621612786684E-5</v>
      </c>
    </row>
    <row r="805" spans="1:2">
      <c r="A805" s="99"/>
      <c r="B805" s="108" t="b">
        <f>WHILE(ABS(Gold_x3-gold_x0)&gt;Gold_Tol*(ABS(Gold_x1)+ABS(Gold_x2)))</f>
        <v>1</v>
      </c>
    </row>
    <row r="806" spans="1:2">
      <c r="A806" s="99"/>
      <c r="B806" s="107" t="b">
        <f xml:space="preserve">   IF(Gold_f2&lt;Gold_f1)</f>
        <v>1</v>
      </c>
    </row>
    <row r="807" spans="1:2">
      <c r="A807" s="90"/>
      <c r="B807" s="100" t="b">
        <f xml:space="preserve">       SET.VALUE(gold_x0,Gold_x1)</f>
        <v>1</v>
      </c>
    </row>
    <row r="808" spans="1:2">
      <c r="A808" s="90"/>
      <c r="B808" s="100" t="b">
        <f xml:space="preserve">       SET.VALUE(Gold_x1,Gold_x2)</f>
        <v>1</v>
      </c>
    </row>
    <row r="809" spans="1:2">
      <c r="A809" s="90"/>
      <c r="B809" s="100" t="b">
        <f xml:space="preserve">       SET.VALUE(Gold_x2,Gold_R*Gold_x1+Gold_C*Gold_x3)</f>
        <v>1</v>
      </c>
    </row>
    <row r="810" spans="1:2">
      <c r="A810" s="90"/>
      <c r="B810" s="107" t="b">
        <f xml:space="preserve">      SET.VALUE(Gold_f1,Gold_f2)</f>
        <v>1</v>
      </c>
    </row>
    <row r="811" spans="1:2">
      <c r="A811" s="90"/>
      <c r="B811" s="107" t="b">
        <f xml:space="preserve">      SET.VALUE(Gold_f2,GoldFunc(Gold_x2*T_N))</f>
        <v>1</v>
      </c>
    </row>
    <row r="812" spans="1:2">
      <c r="A812" s="90"/>
      <c r="B812" s="100" t="b">
        <f xml:space="preserve">   ELSE()</f>
        <v>1</v>
      </c>
    </row>
    <row r="813" spans="1:2">
      <c r="A813" s="90"/>
      <c r="B813" s="100" t="b">
        <f xml:space="preserve">       SET.VALUE(Gold_x3,Gold_x2)</f>
        <v>1</v>
      </c>
    </row>
    <row r="814" spans="1:2">
      <c r="A814" s="90"/>
      <c r="B814" s="100" t="b">
        <f xml:space="preserve">       SET.VALUE(Gold_x2,Gold_x1)</f>
        <v>1</v>
      </c>
    </row>
    <row r="815" spans="1:2">
      <c r="A815" s="90"/>
      <c r="B815" s="100" t="b">
        <f xml:space="preserve">       SET.VALUE(Gold_x1,Gold_R*Gold_x2+Gold_C*gold_x0)</f>
        <v>1</v>
      </c>
    </row>
    <row r="816" spans="1:2">
      <c r="A816" s="90"/>
      <c r="B816" s="107" t="b">
        <f xml:space="preserve">      SET.VALUE(Gold_f2,Gold_f1)</f>
        <v>1</v>
      </c>
    </row>
    <row r="817" spans="1:3">
      <c r="A817" s="90"/>
      <c r="B817" s="107" t="b">
        <f xml:space="preserve">      SET.VALUE(Gold_f1,GoldFunc(Gold_x1*T_N))</f>
        <v>1</v>
      </c>
    </row>
    <row r="818" spans="1:3">
      <c r="A818" s="90"/>
      <c r="B818" s="100" t="b">
        <f xml:space="preserve">   END.IF()</f>
        <v>1</v>
      </c>
    </row>
    <row r="819" spans="1:3">
      <c r="A819" s="90"/>
      <c r="B819" s="100"/>
    </row>
    <row r="820" spans="1:3">
      <c r="A820" s="90"/>
      <c r="B820" s="106" t="b">
        <f>NEXT()</f>
        <v>1</v>
      </c>
    </row>
    <row r="821" spans="1:3">
      <c r="A821" s="99"/>
      <c r="B821" s="108" t="b">
        <f>IF(Gold_f2&lt;Gold_f1)</f>
        <v>1</v>
      </c>
    </row>
    <row r="822" spans="1:3">
      <c r="A822" s="90"/>
      <c r="B822" s="100" t="b">
        <f xml:space="preserve">   RETURN(Gold_x1*T_N)</f>
        <v>1</v>
      </c>
    </row>
    <row r="823" spans="1:3">
      <c r="A823" s="90"/>
      <c r="B823" s="100" t="b">
        <f>ELSE()</f>
        <v>1</v>
      </c>
    </row>
    <row r="824" spans="1:3">
      <c r="A824" s="90"/>
      <c r="B824" s="100" t="b">
        <f xml:space="preserve">    RETURN(Gold_x2*T_N)</f>
        <v>1</v>
      </c>
    </row>
    <row r="825" spans="1:3">
      <c r="A825" s="90"/>
      <c r="B825" s="106" t="b">
        <f>END.IF()</f>
        <v>0</v>
      </c>
    </row>
    <row r="826" spans="1:3">
      <c r="A826" s="90"/>
      <c r="B826" s="109"/>
    </row>
    <row r="827" spans="1:3">
      <c r="A827" s="110" t="s">
        <v>525</v>
      </c>
      <c r="B827" s="105" t="b">
        <f>RESULT(1)</f>
        <v>1</v>
      </c>
      <c r="C827" s="3" t="s">
        <v>507</v>
      </c>
    </row>
    <row r="828" spans="1:3">
      <c r="A828" s="90"/>
      <c r="B828" s="100" t="b">
        <f>ARGUMENT("Gold_x",1)</f>
        <v>1</v>
      </c>
    </row>
    <row r="829" spans="1:3">
      <c r="A829" s="90"/>
      <c r="B829" s="100" t="b">
        <f>IF(EXACT(Gold_Func,"ERLC"))</f>
        <v>1</v>
      </c>
    </row>
    <row r="830" spans="1:3">
      <c r="A830" s="90"/>
      <c r="B830" s="100" t="b">
        <f xml:space="preserve">   RETURN(ABS(GOS(Gold_x,T_N,"ERLC",1)-Gold_Param1))</f>
        <v>1</v>
      </c>
    </row>
    <row r="831" spans="1:3">
      <c r="A831" s="90"/>
      <c r="B831" s="100" t="b">
        <f>END.IF()</f>
        <v>0</v>
      </c>
    </row>
    <row r="832" spans="1:3" ht="13.5" thickBot="1">
      <c r="A832" s="94"/>
      <c r="B832" s="111" t="b">
        <f>RETURN(0)</f>
        <v>0</v>
      </c>
    </row>
    <row r="834" spans="1:2">
      <c r="A834" s="1"/>
      <c r="B834" s="20"/>
    </row>
    <row r="835" spans="1:2">
      <c r="A835" s="1" t="s">
        <v>526</v>
      </c>
      <c r="B835" s="18" t="b">
        <f>RESULT(3)</f>
        <v>1</v>
      </c>
    </row>
    <row r="836" spans="1:2">
      <c r="A836" s="1"/>
      <c r="B836" s="12" t="b">
        <f>ARGUMENT("A_in_CCS",1,AgentC_A)</f>
        <v>1</v>
      </c>
    </row>
    <row r="837" spans="1:2">
      <c r="A837" s="1"/>
      <c r="B837" s="12" t="b">
        <f>ARGUMENT("SL_Prop",1,AgentC_SLP)</f>
        <v>1</v>
      </c>
    </row>
    <row r="838" spans="1:2">
      <c r="A838" s="1"/>
      <c r="B838" s="12" t="b">
        <f>ARGUMENT("SL_Time",1,AgentC_SLT)</f>
        <v>1</v>
      </c>
    </row>
    <row r="839" spans="1:2">
      <c r="A839" s="1"/>
      <c r="B839" s="12" t="b">
        <f>ARGUMENT("Conv_Time",1,AgentC_C)</f>
        <v>1</v>
      </c>
    </row>
    <row r="840" spans="1:2">
      <c r="A840" s="1" t="s">
        <v>527</v>
      </c>
      <c r="B840" s="12">
        <v>200</v>
      </c>
    </row>
    <row r="841" spans="1:2">
      <c r="A841" s="1" t="s">
        <v>528</v>
      </c>
      <c r="B841" s="12">
        <v>0.9</v>
      </c>
    </row>
    <row r="842" spans="1:2">
      <c r="A842" s="1" t="s">
        <v>529</v>
      </c>
      <c r="B842" s="12">
        <v>-1</v>
      </c>
    </row>
    <row r="843" spans="1:2">
      <c r="A843" s="1" t="s">
        <v>530</v>
      </c>
      <c r="B843" s="12">
        <v>-1</v>
      </c>
    </row>
    <row r="844" spans="1:2">
      <c r="A844" s="1"/>
      <c r="B844" s="12" t="b">
        <f>IF(AgentC_A&gt;300000,RETURN(CCS_too_Big))</f>
        <v>0</v>
      </c>
    </row>
    <row r="845" spans="1:2">
      <c r="A845" s="1"/>
      <c r="B845" s="15" t="b">
        <f>RETURN(Agents(AgentC_A/36,AgentC_SLP,AgentC_SLT,AgentC_C))</f>
        <v>1</v>
      </c>
    </row>
    <row r="846" spans="1:2">
      <c r="A846" s="1"/>
      <c r="B846" s="20"/>
    </row>
    <row r="847" spans="1:2">
      <c r="A847" s="1" t="s">
        <v>531</v>
      </c>
      <c r="B847" s="18" t="b">
        <f>RESULT(3)</f>
        <v>1</v>
      </c>
    </row>
    <row r="848" spans="1:2">
      <c r="A848" s="1"/>
      <c r="B848" s="12" t="b">
        <f>ARGUMENT("A_in_Erl",1,A_A)</f>
        <v>1</v>
      </c>
    </row>
    <row r="849" spans="1:4">
      <c r="A849" s="1"/>
      <c r="B849" s="12" t="b">
        <f>ARGUMENT("SL_Prop",1,A_SLP)</f>
        <v>1</v>
      </c>
    </row>
    <row r="850" spans="1:4">
      <c r="A850" s="1"/>
      <c r="B850" s="12" t="b">
        <f>ARGUMENT("SL_Time",1,A_SLT)</f>
        <v>1</v>
      </c>
    </row>
    <row r="851" spans="1:4">
      <c r="A851" s="1"/>
      <c r="B851" s="12" t="b">
        <f>ARGUMENT("Conv_Time",1,A_C)</f>
        <v>1</v>
      </c>
    </row>
    <row r="852" spans="1:4">
      <c r="A852" s="1" t="s">
        <v>532</v>
      </c>
      <c r="B852" s="12">
        <v>0.7746079378667603</v>
      </c>
    </row>
    <row r="853" spans="1:4">
      <c r="A853" s="1" t="s">
        <v>533</v>
      </c>
      <c r="B853" s="12">
        <v>0.8</v>
      </c>
    </row>
    <row r="854" spans="1:4">
      <c r="A854" s="1" t="s">
        <v>534</v>
      </c>
      <c r="B854" s="12">
        <v>20</v>
      </c>
    </row>
    <row r="855" spans="1:4">
      <c r="A855" s="1" t="s">
        <v>535</v>
      </c>
      <c r="B855" s="12">
        <v>650.14851530788053</v>
      </c>
      <c r="D855" s="4" t="s">
        <v>362</v>
      </c>
    </row>
    <row r="856" spans="1:4">
      <c r="A856" s="1" t="s">
        <v>536</v>
      </c>
      <c r="B856" s="12">
        <f>1-A_SLP</f>
        <v>0.19999999999999996</v>
      </c>
      <c r="D856" s="4" t="s">
        <v>362</v>
      </c>
    </row>
    <row r="857" spans="1:4">
      <c r="A857" s="1"/>
      <c r="B857" s="12" t="b">
        <f>IF(A_A&lt;0,RETURN("A&lt;0"))</f>
        <v>0</v>
      </c>
    </row>
    <row r="858" spans="1:4">
      <c r="A858" s="1"/>
      <c r="B858" s="12" t="b">
        <f>IF(A_A&gt;MaxN,RETURN(A_too_Big))</f>
        <v>0</v>
      </c>
      <c r="D858" s="4" t="s">
        <v>362</v>
      </c>
    </row>
    <row r="859" spans="1:4">
      <c r="A859" s="1"/>
      <c r="B859" s="12" t="b">
        <f>IF(A_SLP&lt;0,RETURN("SL&lt;0"))</f>
        <v>0</v>
      </c>
      <c r="C859" s="112"/>
      <c r="D859" s="4" t="s">
        <v>362</v>
      </c>
    </row>
    <row r="860" spans="1:4">
      <c r="A860" s="1"/>
      <c r="B860" s="12" t="b">
        <f>IF(A_SLP&gt;=1,RETURN("SL&gt;1"))</f>
        <v>0</v>
      </c>
      <c r="C860" s="112"/>
    </row>
    <row r="861" spans="1:4">
      <c r="A861" s="1"/>
      <c r="B861" s="12" t="b">
        <f>IF(A_SLT&lt;=0,RETURN("ST&lt;0"))</f>
        <v>0</v>
      </c>
    </row>
    <row r="862" spans="1:4">
      <c r="A862" s="1"/>
      <c r="B862" s="12" t="b">
        <f>IF(ISNA(A_C),SET.VALUE(A_C,1))</f>
        <v>0</v>
      </c>
      <c r="C862" s="112"/>
    </row>
    <row r="863" spans="1:4">
      <c r="A863" s="1"/>
      <c r="B863" s="12" t="b">
        <f>IF(A_C&lt;=0,RETURN("C&lt;=0"))</f>
        <v>0</v>
      </c>
      <c r="C863" s="112"/>
    </row>
    <row r="864" spans="1:4">
      <c r="A864" s="1"/>
      <c r="B864" s="12"/>
    </row>
    <row r="865" spans="1:2">
      <c r="A865" s="1" t="s">
        <v>537</v>
      </c>
      <c r="B865" s="12">
        <f>INT(A_A)+1</f>
        <v>3</v>
      </c>
    </row>
    <row r="866" spans="1:2">
      <c r="A866" s="1" t="s">
        <v>538</v>
      </c>
      <c r="B866" s="12">
        <f>EXP((A_A-A_N)*A_SLT/A_C)</f>
        <v>0.93383271733623152</v>
      </c>
    </row>
    <row r="867" spans="1:2">
      <c r="A867" s="1" t="s">
        <v>539</v>
      </c>
      <c r="B867" s="12">
        <f>GOS(A_A,A_N,"ERLB",1)</f>
        <v>3.5994506640382076E-2</v>
      </c>
    </row>
    <row r="868" spans="1:2">
      <c r="A868" s="1" t="s">
        <v>540</v>
      </c>
      <c r="B868" s="12">
        <f>A_A/A_N</f>
        <v>0.25820264595558678</v>
      </c>
    </row>
    <row r="869" spans="1:2">
      <c r="A869" s="1" t="s">
        <v>541</v>
      </c>
      <c r="B869" s="12">
        <f>A_ERLB/(1-A_OCC*(1-A_ERLB))</f>
        <v>4.7922948850444833E-2</v>
      </c>
    </row>
    <row r="870" spans="1:2">
      <c r="A870" s="1"/>
      <c r="B870" s="12"/>
    </row>
    <row r="871" spans="1:2">
      <c r="A871" s="1" t="s">
        <v>542</v>
      </c>
      <c r="B871" s="12">
        <f>A_ERLC*A_EXP</f>
        <v>4.4752017547776128E-2</v>
      </c>
    </row>
    <row r="872" spans="1:2">
      <c r="A872" s="1"/>
      <c r="B872" s="12" t="b">
        <f>WHILE(A_B0&lt;=A_BTest)</f>
        <v>1</v>
      </c>
    </row>
    <row r="873" spans="1:2">
      <c r="A873" s="1"/>
      <c r="B873" s="12" t="b">
        <f xml:space="preserve">   SET.VALUE(A_N,A_N+1)</f>
        <v>1</v>
      </c>
    </row>
    <row r="874" spans="1:2">
      <c r="A874" s="1"/>
      <c r="B874" s="12" t="b">
        <f xml:space="preserve">   SET.VALUE(A_ERLB,1/(1+A_N/(A_A*A_ERLB)))</f>
        <v>1</v>
      </c>
    </row>
    <row r="875" spans="1:2">
      <c r="A875" s="1"/>
      <c r="B875" s="12" t="b">
        <f xml:space="preserve">   SET.VALUE(A_OCC,A_A/A_N)</f>
        <v>1</v>
      </c>
    </row>
    <row r="876" spans="1:2">
      <c r="A876" s="1"/>
      <c r="B876" s="12" t="b">
        <f xml:space="preserve">   SET.VALUE(A_EXP,EXP((A_A-A_N)*A_SLT/A_C))</f>
        <v>1</v>
      </c>
    </row>
    <row r="877" spans="1:2">
      <c r="A877" s="1"/>
      <c r="B877" s="12" t="b">
        <f xml:space="preserve">   SET.VALUE(A_ERLC,A_ERLB/(1-A_OCC*(1-A_ERLB)))</f>
        <v>1</v>
      </c>
    </row>
    <row r="878" spans="1:2">
      <c r="A878" s="1"/>
      <c r="B878" s="12" t="b">
        <f xml:space="preserve">   SET.VALUE(A_BTest,A_ERLC*A_EXP)</f>
        <v>1</v>
      </c>
    </row>
    <row r="879" spans="1:2">
      <c r="A879" s="1"/>
      <c r="B879" s="12" t="b">
        <f xml:space="preserve">   IF(A_N&gt;MaxNTest)</f>
        <v>1</v>
      </c>
    </row>
    <row r="880" spans="1:2">
      <c r="A880" s="1"/>
      <c r="B880" s="12" t="b">
        <f xml:space="preserve">      SET.VALUE(A_N,"****")</f>
        <v>1</v>
      </c>
    </row>
    <row r="881" spans="1:3">
      <c r="A881" s="1"/>
      <c r="B881" s="12" t="e">
        <f xml:space="preserve">      BREAK()</f>
        <v>#VALUE!</v>
      </c>
    </row>
    <row r="882" spans="1:3">
      <c r="A882" s="1"/>
      <c r="B882" s="12" t="e">
        <f xml:space="preserve">   END.IF()</f>
        <v>#VALUE!</v>
      </c>
    </row>
    <row r="883" spans="1:3">
      <c r="A883" s="1"/>
      <c r="B883" s="12" t="b">
        <f>NEXT()</f>
        <v>1</v>
      </c>
    </row>
    <row r="884" spans="1:3">
      <c r="A884" s="1"/>
      <c r="B884" s="12"/>
    </row>
    <row r="885" spans="1:3">
      <c r="A885" s="1" t="s">
        <v>543</v>
      </c>
      <c r="B885" s="15" t="b">
        <f>RETURN(A_N)</f>
        <v>1</v>
      </c>
    </row>
    <row r="886" spans="1:3">
      <c r="A886" s="1"/>
      <c r="B886" s="70"/>
    </row>
    <row r="887" spans="1:3">
      <c r="A887" s="1" t="s">
        <v>544</v>
      </c>
      <c r="B887" s="18" t="b">
        <f>RESULT(3)</f>
        <v>1</v>
      </c>
    </row>
    <row r="888" spans="1:3">
      <c r="A888" s="1"/>
      <c r="B888" s="12" t="b">
        <f>ARGUMENT("A_in_CCS",1,DelayQC_A)</f>
        <v>1</v>
      </c>
    </row>
    <row r="889" spans="1:3">
      <c r="A889" s="1"/>
      <c r="B889" s="12" t="b">
        <f>ARGUMENT("Num_Agents",1,DelayQC_N)</f>
        <v>1</v>
      </c>
    </row>
    <row r="890" spans="1:3">
      <c r="A890" s="1"/>
      <c r="B890" s="12" t="b">
        <f>ARGUMENT("Test_Time",1,D_T)</f>
        <v>0</v>
      </c>
      <c r="C890" s="113" t="s">
        <v>545</v>
      </c>
    </row>
    <row r="891" spans="1:3">
      <c r="A891" s="1"/>
      <c r="B891" s="12" t="b">
        <f>ARGUMENT("Conv_Time",1,DelayQC_C)</f>
        <v>1</v>
      </c>
    </row>
    <row r="892" spans="1:3">
      <c r="A892" s="1" t="s">
        <v>546</v>
      </c>
      <c r="B892" s="12">
        <v>2000</v>
      </c>
    </row>
    <row r="893" spans="1:3">
      <c r="A893" s="1" t="s">
        <v>547</v>
      </c>
      <c r="B893" s="12">
        <v>100</v>
      </c>
    </row>
    <row r="894" spans="1:3">
      <c r="A894" s="1" t="s">
        <v>548</v>
      </c>
      <c r="B894" s="12">
        <v>-1</v>
      </c>
    </row>
    <row r="895" spans="1:3">
      <c r="A895" s="1" t="s">
        <v>549</v>
      </c>
      <c r="B895" s="12">
        <v>-1</v>
      </c>
    </row>
    <row r="896" spans="1:3">
      <c r="A896" s="1"/>
      <c r="B896" s="12" t="b">
        <f>IF(DelayQC_A&gt;300000,RETURN(CCS_too_Big))</f>
        <v>0</v>
      </c>
    </row>
    <row r="897" spans="1:3">
      <c r="A897" s="1"/>
      <c r="B897" s="15" t="b">
        <f>RETURN(DelayQ(DelayQC_A/36,DelayQC_N,DelayQC_T,DelayQC_C))</f>
        <v>1</v>
      </c>
    </row>
    <row r="898" spans="1:3">
      <c r="A898" s="1"/>
      <c r="B898" s="20"/>
    </row>
    <row r="899" spans="1:3">
      <c r="A899" s="1" t="s">
        <v>550</v>
      </c>
      <c r="B899" s="18" t="b">
        <f>RESULT(3)</f>
        <v>1</v>
      </c>
    </row>
    <row r="900" spans="1:3">
      <c r="A900" s="1"/>
      <c r="B900" s="12" t="b">
        <f>ARGUMENT("A_in_Erl",1,D_A)</f>
        <v>1</v>
      </c>
    </row>
    <row r="901" spans="1:3">
      <c r="A901" s="1"/>
      <c r="B901" s="12" t="b">
        <f>ARGUMENT("Num_Agents",1,D_N)</f>
        <v>1</v>
      </c>
    </row>
    <row r="902" spans="1:3">
      <c r="A902" s="1"/>
      <c r="B902" s="12" t="b">
        <f>ARGUMENT("Test_Time",1,D_T)</f>
        <v>1</v>
      </c>
      <c r="C902" s="113" t="s">
        <v>545</v>
      </c>
    </row>
    <row r="903" spans="1:3">
      <c r="A903" s="1"/>
      <c r="B903" s="12" t="b">
        <f>ARGUMENT("Conv_Time",1,D_C)</f>
        <v>1</v>
      </c>
    </row>
    <row r="904" spans="1:3">
      <c r="A904" s="1" t="s">
        <v>551</v>
      </c>
      <c r="B904" s="12">
        <v>0.7746079378667603</v>
      </c>
    </row>
    <row r="905" spans="1:3">
      <c r="A905" s="1" t="s">
        <v>552</v>
      </c>
      <c r="B905" s="12">
        <v>3.2606747638326588</v>
      </c>
    </row>
    <row r="906" spans="1:3">
      <c r="A906" s="1" t="s">
        <v>553</v>
      </c>
      <c r="B906" s="12">
        <v>20</v>
      </c>
    </row>
    <row r="907" spans="1:3">
      <c r="A907" s="1" t="s">
        <v>554</v>
      </c>
      <c r="B907" s="12">
        <v>650.14851530788053</v>
      </c>
    </row>
    <row r="908" spans="1:3">
      <c r="A908" s="1" t="s">
        <v>555</v>
      </c>
      <c r="B908" s="12">
        <v>0</v>
      </c>
    </row>
    <row r="909" spans="1:3">
      <c r="A909" s="1"/>
      <c r="B909" s="12" t="b">
        <f>IF(ISNA(D_C),SET.VALUE(D_C,1))</f>
        <v>0</v>
      </c>
    </row>
    <row r="910" spans="1:3">
      <c r="A910" s="1"/>
      <c r="B910" s="12" t="b">
        <f>ARGUMENT("",1,D_Exact)</f>
        <v>1</v>
      </c>
    </row>
    <row r="911" spans="1:3">
      <c r="A911" s="1"/>
      <c r="B911" s="12" t="b">
        <f>IF(ISNA(D_Exact),SET.VALUE(D_Exact,0))</f>
        <v>1</v>
      </c>
    </row>
    <row r="912" spans="1:3">
      <c r="A912" s="1"/>
      <c r="B912" s="12"/>
    </row>
    <row r="913" spans="1:2">
      <c r="A913" s="1"/>
      <c r="B913" s="12" t="b">
        <f>IF(D_A&lt;0,RETURN("A&lt;0"))</f>
        <v>0</v>
      </c>
    </row>
    <row r="914" spans="1:2">
      <c r="A914" s="1"/>
      <c r="B914" s="9" t="b">
        <f>IF(D_A&gt;MaxN,RETURN(A_too_Big))</f>
        <v>0</v>
      </c>
    </row>
    <row r="915" spans="1:2">
      <c r="A915" s="1"/>
      <c r="B915" s="9"/>
    </row>
    <row r="916" spans="1:2">
      <c r="A916" s="1"/>
      <c r="B916" s="12" t="b">
        <f>IF(D_N&lt;0,RETURN("N&lt;0"))</f>
        <v>0</v>
      </c>
    </row>
    <row r="917" spans="1:2">
      <c r="A917" s="1"/>
      <c r="B917" s="12" t="b">
        <f>IF(D_N&gt;MaxN,RETURN(N_too_Big))</f>
        <v>0</v>
      </c>
    </row>
    <row r="918" spans="1:2">
      <c r="A918" s="1"/>
      <c r="B918" s="12"/>
    </row>
    <row r="919" spans="1:2">
      <c r="A919" s="1"/>
      <c r="B919" s="12" t="b">
        <f>IF(D_T&lt;0,RETURN("T&lt;0"))</f>
        <v>0</v>
      </c>
    </row>
    <row r="920" spans="1:2">
      <c r="A920" s="1"/>
      <c r="B920" s="12" t="b">
        <f>IF(D_C&lt;0,RETURN("C&lt;0"))</f>
        <v>0</v>
      </c>
    </row>
    <row r="921" spans="1:2">
      <c r="A921" s="1"/>
      <c r="B921" s="12"/>
    </row>
    <row r="922" spans="1:2">
      <c r="A922" s="1"/>
      <c r="B922" s="12" t="b">
        <f>IF(D_A&gt;=D_N,RETURN(0))</f>
        <v>0</v>
      </c>
    </row>
    <row r="923" spans="1:2">
      <c r="A923" s="1"/>
      <c r="B923" s="12"/>
    </row>
    <row r="924" spans="1:2">
      <c r="A924" s="1" t="s">
        <v>556</v>
      </c>
      <c r="B924" s="12">
        <f>GOS(D_A,D_N,"ERLC",D_Exact)</f>
        <v>4.6699999999999998E-2</v>
      </c>
    </row>
    <row r="925" spans="1:2">
      <c r="A925" s="1" t="s">
        <v>557</v>
      </c>
      <c r="B925" s="12">
        <f xml:space="preserve"> 1-D_ERLC*EXP((D_A-D_N)*D_T/D_C)</f>
        <v>0.95669999999999999</v>
      </c>
    </row>
    <row r="926" spans="1:2">
      <c r="A926" s="1"/>
      <c r="B926" s="12" t="b">
        <f>IF(D_Exact=0,SET.VALUE(D_Q,ROUND(D_Q,4)))</f>
        <v>1</v>
      </c>
    </row>
    <row r="927" spans="1:2">
      <c r="A927" s="1"/>
      <c r="B927" s="15" t="b">
        <f>RETURN(D_Q)</f>
        <v>1</v>
      </c>
    </row>
    <row r="928" spans="1:2">
      <c r="A928" s="1"/>
      <c r="B928" s="20"/>
    </row>
    <row r="929" spans="1:3">
      <c r="A929" s="1"/>
      <c r="B929" s="20"/>
    </row>
    <row r="930" spans="1:3">
      <c r="A930" s="1" t="s">
        <v>558</v>
      </c>
      <c r="B930" s="18" t="b">
        <f>RESULT(3)</f>
        <v>1</v>
      </c>
    </row>
    <row r="931" spans="1:3">
      <c r="A931" s="1"/>
      <c r="B931" s="12" t="b">
        <f>ARGUMENT("A_in_CCS",1,ASAC_A)</f>
        <v>1</v>
      </c>
    </row>
    <row r="932" spans="1:3">
      <c r="A932" s="1"/>
      <c r="B932" s="12" t="b">
        <f>ARGUMENT("Num_Agents",1,ASAC_N)</f>
        <v>1</v>
      </c>
    </row>
    <row r="933" spans="1:3">
      <c r="A933" s="1"/>
      <c r="B933" s="12" t="b">
        <f>ARGUMENT("Conv_Time",1,ASAC_C)</f>
        <v>1</v>
      </c>
    </row>
    <row r="934" spans="1:3">
      <c r="A934" s="1"/>
      <c r="B934" s="12" t="b">
        <f>ARGUMENT("Flag",1,ASAC_Flag)</f>
        <v>1</v>
      </c>
    </row>
    <row r="935" spans="1:3">
      <c r="A935" s="1" t="s">
        <v>559</v>
      </c>
      <c r="B935" s="12">
        <v>360</v>
      </c>
    </row>
    <row r="936" spans="1:3">
      <c r="A936" s="1" t="s">
        <v>560</v>
      </c>
      <c r="B936" s="12">
        <v>14</v>
      </c>
    </row>
    <row r="937" spans="1:3">
      <c r="A937" s="1" t="s">
        <v>561</v>
      </c>
      <c r="B937" s="12">
        <v>360</v>
      </c>
    </row>
    <row r="938" spans="1:3">
      <c r="A938" s="1" t="s">
        <v>562</v>
      </c>
      <c r="B938" s="12">
        <f>IF(ISNA(B938),0,B938)</f>
        <v>0</v>
      </c>
    </row>
    <row r="939" spans="1:3">
      <c r="A939" s="1"/>
      <c r="B939" s="12" t="b">
        <f>IF(ASAC_A&gt;300000,RETURN(CCS_too_Big))</f>
        <v>0</v>
      </c>
    </row>
    <row r="940" spans="1:3">
      <c r="A940" s="1"/>
      <c r="B940" s="15" t="b">
        <f>RETURN(ASA(ASAC_A/36,ASAC_N,ASAC_C,ASAC_Flag))</f>
        <v>1</v>
      </c>
      <c r="C940" s="114"/>
    </row>
    <row r="941" spans="1:3">
      <c r="A941" s="1"/>
      <c r="B941" s="20"/>
    </row>
    <row r="942" spans="1:3">
      <c r="A942" s="1" t="s">
        <v>563</v>
      </c>
      <c r="B942" s="18" t="b">
        <f>RESULT(3)</f>
        <v>1</v>
      </c>
    </row>
    <row r="943" spans="1:3">
      <c r="A943" s="1"/>
      <c r="B943" s="12" t="b">
        <f>ARGUMENT("A_in_Erl",1,S_A)</f>
        <v>1</v>
      </c>
    </row>
    <row r="944" spans="1:3">
      <c r="A944" s="1"/>
      <c r="B944" s="12" t="b">
        <f>ARGUMENT("Num_Agents",1,S_N)</f>
        <v>1</v>
      </c>
    </row>
    <row r="945" spans="1:2">
      <c r="A945" s="1"/>
      <c r="B945" s="12" t="b">
        <f>ARGUMENT("Conv_Time",1,S_C)</f>
        <v>1</v>
      </c>
    </row>
    <row r="946" spans="1:2">
      <c r="A946" s="1"/>
      <c r="B946" s="12" t="b">
        <f>ARGUMENT("Flag",1,S_Flag)</f>
        <v>1</v>
      </c>
    </row>
    <row r="947" spans="1:2">
      <c r="A947" s="1" t="s">
        <v>564</v>
      </c>
      <c r="B947" s="12">
        <v>7.6342450358224809</v>
      </c>
    </row>
    <row r="948" spans="1:2">
      <c r="A948" s="1" t="s">
        <v>565</v>
      </c>
      <c r="B948" s="12">
        <v>20</v>
      </c>
    </row>
    <row r="949" spans="1:2">
      <c r="A949" s="1" t="s">
        <v>566</v>
      </c>
      <c r="B949" s="12">
        <v>361.67045454545456</v>
      </c>
    </row>
    <row r="950" spans="1:2">
      <c r="A950" s="1" t="s">
        <v>567</v>
      </c>
      <c r="B950" s="12">
        <v>0</v>
      </c>
    </row>
    <row r="951" spans="1:2">
      <c r="A951" s="1"/>
      <c r="B951" s="12"/>
    </row>
    <row r="952" spans="1:2">
      <c r="A952" s="1"/>
      <c r="B952" s="12" t="b">
        <f>IF(ISNA(S_C),SET.VALUE(S_C,1))</f>
        <v>0</v>
      </c>
    </row>
    <row r="953" spans="1:2">
      <c r="A953" s="1"/>
      <c r="B953" s="12" t="b">
        <f>IF(ISNA(S_Flag),SET.VALUE(S_Flag,0))</f>
        <v>1</v>
      </c>
    </row>
    <row r="954" spans="1:2">
      <c r="A954" s="1"/>
      <c r="B954" s="12"/>
    </row>
    <row r="955" spans="1:2">
      <c r="A955" s="1"/>
      <c r="B955" s="12" t="b">
        <f>IF(S_A&lt;0,RETURN("A&lt;0"))</f>
        <v>0</v>
      </c>
    </row>
    <row r="956" spans="1:2">
      <c r="A956" s="1"/>
      <c r="B956" s="9" t="b">
        <f>IF(S_A&gt;MaxN,RETURN(A_too_Big))</f>
        <v>0</v>
      </c>
    </row>
    <row r="957" spans="1:2">
      <c r="A957" s="1"/>
      <c r="B957" s="9"/>
    </row>
    <row r="958" spans="1:2">
      <c r="A958" s="1"/>
      <c r="B958" s="12" t="b">
        <f>IF(S_N&lt;0,RETURN("N&lt;0"))</f>
        <v>0</v>
      </c>
    </row>
    <row r="959" spans="1:2">
      <c r="A959" s="1"/>
      <c r="B959" s="12" t="b">
        <f>IF(S_N&gt;MaxN,RETURN(N_too_Big))</f>
        <v>0</v>
      </c>
    </row>
    <row r="960" spans="1:2">
      <c r="A960" s="1"/>
      <c r="B960" s="12"/>
    </row>
    <row r="961" spans="1:2">
      <c r="A961" s="1"/>
      <c r="B961" s="12" t="b">
        <f>IF(S_C&lt;0,RETURN("C&lt;0"))</f>
        <v>0</v>
      </c>
    </row>
    <row r="962" spans="1:2">
      <c r="A962" s="1"/>
      <c r="B962" s="12"/>
    </row>
    <row r="963" spans="1:2">
      <c r="A963" s="1"/>
      <c r="B963" s="12" t="b">
        <f>IF(S_A&gt;=S_N,RETURN("******"))</f>
        <v>0</v>
      </c>
    </row>
    <row r="964" spans="1:2">
      <c r="A964" s="1"/>
      <c r="B964" s="12"/>
    </row>
    <row r="965" spans="1:2">
      <c r="A965" s="1"/>
      <c r="B965" s="12" t="b">
        <f>ARGUMENT("",1,S_ExactTemp)</f>
        <v>1</v>
      </c>
    </row>
    <row r="966" spans="1:2">
      <c r="A966" s="21" t="s">
        <v>568</v>
      </c>
      <c r="B966" s="12" t="e">
        <v>#N/A</v>
      </c>
    </row>
    <row r="967" spans="1:2">
      <c r="A967" s="21" t="s">
        <v>569</v>
      </c>
      <c r="B967" s="12">
        <f>IF(ISNA(S_ExactTemp),0,S_ExactTemp)</f>
        <v>0</v>
      </c>
    </row>
    <row r="968" spans="1:2">
      <c r="A968" s="1"/>
      <c r="B968" s="12"/>
    </row>
    <row r="969" spans="1:2">
      <c r="A969" s="1" t="s">
        <v>570</v>
      </c>
      <c r="B969" s="12">
        <v>1E-4</v>
      </c>
    </row>
    <row r="970" spans="1:2">
      <c r="A970" s="1"/>
      <c r="B970" s="12" t="b">
        <f>SET.VALUE(S_ERLC,IF(S_Flag=0,GOS(S_A,S_N,"ERLC",S_Exact),1))</f>
        <v>1</v>
      </c>
    </row>
    <row r="971" spans="1:2">
      <c r="A971" s="1" t="s">
        <v>571</v>
      </c>
      <c r="B971" s="12">
        <f>S_ERLC/(S_N-S_A)*S_C</f>
        <v>0</v>
      </c>
    </row>
    <row r="972" spans="1:2">
      <c r="A972" s="1"/>
      <c r="B972" s="12"/>
    </row>
    <row r="973" spans="1:2">
      <c r="A973" s="1"/>
      <c r="B973" s="12" t="b">
        <f>IF(S_Exact=0)</f>
        <v>1</v>
      </c>
    </row>
    <row r="974" spans="1:2">
      <c r="A974" s="1" t="s">
        <v>572</v>
      </c>
      <c r="B974" s="12">
        <f xml:space="preserve">   IF(S_C&lt;10,3,IF(S_C&lt;100,2,1))</f>
        <v>1</v>
      </c>
    </row>
    <row r="975" spans="1:2">
      <c r="A975" s="1"/>
      <c r="B975" s="12" t="b">
        <f xml:space="preserve">   SET.VALUE(S_ASA,ROUND(S_ASA,S_ROUND))</f>
        <v>1</v>
      </c>
    </row>
    <row r="976" spans="1:2">
      <c r="A976" s="1"/>
      <c r="B976" s="12" t="b">
        <f>END.IF()</f>
        <v>1</v>
      </c>
    </row>
    <row r="977" spans="1:3">
      <c r="A977" s="1"/>
      <c r="B977" s="15" t="b">
        <f>RETURN(S_ASA)</f>
        <v>1</v>
      </c>
    </row>
    <row r="978" spans="1:3">
      <c r="A978" s="1"/>
      <c r="B978" s="20"/>
    </row>
    <row r="979" spans="1:3">
      <c r="A979" s="1" t="s">
        <v>573</v>
      </c>
      <c r="B979" s="18" t="b">
        <f>RESULT(3)</f>
        <v>1</v>
      </c>
    </row>
    <row r="980" spans="1:3">
      <c r="A980" s="1"/>
      <c r="B980" s="12" t="b">
        <f>ARGUMENT("A_in_CCS",1,TrunkC_A)</f>
        <v>1</v>
      </c>
    </row>
    <row r="981" spans="1:3">
      <c r="A981" s="1"/>
      <c r="B981" s="12" t="b">
        <f>ARGUMENT("Trunk_Num",1,TrunkC_N)</f>
        <v>1</v>
      </c>
    </row>
    <row r="982" spans="1:3">
      <c r="A982" s="1"/>
      <c r="B982" s="12" t="b">
        <f>ARGUMENT("Formula",19,TrunkC_Form)</f>
        <v>1</v>
      </c>
    </row>
    <row r="983" spans="1:3">
      <c r="A983" s="1"/>
      <c r="B983" s="12" t="b">
        <f>ARGUMENT("Num_Trunks",1,TrunkC_M)</f>
        <v>1</v>
      </c>
      <c r="C983" s="112"/>
    </row>
    <row r="984" spans="1:3">
      <c r="A984" s="1" t="s">
        <v>574</v>
      </c>
      <c r="B984" s="12">
        <v>126</v>
      </c>
    </row>
    <row r="985" spans="1:3">
      <c r="A985" s="1" t="s">
        <v>575</v>
      </c>
      <c r="B985" s="12">
        <v>2</v>
      </c>
    </row>
    <row r="986" spans="1:3">
      <c r="A986" s="1" t="s">
        <v>576</v>
      </c>
      <c r="B986" s="12" t="s">
        <v>143</v>
      </c>
    </row>
    <row r="987" spans="1:3">
      <c r="A987" s="1" t="s">
        <v>577</v>
      </c>
      <c r="B987" s="12" t="e">
        <v>#N/A</v>
      </c>
    </row>
    <row r="988" spans="1:3">
      <c r="A988" s="1"/>
      <c r="B988" s="12" t="b">
        <f>IF(TrunkC_A&gt;300000,RETURN(CCS_too_Big))</f>
        <v>0</v>
      </c>
    </row>
    <row r="989" spans="1:3">
      <c r="A989" s="1"/>
      <c r="B989" s="12"/>
    </row>
    <row r="990" spans="1:3">
      <c r="A990" s="1"/>
      <c r="B990" s="12">
        <f>Trunk(TrunkC_A/36,TrunkC_N,TrunkC_Form,TrunkC_M)</f>
        <v>0.70457516339869342</v>
      </c>
      <c r="C990" s="114"/>
    </row>
    <row r="991" spans="1:3">
      <c r="A991" s="1"/>
      <c r="B991" s="12" t="b">
        <f>IF(ISNUMBER(B990))</f>
        <v>1</v>
      </c>
      <c r="C991" s="76"/>
    </row>
    <row r="992" spans="1:3">
      <c r="A992" s="1"/>
      <c r="B992" s="12" t="b">
        <f xml:space="preserve">   RETURN(ROUND(B990*36,1))</f>
        <v>1</v>
      </c>
      <c r="C992" s="76"/>
    </row>
    <row r="993" spans="1:3">
      <c r="A993" s="1"/>
      <c r="B993" s="12" t="b">
        <f>ELSE()</f>
        <v>1</v>
      </c>
      <c r="C993" s="76"/>
    </row>
    <row r="994" spans="1:3">
      <c r="A994" s="1"/>
      <c r="B994" s="12" t="b">
        <f xml:space="preserve">   RETURN(B990)</f>
        <v>1</v>
      </c>
      <c r="C994" s="76"/>
    </row>
    <row r="995" spans="1:3">
      <c r="A995" s="1"/>
      <c r="B995" s="15" t="b">
        <f>END.IF()</f>
        <v>0</v>
      </c>
      <c r="C995" s="76"/>
    </row>
    <row r="996" spans="1:3">
      <c r="A996" s="1"/>
      <c r="B996" s="70"/>
      <c r="C996" s="76"/>
    </row>
    <row r="997" spans="1:3">
      <c r="A997" s="1"/>
      <c r="B997" s="20"/>
    </row>
    <row r="998" spans="1:3">
      <c r="A998" s="1" t="s">
        <v>578</v>
      </c>
      <c r="B998" s="18" t="b">
        <f>RESULT(3)</f>
        <v>1</v>
      </c>
    </row>
    <row r="999" spans="1:3">
      <c r="A999" s="1"/>
      <c r="B999" s="12" t="b">
        <f>ARGUMENT("A_in_Erl",1,Trunk_A)</f>
        <v>1</v>
      </c>
    </row>
    <row r="1000" spans="1:3">
      <c r="A1000" s="1"/>
      <c r="B1000" s="12" t="b">
        <f>ARGUMENT("Trunk_Num",1,Trunk_N)</f>
        <v>1</v>
      </c>
    </row>
    <row r="1001" spans="1:3">
      <c r="A1001" s="1"/>
      <c r="B1001" s="12" t="b">
        <f>ARGUMENT("Formula",19,Trunk_FORM)</f>
        <v>1</v>
      </c>
    </row>
    <row r="1002" spans="1:3">
      <c r="A1002" s="1"/>
      <c r="B1002" s="12" t="b">
        <f>ARGUMENT("Num_Trunks",19,Trunk_M)</f>
        <v>1</v>
      </c>
    </row>
    <row r="1003" spans="1:3">
      <c r="A1003" s="1" t="s">
        <v>579</v>
      </c>
      <c r="B1003" s="12">
        <v>3.5</v>
      </c>
    </row>
    <row r="1004" spans="1:3">
      <c r="A1004" s="1" t="s">
        <v>580</v>
      </c>
      <c r="B1004" s="12">
        <v>2</v>
      </c>
    </row>
    <row r="1005" spans="1:3">
      <c r="A1005" s="1" t="s">
        <v>581</v>
      </c>
      <c r="B1005" s="12" t="s">
        <v>143</v>
      </c>
    </row>
    <row r="1006" spans="1:3">
      <c r="A1006" s="1" t="s">
        <v>582</v>
      </c>
      <c r="B1006" s="12" t="e">
        <v>#N/A</v>
      </c>
    </row>
    <row r="1007" spans="1:3">
      <c r="A1007" s="1" t="s">
        <v>583</v>
      </c>
      <c r="B1007" s="12" t="e">
        <v>#N/A</v>
      </c>
    </row>
    <row r="1008" spans="1:3">
      <c r="A1008" s="1"/>
      <c r="B1008" s="12" t="b">
        <f>IF(Trunk_A&lt;0,RETURN("A&lt;0"))</f>
        <v>0</v>
      </c>
    </row>
    <row r="1009" spans="1:2">
      <c r="A1009" s="1"/>
      <c r="B1009" s="9" t="b">
        <f>IF(Trunk_A&gt;=MaxN,RETURN(A_too_Big))</f>
        <v>0</v>
      </c>
    </row>
    <row r="1010" spans="1:2">
      <c r="A1010" s="1"/>
      <c r="B1010" s="12" t="b">
        <f>IF(Trunk_N&lt;0,RETURN("Trunk_Num&lt;0"))</f>
        <v>0</v>
      </c>
    </row>
    <row r="1011" spans="1:2">
      <c r="A1011" s="1"/>
      <c r="B1011" s="12" t="b">
        <f>IF(Trunk_N&gt;MaxN,RETURN("Trunk_Num&gt;1000"))</f>
        <v>0</v>
      </c>
    </row>
    <row r="1012" spans="1:2">
      <c r="A1012" s="1"/>
      <c r="B1012" s="9" t="b">
        <f>IF(Trunk_N=0,RETURN(0))</f>
        <v>0</v>
      </c>
    </row>
    <row r="1013" spans="1:2">
      <c r="A1013" s="1"/>
      <c r="B1013" s="9"/>
    </row>
    <row r="1014" spans="1:2">
      <c r="A1014" s="1"/>
      <c r="B1014" s="9" t="str">
        <f>IF(ISNA(Trunk_FORM),"POIS",UPPER(Trunk_FORM))</f>
        <v>ERLB</v>
      </c>
    </row>
    <row r="1015" spans="1:2">
      <c r="A1015" s="1"/>
      <c r="B1015" s="9" t="b">
        <f>SET.VALUE(Trunk_FORM,IF(ISNA(Trunk_FORM),"POIS",UPPER(Trunk_FORM)))</f>
        <v>1</v>
      </c>
    </row>
    <row r="1016" spans="1:2">
      <c r="A1016" s="1"/>
      <c r="B1016" s="9" t="b">
        <f>IF(ISERR(FIND(Trunk_FORM,"POIS ERLB ERLC")))</f>
        <v>1</v>
      </c>
    </row>
    <row r="1017" spans="1:2">
      <c r="A1017" s="1"/>
      <c r="B1017" s="12" t="b">
        <f xml:space="preserve">   RETURN("Formula must be POIS,ERLB or ERLC")</f>
        <v>1</v>
      </c>
    </row>
    <row r="1018" spans="1:2">
      <c r="A1018" s="1"/>
      <c r="B1018" s="12" t="b">
        <f>END.IF()</f>
        <v>0</v>
      </c>
    </row>
    <row r="1019" spans="1:2">
      <c r="A1019" s="1"/>
      <c r="B1019" s="12"/>
    </row>
    <row r="1020" spans="1:2">
      <c r="A1020" s="1"/>
      <c r="B1020" s="12" t="e">
        <f>IF(Trunk_M&lt;0,RETURN("Number of trunks&lt;0"))</f>
        <v>#N/A</v>
      </c>
    </row>
    <row r="1021" spans="1:2">
      <c r="A1021" s="1"/>
      <c r="B1021" s="12" t="e">
        <f>IF(Trunk_M&gt;MaxN,RETURN("Number of trunks&gt;1000"))</f>
        <v>#N/A</v>
      </c>
    </row>
    <row r="1022" spans="1:2">
      <c r="A1022" s="1"/>
      <c r="B1022" s="12"/>
    </row>
    <row r="1023" spans="1:2">
      <c r="A1023" s="1"/>
      <c r="B1023" s="9" t="e">
        <f>IF(Trunk_M=0,RETURN(0))</f>
        <v>#N/A</v>
      </c>
    </row>
    <row r="1024" spans="1:2">
      <c r="A1024" s="1"/>
      <c r="B1024" s="12"/>
    </row>
    <row r="1025" spans="1:2">
      <c r="A1025" s="1"/>
      <c r="B1025" s="9" t="b">
        <f>IF(NOT(EXACT(Trunk_FORM,"ERLB")))</f>
        <v>1</v>
      </c>
    </row>
    <row r="1026" spans="1:2">
      <c r="A1026" s="1"/>
      <c r="B1026" s="9" t="b">
        <f xml:space="preserve">   IF(ISNA(Trunk_N),RETURN("Trunk Num Missing"))</f>
        <v>1</v>
      </c>
    </row>
    <row r="1027" spans="1:2">
      <c r="A1027" s="1"/>
      <c r="B1027" s="12" t="e">
        <f xml:space="preserve">   IF(Trunk_N&gt;Trunk_M,RETURN(0))</f>
        <v>#N/A</v>
      </c>
    </row>
    <row r="1028" spans="1:2">
      <c r="A1028" s="1"/>
      <c r="B1028" s="12" t="b">
        <f>END.IF()</f>
        <v>1</v>
      </c>
    </row>
    <row r="1029" spans="1:2">
      <c r="A1029" s="1"/>
      <c r="B1029" s="12"/>
    </row>
    <row r="1030" spans="1:2">
      <c r="A1030" s="1"/>
      <c r="B1030" s="12" t="b">
        <f>ARGUMENT("",1,Trunk_Exact)</f>
        <v>1</v>
      </c>
    </row>
    <row r="1031" spans="1:2">
      <c r="A1031" s="1" t="s">
        <v>584</v>
      </c>
      <c r="B1031" s="9">
        <f>GOS(Trunk_A,Trunk_N,"ERLB",1)</f>
        <v>0.57647058823529418</v>
      </c>
    </row>
    <row r="1032" spans="1:2">
      <c r="A1032" s="1" t="s">
        <v>585</v>
      </c>
      <c r="B1032" s="9">
        <f>(Trunk_N/(1-Trunk_ERLB)-Trunk_A)*Trunk_ERLB</f>
        <v>0.70457516339869342</v>
      </c>
    </row>
    <row r="1033" spans="1:2">
      <c r="A1033" s="1" t="s">
        <v>586</v>
      </c>
      <c r="B1033" s="12">
        <f>0</f>
        <v>0</v>
      </c>
    </row>
    <row r="1034" spans="1:2">
      <c r="A1034" s="1"/>
      <c r="B1034" s="9" t="b">
        <f>IF(EXACT(Trunk_FORM,"POIS"))</f>
        <v>1</v>
      </c>
    </row>
    <row r="1035" spans="1:2">
      <c r="A1035" s="1" t="s">
        <v>587</v>
      </c>
      <c r="B1035" s="9" t="b">
        <f xml:space="preserve">   GOS(Trunk_A,Trunk_M+1,"POIS",1)</f>
        <v>0</v>
      </c>
    </row>
    <row r="1036" spans="1:2">
      <c r="A1036" s="1"/>
      <c r="B1036" s="12" t="b">
        <f xml:space="preserve">   SET.VALUE(Trunk_Q,Trunk_Pois)</f>
        <v>0</v>
      </c>
    </row>
    <row r="1037" spans="1:2">
      <c r="A1037" s="1"/>
      <c r="B1037" s="9" t="b">
        <f>ELSE.IF(EXACT(Trunk_FORM,"ERLC"))</f>
        <v>1</v>
      </c>
    </row>
    <row r="1038" spans="1:2">
      <c r="A1038" s="1" t="s">
        <v>588</v>
      </c>
      <c r="B1038" s="9" t="b">
        <f xml:space="preserve">   GOS(Trunk_A,Trunk_M,"ERLC",1)</f>
        <v>0</v>
      </c>
    </row>
    <row r="1039" spans="1:2">
      <c r="A1039" s="1"/>
      <c r="B1039" s="12" t="b">
        <f xml:space="preserve">   SET.VALUE(Trunk_Q,Trunk_ERLC*Trunk_A/Trunk_M)</f>
        <v>0</v>
      </c>
    </row>
    <row r="1040" spans="1:2">
      <c r="A1040" s="1"/>
      <c r="B1040" s="9" t="b">
        <f>END.IF()</f>
        <v>0</v>
      </c>
    </row>
    <row r="1041" spans="1:2">
      <c r="A1041" s="1" t="s">
        <v>589</v>
      </c>
      <c r="B1041" s="9">
        <f>Trunk_T+Trunk_Q*(1-Trunk_T)</f>
        <v>0.70457516339869342</v>
      </c>
    </row>
    <row r="1042" spans="1:2">
      <c r="A1042" s="1"/>
      <c r="B1042" s="9" t="e">
        <f>IF(Trunk_Exact=0,SET.VALUE(Trunk_END,ROUND(Trunk_END,4)))</f>
        <v>#N/A</v>
      </c>
    </row>
    <row r="1043" spans="1:2">
      <c r="A1043" s="1"/>
      <c r="B1043" s="15" t="b">
        <f>RETURN(Trunk_END)</f>
        <v>1</v>
      </c>
    </row>
  </sheetData>
  <phoneticPr fontId="23" type="noConversion"/>
  <printOptions gridLinesSet="0"/>
  <pageMargins left="0.25" right="0.25" top="0.984251969" bottom="0.984251969" header="0.5" footer="0.5"/>
  <pageSetup orientation="landscape" horizontalDpi="300" verticalDpi="300" r:id="rId1"/>
  <headerFooter alignWithMargins="0">
    <oddHeader>&amp;L&amp;D&amp;C&amp;F&amp;R&amp;T</oddHeader>
    <oddFooter>Page &amp;P</oddFooter>
  </headerFooter>
  <rowBreaks count="12" manualBreakCount="12">
    <brk id="106" max="65535" man="1"/>
    <brk id="118" max="65535" man="1"/>
    <brk id="155" max="65535" man="1"/>
    <brk id="184" max="65535" man="1"/>
    <brk id="353" max="65535" man="1"/>
    <brk id="369" max="65535" man="1"/>
    <brk id="471" max="65535" man="1"/>
    <brk id="583" max="65535" man="1"/>
    <brk id="624" max="65535" man="1"/>
    <brk id="660" max="65535" man="1"/>
    <brk id="757" max="65535" man="1"/>
    <brk id="865" max="65535" man="1"/>
  </rowBreaks>
</xm:macrosheet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FF0000"/>
  </sheetPr>
  <dimension ref="A1:AS150"/>
  <sheetViews>
    <sheetView showGridLines="0" showRowColHeaders="0" topLeftCell="A47" zoomScale="85" zoomScaleNormal="85" workbookViewId="0">
      <selection activeCell="I53" sqref="I53:I100"/>
    </sheetView>
  </sheetViews>
  <sheetFormatPr defaultRowHeight="12.75" customHeight="1"/>
  <cols>
    <col min="1" max="1" width="6" style="117" bestFit="1" customWidth="1"/>
    <col min="2" max="2" width="4.375" style="117" bestFit="1" customWidth="1"/>
    <col min="3" max="8" width="4.875" style="117" customWidth="1"/>
    <col min="9" max="9" width="6.25" style="117" bestFit="1" customWidth="1"/>
    <col min="10" max="11" width="4.875" style="117" customWidth="1"/>
    <col min="12" max="12" width="6.625" style="117" customWidth="1"/>
    <col min="13" max="30" width="4.875" style="117" customWidth="1"/>
    <col min="31" max="31" width="1.75" style="117" customWidth="1"/>
    <col min="32" max="33" width="9" style="117"/>
    <col min="34" max="35" width="11.5" style="117" bestFit="1" customWidth="1"/>
    <col min="36" max="16384" width="9" style="117"/>
  </cols>
  <sheetData>
    <row r="1" spans="1:45" ht="12.75" customHeight="1">
      <c r="A1" s="592" t="s">
        <v>591</v>
      </c>
      <c r="B1" s="175">
        <v>1</v>
      </c>
      <c r="C1" s="525" t="s">
        <v>814</v>
      </c>
      <c r="D1" s="525" t="s">
        <v>808</v>
      </c>
      <c r="E1" s="525" t="s">
        <v>809</v>
      </c>
      <c r="F1" s="525" t="s">
        <v>810</v>
      </c>
      <c r="G1" s="525" t="s">
        <v>811</v>
      </c>
      <c r="H1" s="525" t="s">
        <v>812</v>
      </c>
      <c r="I1" s="525" t="s">
        <v>813</v>
      </c>
      <c r="J1" s="525" t="s">
        <v>816</v>
      </c>
      <c r="K1" s="525" t="s">
        <v>801</v>
      </c>
      <c r="L1" s="525" t="s">
        <v>801</v>
      </c>
      <c r="M1" s="525" t="s">
        <v>801</v>
      </c>
      <c r="N1" s="525" t="s">
        <v>801</v>
      </c>
      <c r="O1" s="525" t="s">
        <v>801</v>
      </c>
      <c r="P1" s="525" t="s">
        <v>801</v>
      </c>
      <c r="Q1" s="525" t="s">
        <v>801</v>
      </c>
      <c r="R1" s="525" t="s">
        <v>801</v>
      </c>
      <c r="S1" s="525" t="s">
        <v>801</v>
      </c>
      <c r="T1" s="525" t="s">
        <v>801</v>
      </c>
      <c r="U1" s="525" t="s">
        <v>801</v>
      </c>
      <c r="V1" s="525" t="s">
        <v>801</v>
      </c>
      <c r="W1" s="525" t="s">
        <v>801</v>
      </c>
      <c r="X1" s="525" t="s">
        <v>801</v>
      </c>
      <c r="Y1" s="525" t="s">
        <v>801</v>
      </c>
      <c r="Z1" s="525" t="s">
        <v>801</v>
      </c>
      <c r="AA1" s="525" t="s">
        <v>801</v>
      </c>
      <c r="AB1" s="525" t="s">
        <v>801</v>
      </c>
      <c r="AC1" s="525" t="s">
        <v>801</v>
      </c>
      <c r="AD1" s="525" t="s">
        <v>801</v>
      </c>
      <c r="AE1" s="525" t="s">
        <v>801</v>
      </c>
      <c r="AF1" s="525" t="s">
        <v>801</v>
      </c>
      <c r="AG1" s="525" t="s">
        <v>801</v>
      </c>
    </row>
    <row r="2" spans="1:45">
      <c r="A2" s="592">
        <v>1</v>
      </c>
      <c r="B2" s="126">
        <f>A2+1</f>
        <v>2</v>
      </c>
      <c r="C2" s="126">
        <f t="shared" ref="C2:AD2" si="0">B2+1</f>
        <v>3</v>
      </c>
      <c r="D2" s="126">
        <f t="shared" si="0"/>
        <v>4</v>
      </c>
      <c r="E2" s="126">
        <f t="shared" si="0"/>
        <v>5</v>
      </c>
      <c r="F2" s="126">
        <f t="shared" si="0"/>
        <v>6</v>
      </c>
      <c r="G2" s="126">
        <f t="shared" si="0"/>
        <v>7</v>
      </c>
      <c r="H2" s="126">
        <f t="shared" si="0"/>
        <v>8</v>
      </c>
      <c r="I2" s="126">
        <f t="shared" si="0"/>
        <v>9</v>
      </c>
      <c r="J2" s="126">
        <f t="shared" si="0"/>
        <v>10</v>
      </c>
      <c r="K2" s="126">
        <f t="shared" si="0"/>
        <v>11</v>
      </c>
      <c r="L2" s="126">
        <f t="shared" si="0"/>
        <v>12</v>
      </c>
      <c r="M2" s="126">
        <f t="shared" si="0"/>
        <v>13</v>
      </c>
      <c r="N2" s="126">
        <f t="shared" si="0"/>
        <v>14</v>
      </c>
      <c r="O2" s="126">
        <f t="shared" si="0"/>
        <v>15</v>
      </c>
      <c r="P2" s="126">
        <f t="shared" si="0"/>
        <v>16</v>
      </c>
      <c r="Q2" s="126">
        <f t="shared" si="0"/>
        <v>17</v>
      </c>
      <c r="R2" s="126">
        <f t="shared" si="0"/>
        <v>18</v>
      </c>
      <c r="S2" s="126">
        <f t="shared" si="0"/>
        <v>19</v>
      </c>
      <c r="T2" s="126">
        <f t="shared" si="0"/>
        <v>20</v>
      </c>
      <c r="U2" s="126">
        <f t="shared" si="0"/>
        <v>21</v>
      </c>
      <c r="V2" s="126">
        <f t="shared" si="0"/>
        <v>22</v>
      </c>
      <c r="W2" s="126">
        <f t="shared" si="0"/>
        <v>23</v>
      </c>
      <c r="X2" s="126">
        <f t="shared" si="0"/>
        <v>24</v>
      </c>
      <c r="Y2" s="126">
        <f t="shared" si="0"/>
        <v>25</v>
      </c>
      <c r="Z2" s="126">
        <f t="shared" si="0"/>
        <v>26</v>
      </c>
      <c r="AA2" s="126">
        <f t="shared" si="0"/>
        <v>27</v>
      </c>
      <c r="AB2" s="126">
        <f t="shared" si="0"/>
        <v>28</v>
      </c>
      <c r="AC2" s="126">
        <f t="shared" si="0"/>
        <v>29</v>
      </c>
      <c r="AD2" s="126">
        <f t="shared" si="0"/>
        <v>30</v>
      </c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</row>
    <row r="3" spans="1:45" ht="12.75" customHeight="1">
      <c r="A3" s="593">
        <v>0</v>
      </c>
      <c r="B3" s="126">
        <v>3</v>
      </c>
      <c r="C3" s="121">
        <v>2.1368944512577988E-3</v>
      </c>
      <c r="D3" s="121">
        <v>2.330440109642209E-3</v>
      </c>
      <c r="E3" s="121">
        <v>2.3032944756953768E-3</v>
      </c>
      <c r="F3" s="121">
        <v>2.3843593929696559E-3</v>
      </c>
      <c r="G3" s="121">
        <v>2.4098192015130629E-3</v>
      </c>
      <c r="H3" s="121">
        <v>5.4155966560721141E-3</v>
      </c>
      <c r="I3" s="121">
        <v>5.5092585323521367E-3</v>
      </c>
      <c r="J3" s="121"/>
      <c r="K3" s="121"/>
      <c r="L3" s="121"/>
      <c r="M3" s="121"/>
      <c r="N3" s="121"/>
      <c r="O3" s="121"/>
      <c r="P3" s="121"/>
    </row>
    <row r="4" spans="1:45" ht="12.75" customHeight="1">
      <c r="A4" s="593">
        <v>2.0833333333333332E-2</v>
      </c>
      <c r="B4" s="126">
        <f>B3+1</f>
        <v>4</v>
      </c>
      <c r="C4" s="121">
        <v>1.4944797863329588E-3</v>
      </c>
      <c r="D4" s="121">
        <v>1.6302288795067026E-3</v>
      </c>
      <c r="E4" s="121">
        <v>1.609230309730886E-3</v>
      </c>
      <c r="F4" s="121">
        <v>1.665859202524915E-3</v>
      </c>
      <c r="G4" s="121">
        <v>1.6847396003777295E-3</v>
      </c>
      <c r="H4" s="121">
        <v>3.7845006083805414E-3</v>
      </c>
      <c r="I4" s="121">
        <v>3.5000892890520536E-3</v>
      </c>
      <c r="J4" s="121"/>
      <c r="K4" s="121"/>
      <c r="L4" s="121"/>
      <c r="M4" s="121"/>
      <c r="N4" s="121"/>
      <c r="O4" s="121"/>
      <c r="P4" s="121"/>
    </row>
    <row r="5" spans="1:45" ht="12.75" customHeight="1">
      <c r="A5" s="593">
        <v>4.1666666666666699E-2</v>
      </c>
      <c r="B5" s="126">
        <f t="shared" ref="B5:B50" si="1">B4+1</f>
        <v>5</v>
      </c>
      <c r="C5" s="121">
        <v>1.1378374055779697E-3</v>
      </c>
      <c r="D5" s="121">
        <v>1.2407133344528563E-3</v>
      </c>
      <c r="E5" s="121">
        <v>1.2271999763366662E-3</v>
      </c>
      <c r="F5" s="121">
        <v>1.2703954049555783E-3</v>
      </c>
      <c r="G5" s="121">
        <v>1.2834499418266482E-3</v>
      </c>
      <c r="H5" s="121">
        <v>4.1919656489533136E-3</v>
      </c>
      <c r="I5" s="121">
        <v>4.8292038015201964E-3</v>
      </c>
      <c r="J5" s="121"/>
      <c r="K5" s="121"/>
      <c r="L5" s="121"/>
      <c r="M5" s="121"/>
      <c r="N5" s="121"/>
      <c r="O5" s="121"/>
      <c r="P5" s="121"/>
    </row>
    <row r="6" spans="1:45" ht="12.75" customHeight="1">
      <c r="A6" s="593">
        <v>6.25E-2</v>
      </c>
      <c r="B6" s="126">
        <f t="shared" si="1"/>
        <v>6</v>
      </c>
      <c r="C6" s="121">
        <v>9.0161645272773783E-4</v>
      </c>
      <c r="D6" s="121">
        <v>9.8298762844049392E-4</v>
      </c>
      <c r="E6" s="121">
        <v>9.7304145328039413E-4</v>
      </c>
      <c r="F6" s="121">
        <v>1.0072940541439399E-3</v>
      </c>
      <c r="G6" s="121">
        <v>1.0172319193795375E-3</v>
      </c>
      <c r="H6" s="121">
        <v>2.9896466538560061E-3</v>
      </c>
      <c r="I6" s="121">
        <v>3.7761851449637394E-3</v>
      </c>
      <c r="J6" s="121"/>
      <c r="K6" s="121"/>
      <c r="L6" s="121"/>
      <c r="M6" s="121"/>
      <c r="N6" s="121"/>
      <c r="O6" s="121"/>
      <c r="P6" s="121"/>
    </row>
    <row r="7" spans="1:45" ht="12.75" customHeight="1">
      <c r="A7" s="593">
        <v>8.3333333333333301E-2</v>
      </c>
      <c r="B7" s="126">
        <f t="shared" si="1"/>
        <v>7</v>
      </c>
      <c r="C7" s="121">
        <v>7.2570765308747421E-4</v>
      </c>
      <c r="D7" s="121">
        <v>7.9080904936577846E-4</v>
      </c>
      <c r="E7" s="121">
        <v>7.8484239530393065E-4</v>
      </c>
      <c r="F7" s="121">
        <v>8.124784797506016E-4</v>
      </c>
      <c r="G7" s="121">
        <v>8.1938938010441139E-4</v>
      </c>
      <c r="H7" s="121">
        <v>2.3021752429874596E-3</v>
      </c>
      <c r="I7" s="121">
        <v>2.8934944347773707E-3</v>
      </c>
      <c r="J7" s="121"/>
      <c r="K7" s="121"/>
      <c r="L7" s="121"/>
      <c r="M7" s="121"/>
      <c r="N7" s="121"/>
      <c r="O7" s="121"/>
      <c r="P7" s="121"/>
    </row>
    <row r="8" spans="1:45" ht="12.75" customHeight="1">
      <c r="A8" s="593">
        <v>0.104166666666667</v>
      </c>
      <c r="B8" s="126">
        <f t="shared" si="1"/>
        <v>8</v>
      </c>
      <c r="C8" s="121">
        <v>5.7772361060125981E-4</v>
      </c>
      <c r="D8" s="121">
        <v>6.2878955501864664E-4</v>
      </c>
      <c r="E8" s="121">
        <v>6.2797405461224908E-4</v>
      </c>
      <c r="F8" s="121">
        <v>6.5010260111852578E-4</v>
      </c>
      <c r="G8" s="121">
        <v>6.5350473698774856E-4</v>
      </c>
      <c r="H8" s="121">
        <v>1.9078393152645817E-3</v>
      </c>
      <c r="I8" s="121">
        <v>2.1274865274038064E-3</v>
      </c>
      <c r="J8" s="121"/>
      <c r="K8" s="121"/>
      <c r="L8" s="121"/>
      <c r="M8" s="121"/>
      <c r="N8" s="121"/>
      <c r="O8" s="121"/>
      <c r="P8" s="121"/>
    </row>
    <row r="9" spans="1:45" ht="12.75" customHeight="1">
      <c r="A9" s="593">
        <v>0.125</v>
      </c>
      <c r="B9" s="126">
        <f t="shared" si="1"/>
        <v>9</v>
      </c>
      <c r="C9" s="121">
        <v>5.2093626258461166E-4</v>
      </c>
      <c r="D9" s="121">
        <v>5.6707426458299309E-4</v>
      </c>
      <c r="E9" s="121">
        <v>5.6586490700725979E-4</v>
      </c>
      <c r="F9" s="121">
        <v>5.8580291545604112E-4</v>
      </c>
      <c r="G9" s="121">
        <v>5.8912358473584339E-4</v>
      </c>
      <c r="H9" s="121">
        <v>1.4490536211565143E-3</v>
      </c>
      <c r="I9" s="121">
        <v>1.8363026412387881E-3</v>
      </c>
      <c r="J9" s="121"/>
      <c r="K9" s="121"/>
      <c r="L9" s="121"/>
      <c r="M9" s="121"/>
      <c r="N9" s="121"/>
      <c r="O9" s="121"/>
      <c r="P9" s="121"/>
    </row>
    <row r="10" spans="1:45" ht="12.75" customHeight="1">
      <c r="A10" s="593">
        <v>0.14583333333333301</v>
      </c>
      <c r="B10" s="126">
        <f t="shared" si="1"/>
        <v>10</v>
      </c>
      <c r="C10" s="121">
        <v>5.2485035260350075E-4</v>
      </c>
      <c r="D10" s="121">
        <v>5.7129215428116764E-4</v>
      </c>
      <c r="E10" s="121">
        <v>5.7029554744509974E-4</v>
      </c>
      <c r="F10" s="121">
        <v>5.9039057437784682E-4</v>
      </c>
      <c r="G10" s="121">
        <v>5.9361781617052554E-4</v>
      </c>
      <c r="H10" s="121">
        <v>1.1461919801378265E-3</v>
      </c>
      <c r="I10" s="121">
        <v>1.8408721670844456E-3</v>
      </c>
      <c r="J10" s="121"/>
      <c r="K10" s="121"/>
      <c r="L10" s="121"/>
      <c r="M10" s="121"/>
      <c r="N10" s="121"/>
      <c r="O10" s="121"/>
      <c r="P10" s="121"/>
    </row>
    <row r="11" spans="1:45" ht="12.75" customHeight="1">
      <c r="A11" s="593">
        <v>0.16666666666666699</v>
      </c>
      <c r="B11" s="126">
        <f t="shared" si="1"/>
        <v>11</v>
      </c>
      <c r="C11" s="121">
        <v>5.9029755471706421E-4</v>
      </c>
      <c r="D11" s="121">
        <v>6.4310872484644652E-4</v>
      </c>
      <c r="E11" s="121">
        <v>6.3899514887088486E-4</v>
      </c>
      <c r="F11" s="121">
        <v>6.6149865737069385E-4</v>
      </c>
      <c r="G11" s="121">
        <v>6.6672529804262992E-4</v>
      </c>
      <c r="H11" s="121">
        <v>1.3526945472362173E-3</v>
      </c>
      <c r="I11" s="121">
        <v>1.5805079030784888E-3</v>
      </c>
      <c r="J11" s="121"/>
      <c r="K11" s="121"/>
      <c r="L11" s="121"/>
      <c r="M11" s="121"/>
      <c r="N11" s="121"/>
      <c r="O11" s="121"/>
      <c r="P11" s="121"/>
    </row>
    <row r="12" spans="1:45" ht="12.75" customHeight="1">
      <c r="A12" s="593">
        <v>0.1875</v>
      </c>
      <c r="B12" s="126">
        <f t="shared" si="1"/>
        <v>12</v>
      </c>
      <c r="C12" s="121">
        <v>8.7027659032364718E-4</v>
      </c>
      <c r="D12" s="121">
        <v>9.4878788708085342E-4</v>
      </c>
      <c r="E12" s="121">
        <v>9.3935019374570517E-4</v>
      </c>
      <c r="F12" s="121">
        <v>9.7241747849038896E-4</v>
      </c>
      <c r="G12" s="121">
        <v>9.8192305653324792E-4</v>
      </c>
      <c r="H12" s="121">
        <v>2.0297326699381855E-3</v>
      </c>
      <c r="I12" s="121">
        <v>1.8629491264157254E-3</v>
      </c>
      <c r="J12" s="121"/>
      <c r="K12" s="121"/>
      <c r="L12" s="121"/>
      <c r="M12" s="121"/>
      <c r="N12" s="121"/>
      <c r="O12" s="121"/>
      <c r="P12" s="121"/>
    </row>
    <row r="13" spans="1:45" ht="12.75" customHeight="1">
      <c r="A13" s="593">
        <v>0.20833333333333301</v>
      </c>
      <c r="B13" s="126">
        <f t="shared" si="1"/>
        <v>13</v>
      </c>
      <c r="C13" s="121">
        <v>1.5262737897835878E-3</v>
      </c>
      <c r="D13" s="121">
        <v>1.6638514320445781E-3</v>
      </c>
      <c r="E13" s="121">
        <v>1.6478893557485132E-3</v>
      </c>
      <c r="F13" s="121">
        <v>1.7059012718772869E-3</v>
      </c>
      <c r="G13" s="121">
        <v>1.7222573613615004E-3</v>
      </c>
      <c r="H13" s="121">
        <v>3.7262063391678645E-3</v>
      </c>
      <c r="I13" s="121">
        <v>2.6202143709615077E-3</v>
      </c>
      <c r="J13" s="121"/>
      <c r="K13" s="121"/>
      <c r="L13" s="121"/>
      <c r="M13" s="121"/>
      <c r="N13" s="121"/>
      <c r="O13" s="121"/>
      <c r="P13" s="121"/>
    </row>
    <row r="14" spans="1:45" ht="12.75" customHeight="1">
      <c r="A14" s="593">
        <v>0.22916666666666699</v>
      </c>
      <c r="B14" s="126">
        <f t="shared" si="1"/>
        <v>14</v>
      </c>
      <c r="C14" s="121">
        <v>2.5535717113697926E-3</v>
      </c>
      <c r="D14" s="121">
        <v>2.7828924462879896E-3</v>
      </c>
      <c r="E14" s="121">
        <v>2.7606227025731914E-3</v>
      </c>
      <c r="F14" s="121">
        <v>2.8578252688053743E-3</v>
      </c>
      <c r="G14" s="121">
        <v>2.8828230827267387E-3</v>
      </c>
      <c r="H14" s="121">
        <v>6.4483277696100938E-3</v>
      </c>
      <c r="I14" s="121">
        <v>4.0387406016341564E-3</v>
      </c>
      <c r="J14" s="121"/>
      <c r="K14" s="121"/>
      <c r="L14" s="121"/>
      <c r="M14" s="121"/>
      <c r="N14" s="121"/>
      <c r="O14" s="121"/>
      <c r="P14" s="121"/>
    </row>
    <row r="15" spans="1:45" ht="12.75" customHeight="1">
      <c r="A15" s="593">
        <v>0.25</v>
      </c>
      <c r="B15" s="126">
        <f t="shared" si="1"/>
        <v>15</v>
      </c>
      <c r="C15" s="121">
        <v>3.9232582492721166E-3</v>
      </c>
      <c r="D15" s="121">
        <v>4.2755760578194538E-3</v>
      </c>
      <c r="E15" s="121">
        <v>4.2413930259629067E-3</v>
      </c>
      <c r="F15" s="121">
        <v>4.3907342040853123E-3</v>
      </c>
      <c r="G15" s="121">
        <v>4.4291234081211134E-3</v>
      </c>
      <c r="H15" s="121">
        <v>9.7289668074515018E-3</v>
      </c>
      <c r="I15" s="121">
        <v>6.0947002709615785E-3</v>
      </c>
      <c r="J15" s="121"/>
      <c r="K15" s="121"/>
      <c r="L15" s="121"/>
      <c r="M15" s="121"/>
      <c r="N15" s="121"/>
      <c r="O15" s="121"/>
      <c r="P15" s="121"/>
    </row>
    <row r="16" spans="1:45" ht="12.75" customHeight="1">
      <c r="A16" s="593">
        <v>0.27083333333333298</v>
      </c>
      <c r="B16" s="126">
        <f t="shared" si="1"/>
        <v>16</v>
      </c>
      <c r="C16" s="121">
        <v>5.6706522613010919E-3</v>
      </c>
      <c r="D16" s="121">
        <v>6.1814118241134558E-3</v>
      </c>
      <c r="E16" s="121">
        <v>6.1241282033579428E-3</v>
      </c>
      <c r="F16" s="121">
        <v>6.339728909481623E-3</v>
      </c>
      <c r="G16" s="121">
        <v>6.3994190677075869E-3</v>
      </c>
      <c r="H16" s="121">
        <v>1.4410909473614635E-2</v>
      </c>
      <c r="I16" s="121">
        <v>9.3203392918282078E-3</v>
      </c>
      <c r="J16" s="121"/>
      <c r="K16" s="121"/>
      <c r="L16" s="121"/>
      <c r="M16" s="121"/>
      <c r="N16" s="121"/>
      <c r="O16" s="121"/>
      <c r="P16" s="121"/>
    </row>
    <row r="17" spans="1:16" ht="12.75" customHeight="1">
      <c r="A17" s="593">
        <v>0.29166666666666702</v>
      </c>
      <c r="B17" s="126">
        <f t="shared" si="1"/>
        <v>17</v>
      </c>
      <c r="C17" s="121">
        <v>1.4942428641260892E-2</v>
      </c>
      <c r="D17" s="121">
        <v>1.4716757094651169E-2</v>
      </c>
      <c r="E17" s="121">
        <v>1.4953148077667587E-2</v>
      </c>
      <c r="F17" s="121">
        <v>1.372412100945211E-2</v>
      </c>
      <c r="G17" s="121">
        <v>1.4136213420860824E-2</v>
      </c>
      <c r="H17" s="121">
        <v>2.0085883463161661E-2</v>
      </c>
      <c r="I17" s="121">
        <v>1.3551088410300201E-2</v>
      </c>
      <c r="J17" s="121"/>
      <c r="K17" s="121"/>
      <c r="L17" s="566"/>
      <c r="M17" s="121"/>
      <c r="N17" s="121"/>
      <c r="O17" s="121"/>
      <c r="P17" s="121"/>
    </row>
    <row r="18" spans="1:16" ht="12.75" customHeight="1">
      <c r="A18" s="593">
        <v>0.3125</v>
      </c>
      <c r="B18" s="126">
        <f t="shared" si="1"/>
        <v>18</v>
      </c>
      <c r="C18" s="121">
        <v>1.7519907890343779E-2</v>
      </c>
      <c r="D18" s="121">
        <v>1.7939537333770062E-2</v>
      </c>
      <c r="E18" s="121">
        <v>1.7512108658241352E-2</v>
      </c>
      <c r="F18" s="121">
        <v>1.6985523592470748E-2</v>
      </c>
      <c r="G18" s="121">
        <v>1.8310233518409057E-2</v>
      </c>
      <c r="H18" s="121">
        <v>2.5529963511949149E-2</v>
      </c>
      <c r="I18" s="121">
        <v>1.8231644835918055E-2</v>
      </c>
      <c r="J18" s="121"/>
      <c r="K18" s="121"/>
      <c r="L18" s="566"/>
      <c r="M18" s="121"/>
      <c r="N18" s="121"/>
      <c r="O18" s="121"/>
      <c r="P18" s="121"/>
    </row>
    <row r="19" spans="1:16" ht="12.75" customHeight="1">
      <c r="A19" s="593">
        <v>0.33333333333333298</v>
      </c>
      <c r="B19" s="126">
        <f t="shared" si="1"/>
        <v>19</v>
      </c>
      <c r="C19" s="121">
        <v>2.583361070142029E-2</v>
      </c>
      <c r="D19" s="121">
        <v>2.5753181277851721E-2</v>
      </c>
      <c r="E19" s="121">
        <v>2.4867118946227475E-2</v>
      </c>
      <c r="F19" s="121">
        <v>2.4565805669255671E-2</v>
      </c>
      <c r="G19" s="121">
        <v>2.5614742659666366E-2</v>
      </c>
      <c r="H19" s="121">
        <v>3.0925543021049107E-2</v>
      </c>
      <c r="I19" s="121">
        <v>2.3877352685290898E-2</v>
      </c>
      <c r="J19" s="121"/>
      <c r="K19" s="121"/>
      <c r="L19" s="566"/>
      <c r="M19" s="121"/>
      <c r="N19" s="121"/>
      <c r="O19" s="121"/>
      <c r="P19" s="121"/>
    </row>
    <row r="20" spans="1:16" ht="12.75" customHeight="1">
      <c r="A20" s="593">
        <v>0.35416666666666702</v>
      </c>
      <c r="B20" s="126">
        <f t="shared" si="1"/>
        <v>20</v>
      </c>
      <c r="C20" s="121">
        <v>2.9842561227052485E-2</v>
      </c>
      <c r="D20" s="121">
        <v>3.067496467356046E-2</v>
      </c>
      <c r="E20" s="121">
        <v>3.0112932822419385E-2</v>
      </c>
      <c r="F20" s="121">
        <v>3.0482320235877575E-2</v>
      </c>
      <c r="G20" s="121">
        <v>3.0008213300929908E-2</v>
      </c>
      <c r="H20" s="121">
        <v>3.6297546828179476E-2</v>
      </c>
      <c r="I20" s="121">
        <v>2.8951186013302297E-2</v>
      </c>
      <c r="J20" s="121"/>
      <c r="K20" s="121"/>
      <c r="L20" s="566"/>
      <c r="M20" s="121"/>
      <c r="N20" s="121"/>
      <c r="O20" s="121"/>
      <c r="P20" s="121"/>
    </row>
    <row r="21" spans="1:16" ht="12.75" customHeight="1">
      <c r="A21" s="593">
        <v>0.375</v>
      </c>
      <c r="B21" s="126">
        <f t="shared" si="1"/>
        <v>21</v>
      </c>
      <c r="C21" s="121">
        <v>3.5673181593713216E-2</v>
      </c>
      <c r="D21" s="121">
        <v>3.5468725383356589E-2</v>
      </c>
      <c r="E21" s="121">
        <v>3.64655355153502E-2</v>
      </c>
      <c r="F21" s="121">
        <v>3.5154814969109334E-2</v>
      </c>
      <c r="G21" s="121">
        <v>3.7145412364231689E-2</v>
      </c>
      <c r="H21" s="121">
        <v>4.0067238670141191E-2</v>
      </c>
      <c r="I21" s="121">
        <v>3.3380660151462127E-2</v>
      </c>
      <c r="J21" s="121"/>
      <c r="K21" s="121"/>
      <c r="L21" s="566"/>
      <c r="M21" s="121"/>
      <c r="N21" s="121"/>
      <c r="O21" s="121"/>
      <c r="P21" s="121"/>
    </row>
    <row r="22" spans="1:16" ht="12.75" customHeight="1">
      <c r="A22" s="593">
        <v>0.39583333333333298</v>
      </c>
      <c r="B22" s="126">
        <f t="shared" si="1"/>
        <v>22</v>
      </c>
      <c r="C22" s="121">
        <v>3.9903579404171656E-2</v>
      </c>
      <c r="D22" s="121">
        <v>3.7253205030082552E-2</v>
      </c>
      <c r="E22" s="121">
        <v>3.7754309075564443E-2</v>
      </c>
      <c r="F22" s="121">
        <v>3.8050529235723538E-2</v>
      </c>
      <c r="G22" s="121">
        <v>3.831003966307029E-2</v>
      </c>
      <c r="H22" s="121">
        <v>4.3067797805521592E-2</v>
      </c>
      <c r="I22" s="121">
        <v>3.7305724028505058E-2</v>
      </c>
      <c r="J22" s="121"/>
      <c r="K22" s="121"/>
      <c r="L22" s="566"/>
      <c r="M22" s="121"/>
      <c r="N22" s="121"/>
      <c r="O22" s="121"/>
      <c r="P22" s="121"/>
    </row>
    <row r="23" spans="1:16" ht="12.75" customHeight="1">
      <c r="A23" s="593">
        <v>0.41666666666666702</v>
      </c>
      <c r="B23" s="126">
        <f t="shared" si="1"/>
        <v>23</v>
      </c>
      <c r="C23" s="121">
        <v>4.1683109385065517E-2</v>
      </c>
      <c r="D23" s="121">
        <v>4.0971711320327404E-2</v>
      </c>
      <c r="E23" s="121">
        <v>4.0749547348626909E-2</v>
      </c>
      <c r="F23" s="121">
        <v>4.1512611963041277E-2</v>
      </c>
      <c r="G23" s="121">
        <v>4.3193764391040154E-2</v>
      </c>
      <c r="H23" s="121">
        <v>4.5220525891715338E-2</v>
      </c>
      <c r="I23" s="121">
        <v>3.9859938877649596E-2</v>
      </c>
      <c r="J23" s="121"/>
      <c r="K23" s="121"/>
      <c r="L23" s="566"/>
      <c r="M23" s="121"/>
      <c r="N23" s="121"/>
      <c r="O23" s="121"/>
      <c r="P23" s="121"/>
    </row>
    <row r="24" spans="1:16" ht="12.75" customHeight="1">
      <c r="A24" s="593">
        <v>0.4375</v>
      </c>
      <c r="B24" s="126">
        <f t="shared" si="1"/>
        <v>24</v>
      </c>
      <c r="C24" s="121">
        <v>4.1587509697805773E-2</v>
      </c>
      <c r="D24" s="121">
        <v>4.0781390636239541E-2</v>
      </c>
      <c r="E24" s="121">
        <v>4.0778070068978114E-2</v>
      </c>
      <c r="F24" s="121">
        <v>4.1683509517773908E-2</v>
      </c>
      <c r="G24" s="121">
        <v>4.0741011076207111E-2</v>
      </c>
      <c r="H24" s="121">
        <v>4.6894088296032352E-2</v>
      </c>
      <c r="I24" s="121">
        <v>4.1567061412959259E-2</v>
      </c>
      <c r="J24" s="121"/>
      <c r="K24" s="121"/>
      <c r="L24" s="566"/>
      <c r="M24" s="121"/>
      <c r="N24" s="121"/>
      <c r="O24" s="121"/>
      <c r="P24" s="121"/>
    </row>
    <row r="25" spans="1:16" ht="12.75" customHeight="1">
      <c r="A25" s="593">
        <v>0.45833333333333298</v>
      </c>
      <c r="B25" s="126">
        <f t="shared" si="1"/>
        <v>25</v>
      </c>
      <c r="C25" s="121">
        <v>4.5914746920493792E-2</v>
      </c>
      <c r="D25" s="121">
        <v>4.479353859496122E-2</v>
      </c>
      <c r="E25" s="121">
        <v>4.4442500286571429E-2</v>
      </c>
      <c r="F25" s="121">
        <v>4.48261486991006E-2</v>
      </c>
      <c r="G25" s="121">
        <v>4.4945482128626757E-2</v>
      </c>
      <c r="H25" s="121">
        <v>4.5855152031060789E-2</v>
      </c>
      <c r="I25" s="121">
        <v>4.4381521842262309E-2</v>
      </c>
      <c r="J25" s="121"/>
      <c r="K25" s="121"/>
      <c r="L25" s="566"/>
      <c r="M25" s="121"/>
      <c r="N25" s="121"/>
      <c r="O25" s="121"/>
      <c r="P25" s="121"/>
    </row>
    <row r="26" spans="1:16" ht="12.75" customHeight="1">
      <c r="A26" s="593">
        <v>0.47916666666666702</v>
      </c>
      <c r="B26" s="126">
        <f t="shared" si="1"/>
        <v>26</v>
      </c>
      <c r="C26" s="121">
        <v>4.2537751445075947E-2</v>
      </c>
      <c r="D26" s="121">
        <v>4.0677077108210571E-2</v>
      </c>
      <c r="E26" s="121">
        <v>4.0423241819937325E-2</v>
      </c>
      <c r="F26" s="121">
        <v>4.0950387241168555E-2</v>
      </c>
      <c r="G26" s="121">
        <v>4.1640443637948152E-2</v>
      </c>
      <c r="H26" s="121">
        <v>4.1715385465920102E-2</v>
      </c>
      <c r="I26" s="121">
        <v>4.2244079244430931E-2</v>
      </c>
      <c r="J26" s="121"/>
      <c r="K26" s="121"/>
      <c r="L26" s="566"/>
      <c r="M26" s="121"/>
      <c r="N26" s="121"/>
      <c r="O26" s="121"/>
      <c r="P26" s="121"/>
    </row>
    <row r="27" spans="1:16" ht="12.75" customHeight="1">
      <c r="A27" s="593">
        <v>0.5</v>
      </c>
      <c r="B27" s="126">
        <f t="shared" si="1"/>
        <v>27</v>
      </c>
      <c r="C27" s="121">
        <v>4.2650360352394091E-2</v>
      </c>
      <c r="D27" s="121">
        <v>4.2155514857537928E-2</v>
      </c>
      <c r="E27" s="121">
        <v>4.086007140980296E-2</v>
      </c>
      <c r="F27" s="121">
        <v>4.1150250961683087E-2</v>
      </c>
      <c r="G27" s="121">
        <v>4.0431122329014454E-2</v>
      </c>
      <c r="H27" s="121">
        <v>3.7042329466175868E-2</v>
      </c>
      <c r="I27" s="121">
        <v>4.0897267012351413E-2</v>
      </c>
      <c r="J27" s="121"/>
      <c r="K27" s="121"/>
      <c r="L27" s="566"/>
      <c r="M27" s="121"/>
      <c r="N27" s="121"/>
      <c r="O27" s="121"/>
      <c r="P27" s="121"/>
    </row>
    <row r="28" spans="1:16" ht="12.75" customHeight="1">
      <c r="A28" s="593">
        <v>0.52083333333333304</v>
      </c>
      <c r="B28" s="126">
        <f t="shared" si="1"/>
        <v>28</v>
      </c>
      <c r="C28" s="121">
        <v>3.8525035952825026E-2</v>
      </c>
      <c r="D28" s="121">
        <v>3.8536653602849719E-2</v>
      </c>
      <c r="E28" s="121">
        <v>3.9109966235476398E-2</v>
      </c>
      <c r="F28" s="121">
        <v>3.7772568541383958E-2</v>
      </c>
      <c r="G28" s="121">
        <v>4.0185170645568369E-2</v>
      </c>
      <c r="H28" s="121">
        <v>3.7380108191191433E-2</v>
      </c>
      <c r="I28" s="121">
        <v>3.6720620581518947E-2</v>
      </c>
      <c r="J28" s="121"/>
      <c r="K28" s="121"/>
      <c r="L28" s="566"/>
      <c r="M28" s="121"/>
      <c r="N28" s="121"/>
      <c r="O28" s="121"/>
      <c r="P28" s="121"/>
    </row>
    <row r="29" spans="1:16" ht="12.75" customHeight="1">
      <c r="A29" s="593">
        <v>0.54166666666666696</v>
      </c>
      <c r="B29" s="126">
        <f t="shared" si="1"/>
        <v>29</v>
      </c>
      <c r="C29" s="121">
        <v>3.8378849878403141E-2</v>
      </c>
      <c r="D29" s="121">
        <v>3.8943725447045954E-2</v>
      </c>
      <c r="E29" s="121">
        <v>3.8741376473038422E-2</v>
      </c>
      <c r="F29" s="121">
        <v>3.739290759415468E-2</v>
      </c>
      <c r="G29" s="121">
        <v>3.8751195472972032E-2</v>
      </c>
      <c r="H29" s="121">
        <v>3.3155384457024893E-2</v>
      </c>
      <c r="I29" s="121">
        <v>3.5400625035574507E-2</v>
      </c>
      <c r="J29" s="121"/>
      <c r="K29" s="121"/>
      <c r="L29" s="566"/>
      <c r="M29" s="121"/>
      <c r="N29" s="121"/>
      <c r="O29" s="121"/>
      <c r="P29" s="121"/>
    </row>
    <row r="30" spans="1:16" ht="12.75" customHeight="1">
      <c r="A30" s="593">
        <v>0.5625</v>
      </c>
      <c r="B30" s="126">
        <f t="shared" si="1"/>
        <v>30</v>
      </c>
      <c r="C30" s="121">
        <v>3.5403559510556175E-2</v>
      </c>
      <c r="D30" s="121">
        <v>3.5718055480106994E-2</v>
      </c>
      <c r="E30" s="121">
        <v>3.6841701865450015E-2</v>
      </c>
      <c r="F30" s="121">
        <v>3.6133027541041113E-2</v>
      </c>
      <c r="G30" s="121">
        <v>3.623056490843423E-2</v>
      </c>
      <c r="H30" s="121">
        <v>2.9966320590042818E-2</v>
      </c>
      <c r="I30" s="121">
        <v>3.4111849999822523E-2</v>
      </c>
      <c r="J30" s="121"/>
      <c r="K30" s="121"/>
      <c r="L30" s="566"/>
      <c r="M30" s="121"/>
      <c r="N30" s="121"/>
      <c r="O30" s="121"/>
      <c r="P30" s="121"/>
    </row>
    <row r="31" spans="1:16" ht="12.75" customHeight="1">
      <c r="A31" s="593">
        <v>0.58333333333333304</v>
      </c>
      <c r="B31" s="126">
        <f t="shared" si="1"/>
        <v>31</v>
      </c>
      <c r="C31" s="121">
        <v>3.7182491347253196E-2</v>
      </c>
      <c r="D31" s="121">
        <v>3.8430351599878322E-2</v>
      </c>
      <c r="E31" s="121">
        <v>3.5676572711498822E-2</v>
      </c>
      <c r="F31" s="121">
        <v>3.5611608287207212E-2</v>
      </c>
      <c r="G31" s="121">
        <v>3.7015225875360248E-2</v>
      </c>
      <c r="H31" s="121">
        <v>3.1769955645198245E-2</v>
      </c>
      <c r="I31" s="121">
        <v>2.8754487153592245E-2</v>
      </c>
      <c r="J31" s="121"/>
      <c r="K31" s="121"/>
      <c r="L31" s="566"/>
      <c r="M31" s="121"/>
      <c r="N31" s="121"/>
      <c r="O31" s="121"/>
      <c r="P31" s="121"/>
    </row>
    <row r="32" spans="1:16" ht="12.75" customHeight="1">
      <c r="A32" s="593">
        <v>0.60416666666666696</v>
      </c>
      <c r="B32" s="126">
        <f t="shared" si="1"/>
        <v>32</v>
      </c>
      <c r="C32" s="121">
        <v>3.5215127266572055E-2</v>
      </c>
      <c r="D32" s="121">
        <v>3.5201519118657203E-2</v>
      </c>
      <c r="E32" s="121">
        <v>3.46064823337792E-2</v>
      </c>
      <c r="F32" s="121">
        <v>3.5839551081247006E-2</v>
      </c>
      <c r="G32" s="121">
        <v>3.6275392602720842E-2</v>
      </c>
      <c r="H32" s="121">
        <v>2.9232170837695297E-2</v>
      </c>
      <c r="I32" s="121">
        <v>2.702535398244147E-2</v>
      </c>
      <c r="J32" s="121"/>
      <c r="K32" s="121"/>
      <c r="L32" s="566"/>
      <c r="M32" s="121"/>
      <c r="N32" s="121"/>
      <c r="O32" s="121"/>
      <c r="P32" s="121"/>
    </row>
    <row r="33" spans="1:16" ht="12.75" customHeight="1">
      <c r="A33" s="593">
        <v>0.625</v>
      </c>
      <c r="B33" s="126">
        <f t="shared" si="1"/>
        <v>33</v>
      </c>
      <c r="C33" s="121">
        <v>3.573512151783096E-2</v>
      </c>
      <c r="D33" s="121">
        <v>3.6047022493987092E-2</v>
      </c>
      <c r="E33" s="121">
        <v>3.5605560709745951E-2</v>
      </c>
      <c r="F33" s="121">
        <v>3.6639240237200284E-2</v>
      </c>
      <c r="G33" s="121">
        <v>3.5685737558870785E-2</v>
      </c>
      <c r="H33" s="121">
        <v>2.8378461481108581E-2</v>
      </c>
      <c r="I33" s="121">
        <v>2.5469617377574784E-2</v>
      </c>
      <c r="J33" s="121"/>
      <c r="K33" s="121"/>
      <c r="L33" s="566"/>
      <c r="M33" s="121"/>
      <c r="N33" s="121"/>
      <c r="O33" s="121"/>
      <c r="P33" s="121"/>
    </row>
    <row r="34" spans="1:16" ht="12.75" customHeight="1">
      <c r="A34" s="593">
        <v>0.64583333333333304</v>
      </c>
      <c r="B34" s="126">
        <f t="shared" si="1"/>
        <v>34</v>
      </c>
      <c r="C34" s="121">
        <v>3.3613730350105474E-2</v>
      </c>
      <c r="D34" s="121">
        <v>3.3504064511261311E-2</v>
      </c>
      <c r="E34" s="121">
        <v>3.4507107636934313E-2</v>
      </c>
      <c r="F34" s="121">
        <v>3.37594505804759E-2</v>
      </c>
      <c r="G34" s="121">
        <v>3.42209742294508E-2</v>
      </c>
      <c r="H34" s="121">
        <v>2.7351399459308923E-2</v>
      </c>
      <c r="I34" s="121">
        <v>2.627925394956479E-2</v>
      </c>
      <c r="J34" s="121"/>
      <c r="K34" s="121"/>
      <c r="L34" s="566"/>
      <c r="M34" s="121"/>
      <c r="N34" s="121"/>
      <c r="O34" s="121"/>
      <c r="P34" s="121"/>
    </row>
    <row r="35" spans="1:16" ht="12.75" customHeight="1">
      <c r="A35" s="593">
        <v>0.66666666666666596</v>
      </c>
      <c r="B35" s="126">
        <f t="shared" si="1"/>
        <v>35</v>
      </c>
      <c r="C35" s="121">
        <v>3.3389661433977987E-2</v>
      </c>
      <c r="D35" s="121">
        <v>3.1432322882443853E-2</v>
      </c>
      <c r="E35" s="121">
        <v>3.3105621061644566E-2</v>
      </c>
      <c r="F35" s="121">
        <v>3.2123674570322044E-2</v>
      </c>
      <c r="G35" s="121">
        <v>3.2026227344016681E-2</v>
      </c>
      <c r="H35" s="121">
        <v>2.6361730121156043E-2</v>
      </c>
      <c r="I35" s="121">
        <v>2.5916708238010056E-2</v>
      </c>
      <c r="J35" s="121"/>
      <c r="K35" s="121"/>
      <c r="L35" s="566"/>
      <c r="M35" s="121"/>
      <c r="N35" s="121"/>
      <c r="O35" s="121"/>
      <c r="P35" s="121"/>
    </row>
    <row r="36" spans="1:16" ht="12.75" customHeight="1">
      <c r="A36" s="593">
        <v>0.687499999999999</v>
      </c>
      <c r="B36" s="126">
        <f t="shared" si="1"/>
        <v>36</v>
      </c>
      <c r="C36" s="121">
        <v>3.1570546310943484E-2</v>
      </c>
      <c r="D36" s="121">
        <v>3.1714475700599397E-2</v>
      </c>
      <c r="E36" s="121">
        <v>3.1526980718149293E-2</v>
      </c>
      <c r="F36" s="121">
        <v>3.1194981624518104E-2</v>
      </c>
      <c r="G36" s="121">
        <v>3.1580598034451519E-2</v>
      </c>
      <c r="H36" s="121">
        <v>2.5483269593088165E-2</v>
      </c>
      <c r="I36" s="121">
        <v>2.7191068187305788E-2</v>
      </c>
      <c r="J36" s="121"/>
      <c r="K36" s="121"/>
      <c r="L36" s="566"/>
      <c r="M36" s="121"/>
      <c r="N36" s="121"/>
      <c r="O36" s="121"/>
      <c r="P36" s="121"/>
    </row>
    <row r="37" spans="1:16" ht="12.75" customHeight="1">
      <c r="A37" s="593">
        <v>0.70833333333333204</v>
      </c>
      <c r="B37" s="126">
        <f t="shared" si="1"/>
        <v>37</v>
      </c>
      <c r="C37" s="121">
        <v>3.1567764780413017E-2</v>
      </c>
      <c r="D37" s="121">
        <v>3.1728165542129316E-2</v>
      </c>
      <c r="E37" s="121">
        <v>3.1808474854097608E-2</v>
      </c>
      <c r="F37" s="121">
        <v>3.2490871380103793E-2</v>
      </c>
      <c r="G37" s="121">
        <v>3.2774209597071141E-2</v>
      </c>
      <c r="H37" s="121">
        <v>2.5051768918654235E-2</v>
      </c>
      <c r="I37" s="121">
        <v>2.6902448000345629E-2</v>
      </c>
      <c r="J37" s="121"/>
      <c r="K37" s="121"/>
      <c r="L37" s="566"/>
      <c r="M37" s="121"/>
      <c r="N37" s="121"/>
      <c r="O37" s="121"/>
      <c r="P37" s="121"/>
    </row>
    <row r="38" spans="1:16" ht="12.75" customHeight="1">
      <c r="A38" s="593">
        <v>0.72916666666666496</v>
      </c>
      <c r="B38" s="126">
        <f t="shared" si="1"/>
        <v>38</v>
      </c>
      <c r="C38" s="121">
        <v>3.1342209720854462E-2</v>
      </c>
      <c r="D38" s="121">
        <v>2.9674662033717984E-2</v>
      </c>
      <c r="E38" s="121">
        <v>3.1869610211005629E-2</v>
      </c>
      <c r="F38" s="121">
        <v>3.1398941295548238E-2</v>
      </c>
      <c r="G38" s="121">
        <v>2.8072270116418177E-2</v>
      </c>
      <c r="H38" s="121">
        <v>2.3389720377132019E-2</v>
      </c>
      <c r="I38" s="121">
        <v>2.7282525745081221E-2</v>
      </c>
      <c r="J38" s="121"/>
      <c r="K38" s="121"/>
      <c r="L38" s="566"/>
      <c r="M38" s="121"/>
      <c r="N38" s="121"/>
      <c r="O38" s="121"/>
      <c r="P38" s="121"/>
    </row>
    <row r="39" spans="1:16" ht="12.75" customHeight="1">
      <c r="A39" s="593">
        <v>0.749999999999998</v>
      </c>
      <c r="B39" s="126">
        <f t="shared" si="1"/>
        <v>39</v>
      </c>
      <c r="C39" s="121">
        <v>3.0197677056932038E-2</v>
      </c>
      <c r="D39" s="121">
        <v>2.9552439870983743E-2</v>
      </c>
      <c r="E39" s="121">
        <v>3.0066899287773282E-2</v>
      </c>
      <c r="F39" s="121">
        <v>3.062609803702962E-2</v>
      </c>
      <c r="G39" s="121">
        <v>2.9421176182336854E-2</v>
      </c>
      <c r="H39" s="121">
        <v>2.4677624999390347E-2</v>
      </c>
      <c r="I39" s="121">
        <v>2.9660729839413726E-2</v>
      </c>
      <c r="J39" s="121"/>
      <c r="K39" s="121"/>
      <c r="L39" s="566"/>
      <c r="M39" s="121"/>
      <c r="N39" s="121"/>
      <c r="O39" s="121"/>
      <c r="P39" s="121"/>
    </row>
    <row r="40" spans="1:16" ht="12.75" customHeight="1">
      <c r="A40" s="593">
        <v>0.77083333333333104</v>
      </c>
      <c r="B40" s="126">
        <f t="shared" si="1"/>
        <v>40</v>
      </c>
      <c r="C40" s="121">
        <v>2.9357682759439126E-2</v>
      </c>
      <c r="D40" s="121">
        <v>2.8648428116112477E-2</v>
      </c>
      <c r="E40" s="121">
        <v>2.9265267410158446E-2</v>
      </c>
      <c r="F40" s="121">
        <v>2.8919389379062903E-2</v>
      </c>
      <c r="G40" s="121">
        <v>2.9714545358434333E-2</v>
      </c>
      <c r="H40" s="121">
        <v>2.6310502402294992E-2</v>
      </c>
      <c r="I40" s="121">
        <v>3.0701581258227233E-2</v>
      </c>
      <c r="J40" s="121"/>
      <c r="K40" s="121"/>
      <c r="L40" s="566"/>
      <c r="M40" s="121"/>
      <c r="N40" s="121"/>
      <c r="O40" s="121"/>
      <c r="P40" s="121"/>
    </row>
    <row r="41" spans="1:16" ht="12.75" customHeight="1">
      <c r="A41" s="593">
        <v>0.79166666666666397</v>
      </c>
      <c r="B41" s="126">
        <f t="shared" si="1"/>
        <v>41</v>
      </c>
      <c r="C41" s="121">
        <v>2.6098023127909827E-2</v>
      </c>
      <c r="D41" s="121">
        <v>2.8900451141108539E-2</v>
      </c>
      <c r="E41" s="121">
        <v>2.8837250003717622E-2</v>
      </c>
      <c r="F41" s="121">
        <v>2.8889031170315993E-2</v>
      </c>
      <c r="G41" s="121">
        <v>2.745801701950458E-2</v>
      </c>
      <c r="H41" s="121">
        <v>2.4523310581404424E-2</v>
      </c>
      <c r="I41" s="121">
        <v>2.871541937516774E-2</v>
      </c>
      <c r="J41" s="121"/>
      <c r="K41" s="121"/>
      <c r="L41" s="566"/>
      <c r="M41" s="121"/>
      <c r="N41" s="121"/>
      <c r="O41" s="121"/>
      <c r="P41" s="121"/>
    </row>
    <row r="42" spans="1:16" ht="12.75" customHeight="1">
      <c r="A42" s="593">
        <v>0.812499999999997</v>
      </c>
      <c r="B42" s="126">
        <f t="shared" si="1"/>
        <v>42</v>
      </c>
      <c r="C42" s="121">
        <v>2.3677338850024102E-2</v>
      </c>
      <c r="D42" s="121">
        <v>2.4699086388804973E-2</v>
      </c>
      <c r="E42" s="121">
        <v>2.5222427719291125E-2</v>
      </c>
      <c r="F42" s="121">
        <v>2.5308109244820541E-2</v>
      </c>
      <c r="G42" s="121">
        <v>2.4251453063767404E-2</v>
      </c>
      <c r="H42" s="121">
        <v>2.286212991322048E-2</v>
      </c>
      <c r="I42" s="121">
        <v>2.8704111830139715E-2</v>
      </c>
      <c r="J42" s="121"/>
      <c r="K42" s="121"/>
      <c r="L42" s="566"/>
      <c r="M42" s="121"/>
      <c r="N42" s="121"/>
      <c r="O42" s="121"/>
      <c r="P42" s="121"/>
    </row>
    <row r="43" spans="1:16" ht="12.75" customHeight="1">
      <c r="A43" s="593">
        <v>0.83333333333333004</v>
      </c>
      <c r="B43" s="126">
        <f t="shared" si="1"/>
        <v>43</v>
      </c>
      <c r="C43" s="121">
        <v>2.4298709474135292E-2</v>
      </c>
      <c r="D43" s="121">
        <v>2.5107183941099506E-2</v>
      </c>
      <c r="E43" s="121">
        <v>2.5814179165099774E-2</v>
      </c>
      <c r="F43" s="121">
        <v>2.504936257102117E-2</v>
      </c>
      <c r="G43" s="121">
        <v>2.2957646676777573E-2</v>
      </c>
      <c r="H43" s="121">
        <v>2.1744316513362946E-2</v>
      </c>
      <c r="I43" s="121">
        <v>2.7675944854959271E-2</v>
      </c>
      <c r="J43" s="121"/>
      <c r="K43" s="121"/>
      <c r="L43" s="566"/>
      <c r="M43" s="121"/>
      <c r="N43" s="121"/>
      <c r="O43" s="121"/>
      <c r="P43" s="121"/>
    </row>
    <row r="44" spans="1:16" ht="12.75" customHeight="1">
      <c r="A44" s="593">
        <v>0.85416666666666297</v>
      </c>
      <c r="B44" s="126">
        <f t="shared" si="1"/>
        <v>44</v>
      </c>
      <c r="C44" s="121">
        <v>2.2963089288886861E-2</v>
      </c>
      <c r="D44" s="121">
        <v>2.3087639242279748E-2</v>
      </c>
      <c r="E44" s="121">
        <v>2.3029380551459044E-2</v>
      </c>
      <c r="F44" s="121">
        <v>2.3461294022221548E-2</v>
      </c>
      <c r="G44" s="121">
        <v>2.1318341373435211E-2</v>
      </c>
      <c r="H44" s="121">
        <v>1.9500978897466631E-2</v>
      </c>
      <c r="I44" s="121">
        <v>2.5947373105358711E-2</v>
      </c>
      <c r="J44" s="121"/>
      <c r="K44" s="121"/>
      <c r="L44" s="566"/>
      <c r="M44" s="121"/>
      <c r="N44" s="121"/>
      <c r="O44" s="121"/>
      <c r="P44" s="121"/>
    </row>
    <row r="45" spans="1:16" ht="12.75" customHeight="1">
      <c r="A45" s="593">
        <v>0.874999999999996</v>
      </c>
      <c r="B45" s="126">
        <f t="shared" si="1"/>
        <v>45</v>
      </c>
      <c r="C45" s="121">
        <v>2.0279327129649086E-2</v>
      </c>
      <c r="D45" s="121">
        <v>2.0855380207422333E-2</v>
      </c>
      <c r="E45" s="121">
        <v>1.9477169565456993E-2</v>
      </c>
      <c r="F45" s="121">
        <v>1.9571144719254745E-2</v>
      </c>
      <c r="G45" s="121">
        <v>1.926058010980267E-2</v>
      </c>
      <c r="H45" s="121">
        <v>1.6297533268865832E-2</v>
      </c>
      <c r="I45" s="121">
        <v>2.3182475247130185E-2</v>
      </c>
      <c r="J45" s="121"/>
      <c r="K45" s="121"/>
      <c r="L45" s="121"/>
      <c r="M45" s="121"/>
      <c r="N45" s="121"/>
      <c r="O45" s="121"/>
      <c r="P45" s="121"/>
    </row>
    <row r="46" spans="1:16" ht="12.75" customHeight="1">
      <c r="A46" s="593">
        <v>0.89583333333333004</v>
      </c>
      <c r="B46" s="126">
        <f t="shared" si="1"/>
        <v>46</v>
      </c>
      <c r="C46" s="121">
        <v>1.6798380219996804E-2</v>
      </c>
      <c r="D46" s="121">
        <v>1.6540197571047782E-2</v>
      </c>
      <c r="E46" s="121">
        <v>1.5964611929373592E-2</v>
      </c>
      <c r="F46" s="121">
        <v>1.6967606937957326E-2</v>
      </c>
      <c r="G46" s="121">
        <v>1.6060711918529411E-2</v>
      </c>
      <c r="H46" s="121">
        <v>1.4253918492411673E-2</v>
      </c>
      <c r="I46" s="121">
        <v>2.1013235242075077E-2</v>
      </c>
      <c r="J46" s="121"/>
      <c r="K46" s="121"/>
      <c r="L46" s="121"/>
      <c r="M46" s="121"/>
      <c r="N46" s="121"/>
      <c r="O46" s="121"/>
      <c r="P46" s="121"/>
    </row>
    <row r="47" spans="1:16" ht="12.75" customHeight="1">
      <c r="A47" s="593">
        <v>0.91666666666666397</v>
      </c>
      <c r="B47" s="126">
        <f t="shared" si="1"/>
        <v>47</v>
      </c>
      <c r="C47" s="121">
        <v>8.2073966160940755E-3</v>
      </c>
      <c r="D47" s="121">
        <v>8.9530010188732384E-3</v>
      </c>
      <c r="E47" s="121">
        <v>8.8371819851929597E-3</v>
      </c>
      <c r="F47" s="121">
        <v>9.1481607914380772E-3</v>
      </c>
      <c r="G47" s="121">
        <v>9.252114549761957E-3</v>
      </c>
      <c r="H47" s="121">
        <v>1.2208171470937045E-2</v>
      </c>
      <c r="I47" s="121">
        <v>1.8069641055682154E-2</v>
      </c>
      <c r="J47" s="121"/>
      <c r="K47" s="121"/>
      <c r="L47" s="121"/>
      <c r="M47" s="121"/>
      <c r="N47" s="121"/>
      <c r="O47" s="121"/>
      <c r="P47" s="121"/>
    </row>
    <row r="48" spans="1:16" ht="12.75" customHeight="1">
      <c r="A48" s="593">
        <v>0.937499999999998</v>
      </c>
      <c r="B48" s="126">
        <f t="shared" si="1"/>
        <v>48</v>
      </c>
      <c r="C48" s="121">
        <v>6.5547725860973152E-3</v>
      </c>
      <c r="D48" s="121">
        <v>7.1463647735278959E-3</v>
      </c>
      <c r="E48" s="121">
        <v>7.0739427751540509E-3</v>
      </c>
      <c r="F48" s="121">
        <v>7.3229563037511434E-3</v>
      </c>
      <c r="G48" s="121">
        <v>7.3952651538954969E-3</v>
      </c>
      <c r="H48" s="121">
        <v>1.0630106076247706E-2</v>
      </c>
      <c r="I48" s="121">
        <v>1.3038122028422033E-2</v>
      </c>
      <c r="J48" s="121"/>
      <c r="K48" s="121"/>
      <c r="L48" s="121"/>
      <c r="M48" s="121"/>
      <c r="N48" s="121"/>
      <c r="O48" s="121"/>
      <c r="P48" s="121"/>
    </row>
    <row r="49" spans="1:38" ht="12.75" customHeight="1">
      <c r="A49" s="593">
        <v>0.95833333333333204</v>
      </c>
      <c r="B49" s="126">
        <f t="shared" si="1"/>
        <v>49</v>
      </c>
      <c r="C49" s="121">
        <v>4.8144482235055932E-3</v>
      </c>
      <c r="D49" s="121">
        <v>5.2465987235022805E-3</v>
      </c>
      <c r="E49" s="121">
        <v>5.2056769702613368E-3</v>
      </c>
      <c r="F49" s="121">
        <v>5.3889751936760507E-3</v>
      </c>
      <c r="G49" s="121">
        <v>5.4355371445985508E-3</v>
      </c>
      <c r="H49" s="121">
        <v>8.9888874465271149E-3</v>
      </c>
      <c r="I49" s="121">
        <v>9.1432770030278904E-3</v>
      </c>
      <c r="J49" s="121"/>
      <c r="K49" s="121"/>
      <c r="L49" s="121"/>
      <c r="M49" s="121"/>
      <c r="N49" s="121"/>
      <c r="O49" s="121"/>
      <c r="P49" s="121"/>
    </row>
    <row r="50" spans="1:38" ht="12.75" customHeight="1">
      <c r="A50" s="593">
        <v>0.97916666666666596</v>
      </c>
      <c r="B50" s="126">
        <f t="shared" si="1"/>
        <v>50</v>
      </c>
      <c r="C50" s="121">
        <v>3.5859332072567559E-3</v>
      </c>
      <c r="D50" s="121">
        <v>3.9086439345276305E-3</v>
      </c>
      <c r="E50" s="121">
        <v>3.8738520471831004E-3</v>
      </c>
      <c r="F50" s="121">
        <v>4.0102373861846527E-3</v>
      </c>
      <c r="G50" s="121">
        <v>4.047219118227593E-3</v>
      </c>
      <c r="H50" s="121">
        <v>6.8969684815368432E-3</v>
      </c>
      <c r="I50" s="121">
        <v>7.015662291860107E-3</v>
      </c>
      <c r="J50" s="121"/>
      <c r="K50" s="121"/>
      <c r="L50" s="121"/>
      <c r="M50" s="121"/>
      <c r="N50" s="121"/>
      <c r="O50" s="121"/>
      <c r="P50" s="121"/>
    </row>
    <row r="51" spans="1:38" ht="12.75" customHeight="1">
      <c r="A51" s="592" t="s">
        <v>590</v>
      </c>
      <c r="B51" s="175"/>
      <c r="C51" s="176" t="s">
        <v>814</v>
      </c>
      <c r="D51" s="176" t="s">
        <v>808</v>
      </c>
      <c r="E51" s="176" t="s">
        <v>809</v>
      </c>
      <c r="F51" s="176" t="s">
        <v>810</v>
      </c>
      <c r="G51" s="176" t="s">
        <v>811</v>
      </c>
      <c r="H51" s="176" t="str">
        <f>H1</f>
        <v>SÁB</v>
      </c>
      <c r="I51" s="176" t="str">
        <f>I1</f>
        <v>DOM</v>
      </c>
      <c r="J51" s="176" t="str">
        <f t="shared" ref="J51:AD51" si="2">J1</f>
        <v>SEM</v>
      </c>
      <c r="K51" s="176" t="str">
        <f t="shared" si="2"/>
        <v>-</v>
      </c>
      <c r="L51" s="176" t="str">
        <f t="shared" si="2"/>
        <v>-</v>
      </c>
      <c r="M51" s="176" t="str">
        <f t="shared" si="2"/>
        <v>-</v>
      </c>
      <c r="N51" s="176" t="str">
        <f t="shared" si="2"/>
        <v>-</v>
      </c>
      <c r="O51" s="176" t="str">
        <f t="shared" si="2"/>
        <v>-</v>
      </c>
      <c r="P51" s="176" t="str">
        <f t="shared" si="2"/>
        <v>-</v>
      </c>
      <c r="Q51" s="176" t="str">
        <f t="shared" si="2"/>
        <v>-</v>
      </c>
      <c r="R51" s="176" t="str">
        <f t="shared" si="2"/>
        <v>-</v>
      </c>
      <c r="S51" s="176" t="str">
        <f t="shared" si="2"/>
        <v>-</v>
      </c>
      <c r="T51" s="176" t="str">
        <f t="shared" si="2"/>
        <v>-</v>
      </c>
      <c r="U51" s="176" t="str">
        <f t="shared" si="2"/>
        <v>-</v>
      </c>
      <c r="V51" s="176" t="str">
        <f t="shared" si="2"/>
        <v>-</v>
      </c>
      <c r="W51" s="176" t="str">
        <f t="shared" si="2"/>
        <v>-</v>
      </c>
      <c r="X51" s="176" t="str">
        <f t="shared" si="2"/>
        <v>-</v>
      </c>
      <c r="Y51" s="176" t="str">
        <f t="shared" si="2"/>
        <v>-</v>
      </c>
      <c r="Z51" s="176" t="str">
        <f t="shared" si="2"/>
        <v>-</v>
      </c>
      <c r="AA51" s="176" t="str">
        <f t="shared" si="2"/>
        <v>-</v>
      </c>
      <c r="AB51" s="176" t="str">
        <f t="shared" si="2"/>
        <v>-</v>
      </c>
      <c r="AC51" s="176" t="str">
        <f t="shared" si="2"/>
        <v>-</v>
      </c>
      <c r="AD51" s="176" t="str">
        <f t="shared" si="2"/>
        <v>-</v>
      </c>
    </row>
    <row r="52" spans="1:38" ht="12.75" customHeight="1">
      <c r="A52" s="120">
        <v>1</v>
      </c>
      <c r="B52" s="126">
        <f t="shared" ref="B52:AD52" si="3">A52+1</f>
        <v>2</v>
      </c>
      <c r="C52" s="126">
        <v>3</v>
      </c>
      <c r="D52" s="126">
        <v>4</v>
      </c>
      <c r="E52" s="126">
        <v>5</v>
      </c>
      <c r="F52" s="126">
        <v>6</v>
      </c>
      <c r="G52" s="126">
        <v>7</v>
      </c>
      <c r="H52" s="126">
        <v>8</v>
      </c>
      <c r="I52" s="126">
        <v>9</v>
      </c>
      <c r="J52" s="126">
        <f t="shared" si="3"/>
        <v>10</v>
      </c>
      <c r="K52" s="126">
        <f t="shared" si="3"/>
        <v>11</v>
      </c>
      <c r="L52" s="126">
        <f t="shared" si="3"/>
        <v>12</v>
      </c>
      <c r="M52" s="126">
        <f t="shared" si="3"/>
        <v>13</v>
      </c>
      <c r="N52" s="126">
        <f t="shared" si="3"/>
        <v>14</v>
      </c>
      <c r="O52" s="126">
        <f t="shared" si="3"/>
        <v>15</v>
      </c>
      <c r="P52" s="126">
        <f t="shared" si="3"/>
        <v>16</v>
      </c>
      <c r="Q52" s="126">
        <f t="shared" si="3"/>
        <v>17</v>
      </c>
      <c r="R52" s="126">
        <f t="shared" si="3"/>
        <v>18</v>
      </c>
      <c r="S52" s="126">
        <f t="shared" si="3"/>
        <v>19</v>
      </c>
      <c r="T52" s="126">
        <f t="shared" si="3"/>
        <v>20</v>
      </c>
      <c r="U52" s="126">
        <f t="shared" si="3"/>
        <v>21</v>
      </c>
      <c r="V52" s="126">
        <f t="shared" si="3"/>
        <v>22</v>
      </c>
      <c r="W52" s="126">
        <f t="shared" si="3"/>
        <v>23</v>
      </c>
      <c r="X52" s="126">
        <f t="shared" si="3"/>
        <v>24</v>
      </c>
      <c r="Y52" s="126">
        <f t="shared" si="3"/>
        <v>25</v>
      </c>
      <c r="Z52" s="126">
        <f t="shared" si="3"/>
        <v>26</v>
      </c>
      <c r="AA52" s="126">
        <f t="shared" si="3"/>
        <v>27</v>
      </c>
      <c r="AB52" s="126">
        <f t="shared" si="3"/>
        <v>28</v>
      </c>
      <c r="AC52" s="126">
        <f t="shared" si="3"/>
        <v>29</v>
      </c>
      <c r="AD52" s="126">
        <f t="shared" si="3"/>
        <v>30</v>
      </c>
      <c r="AE52" s="119"/>
    </row>
    <row r="53" spans="1:38" ht="12.75" customHeight="1">
      <c r="A53" s="593">
        <v>0</v>
      </c>
      <c r="B53" s="126">
        <v>53</v>
      </c>
      <c r="C53" s="127">
        <v>0.77774907537034277</v>
      </c>
      <c r="D53" s="127">
        <v>0.7909510722536337</v>
      </c>
      <c r="E53" s="127">
        <v>0.79315510678983481</v>
      </c>
      <c r="F53" s="127">
        <v>0.83991947207655204</v>
      </c>
      <c r="G53" s="127">
        <v>0.78056051390303871</v>
      </c>
      <c r="H53" s="127">
        <v>0.94358472167537255</v>
      </c>
      <c r="I53" s="127">
        <v>0.85847455717479493</v>
      </c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F53" s="551">
        <f>IFERROR(SUMPRODUCT(C53:C100,C3:C50)/SUM(C3:C50),0)</f>
        <v>0.99999999999999878</v>
      </c>
      <c r="AG53" s="551">
        <f t="shared" ref="AG53:AL53" si="4">IFERROR(SUMPRODUCT(D53:D100,D3:D50)/SUM(D3:D50),0)</f>
        <v>1.0000000000000018</v>
      </c>
      <c r="AH53" s="551">
        <f t="shared" si="4"/>
        <v>1.0000000000000018</v>
      </c>
      <c r="AI53" s="551">
        <f t="shared" si="4"/>
        <v>1.0000000000000027</v>
      </c>
      <c r="AJ53" s="551">
        <f t="shared" si="4"/>
        <v>1.0000000000000004</v>
      </c>
      <c r="AK53" s="551">
        <f t="shared" si="4"/>
        <v>0.99999999999999944</v>
      </c>
      <c r="AL53" s="551">
        <f t="shared" si="4"/>
        <v>0.99999999999999933</v>
      </c>
    </row>
    <row r="54" spans="1:38" ht="12.75" customHeight="1">
      <c r="A54" s="593">
        <v>2.0833333333333332E-2</v>
      </c>
      <c r="B54" s="126">
        <f>B53+1</f>
        <v>54</v>
      </c>
      <c r="C54" s="127">
        <v>0.77759183400073484</v>
      </c>
      <c r="D54" s="127">
        <v>0.79078363247053884</v>
      </c>
      <c r="E54" s="127">
        <v>0.7929788504721037</v>
      </c>
      <c r="F54" s="127">
        <v>0.83976141910433111</v>
      </c>
      <c r="G54" s="127">
        <v>0.78039568195668674</v>
      </c>
      <c r="H54" s="127">
        <v>0.85760745374097824</v>
      </c>
      <c r="I54" s="127">
        <v>0.85826101095445528</v>
      </c>
      <c r="J54" s="127"/>
      <c r="K54" s="334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</row>
    <row r="55" spans="1:38" ht="12.75" customHeight="1">
      <c r="A55" s="593">
        <v>4.1666666666666699E-2</v>
      </c>
      <c r="B55" s="126">
        <f t="shared" ref="B55:B100" si="5">B54+1</f>
        <v>55</v>
      </c>
      <c r="C55" s="127">
        <v>0.73690633710123965</v>
      </c>
      <c r="D55" s="127">
        <v>0.74941945913384989</v>
      </c>
      <c r="E55" s="127">
        <v>0.75151241378429801</v>
      </c>
      <c r="F55" s="127">
        <v>0.79580492934011338</v>
      </c>
      <c r="G55" s="127">
        <v>0.73957416204007942</v>
      </c>
      <c r="H55" s="127">
        <v>0.89760109295312973</v>
      </c>
      <c r="I55" s="127">
        <v>0.80201893060384377</v>
      </c>
      <c r="J55" s="127"/>
      <c r="K55" s="334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</row>
    <row r="56" spans="1:38" ht="12.75" customHeight="1">
      <c r="A56" s="593">
        <v>6.25E-2</v>
      </c>
      <c r="B56" s="126">
        <f t="shared" si="5"/>
        <v>56</v>
      </c>
      <c r="C56" s="127">
        <v>0.71753185259728691</v>
      </c>
      <c r="D56" s="127">
        <v>0.72972134883014317</v>
      </c>
      <c r="E56" s="127">
        <v>0.73175856619138901</v>
      </c>
      <c r="F56" s="127">
        <v>0.7748704708734413</v>
      </c>
      <c r="G56" s="127">
        <v>0.72013197555988151</v>
      </c>
      <c r="H56" s="127">
        <v>0.8926068688556591</v>
      </c>
      <c r="I56" s="127">
        <v>0.86837589006150684</v>
      </c>
      <c r="J56" s="127"/>
      <c r="K56" s="334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</row>
    <row r="57" spans="1:38" ht="12.75" customHeight="1">
      <c r="A57" s="593">
        <v>8.3333333333333301E-2</v>
      </c>
      <c r="B57" s="126">
        <f t="shared" si="5"/>
        <v>57</v>
      </c>
      <c r="C57" s="127">
        <v>0.73877663285656725</v>
      </c>
      <c r="D57" s="127">
        <v>0.75130753733210975</v>
      </c>
      <c r="E57" s="127">
        <v>0.75361024283397615</v>
      </c>
      <c r="F57" s="127">
        <v>0.79794860765608466</v>
      </c>
      <c r="G57" s="127">
        <v>0.74152300371662649</v>
      </c>
      <c r="H57" s="127">
        <v>0.89012552081140539</v>
      </c>
      <c r="I57" s="127">
        <v>0.81791882840013852</v>
      </c>
      <c r="J57" s="127"/>
      <c r="K57" s="334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</row>
    <row r="58" spans="1:38" ht="12.75" customHeight="1">
      <c r="A58" s="593">
        <v>0.104166666666667</v>
      </c>
      <c r="B58" s="126">
        <f t="shared" si="5"/>
        <v>58</v>
      </c>
      <c r="C58" s="127">
        <v>0.70306752941253126</v>
      </c>
      <c r="D58" s="127">
        <v>0.71492975920307589</v>
      </c>
      <c r="E58" s="127">
        <v>0.71768923561038489</v>
      </c>
      <c r="F58" s="127">
        <v>0.75977227210279075</v>
      </c>
      <c r="G58" s="127">
        <v>0.70586925437947323</v>
      </c>
      <c r="H58" s="127">
        <v>0.83960159536086354</v>
      </c>
      <c r="I58" s="127">
        <v>0.8608548911057502</v>
      </c>
      <c r="J58" s="127"/>
      <c r="K58" s="334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</row>
    <row r="59" spans="1:38" ht="12.75" customHeight="1">
      <c r="A59" s="593">
        <v>0.125</v>
      </c>
      <c r="B59" s="126">
        <f t="shared" si="5"/>
        <v>59</v>
      </c>
      <c r="C59" s="127">
        <v>0.7029495540770766</v>
      </c>
      <c r="D59" s="127">
        <v>0.71480435838801815</v>
      </c>
      <c r="E59" s="127">
        <v>0.71756340100625482</v>
      </c>
      <c r="F59" s="127">
        <v>0.75965609452318894</v>
      </c>
      <c r="G59" s="127">
        <v>0.70574794780472327</v>
      </c>
      <c r="H59" s="127">
        <v>0.84330840725659006</v>
      </c>
      <c r="I59" s="127">
        <v>0.7750993616777031</v>
      </c>
      <c r="J59" s="127"/>
      <c r="K59" s="334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</row>
    <row r="60" spans="1:38" ht="12.75" customHeight="1">
      <c r="A60" s="593">
        <v>0.14583333333333301</v>
      </c>
      <c r="B60" s="126">
        <f t="shared" si="5"/>
        <v>60</v>
      </c>
      <c r="C60" s="127">
        <v>0.74435755146440508</v>
      </c>
      <c r="D60" s="127">
        <v>0.75691334393258491</v>
      </c>
      <c r="E60" s="127">
        <v>0.75983492425065791</v>
      </c>
      <c r="F60" s="127">
        <v>0.80439890734674424</v>
      </c>
      <c r="G60" s="127">
        <v>0.74732220284286255</v>
      </c>
      <c r="H60" s="127">
        <v>0.88138735633921417</v>
      </c>
      <c r="I60" s="127">
        <v>0.86813794302404079</v>
      </c>
      <c r="J60" s="127"/>
      <c r="K60" s="334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</row>
    <row r="61" spans="1:38" ht="12.75" customHeight="1">
      <c r="A61" s="593">
        <v>0.16666666666666699</v>
      </c>
      <c r="B61" s="126">
        <f t="shared" si="5"/>
        <v>61</v>
      </c>
      <c r="C61" s="127">
        <v>0.74435420369994276</v>
      </c>
      <c r="D61" s="127">
        <v>0.75686279905715337</v>
      </c>
      <c r="E61" s="127">
        <v>0.75986710841881366</v>
      </c>
      <c r="F61" s="127">
        <v>0.80453186968528778</v>
      </c>
      <c r="G61" s="127">
        <v>0.74732621464907156</v>
      </c>
      <c r="H61" s="127">
        <v>0.83131368027208652</v>
      </c>
      <c r="I61" s="127">
        <v>0.90578741666015117</v>
      </c>
      <c r="J61" s="127"/>
      <c r="K61" s="334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</row>
    <row r="62" spans="1:38" ht="12.75" customHeight="1">
      <c r="A62" s="593">
        <v>0.1875</v>
      </c>
      <c r="B62" s="126">
        <f t="shared" si="5"/>
        <v>62</v>
      </c>
      <c r="C62" s="127">
        <v>0.79085991205013428</v>
      </c>
      <c r="D62" s="127">
        <v>0.80411445013696004</v>
      </c>
      <c r="E62" s="127">
        <v>0.80735918619508051</v>
      </c>
      <c r="F62" s="127">
        <v>0.85489673440409941</v>
      </c>
      <c r="G62" s="127">
        <v>0.79401932674692455</v>
      </c>
      <c r="H62" s="127">
        <v>0.80988767732310252</v>
      </c>
      <c r="I62" s="127">
        <v>0.89708191856626751</v>
      </c>
      <c r="J62" s="127"/>
      <c r="K62" s="334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</row>
    <row r="63" spans="1:38" ht="12.75" customHeight="1">
      <c r="A63" s="593">
        <v>0.20833333333333301</v>
      </c>
      <c r="B63" s="126">
        <f t="shared" si="5"/>
        <v>63</v>
      </c>
      <c r="C63" s="127">
        <v>0.83162079782020115</v>
      </c>
      <c r="D63" s="127">
        <v>0.84563896325371846</v>
      </c>
      <c r="E63" s="127">
        <v>0.8486238929936275</v>
      </c>
      <c r="F63" s="127">
        <v>0.8985928694768589</v>
      </c>
      <c r="G63" s="127">
        <v>0.83481929827138912</v>
      </c>
      <c r="H63" s="127">
        <v>0.87601844441596555</v>
      </c>
      <c r="I63" s="127">
        <v>0.84039350420819103</v>
      </c>
      <c r="J63" s="127"/>
      <c r="K63" s="334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</row>
    <row r="64" spans="1:38" ht="12.75" customHeight="1">
      <c r="A64" s="593">
        <v>0.22916666666666699</v>
      </c>
      <c r="B64" s="126">
        <f t="shared" si="5"/>
        <v>64</v>
      </c>
      <c r="C64" s="127">
        <v>0.84999796393472871</v>
      </c>
      <c r="D64" s="127">
        <v>0.86434886221891138</v>
      </c>
      <c r="E64" s="127">
        <v>0.86734294906957998</v>
      </c>
      <c r="F64" s="127">
        <v>0.91837574964114654</v>
      </c>
      <c r="G64" s="127">
        <v>0.85325703866489011</v>
      </c>
      <c r="H64" s="127">
        <v>0.90458263998002797</v>
      </c>
      <c r="I64" s="127">
        <v>0.86688268355250442</v>
      </c>
      <c r="J64" s="127"/>
      <c r="K64" s="334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</row>
    <row r="65" spans="1:30" ht="12.75" customHeight="1">
      <c r="A65" s="593">
        <v>0.25</v>
      </c>
      <c r="B65" s="126">
        <f t="shared" si="5"/>
        <v>65</v>
      </c>
      <c r="C65" s="127">
        <v>0.85889293305789227</v>
      </c>
      <c r="D65" s="127">
        <v>0.87345870835645156</v>
      </c>
      <c r="E65" s="127">
        <v>0.87612965611393734</v>
      </c>
      <c r="F65" s="127">
        <v>0.92768789782159566</v>
      </c>
      <c r="G65" s="127">
        <v>0.86208217162012113</v>
      </c>
      <c r="H65" s="127">
        <v>1.0397951326094639</v>
      </c>
      <c r="I65" s="127">
        <v>0.98507521071156212</v>
      </c>
      <c r="J65" s="127"/>
      <c r="K65" s="334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</row>
    <row r="66" spans="1:30" ht="12.75" customHeight="1">
      <c r="A66" s="593">
        <v>0.27083333333333298</v>
      </c>
      <c r="B66" s="126">
        <f t="shared" si="5"/>
        <v>66</v>
      </c>
      <c r="C66" s="127">
        <v>0.94132593594518366</v>
      </c>
      <c r="D66" s="127">
        <v>0.95730511895774395</v>
      </c>
      <c r="E66" s="127">
        <v>0.96008591043748071</v>
      </c>
      <c r="F66" s="127">
        <v>1.0166235722837227</v>
      </c>
      <c r="G66" s="127">
        <v>0.94477256321313519</v>
      </c>
      <c r="H66" s="127">
        <v>1.0233349277814889</v>
      </c>
      <c r="I66" s="127">
        <v>0.99759700790670192</v>
      </c>
      <c r="J66" s="127"/>
      <c r="K66" s="334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</row>
    <row r="67" spans="1:30" ht="12.75" customHeight="1">
      <c r="A67" s="593">
        <v>0.29166666666666702</v>
      </c>
      <c r="B67" s="126">
        <f t="shared" si="5"/>
        <v>67</v>
      </c>
      <c r="C67" s="127">
        <v>0.98476836697635284</v>
      </c>
      <c r="D67" s="127">
        <v>0.93456016563745059</v>
      </c>
      <c r="E67" s="127">
        <v>0.96343984156534823</v>
      </c>
      <c r="F67" s="127">
        <v>0.96267540404711394</v>
      </c>
      <c r="G67" s="127">
        <v>0.99391780884296677</v>
      </c>
      <c r="H67" s="127">
        <v>1.0368097985052118</v>
      </c>
      <c r="I67" s="127">
        <v>1.0704162427906396</v>
      </c>
      <c r="J67" s="127"/>
      <c r="K67" s="334"/>
      <c r="L67" s="565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</row>
    <row r="68" spans="1:30" ht="12.75" customHeight="1">
      <c r="A68" s="593">
        <v>0.3125</v>
      </c>
      <c r="B68" s="126">
        <f t="shared" si="5"/>
        <v>68</v>
      </c>
      <c r="C68" s="127">
        <v>0.94892073828682888</v>
      </c>
      <c r="D68" s="127">
        <v>0.99267783700923928</v>
      </c>
      <c r="E68" s="127">
        <v>0.97507069656150236</v>
      </c>
      <c r="F68" s="127">
        <v>1.0329799425801216</v>
      </c>
      <c r="G68" s="127">
        <v>0.94535812937938457</v>
      </c>
      <c r="H68" s="127">
        <v>1.049786684209213</v>
      </c>
      <c r="I68" s="127">
        <v>1.0735137186409967</v>
      </c>
      <c r="J68" s="127"/>
      <c r="K68" s="334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</row>
    <row r="69" spans="1:30" ht="12.75" customHeight="1">
      <c r="A69" s="593">
        <v>0.33333333333333298</v>
      </c>
      <c r="B69" s="126">
        <f t="shared" si="5"/>
        <v>69</v>
      </c>
      <c r="C69" s="127">
        <v>1.0003800507848397</v>
      </c>
      <c r="D69" s="127">
        <v>1.0010947126065215</v>
      </c>
      <c r="E69" s="127">
        <v>1.021148308045416</v>
      </c>
      <c r="F69" s="127">
        <v>1.0122073895570367</v>
      </c>
      <c r="G69" s="127">
        <v>1.028298018077326</v>
      </c>
      <c r="H69" s="127">
        <v>1.0523775282376102</v>
      </c>
      <c r="I69" s="127">
        <v>1.053226027986814</v>
      </c>
      <c r="J69" s="127"/>
      <c r="K69" s="334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</row>
    <row r="70" spans="1:30" ht="12.75" customHeight="1">
      <c r="A70" s="593">
        <v>0.35416666666666702</v>
      </c>
      <c r="B70" s="126">
        <f t="shared" si="5"/>
        <v>70</v>
      </c>
      <c r="C70" s="127">
        <v>1.1085562360861214</v>
      </c>
      <c r="D70" s="127">
        <v>1.0663753402429736</v>
      </c>
      <c r="E70" s="127">
        <v>1.041208634160977</v>
      </c>
      <c r="F70" s="127">
        <v>1.0793924322251407</v>
      </c>
      <c r="G70" s="127">
        <v>1.024966577303976</v>
      </c>
      <c r="H70" s="127">
        <v>1.0521767883692736</v>
      </c>
      <c r="I70" s="127">
        <v>1.0298379896723522</v>
      </c>
      <c r="J70" s="127"/>
      <c r="K70" s="334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</row>
    <row r="71" spans="1:30" ht="12.75" customHeight="1">
      <c r="A71" s="593">
        <v>0.375</v>
      </c>
      <c r="B71" s="126">
        <f t="shared" si="5"/>
        <v>71</v>
      </c>
      <c r="C71" s="127">
        <v>1.0674618706194225</v>
      </c>
      <c r="D71" s="127">
        <v>1.057157568068005</v>
      </c>
      <c r="E71" s="127">
        <v>1.0552344366900472</v>
      </c>
      <c r="F71" s="127">
        <v>1.0560840378575043</v>
      </c>
      <c r="G71" s="127">
        <v>1.0877772671868082</v>
      </c>
      <c r="H71" s="127">
        <v>1.0459641640019701</v>
      </c>
      <c r="I71" s="127">
        <v>1.0352405649112377</v>
      </c>
      <c r="J71" s="127"/>
      <c r="K71" s="334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</row>
    <row r="72" spans="1:30" ht="12.75" customHeight="1">
      <c r="A72" s="593">
        <v>0.39583333333333298</v>
      </c>
      <c r="B72" s="126">
        <f t="shared" si="5"/>
        <v>72</v>
      </c>
      <c r="C72" s="127">
        <v>1.0889715864256877</v>
      </c>
      <c r="D72" s="127">
        <v>1.111304556845524</v>
      </c>
      <c r="E72" s="127">
        <v>1.0195779875259732</v>
      </c>
      <c r="F72" s="127">
        <v>1.0776197093789543</v>
      </c>
      <c r="G72" s="127">
        <v>1.0752410832605239</v>
      </c>
      <c r="H72" s="127">
        <v>1.1432807573583075</v>
      </c>
      <c r="I72" s="127">
        <v>1.0851057933110773</v>
      </c>
      <c r="J72" s="127"/>
      <c r="K72" s="334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</row>
    <row r="73" spans="1:30" ht="12.75" customHeight="1">
      <c r="A73" s="593">
        <v>0.41666666666666702</v>
      </c>
      <c r="B73" s="126">
        <f t="shared" si="5"/>
        <v>73</v>
      </c>
      <c r="C73" s="127">
        <v>1.1025483467307273</v>
      </c>
      <c r="D73" s="127">
        <v>1.137973337883883</v>
      </c>
      <c r="E73" s="127">
        <v>1.0408875322785089</v>
      </c>
      <c r="F73" s="127">
        <v>1.0432250337463109</v>
      </c>
      <c r="G73" s="127">
        <v>1.0844067431379889</v>
      </c>
      <c r="H73" s="127">
        <v>1.0308862563328263</v>
      </c>
      <c r="I73" s="127">
        <v>1.0656369316159873</v>
      </c>
      <c r="J73" s="127"/>
      <c r="K73" s="334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</row>
    <row r="74" spans="1:30" ht="12.75" customHeight="1">
      <c r="A74" s="593">
        <v>0.4375</v>
      </c>
      <c r="B74" s="126">
        <f t="shared" si="5"/>
        <v>74</v>
      </c>
      <c r="C74" s="127">
        <v>1.0480407849564664</v>
      </c>
      <c r="D74" s="127">
        <v>1.0821541613979937</v>
      </c>
      <c r="E74" s="127">
        <v>1.0392391736569728</v>
      </c>
      <c r="F74" s="127">
        <v>1.0389601899538063</v>
      </c>
      <c r="G74" s="127">
        <v>1.0466514827733442</v>
      </c>
      <c r="H74" s="127">
        <v>1.0215172660449903</v>
      </c>
      <c r="I74" s="127">
        <v>1.0177471257633939</v>
      </c>
      <c r="J74" s="127"/>
      <c r="K74" s="334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</row>
    <row r="75" spans="1:30" ht="12.75" customHeight="1">
      <c r="A75" s="593">
        <v>0.45833333333333298</v>
      </c>
      <c r="B75" s="126">
        <f t="shared" si="5"/>
        <v>75</v>
      </c>
      <c r="C75" s="127">
        <v>1.0378395382375187</v>
      </c>
      <c r="D75" s="127">
        <v>1.0466703586345931</v>
      </c>
      <c r="E75" s="127">
        <v>1.0486336737718593</v>
      </c>
      <c r="F75" s="127">
        <v>1.0948117010801384</v>
      </c>
      <c r="G75" s="127">
        <v>1.0347724099741766</v>
      </c>
      <c r="H75" s="127">
        <v>1.0105246328899558</v>
      </c>
      <c r="I75" s="127">
        <v>1.0168603826802447</v>
      </c>
      <c r="J75" s="127"/>
      <c r="K75" s="334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</row>
    <row r="76" spans="1:30" ht="12.75" customHeight="1">
      <c r="A76" s="593">
        <v>0.47916666666666702</v>
      </c>
      <c r="B76" s="126">
        <f t="shared" si="5"/>
        <v>76</v>
      </c>
      <c r="C76" s="127">
        <v>0.99921828281663028</v>
      </c>
      <c r="D76" s="127">
        <v>0.9898855356582158</v>
      </c>
      <c r="E76" s="127">
        <v>1.016890196361937</v>
      </c>
      <c r="F76" s="127">
        <v>0.97057754994931023</v>
      </c>
      <c r="G76" s="127">
        <v>1.0165454846994111</v>
      </c>
      <c r="H76" s="127">
        <v>1.0457026267442282</v>
      </c>
      <c r="I76" s="127">
        <v>0.99870299264168216</v>
      </c>
      <c r="J76" s="127"/>
      <c r="K76" s="334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</row>
    <row r="77" spans="1:30" ht="12.75" customHeight="1">
      <c r="A77" s="118">
        <v>0.5</v>
      </c>
      <c r="B77" s="126">
        <f t="shared" si="5"/>
        <v>77</v>
      </c>
      <c r="C77" s="127">
        <v>1.0620657029383467</v>
      </c>
      <c r="D77" s="127">
        <v>1.0193979537972844</v>
      </c>
      <c r="E77" s="127">
        <v>1.0427114411839504</v>
      </c>
      <c r="F77" s="127">
        <v>1.0524676817509133</v>
      </c>
      <c r="G77" s="127">
        <v>1.0335477502929731</v>
      </c>
      <c r="H77" s="127">
        <v>0.97349694602777792</v>
      </c>
      <c r="I77" s="127">
        <v>0.99343573782934103</v>
      </c>
      <c r="J77" s="127"/>
      <c r="K77" s="334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</row>
    <row r="78" spans="1:30" ht="12.75" customHeight="1">
      <c r="A78" s="118">
        <v>0.52083333333333304</v>
      </c>
      <c r="B78" s="126">
        <f t="shared" si="5"/>
        <v>78</v>
      </c>
      <c r="C78" s="127">
        <v>1.0001669752609417</v>
      </c>
      <c r="D78" s="127">
        <v>1.0212239777936047</v>
      </c>
      <c r="E78" s="127">
        <v>1.0047018975405202</v>
      </c>
      <c r="F78" s="127">
        <v>1.0117919875841395</v>
      </c>
      <c r="G78" s="127">
        <v>1.0189259088333651</v>
      </c>
      <c r="H78" s="127">
        <v>0.96914884047224392</v>
      </c>
      <c r="I78" s="127">
        <v>1.0058124202293968</v>
      </c>
      <c r="J78" s="127"/>
      <c r="K78" s="334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127"/>
      <c r="AD78" s="127"/>
    </row>
    <row r="79" spans="1:30" ht="12.75" customHeight="1">
      <c r="A79" s="118">
        <v>0.54166666666666696</v>
      </c>
      <c r="B79" s="126">
        <f t="shared" si="5"/>
        <v>79</v>
      </c>
      <c r="C79" s="127">
        <v>0.99495453762405273</v>
      </c>
      <c r="D79" s="127">
        <v>0.97059648244143915</v>
      </c>
      <c r="E79" s="127">
        <v>0.95485464201217829</v>
      </c>
      <c r="F79" s="127">
        <v>0.97734422507371099</v>
      </c>
      <c r="G79" s="127">
        <v>0.98721263949306526</v>
      </c>
      <c r="H79" s="127">
        <v>0.9814196473997433</v>
      </c>
      <c r="I79" s="127">
        <v>1.0042946888880315</v>
      </c>
      <c r="J79" s="127"/>
      <c r="K79" s="334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</row>
    <row r="80" spans="1:30" ht="12.75" customHeight="1">
      <c r="A80" s="118">
        <v>0.5625</v>
      </c>
      <c r="B80" s="126">
        <f t="shared" si="5"/>
        <v>80</v>
      </c>
      <c r="C80" s="127">
        <v>0.963097518542535</v>
      </c>
      <c r="D80" s="127">
        <v>0.96285346231145563</v>
      </c>
      <c r="E80" s="127">
        <v>1.0157430158398133</v>
      </c>
      <c r="F80" s="127">
        <v>0.99651216758589789</v>
      </c>
      <c r="G80" s="127">
        <v>0.98493179228367</v>
      </c>
      <c r="H80" s="127">
        <v>0.99354982372523348</v>
      </c>
      <c r="I80" s="127">
        <v>1.0066235959451684</v>
      </c>
      <c r="J80" s="127"/>
      <c r="K80" s="334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</row>
    <row r="81" spans="1:30" ht="12.75" customHeight="1">
      <c r="A81" s="118">
        <v>0.58333333333333304</v>
      </c>
      <c r="B81" s="126">
        <f t="shared" si="5"/>
        <v>81</v>
      </c>
      <c r="C81" s="127">
        <v>0.99372279642487793</v>
      </c>
      <c r="D81" s="127">
        <v>1.0024575883931608</v>
      </c>
      <c r="E81" s="127">
        <v>1.0048597959482206</v>
      </c>
      <c r="F81" s="127">
        <v>0.99624852957285381</v>
      </c>
      <c r="G81" s="127">
        <v>1.0284579999241057</v>
      </c>
      <c r="H81" s="127">
        <v>1.0101368975419092</v>
      </c>
      <c r="I81" s="127">
        <v>1.0190083075155236</v>
      </c>
      <c r="J81" s="127"/>
      <c r="K81" s="334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</row>
    <row r="82" spans="1:30" ht="12.75" customHeight="1">
      <c r="A82" s="118">
        <v>0.60416666666666696</v>
      </c>
      <c r="B82" s="126">
        <f t="shared" si="5"/>
        <v>82</v>
      </c>
      <c r="C82" s="127">
        <v>0.97313275030882851</v>
      </c>
      <c r="D82" s="127">
        <v>0.95927106810695206</v>
      </c>
      <c r="E82" s="127">
        <v>0.99854525351696044</v>
      </c>
      <c r="F82" s="127">
        <v>0.94585472011002913</v>
      </c>
      <c r="G82" s="127">
        <v>1.0204728729749788</v>
      </c>
      <c r="H82" s="127">
        <v>1.0368231695593528</v>
      </c>
      <c r="I82" s="127">
        <v>1.0198896355849887</v>
      </c>
      <c r="J82" s="127"/>
      <c r="K82" s="334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</row>
    <row r="83" spans="1:30" ht="12.75" customHeight="1">
      <c r="A83" s="118">
        <v>0.625</v>
      </c>
      <c r="B83" s="126">
        <f t="shared" si="5"/>
        <v>83</v>
      </c>
      <c r="C83" s="127">
        <v>1.0106127278883821</v>
      </c>
      <c r="D83" s="127">
        <v>1.0075108797802639</v>
      </c>
      <c r="E83" s="127">
        <v>1.0555992927039619</v>
      </c>
      <c r="F83" s="127">
        <v>1.0206018573074265</v>
      </c>
      <c r="G83" s="127">
        <v>1.0358665733976993</v>
      </c>
      <c r="H83" s="127">
        <v>1.0471965609258249</v>
      </c>
      <c r="I83" s="127">
        <v>1.0121045883033186</v>
      </c>
      <c r="J83" s="127"/>
      <c r="K83" s="334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</row>
    <row r="84" spans="1:30" ht="12.75" customHeight="1">
      <c r="A84" s="118">
        <v>0.64583333333333304</v>
      </c>
      <c r="B84" s="126">
        <f t="shared" si="5"/>
        <v>84</v>
      </c>
      <c r="C84" s="127">
        <v>1.0161571408826078</v>
      </c>
      <c r="D84" s="127">
        <v>1.0165766025560858</v>
      </c>
      <c r="E84" s="127">
        <v>1.0310142764596886</v>
      </c>
      <c r="F84" s="127">
        <v>0.99290905712931821</v>
      </c>
      <c r="G84" s="127">
        <v>1.0086324900483179</v>
      </c>
      <c r="H84" s="127">
        <v>1.045491312025834</v>
      </c>
      <c r="I84" s="127">
        <v>1.0135084832255157</v>
      </c>
      <c r="J84" s="127"/>
      <c r="K84" s="334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</row>
    <row r="85" spans="1:30" ht="12.75" customHeight="1">
      <c r="A85" s="118">
        <v>0.66666666666666596</v>
      </c>
      <c r="B85" s="126">
        <f t="shared" si="5"/>
        <v>85</v>
      </c>
      <c r="C85" s="127">
        <v>1.0133764828844174</v>
      </c>
      <c r="D85" s="127">
        <v>1.0268468574543212</v>
      </c>
      <c r="E85" s="127">
        <v>1.0736619124446232</v>
      </c>
      <c r="F85" s="127">
        <v>1.0314482394769353</v>
      </c>
      <c r="G85" s="127">
        <v>1.0498963696892307</v>
      </c>
      <c r="H85" s="127">
        <v>1.0416431230800445</v>
      </c>
      <c r="I85" s="127">
        <v>1.019181365901737</v>
      </c>
      <c r="J85" s="127"/>
      <c r="K85" s="334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</row>
    <row r="86" spans="1:30" ht="12.75" customHeight="1">
      <c r="A86" s="118">
        <v>0.687499999999999</v>
      </c>
      <c r="B86" s="126">
        <f t="shared" si="5"/>
        <v>86</v>
      </c>
      <c r="C86" s="127">
        <v>1.0554932616010888</v>
      </c>
      <c r="D86" s="127">
        <v>1.0443584229997742</v>
      </c>
      <c r="E86" s="127">
        <v>1.0086772429735453</v>
      </c>
      <c r="F86" s="127">
        <v>0.97049989069247189</v>
      </c>
      <c r="G86" s="127">
        <v>0.98436184168363505</v>
      </c>
      <c r="H86" s="127">
        <v>1.0349232453975021</v>
      </c>
      <c r="I86" s="127">
        <v>1.0223055735206379</v>
      </c>
      <c r="J86" s="127"/>
      <c r="K86" s="334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</row>
    <row r="87" spans="1:30" ht="12.75" customHeight="1">
      <c r="A87" s="118">
        <v>0.70833333333333204</v>
      </c>
      <c r="B87" s="126">
        <f t="shared" si="5"/>
        <v>87</v>
      </c>
      <c r="C87" s="127">
        <v>1.0233791470416427</v>
      </c>
      <c r="D87" s="127">
        <v>0.99373827059388886</v>
      </c>
      <c r="E87" s="127">
        <v>1.0568229322960601</v>
      </c>
      <c r="F87" s="127">
        <v>0.98783025493013976</v>
      </c>
      <c r="G87" s="127">
        <v>1.0046923622523316</v>
      </c>
      <c r="H87" s="127">
        <v>1.010280218145732</v>
      </c>
      <c r="I87" s="127">
        <v>1.0132226380256792</v>
      </c>
      <c r="J87" s="127"/>
      <c r="K87" s="334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/>
    </row>
    <row r="88" spans="1:30" ht="12.75" customHeight="1">
      <c r="A88" s="118">
        <v>0.72916666666666496</v>
      </c>
      <c r="B88" s="126">
        <f t="shared" si="5"/>
        <v>88</v>
      </c>
      <c r="C88" s="127">
        <v>1.0040267046930724</v>
      </c>
      <c r="D88" s="127">
        <v>1.0616020326905455</v>
      </c>
      <c r="E88" s="127">
        <v>0.98810353302571219</v>
      </c>
      <c r="F88" s="127">
        <v>1.0199783351616425</v>
      </c>
      <c r="G88" s="127">
        <v>1.0479677765570898</v>
      </c>
      <c r="H88" s="127">
        <v>0.98752594978072528</v>
      </c>
      <c r="I88" s="127">
        <v>0.9535101764552768</v>
      </c>
      <c r="J88" s="127"/>
      <c r="K88" s="334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</row>
    <row r="89" spans="1:30" ht="12.75" customHeight="1">
      <c r="A89" s="118">
        <v>0.749999999999998</v>
      </c>
      <c r="B89" s="126">
        <f t="shared" si="5"/>
        <v>89</v>
      </c>
      <c r="C89" s="127">
        <v>1.0090070060663976</v>
      </c>
      <c r="D89" s="127">
        <v>0.99413801230926935</v>
      </c>
      <c r="E89" s="127">
        <v>1.0292640093669971</v>
      </c>
      <c r="F89" s="127">
        <v>0.98945645648395175</v>
      </c>
      <c r="G89" s="127">
        <v>1.003009602638389</v>
      </c>
      <c r="H89" s="127">
        <v>0.96572484008043435</v>
      </c>
      <c r="I89" s="127">
        <v>0.99884489407716137</v>
      </c>
      <c r="J89" s="127"/>
      <c r="K89" s="334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27"/>
      <c r="AD89" s="127"/>
    </row>
    <row r="90" spans="1:30" ht="12.75" customHeight="1">
      <c r="A90" s="118">
        <v>0.77083333333333104</v>
      </c>
      <c r="B90" s="126">
        <f t="shared" si="5"/>
        <v>90</v>
      </c>
      <c r="C90" s="127">
        <v>0.94708189723870473</v>
      </c>
      <c r="D90" s="127">
        <v>0.99627789821029811</v>
      </c>
      <c r="E90" s="127">
        <v>0.94963774434344372</v>
      </c>
      <c r="F90" s="127">
        <v>0.98133866521388413</v>
      </c>
      <c r="G90" s="127">
        <v>0.97647431940994012</v>
      </c>
      <c r="H90" s="127">
        <v>0.94413008321629799</v>
      </c>
      <c r="I90" s="127">
        <v>0.99199129451156265</v>
      </c>
      <c r="J90" s="127"/>
      <c r="K90" s="334"/>
      <c r="L90" s="127"/>
      <c r="M90" s="127"/>
      <c r="N90" s="127"/>
      <c r="O90" s="127"/>
      <c r="P90" s="127"/>
      <c r="Q90" s="127"/>
      <c r="R90" s="127"/>
      <c r="S90" s="127"/>
      <c r="T90" s="127"/>
      <c r="U90" s="127"/>
      <c r="V90" s="127"/>
      <c r="W90" s="127"/>
      <c r="X90" s="127"/>
      <c r="Y90" s="127"/>
      <c r="Z90" s="127"/>
      <c r="AA90" s="127"/>
      <c r="AB90" s="127"/>
      <c r="AC90" s="127"/>
      <c r="AD90" s="127"/>
    </row>
    <row r="91" spans="1:30" ht="12.75" customHeight="1">
      <c r="A91" s="118">
        <v>0.79166666666666397</v>
      </c>
      <c r="B91" s="126">
        <f t="shared" si="5"/>
        <v>91</v>
      </c>
      <c r="C91" s="127">
        <v>0.94245183178323166</v>
      </c>
      <c r="D91" s="127">
        <v>0.96253966501065857</v>
      </c>
      <c r="E91" s="127">
        <v>0.99758429741446542</v>
      </c>
      <c r="F91" s="127">
        <v>0.99274329130998795</v>
      </c>
      <c r="G91" s="127">
        <v>0.93658035807495443</v>
      </c>
      <c r="H91" s="127">
        <v>0.92950670514474665</v>
      </c>
      <c r="I91" s="127">
        <v>0.9737968884389957</v>
      </c>
      <c r="J91" s="127"/>
      <c r="K91" s="334"/>
      <c r="L91" s="127"/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127"/>
      <c r="AD91" s="127"/>
    </row>
    <row r="92" spans="1:30" ht="12.75" customHeight="1">
      <c r="A92" s="118">
        <v>0.812499999999997</v>
      </c>
      <c r="B92" s="126">
        <f t="shared" si="5"/>
        <v>92</v>
      </c>
      <c r="C92" s="127">
        <v>0.9516351428332257</v>
      </c>
      <c r="D92" s="127">
        <v>0.95929009240487484</v>
      </c>
      <c r="E92" s="127">
        <v>0.97192200267366247</v>
      </c>
      <c r="F92" s="127">
        <v>0.99821070909941712</v>
      </c>
      <c r="G92" s="127">
        <v>0.94289514211450598</v>
      </c>
      <c r="H92" s="127">
        <v>0.92499323487924778</v>
      </c>
      <c r="I92" s="127">
        <v>0.97196397942915413</v>
      </c>
      <c r="J92" s="127"/>
      <c r="K92" s="334"/>
      <c r="L92" s="127"/>
      <c r="M92" s="127"/>
      <c r="N92" s="127"/>
      <c r="O92" s="127"/>
      <c r="P92" s="127"/>
      <c r="Q92" s="127"/>
      <c r="R92" s="127"/>
      <c r="S92" s="127"/>
      <c r="T92" s="127"/>
      <c r="U92" s="127"/>
      <c r="V92" s="127"/>
      <c r="W92" s="127"/>
      <c r="X92" s="127"/>
      <c r="Y92" s="127"/>
      <c r="Z92" s="127"/>
      <c r="AA92" s="127"/>
      <c r="AB92" s="127"/>
      <c r="AC92" s="127"/>
      <c r="AD92" s="127"/>
    </row>
    <row r="93" spans="1:30" ht="12.75" customHeight="1">
      <c r="A93" s="118">
        <v>0.83333333333333004</v>
      </c>
      <c r="B93" s="126">
        <f t="shared" si="5"/>
        <v>93</v>
      </c>
      <c r="C93" s="127">
        <v>0.92430289199080762</v>
      </c>
      <c r="D93" s="127">
        <v>0.92598251221560968</v>
      </c>
      <c r="E93" s="127">
        <v>0.94144306987418125</v>
      </c>
      <c r="F93" s="127">
        <v>0.94181460992356347</v>
      </c>
      <c r="G93" s="127">
        <v>0.94630022689446225</v>
      </c>
      <c r="H93" s="127">
        <v>0.91534947085231533</v>
      </c>
      <c r="I93" s="127">
        <v>0.98697764016856437</v>
      </c>
      <c r="J93" s="127"/>
      <c r="K93" s="334"/>
      <c r="L93" s="127"/>
      <c r="M93" s="127"/>
      <c r="N93" s="127"/>
      <c r="O93" s="127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7"/>
      <c r="AA93" s="127"/>
      <c r="AB93" s="127"/>
      <c r="AC93" s="127"/>
      <c r="AD93" s="127"/>
    </row>
    <row r="94" spans="1:30" ht="12.75" customHeight="1">
      <c r="A94" s="118">
        <v>0.85416666666666297</v>
      </c>
      <c r="B94" s="126">
        <f t="shared" si="5"/>
        <v>94</v>
      </c>
      <c r="C94" s="127">
        <v>0.91654365971959839</v>
      </c>
      <c r="D94" s="127">
        <v>0.87193594453009882</v>
      </c>
      <c r="E94" s="127">
        <v>0.91355587544972527</v>
      </c>
      <c r="F94" s="127">
        <v>0.92148420735227876</v>
      </c>
      <c r="G94" s="127">
        <v>0.86850162663436759</v>
      </c>
      <c r="H94" s="127">
        <v>0.90909942842560854</v>
      </c>
      <c r="I94" s="127">
        <v>0.97957683389140482</v>
      </c>
      <c r="J94" s="127"/>
      <c r="K94" s="334"/>
      <c r="L94" s="127"/>
      <c r="M94" s="127"/>
      <c r="N94" s="127"/>
      <c r="O94" s="127"/>
      <c r="P94" s="127"/>
      <c r="Q94" s="127"/>
      <c r="R94" s="127"/>
      <c r="S94" s="127"/>
      <c r="T94" s="127"/>
      <c r="U94" s="127"/>
      <c r="V94" s="127"/>
      <c r="W94" s="127"/>
      <c r="X94" s="127"/>
      <c r="Y94" s="127"/>
      <c r="Z94" s="127"/>
      <c r="AA94" s="127"/>
      <c r="AB94" s="127"/>
      <c r="AC94" s="127"/>
      <c r="AD94" s="127"/>
    </row>
    <row r="95" spans="1:30" ht="12.75" customHeight="1">
      <c r="A95" s="118">
        <v>0.874999999999996</v>
      </c>
      <c r="B95" s="126">
        <f t="shared" si="5"/>
        <v>95</v>
      </c>
      <c r="C95" s="127">
        <v>0.91161020985273755</v>
      </c>
      <c r="D95" s="127">
        <v>0.90273791174360118</v>
      </c>
      <c r="E95" s="127">
        <v>0.88294327797526162</v>
      </c>
      <c r="F95" s="127">
        <v>0.9127750737379644</v>
      </c>
      <c r="G95" s="127">
        <v>0.87693831020766988</v>
      </c>
      <c r="H95" s="127">
        <v>0.91136458712573132</v>
      </c>
      <c r="I95" s="127">
        <v>0.92858717346108632</v>
      </c>
      <c r="J95" s="127"/>
      <c r="K95" s="334"/>
      <c r="L95" s="564"/>
      <c r="M95" s="127"/>
      <c r="N95" s="127"/>
      <c r="O95" s="127"/>
      <c r="P95" s="127"/>
      <c r="Q95" s="127"/>
      <c r="R95" s="127"/>
      <c r="S95" s="127"/>
      <c r="T95" s="127"/>
      <c r="U95" s="127"/>
      <c r="V95" s="127"/>
      <c r="W95" s="127"/>
      <c r="X95" s="127"/>
      <c r="Y95" s="127"/>
      <c r="Z95" s="127"/>
      <c r="AA95" s="127"/>
      <c r="AB95" s="127"/>
      <c r="AC95" s="127"/>
      <c r="AD95" s="127"/>
    </row>
    <row r="96" spans="1:30" ht="12.75" customHeight="1">
      <c r="A96" s="118">
        <v>0.89583333333333004</v>
      </c>
      <c r="B96" s="126">
        <f t="shared" si="5"/>
        <v>96</v>
      </c>
      <c r="C96" s="127">
        <v>0.8711719633002688</v>
      </c>
      <c r="D96" s="127">
        <v>0.83598315709178206</v>
      </c>
      <c r="E96" s="127">
        <v>0.85348881799306642</v>
      </c>
      <c r="F96" s="127">
        <v>0.8552083166039921</v>
      </c>
      <c r="G96" s="127">
        <v>0.87919251737085458</v>
      </c>
      <c r="H96" s="127">
        <v>0.89708085320079478</v>
      </c>
      <c r="I96" s="127">
        <v>0.98311556221899143</v>
      </c>
      <c r="J96" s="127"/>
      <c r="K96" s="334"/>
      <c r="L96" s="127"/>
      <c r="M96" s="127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27"/>
      <c r="AD96" s="127"/>
    </row>
    <row r="97" spans="1:30" ht="12.75" customHeight="1">
      <c r="A97" s="118">
        <v>0.91666666666666397</v>
      </c>
      <c r="B97" s="126">
        <f t="shared" si="5"/>
        <v>97</v>
      </c>
      <c r="C97" s="127">
        <v>0.82244248741913517</v>
      </c>
      <c r="D97" s="127">
        <v>0.83638201281925351</v>
      </c>
      <c r="E97" s="127">
        <v>0.8387739420049698</v>
      </c>
      <c r="F97" s="127">
        <v>0.88825787632306352</v>
      </c>
      <c r="G97" s="127">
        <v>0.82542836564021937</v>
      </c>
      <c r="H97" s="127">
        <v>0.88891567426744655</v>
      </c>
      <c r="I97" s="127">
        <v>0.98836958896687843</v>
      </c>
      <c r="J97" s="127"/>
      <c r="K97" s="334"/>
      <c r="L97" s="127"/>
      <c r="M97" s="127"/>
      <c r="N97" s="127"/>
      <c r="O97" s="127"/>
      <c r="P97" s="127"/>
      <c r="Q97" s="127"/>
      <c r="R97" s="127"/>
      <c r="S97" s="127"/>
      <c r="T97" s="127"/>
      <c r="U97" s="127"/>
      <c r="V97" s="127"/>
      <c r="W97" s="127"/>
      <c r="X97" s="127"/>
      <c r="Y97" s="127"/>
      <c r="Z97" s="127"/>
      <c r="AA97" s="127"/>
      <c r="AB97" s="127"/>
      <c r="AC97" s="127"/>
      <c r="AD97" s="127"/>
    </row>
    <row r="98" spans="1:30" ht="12.75" customHeight="1">
      <c r="A98" s="118">
        <v>0.937499999999998</v>
      </c>
      <c r="B98" s="126">
        <f t="shared" si="5"/>
        <v>98</v>
      </c>
      <c r="C98" s="127">
        <v>0.81888648077450099</v>
      </c>
      <c r="D98" s="127">
        <v>0.83279661677642403</v>
      </c>
      <c r="E98" s="127">
        <v>0.83512742258514361</v>
      </c>
      <c r="F98" s="127">
        <v>0.88432959192690164</v>
      </c>
      <c r="G98" s="127">
        <v>0.8218555277239521</v>
      </c>
      <c r="H98" s="127">
        <v>0.87248679170297327</v>
      </c>
      <c r="I98" s="127">
        <v>0.92014845228830755</v>
      </c>
      <c r="J98" s="127"/>
      <c r="K98" s="334"/>
      <c r="L98" s="127"/>
      <c r="M98" s="127"/>
      <c r="N98" s="127"/>
      <c r="O98" s="127"/>
      <c r="P98" s="127"/>
      <c r="Q98" s="127"/>
      <c r="R98" s="127"/>
      <c r="S98" s="127"/>
      <c r="T98" s="127"/>
      <c r="U98" s="127"/>
      <c r="V98" s="127"/>
      <c r="W98" s="127"/>
      <c r="X98" s="127"/>
      <c r="Y98" s="127"/>
      <c r="Z98" s="127"/>
      <c r="AA98" s="127"/>
      <c r="AB98" s="127"/>
      <c r="AC98" s="127"/>
      <c r="AD98" s="127"/>
    </row>
    <row r="99" spans="1:30" ht="12.75" customHeight="1">
      <c r="A99" s="118">
        <v>0.95833333333333204</v>
      </c>
      <c r="B99" s="126">
        <f t="shared" si="5"/>
        <v>99</v>
      </c>
      <c r="C99" s="127">
        <v>0.77823961040402989</v>
      </c>
      <c r="D99" s="127">
        <v>0.79147393665322574</v>
      </c>
      <c r="E99" s="127">
        <v>0.79370268400474375</v>
      </c>
      <c r="F99" s="127">
        <v>0.84041048674023966</v>
      </c>
      <c r="G99" s="127">
        <v>0.78107395590154871</v>
      </c>
      <c r="H99" s="127">
        <v>0.85841570092392439</v>
      </c>
      <c r="I99" s="127">
        <v>0.85913796437568113</v>
      </c>
      <c r="J99" s="127"/>
      <c r="K99" s="334"/>
      <c r="L99" s="127"/>
      <c r="M99" s="127"/>
      <c r="N99" s="127"/>
      <c r="O99" s="127"/>
      <c r="P99" s="127"/>
      <c r="Q99" s="127"/>
      <c r="R99" s="127"/>
      <c r="S99" s="127"/>
      <c r="T99" s="127"/>
      <c r="U99" s="127"/>
      <c r="V99" s="127"/>
      <c r="W99" s="127"/>
      <c r="X99" s="127"/>
      <c r="Y99" s="127"/>
      <c r="Z99" s="127"/>
      <c r="AA99" s="127"/>
      <c r="AB99" s="127"/>
      <c r="AC99" s="127"/>
      <c r="AD99" s="127"/>
    </row>
    <row r="100" spans="1:30" ht="12.75" customHeight="1">
      <c r="A100" s="118">
        <v>0.97916666666666596</v>
      </c>
      <c r="B100" s="126">
        <f t="shared" si="5"/>
        <v>100</v>
      </c>
      <c r="C100" s="127">
        <v>0.77809927837312565</v>
      </c>
      <c r="D100" s="127">
        <v>0.79132427628301527</v>
      </c>
      <c r="E100" s="127">
        <v>0.79354638446114023</v>
      </c>
      <c r="F100" s="127">
        <v>0.84027033386789185</v>
      </c>
      <c r="G100" s="127">
        <v>0.78092719004348632</v>
      </c>
      <c r="H100" s="127">
        <v>0.77241740835584849</v>
      </c>
      <c r="I100" s="127">
        <v>0.68715920210267523</v>
      </c>
      <c r="J100" s="127"/>
      <c r="K100" s="334"/>
      <c r="L100" s="127"/>
      <c r="M100" s="127"/>
      <c r="N100" s="127"/>
      <c r="O100" s="127"/>
      <c r="P100" s="127"/>
      <c r="Q100" s="127"/>
      <c r="R100" s="127"/>
      <c r="S100" s="127"/>
      <c r="T100" s="127"/>
      <c r="U100" s="127"/>
      <c r="V100" s="127"/>
      <c r="W100" s="127"/>
      <c r="X100" s="127"/>
      <c r="Y100" s="127"/>
      <c r="Z100" s="127"/>
      <c r="AA100" s="127"/>
      <c r="AB100" s="127"/>
      <c r="AC100" s="127"/>
      <c r="AD100" s="127"/>
    </row>
    <row r="101" spans="1:30" ht="12.75" customHeight="1">
      <c r="A101" s="592" t="s">
        <v>654</v>
      </c>
      <c r="B101" s="175"/>
      <c r="C101" s="176" t="str">
        <f>C1</f>
        <v>SEG</v>
      </c>
      <c r="D101" s="176" t="str">
        <f t="shared" ref="D101:I101" si="6">D1</f>
        <v>TER</v>
      </c>
      <c r="E101" s="176" t="str">
        <f t="shared" si="6"/>
        <v>QUA</v>
      </c>
      <c r="F101" s="176" t="str">
        <f t="shared" si="6"/>
        <v>QUI</v>
      </c>
      <c r="G101" s="176" t="str">
        <f t="shared" si="6"/>
        <v>SEX</v>
      </c>
      <c r="H101" s="176" t="str">
        <f t="shared" si="6"/>
        <v>SÁB</v>
      </c>
      <c r="I101" s="176" t="str">
        <f t="shared" si="6"/>
        <v>DOM</v>
      </c>
      <c r="J101" s="176" t="str">
        <f t="shared" ref="J101:AD101" si="7">J1</f>
        <v>SEM</v>
      </c>
      <c r="K101" s="176" t="str">
        <f t="shared" si="7"/>
        <v>-</v>
      </c>
      <c r="L101" s="176" t="str">
        <f t="shared" si="7"/>
        <v>-</v>
      </c>
      <c r="M101" s="176" t="str">
        <f t="shared" si="7"/>
        <v>-</v>
      </c>
      <c r="N101" s="176" t="str">
        <f t="shared" si="7"/>
        <v>-</v>
      </c>
      <c r="O101" s="176" t="str">
        <f t="shared" si="7"/>
        <v>-</v>
      </c>
      <c r="P101" s="176" t="str">
        <f t="shared" si="7"/>
        <v>-</v>
      </c>
      <c r="Q101" s="176" t="str">
        <f t="shared" si="7"/>
        <v>-</v>
      </c>
      <c r="R101" s="176" t="str">
        <f t="shared" si="7"/>
        <v>-</v>
      </c>
      <c r="S101" s="176" t="str">
        <f t="shared" si="7"/>
        <v>-</v>
      </c>
      <c r="T101" s="176" t="str">
        <f t="shared" si="7"/>
        <v>-</v>
      </c>
      <c r="U101" s="176" t="str">
        <f t="shared" si="7"/>
        <v>-</v>
      </c>
      <c r="V101" s="176" t="str">
        <f t="shared" si="7"/>
        <v>-</v>
      </c>
      <c r="W101" s="176" t="str">
        <f t="shared" si="7"/>
        <v>-</v>
      </c>
      <c r="X101" s="176" t="str">
        <f t="shared" si="7"/>
        <v>-</v>
      </c>
      <c r="Y101" s="176" t="str">
        <f t="shared" si="7"/>
        <v>-</v>
      </c>
      <c r="Z101" s="176" t="str">
        <f t="shared" si="7"/>
        <v>-</v>
      </c>
      <c r="AA101" s="176" t="str">
        <f t="shared" si="7"/>
        <v>-</v>
      </c>
      <c r="AB101" s="176" t="str">
        <f t="shared" si="7"/>
        <v>-</v>
      </c>
      <c r="AC101" s="176" t="str">
        <f t="shared" si="7"/>
        <v>-</v>
      </c>
      <c r="AD101" s="176" t="str">
        <f t="shared" si="7"/>
        <v>-</v>
      </c>
    </row>
    <row r="102" spans="1:30" ht="12.75" customHeight="1">
      <c r="A102" s="592">
        <v>1</v>
      </c>
      <c r="B102" s="126">
        <f t="shared" ref="B102:AD102" si="8">A102+1</f>
        <v>2</v>
      </c>
      <c r="C102" s="126">
        <v>3</v>
      </c>
      <c r="D102" s="126">
        <v>4</v>
      </c>
      <c r="E102" s="126">
        <v>5</v>
      </c>
      <c r="F102" s="126">
        <v>6</v>
      </c>
      <c r="G102" s="126">
        <v>7</v>
      </c>
      <c r="H102" s="126">
        <v>8</v>
      </c>
      <c r="I102" s="126">
        <v>9</v>
      </c>
      <c r="J102" s="126">
        <f t="shared" si="8"/>
        <v>10</v>
      </c>
      <c r="K102" s="126">
        <f t="shared" si="8"/>
        <v>11</v>
      </c>
      <c r="L102" s="126">
        <f t="shared" si="8"/>
        <v>12</v>
      </c>
      <c r="M102" s="126">
        <f t="shared" si="8"/>
        <v>13</v>
      </c>
      <c r="N102" s="126">
        <f t="shared" si="8"/>
        <v>14</v>
      </c>
      <c r="O102" s="126">
        <f t="shared" si="8"/>
        <v>15</v>
      </c>
      <c r="P102" s="126">
        <f t="shared" si="8"/>
        <v>16</v>
      </c>
      <c r="Q102" s="126">
        <f t="shared" si="8"/>
        <v>17</v>
      </c>
      <c r="R102" s="126">
        <f t="shared" si="8"/>
        <v>18</v>
      </c>
      <c r="S102" s="126">
        <f t="shared" si="8"/>
        <v>19</v>
      </c>
      <c r="T102" s="126">
        <f t="shared" si="8"/>
        <v>20</v>
      </c>
      <c r="U102" s="126">
        <f t="shared" si="8"/>
        <v>21</v>
      </c>
      <c r="V102" s="126">
        <f t="shared" si="8"/>
        <v>22</v>
      </c>
      <c r="W102" s="126">
        <f t="shared" si="8"/>
        <v>23</v>
      </c>
      <c r="X102" s="126">
        <f t="shared" si="8"/>
        <v>24</v>
      </c>
      <c r="Y102" s="126">
        <f t="shared" si="8"/>
        <v>25</v>
      </c>
      <c r="Z102" s="126">
        <f t="shared" si="8"/>
        <v>26</v>
      </c>
      <c r="AA102" s="126">
        <f t="shared" si="8"/>
        <v>27</v>
      </c>
      <c r="AB102" s="126">
        <f t="shared" si="8"/>
        <v>28</v>
      </c>
      <c r="AC102" s="126">
        <f t="shared" si="8"/>
        <v>29</v>
      </c>
      <c r="AD102" s="126">
        <f t="shared" si="8"/>
        <v>30</v>
      </c>
    </row>
    <row r="103" spans="1:30" ht="12.75" customHeight="1">
      <c r="A103" s="593">
        <v>0</v>
      </c>
      <c r="B103" s="126">
        <v>103</v>
      </c>
      <c r="C103" s="127">
        <v>1</v>
      </c>
      <c r="D103" s="127">
        <v>1</v>
      </c>
      <c r="E103" s="127">
        <v>1</v>
      </c>
      <c r="F103" s="127">
        <v>1</v>
      </c>
      <c r="G103" s="127">
        <v>1</v>
      </c>
      <c r="H103" s="127">
        <v>1</v>
      </c>
      <c r="I103" s="127">
        <v>1</v>
      </c>
      <c r="J103" s="127"/>
      <c r="K103" s="127"/>
      <c r="L103" s="127"/>
      <c r="M103" s="127"/>
      <c r="N103" s="127"/>
      <c r="O103" s="127"/>
      <c r="P103" s="127"/>
      <c r="Q103" s="127"/>
      <c r="R103" s="127"/>
      <c r="S103" s="127"/>
      <c r="T103" s="127"/>
      <c r="U103" s="127"/>
      <c r="V103" s="127"/>
      <c r="W103" s="127"/>
      <c r="X103" s="127"/>
      <c r="Y103" s="127"/>
      <c r="Z103" s="127"/>
      <c r="AA103" s="127"/>
      <c r="AB103" s="127"/>
      <c r="AC103" s="127"/>
      <c r="AD103" s="127"/>
    </row>
    <row r="104" spans="1:30" ht="12.75" customHeight="1">
      <c r="A104" s="593">
        <v>2.0833333333333332E-2</v>
      </c>
      <c r="B104" s="126">
        <f>B103+1</f>
        <v>104</v>
      </c>
      <c r="C104" s="127">
        <v>1</v>
      </c>
      <c r="D104" s="127">
        <v>1</v>
      </c>
      <c r="E104" s="127">
        <v>1</v>
      </c>
      <c r="F104" s="127">
        <v>1</v>
      </c>
      <c r="G104" s="127">
        <v>1</v>
      </c>
      <c r="H104" s="127">
        <v>1</v>
      </c>
      <c r="I104" s="127">
        <v>1</v>
      </c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127"/>
      <c r="AD104" s="127"/>
    </row>
    <row r="105" spans="1:30" ht="12.75" customHeight="1">
      <c r="A105" s="593">
        <v>4.1666666666666699E-2</v>
      </c>
      <c r="B105" s="126">
        <f t="shared" ref="B105:B150" si="9">B104+1</f>
        <v>105</v>
      </c>
      <c r="C105" s="127">
        <v>1</v>
      </c>
      <c r="D105" s="127">
        <v>1</v>
      </c>
      <c r="E105" s="127">
        <v>1</v>
      </c>
      <c r="F105" s="127">
        <v>1</v>
      </c>
      <c r="G105" s="127">
        <v>1</v>
      </c>
      <c r="H105" s="127">
        <v>1</v>
      </c>
      <c r="I105" s="127">
        <v>1</v>
      </c>
      <c r="J105" s="127"/>
      <c r="K105" s="127"/>
      <c r="L105" s="127"/>
      <c r="M105" s="127"/>
      <c r="N105" s="127"/>
      <c r="O105" s="127"/>
      <c r="P105" s="127"/>
      <c r="Q105" s="127"/>
      <c r="R105" s="127"/>
      <c r="S105" s="127"/>
      <c r="T105" s="127"/>
      <c r="U105" s="127"/>
      <c r="V105" s="127"/>
      <c r="W105" s="127"/>
      <c r="X105" s="127"/>
      <c r="Y105" s="127"/>
      <c r="Z105" s="127"/>
      <c r="AA105" s="127"/>
      <c r="AB105" s="127"/>
      <c r="AC105" s="127"/>
      <c r="AD105" s="127"/>
    </row>
    <row r="106" spans="1:30" ht="12.75" customHeight="1">
      <c r="A106" s="593">
        <v>6.25E-2</v>
      </c>
      <c r="B106" s="126">
        <f t="shared" si="9"/>
        <v>106</v>
      </c>
      <c r="C106" s="127">
        <v>1</v>
      </c>
      <c r="D106" s="127">
        <v>1</v>
      </c>
      <c r="E106" s="127">
        <v>1</v>
      </c>
      <c r="F106" s="127">
        <v>1</v>
      </c>
      <c r="G106" s="127">
        <v>1</v>
      </c>
      <c r="H106" s="127">
        <v>1</v>
      </c>
      <c r="I106" s="127">
        <v>1</v>
      </c>
      <c r="J106" s="127"/>
      <c r="K106" s="127"/>
      <c r="L106" s="127"/>
      <c r="M106" s="127"/>
      <c r="N106" s="127"/>
      <c r="O106" s="127"/>
      <c r="P106" s="127"/>
      <c r="Q106" s="127"/>
      <c r="R106" s="127"/>
      <c r="S106" s="127"/>
      <c r="T106" s="127"/>
      <c r="U106" s="127"/>
      <c r="V106" s="127"/>
      <c r="W106" s="127"/>
      <c r="X106" s="127"/>
      <c r="Y106" s="127"/>
      <c r="Z106" s="127"/>
      <c r="AA106" s="127"/>
      <c r="AB106" s="127"/>
      <c r="AC106" s="127"/>
      <c r="AD106" s="127"/>
    </row>
    <row r="107" spans="1:30" ht="12.75" customHeight="1">
      <c r="A107" s="593">
        <v>8.3333333333333301E-2</v>
      </c>
      <c r="B107" s="126">
        <f t="shared" si="9"/>
        <v>107</v>
      </c>
      <c r="C107" s="127">
        <v>1</v>
      </c>
      <c r="D107" s="127">
        <v>1</v>
      </c>
      <c r="E107" s="127">
        <v>1</v>
      </c>
      <c r="F107" s="127">
        <v>1</v>
      </c>
      <c r="G107" s="127">
        <v>1</v>
      </c>
      <c r="H107" s="127">
        <v>1</v>
      </c>
      <c r="I107" s="127">
        <v>1</v>
      </c>
      <c r="J107" s="127"/>
      <c r="K107" s="127"/>
      <c r="L107" s="127"/>
      <c r="M107" s="127"/>
      <c r="N107" s="127"/>
      <c r="O107" s="127"/>
      <c r="P107" s="127"/>
      <c r="Q107" s="127"/>
      <c r="R107" s="127"/>
      <c r="S107" s="127"/>
      <c r="T107" s="127"/>
      <c r="U107" s="127"/>
      <c r="V107" s="127"/>
      <c r="W107" s="127"/>
      <c r="X107" s="127"/>
      <c r="Y107" s="127"/>
      <c r="Z107" s="127"/>
      <c r="AA107" s="127"/>
      <c r="AB107" s="127"/>
      <c r="AC107" s="127"/>
      <c r="AD107" s="127"/>
    </row>
    <row r="108" spans="1:30" ht="12.75" customHeight="1">
      <c r="A108" s="593">
        <v>0.104166666666667</v>
      </c>
      <c r="B108" s="126">
        <f t="shared" si="9"/>
        <v>108</v>
      </c>
      <c r="C108" s="127">
        <v>1</v>
      </c>
      <c r="D108" s="127">
        <v>1</v>
      </c>
      <c r="E108" s="127">
        <v>1</v>
      </c>
      <c r="F108" s="127">
        <v>1</v>
      </c>
      <c r="G108" s="127">
        <v>1</v>
      </c>
      <c r="H108" s="127">
        <v>1</v>
      </c>
      <c r="I108" s="127">
        <v>1</v>
      </c>
      <c r="J108" s="127"/>
      <c r="K108" s="127"/>
      <c r="L108" s="127"/>
      <c r="M108" s="127"/>
      <c r="N108" s="127"/>
      <c r="O108" s="127"/>
      <c r="P108" s="127"/>
      <c r="Q108" s="127"/>
      <c r="R108" s="127"/>
      <c r="S108" s="127"/>
      <c r="T108" s="127"/>
      <c r="U108" s="127"/>
      <c r="V108" s="127"/>
      <c r="W108" s="127"/>
      <c r="X108" s="127"/>
      <c r="Y108" s="127"/>
      <c r="Z108" s="127"/>
      <c r="AA108" s="127"/>
      <c r="AB108" s="127"/>
      <c r="AC108" s="127"/>
      <c r="AD108" s="127"/>
    </row>
    <row r="109" spans="1:30" ht="12.75" customHeight="1">
      <c r="A109" s="593">
        <v>0.125</v>
      </c>
      <c r="B109" s="126">
        <f t="shared" si="9"/>
        <v>109</v>
      </c>
      <c r="C109" s="127">
        <v>1</v>
      </c>
      <c r="D109" s="127">
        <v>1</v>
      </c>
      <c r="E109" s="127">
        <v>1</v>
      </c>
      <c r="F109" s="127">
        <v>1</v>
      </c>
      <c r="G109" s="127">
        <v>1</v>
      </c>
      <c r="H109" s="127">
        <v>1</v>
      </c>
      <c r="I109" s="127">
        <v>1</v>
      </c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  <c r="V109" s="127"/>
      <c r="W109" s="127"/>
      <c r="X109" s="127"/>
      <c r="Y109" s="127"/>
      <c r="Z109" s="127"/>
      <c r="AA109" s="127"/>
      <c r="AB109" s="127"/>
      <c r="AC109" s="127"/>
      <c r="AD109" s="127"/>
    </row>
    <row r="110" spans="1:30" ht="12.75" customHeight="1">
      <c r="A110" s="593">
        <v>0.14583333333333301</v>
      </c>
      <c r="B110" s="126">
        <f t="shared" si="9"/>
        <v>110</v>
      </c>
      <c r="C110" s="127">
        <v>1</v>
      </c>
      <c r="D110" s="127">
        <v>1</v>
      </c>
      <c r="E110" s="127">
        <v>1</v>
      </c>
      <c r="F110" s="127">
        <v>1</v>
      </c>
      <c r="G110" s="127">
        <v>1</v>
      </c>
      <c r="H110" s="127">
        <v>1</v>
      </c>
      <c r="I110" s="127">
        <v>1</v>
      </c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</row>
    <row r="111" spans="1:30" ht="12.75" customHeight="1">
      <c r="A111" s="593">
        <v>0.16666666666666699</v>
      </c>
      <c r="B111" s="126">
        <f t="shared" si="9"/>
        <v>111</v>
      </c>
      <c r="C111" s="127">
        <v>1</v>
      </c>
      <c r="D111" s="127">
        <v>1</v>
      </c>
      <c r="E111" s="127">
        <v>1</v>
      </c>
      <c r="F111" s="127">
        <v>1</v>
      </c>
      <c r="G111" s="127">
        <v>1</v>
      </c>
      <c r="H111" s="127">
        <v>1</v>
      </c>
      <c r="I111" s="127">
        <v>1</v>
      </c>
      <c r="J111" s="127"/>
      <c r="K111" s="127"/>
      <c r="L111" s="127"/>
      <c r="M111" s="127"/>
      <c r="N111" s="127"/>
      <c r="O111" s="127"/>
      <c r="P111" s="127"/>
      <c r="Q111" s="127"/>
      <c r="R111" s="127"/>
      <c r="S111" s="127"/>
      <c r="T111" s="127"/>
      <c r="U111" s="127"/>
      <c r="V111" s="127"/>
      <c r="W111" s="127"/>
      <c r="X111" s="127"/>
      <c r="Y111" s="127"/>
      <c r="Z111" s="127"/>
      <c r="AA111" s="127"/>
      <c r="AB111" s="127"/>
      <c r="AC111" s="127"/>
      <c r="AD111" s="127"/>
    </row>
    <row r="112" spans="1:30" ht="12.75" customHeight="1">
      <c r="A112" s="593">
        <v>0.1875</v>
      </c>
      <c r="B112" s="126">
        <f t="shared" si="9"/>
        <v>112</v>
      </c>
      <c r="C112" s="127">
        <v>1</v>
      </c>
      <c r="D112" s="127">
        <v>1</v>
      </c>
      <c r="E112" s="127">
        <v>1</v>
      </c>
      <c r="F112" s="127">
        <v>1</v>
      </c>
      <c r="G112" s="127">
        <v>1</v>
      </c>
      <c r="H112" s="127">
        <v>1</v>
      </c>
      <c r="I112" s="127">
        <v>1</v>
      </c>
      <c r="J112" s="127"/>
      <c r="K112" s="127"/>
      <c r="L112" s="127"/>
      <c r="M112" s="127"/>
      <c r="N112" s="127"/>
      <c r="O112" s="127"/>
      <c r="P112" s="127"/>
      <c r="Q112" s="127"/>
      <c r="R112" s="127"/>
      <c r="S112" s="127"/>
      <c r="T112" s="127"/>
      <c r="U112" s="127"/>
      <c r="V112" s="127"/>
      <c r="W112" s="127"/>
      <c r="X112" s="127"/>
      <c r="Y112" s="127"/>
      <c r="Z112" s="127"/>
      <c r="AA112" s="127"/>
      <c r="AB112" s="127"/>
      <c r="AC112" s="127"/>
      <c r="AD112" s="127"/>
    </row>
    <row r="113" spans="1:30" ht="12.75" customHeight="1">
      <c r="A113" s="593">
        <v>0.20833333333333301</v>
      </c>
      <c r="B113" s="126">
        <f t="shared" si="9"/>
        <v>113</v>
      </c>
      <c r="C113" s="127">
        <v>1</v>
      </c>
      <c r="D113" s="127">
        <v>1</v>
      </c>
      <c r="E113" s="127">
        <v>1</v>
      </c>
      <c r="F113" s="127">
        <v>1</v>
      </c>
      <c r="G113" s="127">
        <v>1</v>
      </c>
      <c r="H113" s="127">
        <v>1</v>
      </c>
      <c r="I113" s="127">
        <v>1</v>
      </c>
      <c r="J113" s="127"/>
      <c r="K113" s="127"/>
      <c r="L113" s="127"/>
      <c r="M113" s="127"/>
      <c r="N113" s="127"/>
      <c r="O113" s="127"/>
      <c r="P113" s="127"/>
      <c r="Q113" s="127"/>
      <c r="R113" s="127"/>
      <c r="S113" s="127"/>
      <c r="T113" s="127"/>
      <c r="U113" s="127"/>
      <c r="V113" s="127"/>
      <c r="W113" s="127"/>
      <c r="X113" s="127"/>
      <c r="Y113" s="127"/>
      <c r="Z113" s="127"/>
      <c r="AA113" s="127"/>
      <c r="AB113" s="127"/>
      <c r="AC113" s="127"/>
      <c r="AD113" s="127"/>
    </row>
    <row r="114" spans="1:30" ht="12.75" customHeight="1">
      <c r="A114" s="593">
        <v>0.22916666666666699</v>
      </c>
      <c r="B114" s="126">
        <f t="shared" si="9"/>
        <v>114</v>
      </c>
      <c r="C114" s="127">
        <v>1</v>
      </c>
      <c r="D114" s="127">
        <v>1</v>
      </c>
      <c r="E114" s="127">
        <v>1</v>
      </c>
      <c r="F114" s="127">
        <v>1</v>
      </c>
      <c r="G114" s="127">
        <v>1</v>
      </c>
      <c r="H114" s="127">
        <v>1</v>
      </c>
      <c r="I114" s="127">
        <v>1</v>
      </c>
      <c r="J114" s="127"/>
      <c r="K114" s="127"/>
      <c r="L114" s="127"/>
      <c r="M114" s="127"/>
      <c r="N114" s="127"/>
      <c r="O114" s="127"/>
      <c r="P114" s="127"/>
      <c r="Q114" s="127"/>
      <c r="R114" s="127"/>
      <c r="S114" s="127"/>
      <c r="T114" s="127"/>
      <c r="U114" s="127"/>
      <c r="V114" s="127"/>
      <c r="W114" s="127"/>
      <c r="X114" s="127"/>
      <c r="Y114" s="127"/>
      <c r="Z114" s="127"/>
      <c r="AA114" s="127"/>
      <c r="AB114" s="127"/>
      <c r="AC114" s="127"/>
      <c r="AD114" s="127"/>
    </row>
    <row r="115" spans="1:30" ht="12.75" customHeight="1">
      <c r="A115" s="593">
        <v>0.25</v>
      </c>
      <c r="B115" s="126">
        <f t="shared" si="9"/>
        <v>115</v>
      </c>
      <c r="C115" s="127">
        <v>1</v>
      </c>
      <c r="D115" s="127">
        <v>1</v>
      </c>
      <c r="E115" s="127">
        <v>1</v>
      </c>
      <c r="F115" s="127">
        <v>1</v>
      </c>
      <c r="G115" s="127">
        <v>1</v>
      </c>
      <c r="H115" s="127">
        <v>1</v>
      </c>
      <c r="I115" s="127">
        <v>1</v>
      </c>
      <c r="J115" s="127"/>
      <c r="K115" s="127"/>
      <c r="L115" s="127"/>
      <c r="M115" s="127"/>
      <c r="N115" s="127"/>
      <c r="O115" s="127"/>
      <c r="P115" s="127"/>
      <c r="Q115" s="127"/>
      <c r="R115" s="127"/>
      <c r="S115" s="127"/>
      <c r="T115" s="127"/>
      <c r="U115" s="127"/>
      <c r="V115" s="127"/>
      <c r="W115" s="127"/>
      <c r="X115" s="127"/>
      <c r="Y115" s="127"/>
      <c r="Z115" s="127"/>
      <c r="AA115" s="127"/>
      <c r="AB115" s="127"/>
      <c r="AC115" s="127"/>
      <c r="AD115" s="127"/>
    </row>
    <row r="116" spans="1:30" ht="12.75" customHeight="1">
      <c r="A116" s="593">
        <v>0.27083333333333298</v>
      </c>
      <c r="B116" s="126">
        <f t="shared" si="9"/>
        <v>116</v>
      </c>
      <c r="C116" s="127">
        <v>1</v>
      </c>
      <c r="D116" s="127">
        <v>1</v>
      </c>
      <c r="E116" s="127">
        <v>1</v>
      </c>
      <c r="F116" s="127">
        <v>1</v>
      </c>
      <c r="G116" s="127">
        <v>1</v>
      </c>
      <c r="H116" s="127">
        <v>1</v>
      </c>
      <c r="I116" s="127">
        <v>1</v>
      </c>
      <c r="J116" s="127"/>
      <c r="K116" s="127"/>
      <c r="L116" s="127"/>
      <c r="M116" s="127"/>
      <c r="N116" s="127"/>
      <c r="O116" s="127"/>
      <c r="P116" s="127"/>
      <c r="Q116" s="127"/>
      <c r="R116" s="127"/>
      <c r="S116" s="127"/>
      <c r="T116" s="127"/>
      <c r="U116" s="127"/>
      <c r="V116" s="127"/>
      <c r="W116" s="127"/>
      <c r="X116" s="127"/>
      <c r="Y116" s="127"/>
      <c r="Z116" s="127"/>
      <c r="AA116" s="127"/>
      <c r="AB116" s="127"/>
      <c r="AC116" s="127"/>
      <c r="AD116" s="127"/>
    </row>
    <row r="117" spans="1:30" ht="12.75" customHeight="1">
      <c r="A117" s="593">
        <v>0.29166666666666702</v>
      </c>
      <c r="B117" s="126">
        <f t="shared" si="9"/>
        <v>117</v>
      </c>
      <c r="C117" s="127">
        <v>1</v>
      </c>
      <c r="D117" s="127">
        <v>1</v>
      </c>
      <c r="E117" s="127">
        <v>1</v>
      </c>
      <c r="F117" s="127">
        <v>1</v>
      </c>
      <c r="G117" s="127">
        <v>1</v>
      </c>
      <c r="H117" s="127">
        <v>1</v>
      </c>
      <c r="I117" s="127">
        <v>1</v>
      </c>
      <c r="J117" s="127"/>
      <c r="K117" s="127"/>
      <c r="L117" s="127"/>
      <c r="M117" s="127"/>
      <c r="N117" s="127"/>
      <c r="O117" s="127"/>
      <c r="P117" s="127"/>
      <c r="Q117" s="127"/>
      <c r="R117" s="127"/>
      <c r="S117" s="127"/>
      <c r="T117" s="127"/>
      <c r="U117" s="127"/>
      <c r="V117" s="127"/>
      <c r="W117" s="127"/>
      <c r="X117" s="127"/>
      <c r="Y117" s="127"/>
      <c r="Z117" s="127"/>
      <c r="AA117" s="127"/>
      <c r="AB117" s="127"/>
      <c r="AC117" s="127"/>
      <c r="AD117" s="127"/>
    </row>
    <row r="118" spans="1:30" ht="12.75" customHeight="1">
      <c r="A118" s="593">
        <v>0.3125</v>
      </c>
      <c r="B118" s="126">
        <f t="shared" si="9"/>
        <v>118</v>
      </c>
      <c r="C118" s="127">
        <v>1</v>
      </c>
      <c r="D118" s="127">
        <v>1</v>
      </c>
      <c r="E118" s="127">
        <v>1</v>
      </c>
      <c r="F118" s="127">
        <v>1</v>
      </c>
      <c r="G118" s="127">
        <v>1</v>
      </c>
      <c r="H118" s="127">
        <v>1</v>
      </c>
      <c r="I118" s="127">
        <v>1</v>
      </c>
      <c r="J118" s="127"/>
      <c r="K118" s="127"/>
      <c r="L118" s="127"/>
      <c r="M118" s="127"/>
      <c r="N118" s="127"/>
      <c r="O118" s="127"/>
      <c r="P118" s="127"/>
      <c r="Q118" s="127"/>
      <c r="R118" s="127"/>
      <c r="S118" s="127"/>
      <c r="T118" s="127"/>
      <c r="U118" s="127"/>
      <c r="V118" s="127"/>
      <c r="W118" s="127"/>
      <c r="X118" s="127"/>
      <c r="Y118" s="127"/>
      <c r="Z118" s="127"/>
      <c r="AA118" s="127"/>
      <c r="AB118" s="127"/>
      <c r="AC118" s="127"/>
      <c r="AD118" s="127"/>
    </row>
    <row r="119" spans="1:30" ht="12.75" customHeight="1">
      <c r="A119" s="593">
        <v>0.33333333333333298</v>
      </c>
      <c r="B119" s="126">
        <f t="shared" si="9"/>
        <v>119</v>
      </c>
      <c r="C119" s="127">
        <v>1</v>
      </c>
      <c r="D119" s="127">
        <v>1</v>
      </c>
      <c r="E119" s="127">
        <v>1</v>
      </c>
      <c r="F119" s="127">
        <v>1</v>
      </c>
      <c r="G119" s="127">
        <v>1</v>
      </c>
      <c r="H119" s="127">
        <v>1</v>
      </c>
      <c r="I119" s="127">
        <v>1</v>
      </c>
      <c r="J119" s="127"/>
      <c r="K119" s="127"/>
      <c r="L119" s="127"/>
      <c r="M119" s="127"/>
      <c r="N119" s="127"/>
      <c r="O119" s="127"/>
      <c r="P119" s="127"/>
      <c r="Q119" s="127"/>
      <c r="R119" s="127"/>
      <c r="S119" s="127"/>
      <c r="T119" s="127"/>
      <c r="U119" s="127"/>
      <c r="V119" s="127"/>
      <c r="W119" s="127"/>
      <c r="X119" s="127"/>
      <c r="Y119" s="127"/>
      <c r="Z119" s="127"/>
      <c r="AA119" s="127"/>
      <c r="AB119" s="127"/>
      <c r="AC119" s="127"/>
      <c r="AD119" s="127"/>
    </row>
    <row r="120" spans="1:30" ht="12.75" customHeight="1">
      <c r="A120" s="593">
        <v>0.35416666666666702</v>
      </c>
      <c r="B120" s="126">
        <f t="shared" si="9"/>
        <v>120</v>
      </c>
      <c r="C120" s="127">
        <v>1</v>
      </c>
      <c r="D120" s="127">
        <v>1</v>
      </c>
      <c r="E120" s="127">
        <v>1</v>
      </c>
      <c r="F120" s="127">
        <v>1</v>
      </c>
      <c r="G120" s="127">
        <v>1</v>
      </c>
      <c r="H120" s="127">
        <v>1</v>
      </c>
      <c r="I120" s="127">
        <v>1</v>
      </c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127"/>
      <c r="V120" s="127"/>
      <c r="W120" s="127"/>
      <c r="X120" s="127"/>
      <c r="Y120" s="127"/>
      <c r="Z120" s="127"/>
      <c r="AA120" s="127"/>
      <c r="AB120" s="127"/>
      <c r="AC120" s="127"/>
      <c r="AD120" s="127"/>
    </row>
    <row r="121" spans="1:30" ht="12.75" customHeight="1">
      <c r="A121" s="593">
        <v>0.375</v>
      </c>
      <c r="B121" s="126">
        <f t="shared" si="9"/>
        <v>121</v>
      </c>
      <c r="C121" s="127">
        <v>1</v>
      </c>
      <c r="D121" s="127">
        <v>1</v>
      </c>
      <c r="E121" s="127">
        <v>1</v>
      </c>
      <c r="F121" s="127">
        <v>1</v>
      </c>
      <c r="G121" s="127">
        <v>1</v>
      </c>
      <c r="H121" s="127">
        <v>1</v>
      </c>
      <c r="I121" s="127">
        <v>1</v>
      </c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127"/>
      <c r="V121" s="127"/>
      <c r="W121" s="127"/>
      <c r="X121" s="127"/>
      <c r="Y121" s="127"/>
      <c r="Z121" s="127"/>
      <c r="AA121" s="127"/>
      <c r="AB121" s="127"/>
      <c r="AC121" s="127"/>
      <c r="AD121" s="127"/>
    </row>
    <row r="122" spans="1:30" ht="12.75" customHeight="1">
      <c r="A122" s="593">
        <v>0.39583333333333298</v>
      </c>
      <c r="B122" s="126">
        <f t="shared" si="9"/>
        <v>122</v>
      </c>
      <c r="C122" s="127">
        <v>1</v>
      </c>
      <c r="D122" s="127">
        <v>1</v>
      </c>
      <c r="E122" s="127">
        <v>1</v>
      </c>
      <c r="F122" s="127">
        <v>1</v>
      </c>
      <c r="G122" s="127">
        <v>1</v>
      </c>
      <c r="H122" s="127">
        <v>1</v>
      </c>
      <c r="I122" s="127">
        <v>1</v>
      </c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127"/>
      <c r="V122" s="127"/>
      <c r="W122" s="127"/>
      <c r="X122" s="127"/>
      <c r="Y122" s="127"/>
      <c r="Z122" s="127"/>
      <c r="AA122" s="127"/>
      <c r="AB122" s="127"/>
      <c r="AC122" s="127"/>
      <c r="AD122" s="127"/>
    </row>
    <row r="123" spans="1:30" ht="12.75" customHeight="1">
      <c r="A123" s="593">
        <v>0.41666666666666702</v>
      </c>
      <c r="B123" s="126">
        <f t="shared" si="9"/>
        <v>123</v>
      </c>
      <c r="C123" s="127">
        <v>1</v>
      </c>
      <c r="D123" s="127">
        <v>1</v>
      </c>
      <c r="E123" s="127">
        <v>1</v>
      </c>
      <c r="F123" s="127">
        <v>1</v>
      </c>
      <c r="G123" s="127">
        <v>1</v>
      </c>
      <c r="H123" s="127">
        <v>1</v>
      </c>
      <c r="I123" s="127">
        <v>1</v>
      </c>
      <c r="J123" s="127"/>
      <c r="K123" s="127"/>
      <c r="L123" s="127"/>
      <c r="M123" s="127"/>
      <c r="N123" s="127"/>
      <c r="O123" s="127"/>
      <c r="P123" s="127"/>
      <c r="Q123" s="127"/>
      <c r="R123" s="127"/>
      <c r="S123" s="127"/>
      <c r="T123" s="127"/>
      <c r="U123" s="127"/>
      <c r="V123" s="127"/>
      <c r="W123" s="127"/>
      <c r="X123" s="127"/>
      <c r="Y123" s="127"/>
      <c r="Z123" s="127"/>
      <c r="AA123" s="127"/>
      <c r="AB123" s="127"/>
      <c r="AC123" s="127"/>
      <c r="AD123" s="127"/>
    </row>
    <row r="124" spans="1:30" ht="12.75" customHeight="1">
      <c r="A124" s="593">
        <v>0.4375</v>
      </c>
      <c r="B124" s="126">
        <f t="shared" si="9"/>
        <v>124</v>
      </c>
      <c r="C124" s="127">
        <v>1</v>
      </c>
      <c r="D124" s="127">
        <v>1</v>
      </c>
      <c r="E124" s="127">
        <v>1</v>
      </c>
      <c r="F124" s="127">
        <v>1</v>
      </c>
      <c r="G124" s="127">
        <v>1</v>
      </c>
      <c r="H124" s="127">
        <v>1</v>
      </c>
      <c r="I124" s="127">
        <v>1</v>
      </c>
      <c r="J124" s="127"/>
      <c r="K124" s="127"/>
      <c r="L124" s="127"/>
      <c r="M124" s="127"/>
      <c r="N124" s="127"/>
      <c r="O124" s="127"/>
      <c r="P124" s="127"/>
      <c r="Q124" s="127"/>
      <c r="R124" s="127"/>
      <c r="S124" s="127"/>
      <c r="T124" s="127"/>
      <c r="U124" s="127"/>
      <c r="V124" s="127"/>
      <c r="W124" s="127"/>
      <c r="X124" s="127"/>
      <c r="Y124" s="127"/>
      <c r="Z124" s="127"/>
      <c r="AA124" s="127"/>
      <c r="AB124" s="127"/>
      <c r="AC124" s="127"/>
      <c r="AD124" s="127"/>
    </row>
    <row r="125" spans="1:30" ht="12.75" customHeight="1">
      <c r="A125" s="593">
        <v>0.45833333333333298</v>
      </c>
      <c r="B125" s="126">
        <f t="shared" si="9"/>
        <v>125</v>
      </c>
      <c r="C125" s="127">
        <v>1</v>
      </c>
      <c r="D125" s="127">
        <v>1</v>
      </c>
      <c r="E125" s="127">
        <v>1</v>
      </c>
      <c r="F125" s="127">
        <v>1</v>
      </c>
      <c r="G125" s="127">
        <v>1</v>
      </c>
      <c r="H125" s="127">
        <v>1</v>
      </c>
      <c r="I125" s="127">
        <v>1</v>
      </c>
      <c r="J125" s="127"/>
      <c r="K125" s="127"/>
      <c r="L125" s="127"/>
      <c r="M125" s="127"/>
      <c r="N125" s="127"/>
      <c r="O125" s="127"/>
      <c r="P125" s="127"/>
      <c r="Q125" s="127"/>
      <c r="R125" s="127"/>
      <c r="S125" s="127"/>
      <c r="T125" s="127"/>
      <c r="U125" s="127"/>
      <c r="V125" s="127"/>
      <c r="W125" s="127"/>
      <c r="X125" s="127"/>
      <c r="Y125" s="127"/>
      <c r="Z125" s="127"/>
      <c r="AA125" s="127"/>
      <c r="AB125" s="127"/>
      <c r="AC125" s="127"/>
      <c r="AD125" s="127"/>
    </row>
    <row r="126" spans="1:30" ht="12.75" customHeight="1">
      <c r="A126" s="593">
        <v>0.47916666666666702</v>
      </c>
      <c r="B126" s="126">
        <f t="shared" si="9"/>
        <v>126</v>
      </c>
      <c r="C126" s="127">
        <v>1</v>
      </c>
      <c r="D126" s="127">
        <v>1</v>
      </c>
      <c r="E126" s="127">
        <v>1</v>
      </c>
      <c r="F126" s="127">
        <v>1</v>
      </c>
      <c r="G126" s="127">
        <v>1</v>
      </c>
      <c r="H126" s="127">
        <v>1</v>
      </c>
      <c r="I126" s="127">
        <v>1</v>
      </c>
      <c r="J126" s="127"/>
      <c r="K126" s="127"/>
      <c r="L126" s="127"/>
      <c r="M126" s="127"/>
      <c r="N126" s="127"/>
      <c r="O126" s="127"/>
      <c r="P126" s="127"/>
      <c r="Q126" s="127"/>
      <c r="R126" s="127"/>
      <c r="S126" s="127"/>
      <c r="T126" s="127"/>
      <c r="U126" s="127"/>
      <c r="V126" s="127"/>
      <c r="W126" s="127"/>
      <c r="X126" s="127"/>
      <c r="Y126" s="127"/>
      <c r="Z126" s="127"/>
      <c r="AA126" s="127"/>
      <c r="AB126" s="127"/>
      <c r="AC126" s="127"/>
      <c r="AD126" s="127"/>
    </row>
    <row r="127" spans="1:30" ht="12.75" customHeight="1">
      <c r="A127" s="118">
        <v>0.5</v>
      </c>
      <c r="B127" s="126">
        <f t="shared" si="9"/>
        <v>127</v>
      </c>
      <c r="C127" s="127">
        <v>1</v>
      </c>
      <c r="D127" s="127">
        <v>1</v>
      </c>
      <c r="E127" s="127">
        <v>1</v>
      </c>
      <c r="F127" s="127">
        <v>1</v>
      </c>
      <c r="G127" s="127">
        <v>1</v>
      </c>
      <c r="H127" s="127">
        <v>1</v>
      </c>
      <c r="I127" s="127">
        <v>1</v>
      </c>
      <c r="J127" s="127"/>
      <c r="K127" s="127"/>
      <c r="L127" s="127"/>
      <c r="M127" s="127"/>
      <c r="N127" s="127"/>
      <c r="O127" s="127"/>
      <c r="P127" s="127"/>
      <c r="Q127" s="127"/>
      <c r="R127" s="127"/>
      <c r="S127" s="127"/>
      <c r="T127" s="127"/>
      <c r="U127" s="127"/>
      <c r="V127" s="127"/>
      <c r="W127" s="127"/>
      <c r="X127" s="127"/>
      <c r="Y127" s="127"/>
      <c r="Z127" s="127"/>
      <c r="AA127" s="127"/>
      <c r="AB127" s="127"/>
      <c r="AC127" s="127"/>
      <c r="AD127" s="127"/>
    </row>
    <row r="128" spans="1:30" ht="12.75" customHeight="1">
      <c r="A128" s="118">
        <v>0.52083333333333304</v>
      </c>
      <c r="B128" s="126">
        <f t="shared" si="9"/>
        <v>128</v>
      </c>
      <c r="C128" s="127">
        <v>1</v>
      </c>
      <c r="D128" s="127">
        <v>1</v>
      </c>
      <c r="E128" s="127">
        <v>1</v>
      </c>
      <c r="F128" s="127">
        <v>1</v>
      </c>
      <c r="G128" s="127">
        <v>1</v>
      </c>
      <c r="H128" s="127">
        <v>1</v>
      </c>
      <c r="I128" s="127">
        <v>1</v>
      </c>
      <c r="J128" s="127"/>
      <c r="K128" s="127"/>
      <c r="L128" s="127"/>
      <c r="M128" s="127"/>
      <c r="N128" s="127"/>
      <c r="O128" s="127"/>
      <c r="P128" s="127"/>
      <c r="Q128" s="127"/>
      <c r="R128" s="127"/>
      <c r="S128" s="127"/>
      <c r="T128" s="127"/>
      <c r="U128" s="127"/>
      <c r="V128" s="127"/>
      <c r="W128" s="127"/>
      <c r="X128" s="127"/>
      <c r="Y128" s="127"/>
      <c r="Z128" s="127"/>
      <c r="AA128" s="127"/>
      <c r="AB128" s="127"/>
      <c r="AC128" s="127"/>
      <c r="AD128" s="127"/>
    </row>
    <row r="129" spans="1:30" ht="12.75" customHeight="1">
      <c r="A129" s="118">
        <v>0.54166666666666696</v>
      </c>
      <c r="B129" s="126">
        <f t="shared" si="9"/>
        <v>129</v>
      </c>
      <c r="C129" s="127">
        <v>1</v>
      </c>
      <c r="D129" s="127">
        <v>1</v>
      </c>
      <c r="E129" s="127">
        <v>1</v>
      </c>
      <c r="F129" s="127">
        <v>1</v>
      </c>
      <c r="G129" s="127">
        <v>1</v>
      </c>
      <c r="H129" s="127">
        <v>1</v>
      </c>
      <c r="I129" s="127">
        <v>1</v>
      </c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</row>
    <row r="130" spans="1:30" ht="12.75" customHeight="1">
      <c r="A130" s="118">
        <v>0.5625</v>
      </c>
      <c r="B130" s="126">
        <f t="shared" si="9"/>
        <v>130</v>
      </c>
      <c r="C130" s="127">
        <v>1</v>
      </c>
      <c r="D130" s="127">
        <v>1</v>
      </c>
      <c r="E130" s="127">
        <v>1</v>
      </c>
      <c r="F130" s="127">
        <v>1</v>
      </c>
      <c r="G130" s="127">
        <v>1</v>
      </c>
      <c r="H130" s="127">
        <v>1</v>
      </c>
      <c r="I130" s="127">
        <v>1</v>
      </c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</row>
    <row r="131" spans="1:30" ht="12.75" customHeight="1">
      <c r="A131" s="118">
        <v>0.58333333333333304</v>
      </c>
      <c r="B131" s="126">
        <f t="shared" si="9"/>
        <v>131</v>
      </c>
      <c r="C131" s="127">
        <v>1</v>
      </c>
      <c r="D131" s="127">
        <v>1</v>
      </c>
      <c r="E131" s="127">
        <v>1</v>
      </c>
      <c r="F131" s="127">
        <v>1</v>
      </c>
      <c r="G131" s="127">
        <v>1</v>
      </c>
      <c r="H131" s="127">
        <v>1</v>
      </c>
      <c r="I131" s="127">
        <v>1</v>
      </c>
      <c r="J131" s="127"/>
      <c r="K131" s="127"/>
      <c r="L131" s="127"/>
      <c r="M131" s="127"/>
      <c r="N131" s="127"/>
      <c r="O131" s="127"/>
      <c r="P131" s="127"/>
      <c r="Q131" s="127"/>
      <c r="R131" s="127"/>
      <c r="S131" s="127"/>
      <c r="T131" s="127"/>
      <c r="U131" s="127"/>
      <c r="V131" s="127"/>
      <c r="W131" s="127"/>
      <c r="X131" s="127"/>
      <c r="Y131" s="127"/>
      <c r="Z131" s="127"/>
      <c r="AA131" s="127"/>
      <c r="AB131" s="127"/>
      <c r="AC131" s="127"/>
      <c r="AD131" s="127"/>
    </row>
    <row r="132" spans="1:30" ht="12.75" customHeight="1">
      <c r="A132" s="118">
        <v>0.60416666666666696</v>
      </c>
      <c r="B132" s="126">
        <f t="shared" si="9"/>
        <v>132</v>
      </c>
      <c r="C132" s="127">
        <v>1</v>
      </c>
      <c r="D132" s="127">
        <v>1</v>
      </c>
      <c r="E132" s="127">
        <v>1</v>
      </c>
      <c r="F132" s="127">
        <v>1</v>
      </c>
      <c r="G132" s="127">
        <v>1</v>
      </c>
      <c r="H132" s="127">
        <v>1</v>
      </c>
      <c r="I132" s="127">
        <v>1</v>
      </c>
      <c r="J132" s="127"/>
      <c r="K132" s="127"/>
      <c r="L132" s="127"/>
      <c r="M132" s="127"/>
      <c r="N132" s="127"/>
      <c r="O132" s="127"/>
      <c r="P132" s="127"/>
      <c r="Q132" s="127"/>
      <c r="R132" s="127"/>
      <c r="S132" s="127"/>
      <c r="T132" s="127"/>
      <c r="U132" s="127"/>
      <c r="V132" s="127"/>
      <c r="W132" s="127"/>
      <c r="X132" s="127"/>
      <c r="Y132" s="127"/>
      <c r="Z132" s="127"/>
      <c r="AA132" s="127"/>
      <c r="AB132" s="127"/>
      <c r="AC132" s="127"/>
      <c r="AD132" s="127"/>
    </row>
    <row r="133" spans="1:30" ht="12.75" customHeight="1">
      <c r="A133" s="118">
        <v>0.625</v>
      </c>
      <c r="B133" s="126">
        <f t="shared" si="9"/>
        <v>133</v>
      </c>
      <c r="C133" s="127">
        <v>1</v>
      </c>
      <c r="D133" s="127">
        <v>1</v>
      </c>
      <c r="E133" s="127">
        <v>1</v>
      </c>
      <c r="F133" s="127">
        <v>1</v>
      </c>
      <c r="G133" s="127">
        <v>1</v>
      </c>
      <c r="H133" s="127">
        <v>1</v>
      </c>
      <c r="I133" s="127">
        <v>1</v>
      </c>
      <c r="J133" s="127"/>
      <c r="K133" s="127"/>
      <c r="L133" s="127"/>
      <c r="M133" s="127"/>
      <c r="N133" s="127"/>
      <c r="O133" s="127"/>
      <c r="P133" s="127"/>
      <c r="Q133" s="127"/>
      <c r="R133" s="127"/>
      <c r="S133" s="127"/>
      <c r="T133" s="127"/>
      <c r="U133" s="127"/>
      <c r="V133" s="127"/>
      <c r="W133" s="127"/>
      <c r="X133" s="127"/>
      <c r="Y133" s="127"/>
      <c r="Z133" s="127"/>
      <c r="AA133" s="127"/>
      <c r="AB133" s="127"/>
      <c r="AC133" s="127"/>
      <c r="AD133" s="127"/>
    </row>
    <row r="134" spans="1:30" ht="12.75" customHeight="1">
      <c r="A134" s="118">
        <v>0.64583333333333304</v>
      </c>
      <c r="B134" s="126">
        <f t="shared" si="9"/>
        <v>134</v>
      </c>
      <c r="C134" s="127">
        <v>1</v>
      </c>
      <c r="D134" s="127">
        <v>1</v>
      </c>
      <c r="E134" s="127">
        <v>1</v>
      </c>
      <c r="F134" s="127">
        <v>1</v>
      </c>
      <c r="G134" s="127">
        <v>1</v>
      </c>
      <c r="H134" s="127">
        <v>1</v>
      </c>
      <c r="I134" s="127">
        <v>1</v>
      </c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27"/>
      <c r="U134" s="127"/>
      <c r="V134" s="127"/>
      <c r="W134" s="127"/>
      <c r="X134" s="127"/>
      <c r="Y134" s="127"/>
      <c r="Z134" s="127"/>
      <c r="AA134" s="127"/>
      <c r="AB134" s="127"/>
      <c r="AC134" s="127"/>
      <c r="AD134" s="127"/>
    </row>
    <row r="135" spans="1:30" ht="12.75" customHeight="1">
      <c r="A135" s="118">
        <v>0.66666666666666596</v>
      </c>
      <c r="B135" s="126">
        <f t="shared" si="9"/>
        <v>135</v>
      </c>
      <c r="C135" s="127">
        <v>1</v>
      </c>
      <c r="D135" s="127">
        <v>1</v>
      </c>
      <c r="E135" s="127">
        <v>1</v>
      </c>
      <c r="F135" s="127">
        <v>1</v>
      </c>
      <c r="G135" s="127">
        <v>1</v>
      </c>
      <c r="H135" s="127">
        <v>1</v>
      </c>
      <c r="I135" s="127">
        <v>1</v>
      </c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127"/>
      <c r="V135" s="127"/>
      <c r="W135" s="127"/>
      <c r="X135" s="127"/>
      <c r="Y135" s="127"/>
      <c r="Z135" s="127"/>
      <c r="AA135" s="127"/>
      <c r="AB135" s="127"/>
      <c r="AC135" s="127"/>
      <c r="AD135" s="127"/>
    </row>
    <row r="136" spans="1:30" ht="12.75" customHeight="1">
      <c r="A136" s="118">
        <v>0.687499999999999</v>
      </c>
      <c r="B136" s="126">
        <f t="shared" si="9"/>
        <v>136</v>
      </c>
      <c r="C136" s="127">
        <v>1</v>
      </c>
      <c r="D136" s="127">
        <v>1</v>
      </c>
      <c r="E136" s="127">
        <v>1</v>
      </c>
      <c r="F136" s="127">
        <v>1</v>
      </c>
      <c r="G136" s="127">
        <v>1</v>
      </c>
      <c r="H136" s="127">
        <v>1</v>
      </c>
      <c r="I136" s="127">
        <v>1</v>
      </c>
      <c r="J136" s="127"/>
      <c r="K136" s="127"/>
      <c r="L136" s="127"/>
      <c r="M136" s="127"/>
      <c r="N136" s="127"/>
      <c r="O136" s="127"/>
      <c r="P136" s="127"/>
      <c r="Q136" s="127"/>
      <c r="R136" s="127"/>
      <c r="S136" s="127"/>
      <c r="T136" s="127"/>
      <c r="U136" s="127"/>
      <c r="V136" s="127"/>
      <c r="W136" s="127"/>
      <c r="X136" s="127"/>
      <c r="Y136" s="127"/>
      <c r="Z136" s="127"/>
      <c r="AA136" s="127"/>
      <c r="AB136" s="127"/>
      <c r="AC136" s="127"/>
      <c r="AD136" s="127"/>
    </row>
    <row r="137" spans="1:30" ht="12.75" customHeight="1">
      <c r="A137" s="118">
        <v>0.70833333333333204</v>
      </c>
      <c r="B137" s="126">
        <f t="shared" si="9"/>
        <v>137</v>
      </c>
      <c r="C137" s="127">
        <v>1</v>
      </c>
      <c r="D137" s="127">
        <v>1</v>
      </c>
      <c r="E137" s="127">
        <v>1</v>
      </c>
      <c r="F137" s="127">
        <v>1</v>
      </c>
      <c r="G137" s="127">
        <v>1</v>
      </c>
      <c r="H137" s="127">
        <v>1</v>
      </c>
      <c r="I137" s="127">
        <v>1</v>
      </c>
      <c r="J137" s="127"/>
      <c r="K137" s="127"/>
      <c r="L137" s="127"/>
      <c r="M137" s="127"/>
      <c r="N137" s="127"/>
      <c r="O137" s="127"/>
      <c r="P137" s="127"/>
      <c r="Q137" s="127"/>
      <c r="R137" s="127"/>
      <c r="S137" s="127"/>
      <c r="T137" s="127"/>
      <c r="U137" s="127"/>
      <c r="V137" s="127"/>
      <c r="W137" s="127"/>
      <c r="X137" s="127"/>
      <c r="Y137" s="127"/>
      <c r="Z137" s="127"/>
      <c r="AA137" s="127"/>
      <c r="AB137" s="127"/>
      <c r="AC137" s="127"/>
      <c r="AD137" s="127"/>
    </row>
    <row r="138" spans="1:30" ht="12.75" customHeight="1">
      <c r="A138" s="118">
        <v>0.72916666666666496</v>
      </c>
      <c r="B138" s="126">
        <f t="shared" si="9"/>
        <v>138</v>
      </c>
      <c r="C138" s="127">
        <v>1</v>
      </c>
      <c r="D138" s="127">
        <v>1</v>
      </c>
      <c r="E138" s="127">
        <v>1</v>
      </c>
      <c r="F138" s="127">
        <v>1</v>
      </c>
      <c r="G138" s="127">
        <v>1</v>
      </c>
      <c r="H138" s="127">
        <v>1</v>
      </c>
      <c r="I138" s="127">
        <v>1</v>
      </c>
      <c r="J138" s="127"/>
      <c r="K138" s="127"/>
      <c r="L138" s="127"/>
      <c r="M138" s="127"/>
      <c r="N138" s="127"/>
      <c r="O138" s="127"/>
      <c r="P138" s="127"/>
      <c r="Q138" s="127"/>
      <c r="R138" s="127"/>
      <c r="S138" s="127"/>
      <c r="T138" s="127"/>
      <c r="U138" s="127"/>
      <c r="V138" s="127"/>
      <c r="W138" s="127"/>
      <c r="X138" s="127"/>
      <c r="Y138" s="127"/>
      <c r="Z138" s="127"/>
      <c r="AA138" s="127"/>
      <c r="AB138" s="127"/>
      <c r="AC138" s="127"/>
      <c r="AD138" s="127"/>
    </row>
    <row r="139" spans="1:30" ht="12.75" customHeight="1">
      <c r="A139" s="118">
        <v>0.749999999999998</v>
      </c>
      <c r="B139" s="126">
        <f t="shared" si="9"/>
        <v>139</v>
      </c>
      <c r="C139" s="127">
        <v>1</v>
      </c>
      <c r="D139" s="127">
        <v>1</v>
      </c>
      <c r="E139" s="127">
        <v>1</v>
      </c>
      <c r="F139" s="127">
        <v>1</v>
      </c>
      <c r="G139" s="127">
        <v>1</v>
      </c>
      <c r="H139" s="127">
        <v>1</v>
      </c>
      <c r="I139" s="127">
        <v>1</v>
      </c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/>
      <c r="AC139" s="127"/>
      <c r="AD139" s="127"/>
    </row>
    <row r="140" spans="1:30" ht="12.75" customHeight="1">
      <c r="A140" s="118">
        <v>0.77083333333333104</v>
      </c>
      <c r="B140" s="126">
        <f t="shared" si="9"/>
        <v>140</v>
      </c>
      <c r="C140" s="127">
        <v>1</v>
      </c>
      <c r="D140" s="127">
        <v>1</v>
      </c>
      <c r="E140" s="127">
        <v>1</v>
      </c>
      <c r="F140" s="127">
        <v>1</v>
      </c>
      <c r="G140" s="127">
        <v>1</v>
      </c>
      <c r="H140" s="127">
        <v>1</v>
      </c>
      <c r="I140" s="127">
        <v>1</v>
      </c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127"/>
      <c r="V140" s="127"/>
      <c r="W140" s="127"/>
      <c r="X140" s="127"/>
      <c r="Y140" s="127"/>
      <c r="Z140" s="127"/>
      <c r="AA140" s="127"/>
      <c r="AB140" s="127"/>
      <c r="AC140" s="127"/>
      <c r="AD140" s="127"/>
    </row>
    <row r="141" spans="1:30" ht="12.75" customHeight="1">
      <c r="A141" s="118">
        <v>0.79166666666666397</v>
      </c>
      <c r="B141" s="126">
        <f t="shared" si="9"/>
        <v>141</v>
      </c>
      <c r="C141" s="127">
        <v>1</v>
      </c>
      <c r="D141" s="127">
        <v>1</v>
      </c>
      <c r="E141" s="127">
        <v>1</v>
      </c>
      <c r="F141" s="127">
        <v>1</v>
      </c>
      <c r="G141" s="127">
        <v>1</v>
      </c>
      <c r="H141" s="127">
        <v>1</v>
      </c>
      <c r="I141" s="127">
        <v>1</v>
      </c>
      <c r="J141" s="127"/>
      <c r="K141" s="127"/>
      <c r="L141" s="127"/>
      <c r="M141" s="127"/>
      <c r="N141" s="127"/>
      <c r="O141" s="127"/>
      <c r="P141" s="127"/>
      <c r="Q141" s="127"/>
      <c r="R141" s="127"/>
      <c r="S141" s="127"/>
      <c r="T141" s="127"/>
      <c r="U141" s="127"/>
      <c r="V141" s="127"/>
      <c r="W141" s="127"/>
      <c r="X141" s="127"/>
      <c r="Y141" s="127"/>
      <c r="Z141" s="127"/>
      <c r="AA141" s="127"/>
      <c r="AB141" s="127"/>
      <c r="AC141" s="127"/>
      <c r="AD141" s="127"/>
    </row>
    <row r="142" spans="1:30" ht="12.75" customHeight="1">
      <c r="A142" s="118">
        <v>0.812499999999997</v>
      </c>
      <c r="B142" s="126">
        <f t="shared" si="9"/>
        <v>142</v>
      </c>
      <c r="C142" s="127">
        <v>1</v>
      </c>
      <c r="D142" s="127">
        <v>1</v>
      </c>
      <c r="E142" s="127">
        <v>1</v>
      </c>
      <c r="F142" s="127">
        <v>1</v>
      </c>
      <c r="G142" s="127">
        <v>1</v>
      </c>
      <c r="H142" s="127">
        <v>1</v>
      </c>
      <c r="I142" s="127">
        <v>1</v>
      </c>
      <c r="J142" s="127"/>
      <c r="K142" s="127"/>
      <c r="L142" s="127"/>
      <c r="M142" s="127"/>
      <c r="N142" s="127"/>
      <c r="O142" s="127"/>
      <c r="P142" s="127"/>
      <c r="Q142" s="127"/>
      <c r="R142" s="127"/>
      <c r="S142" s="127"/>
      <c r="T142" s="127"/>
      <c r="U142" s="127"/>
      <c r="V142" s="127"/>
      <c r="W142" s="127"/>
      <c r="X142" s="127"/>
      <c r="Y142" s="127"/>
      <c r="Z142" s="127"/>
      <c r="AA142" s="127"/>
      <c r="AB142" s="127"/>
      <c r="AC142" s="127"/>
      <c r="AD142" s="127"/>
    </row>
    <row r="143" spans="1:30" ht="12.75" customHeight="1">
      <c r="A143" s="118">
        <v>0.83333333333333004</v>
      </c>
      <c r="B143" s="126">
        <f t="shared" si="9"/>
        <v>143</v>
      </c>
      <c r="C143" s="127">
        <v>1</v>
      </c>
      <c r="D143" s="127">
        <v>1</v>
      </c>
      <c r="E143" s="127">
        <v>1</v>
      </c>
      <c r="F143" s="127">
        <v>1</v>
      </c>
      <c r="G143" s="127">
        <v>1</v>
      </c>
      <c r="H143" s="127">
        <v>1</v>
      </c>
      <c r="I143" s="127">
        <v>1</v>
      </c>
      <c r="J143" s="127"/>
      <c r="K143" s="127"/>
      <c r="L143" s="127"/>
      <c r="M143" s="127"/>
      <c r="N143" s="127"/>
      <c r="O143" s="127"/>
      <c r="P143" s="127"/>
      <c r="Q143" s="127"/>
      <c r="R143" s="127"/>
      <c r="S143" s="127"/>
      <c r="T143" s="127"/>
      <c r="U143" s="127"/>
      <c r="V143" s="127"/>
      <c r="W143" s="127"/>
      <c r="X143" s="127"/>
      <c r="Y143" s="127"/>
      <c r="Z143" s="127"/>
      <c r="AA143" s="127"/>
      <c r="AB143" s="127"/>
      <c r="AC143" s="127"/>
      <c r="AD143" s="127"/>
    </row>
    <row r="144" spans="1:30" ht="12.75" customHeight="1">
      <c r="A144" s="118">
        <v>0.85416666666666297</v>
      </c>
      <c r="B144" s="126">
        <f t="shared" si="9"/>
        <v>144</v>
      </c>
      <c r="C144" s="127">
        <v>1</v>
      </c>
      <c r="D144" s="127">
        <v>1</v>
      </c>
      <c r="E144" s="127">
        <v>1</v>
      </c>
      <c r="F144" s="127">
        <v>1</v>
      </c>
      <c r="G144" s="127">
        <v>1</v>
      </c>
      <c r="H144" s="127">
        <v>1</v>
      </c>
      <c r="I144" s="127">
        <v>1</v>
      </c>
      <c r="J144" s="127"/>
      <c r="K144" s="127"/>
      <c r="L144" s="127"/>
      <c r="M144" s="127"/>
      <c r="N144" s="127"/>
      <c r="O144" s="127"/>
      <c r="P144" s="127"/>
      <c r="Q144" s="127"/>
      <c r="R144" s="127"/>
      <c r="S144" s="127"/>
      <c r="T144" s="127"/>
      <c r="U144" s="127"/>
      <c r="V144" s="127"/>
      <c r="W144" s="127"/>
      <c r="X144" s="127"/>
      <c r="Y144" s="127"/>
      <c r="Z144" s="127"/>
      <c r="AA144" s="127"/>
      <c r="AB144" s="127"/>
      <c r="AC144" s="127"/>
      <c r="AD144" s="127"/>
    </row>
    <row r="145" spans="1:30" ht="12.75" customHeight="1">
      <c r="A145" s="118">
        <v>0.874999999999996</v>
      </c>
      <c r="B145" s="126">
        <f t="shared" si="9"/>
        <v>145</v>
      </c>
      <c r="C145" s="127">
        <v>1</v>
      </c>
      <c r="D145" s="127">
        <v>1</v>
      </c>
      <c r="E145" s="127">
        <v>1</v>
      </c>
      <c r="F145" s="127">
        <v>1</v>
      </c>
      <c r="G145" s="127">
        <v>1</v>
      </c>
      <c r="H145" s="127">
        <v>1</v>
      </c>
      <c r="I145" s="127">
        <v>1</v>
      </c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/>
      <c r="AC145" s="127"/>
      <c r="AD145" s="127"/>
    </row>
    <row r="146" spans="1:30" ht="12.75" customHeight="1">
      <c r="A146" s="118">
        <v>0.89583333333333004</v>
      </c>
      <c r="B146" s="126">
        <f t="shared" si="9"/>
        <v>146</v>
      </c>
      <c r="C146" s="127">
        <v>1</v>
      </c>
      <c r="D146" s="127">
        <v>1</v>
      </c>
      <c r="E146" s="127">
        <v>1</v>
      </c>
      <c r="F146" s="127">
        <v>1</v>
      </c>
      <c r="G146" s="127">
        <v>1</v>
      </c>
      <c r="H146" s="127">
        <v>1</v>
      </c>
      <c r="I146" s="127">
        <v>1</v>
      </c>
      <c r="J146" s="127"/>
      <c r="K146" s="127"/>
      <c r="L146" s="127"/>
      <c r="M146" s="127"/>
      <c r="N146" s="127"/>
      <c r="O146" s="127"/>
      <c r="P146" s="127"/>
      <c r="Q146" s="127"/>
      <c r="R146" s="127"/>
      <c r="S146" s="127"/>
      <c r="T146" s="127"/>
      <c r="U146" s="127"/>
      <c r="V146" s="127"/>
      <c r="W146" s="127"/>
      <c r="X146" s="127"/>
      <c r="Y146" s="127"/>
      <c r="Z146" s="127"/>
      <c r="AA146" s="127"/>
      <c r="AB146" s="127"/>
      <c r="AC146" s="127"/>
      <c r="AD146" s="127"/>
    </row>
    <row r="147" spans="1:30" ht="12.75" customHeight="1">
      <c r="A147" s="118">
        <v>0.91666666666666397</v>
      </c>
      <c r="B147" s="126">
        <f t="shared" si="9"/>
        <v>147</v>
      </c>
      <c r="C147" s="127">
        <v>1</v>
      </c>
      <c r="D147" s="127">
        <v>1</v>
      </c>
      <c r="E147" s="127">
        <v>1</v>
      </c>
      <c r="F147" s="127">
        <v>1</v>
      </c>
      <c r="G147" s="127">
        <v>1</v>
      </c>
      <c r="H147" s="127">
        <v>1</v>
      </c>
      <c r="I147" s="127">
        <v>1</v>
      </c>
      <c r="J147" s="127"/>
      <c r="K147" s="127"/>
      <c r="L147" s="127"/>
      <c r="M147" s="127"/>
      <c r="N147" s="127"/>
      <c r="O147" s="127"/>
      <c r="P147" s="127"/>
      <c r="Q147" s="127"/>
      <c r="R147" s="127"/>
      <c r="S147" s="127"/>
      <c r="T147" s="127"/>
      <c r="U147" s="127"/>
      <c r="V147" s="127"/>
      <c r="W147" s="127"/>
      <c r="X147" s="127"/>
      <c r="Y147" s="127"/>
      <c r="Z147" s="127"/>
      <c r="AA147" s="127"/>
      <c r="AB147" s="127"/>
      <c r="AC147" s="127"/>
      <c r="AD147" s="127"/>
    </row>
    <row r="148" spans="1:30" ht="12.75" customHeight="1">
      <c r="A148" s="118">
        <v>0.937499999999998</v>
      </c>
      <c r="B148" s="126">
        <f t="shared" si="9"/>
        <v>148</v>
      </c>
      <c r="C148" s="127">
        <v>1</v>
      </c>
      <c r="D148" s="127">
        <v>1</v>
      </c>
      <c r="E148" s="127">
        <v>1</v>
      </c>
      <c r="F148" s="127">
        <v>1</v>
      </c>
      <c r="G148" s="127">
        <v>1</v>
      </c>
      <c r="H148" s="127">
        <v>1</v>
      </c>
      <c r="I148" s="127">
        <v>1</v>
      </c>
      <c r="J148" s="127"/>
      <c r="K148" s="127"/>
      <c r="L148" s="127"/>
      <c r="M148" s="127"/>
      <c r="N148" s="127"/>
      <c r="O148" s="127"/>
      <c r="P148" s="127"/>
      <c r="Q148" s="127"/>
      <c r="R148" s="127"/>
      <c r="S148" s="127"/>
      <c r="T148" s="127"/>
      <c r="U148" s="127"/>
      <c r="V148" s="127"/>
      <c r="W148" s="127"/>
      <c r="X148" s="127"/>
      <c r="Y148" s="127"/>
      <c r="Z148" s="127"/>
      <c r="AA148" s="127"/>
      <c r="AB148" s="127"/>
      <c r="AC148" s="127"/>
      <c r="AD148" s="127"/>
    </row>
    <row r="149" spans="1:30" ht="12.75" customHeight="1">
      <c r="A149" s="118">
        <v>0.95833333333333204</v>
      </c>
      <c r="B149" s="126">
        <f t="shared" si="9"/>
        <v>149</v>
      </c>
      <c r="C149" s="127">
        <v>1</v>
      </c>
      <c r="D149" s="127">
        <v>1</v>
      </c>
      <c r="E149" s="127">
        <v>1</v>
      </c>
      <c r="F149" s="127">
        <v>1</v>
      </c>
      <c r="G149" s="127">
        <v>1</v>
      </c>
      <c r="H149" s="127">
        <v>1</v>
      </c>
      <c r="I149" s="127">
        <v>1</v>
      </c>
      <c r="J149" s="127"/>
      <c r="K149" s="127"/>
      <c r="L149" s="127"/>
      <c r="M149" s="127"/>
      <c r="N149" s="127"/>
      <c r="O149" s="127"/>
      <c r="P149" s="127"/>
      <c r="Q149" s="127"/>
      <c r="R149" s="127"/>
      <c r="S149" s="127"/>
      <c r="T149" s="127"/>
      <c r="U149" s="127"/>
      <c r="V149" s="127"/>
      <c r="W149" s="127"/>
      <c r="X149" s="127"/>
      <c r="Y149" s="127"/>
      <c r="Z149" s="127"/>
      <c r="AA149" s="127"/>
      <c r="AB149" s="127"/>
      <c r="AC149" s="127"/>
      <c r="AD149" s="127"/>
    </row>
    <row r="150" spans="1:30" ht="12.75" customHeight="1">
      <c r="A150" s="573">
        <v>0.97916666666666596</v>
      </c>
      <c r="B150" s="284">
        <f t="shared" si="9"/>
        <v>150</v>
      </c>
      <c r="C150" s="127">
        <v>1</v>
      </c>
      <c r="D150" s="127">
        <v>1</v>
      </c>
      <c r="E150" s="127">
        <v>1</v>
      </c>
      <c r="F150" s="127">
        <v>1</v>
      </c>
      <c r="G150" s="127">
        <v>1</v>
      </c>
      <c r="H150" s="127">
        <v>1</v>
      </c>
      <c r="I150" s="127">
        <v>1</v>
      </c>
      <c r="J150" s="285"/>
      <c r="K150" s="285"/>
      <c r="L150" s="285"/>
      <c r="M150" s="285"/>
      <c r="N150" s="285"/>
      <c r="O150" s="285"/>
      <c r="P150" s="285"/>
      <c r="Q150" s="285"/>
      <c r="R150" s="285"/>
      <c r="S150" s="285"/>
      <c r="T150" s="285"/>
      <c r="U150" s="285"/>
      <c r="V150" s="285"/>
      <c r="W150" s="285"/>
      <c r="X150" s="285"/>
      <c r="Y150" s="285"/>
      <c r="Z150" s="285"/>
      <c r="AA150" s="285"/>
      <c r="AB150" s="285"/>
      <c r="AC150" s="285"/>
      <c r="AD150" s="28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TUALIZAR_CURVAS_OFF">
                <anchor moveWithCells="1">
                  <from>
                    <xdr:col>31</xdr:col>
                    <xdr:colOff>142875</xdr:colOff>
                    <xdr:row>0</xdr:row>
                    <xdr:rowOff>28575</xdr:rowOff>
                  </from>
                  <to>
                    <xdr:col>32</xdr:col>
                    <xdr:colOff>219075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rgb="FFFF0000"/>
  </sheetPr>
  <dimension ref="A1:AC721"/>
  <sheetViews>
    <sheetView showGridLines="0" workbookViewId="0">
      <pane ySplit="1" topLeftCell="A2" activePane="bottomLeft" state="frozen"/>
      <selection pane="bottomLeft" activeCell="B1" sqref="B1"/>
    </sheetView>
  </sheetViews>
  <sheetFormatPr defaultRowHeight="15"/>
  <sheetData>
    <row r="1" spans="1:29">
      <c r="A1" s="521" t="s">
        <v>666</v>
      </c>
      <c r="B1" t="s">
        <v>815</v>
      </c>
      <c r="C1" t="s">
        <v>817</v>
      </c>
      <c r="D1" t="s">
        <v>818</v>
      </c>
      <c r="E1" t="s">
        <v>825</v>
      </c>
      <c r="F1" t="s">
        <v>816</v>
      </c>
      <c r="G1" t="s">
        <v>826</v>
      </c>
      <c r="H1" t="s">
        <v>813</v>
      </c>
      <c r="I1" t="s">
        <v>839</v>
      </c>
      <c r="J1" t="s">
        <v>840</v>
      </c>
      <c r="K1" t="s">
        <v>841</v>
      </c>
      <c r="L1" t="s">
        <v>842</v>
      </c>
      <c r="M1" t="s">
        <v>844</v>
      </c>
      <c r="N1" t="s">
        <v>852</v>
      </c>
      <c r="O1" t="s">
        <v>857</v>
      </c>
      <c r="P1" t="s">
        <v>858</v>
      </c>
      <c r="Q1" t="s">
        <v>860</v>
      </c>
      <c r="R1" t="s">
        <v>864</v>
      </c>
      <c r="S1" t="s">
        <v>866</v>
      </c>
      <c r="T1" t="s">
        <v>870</v>
      </c>
      <c r="U1" t="s">
        <v>871</v>
      </c>
      <c r="V1" t="s">
        <v>872</v>
      </c>
      <c r="W1" t="s">
        <v>874</v>
      </c>
      <c r="X1" t="s">
        <v>875</v>
      </c>
      <c r="Y1" t="s">
        <v>876</v>
      </c>
      <c r="Z1" t="s">
        <v>879</v>
      </c>
      <c r="AA1" t="s">
        <v>880</v>
      </c>
      <c r="AB1" t="s">
        <v>891</v>
      </c>
      <c r="AC1" t="s">
        <v>893</v>
      </c>
    </row>
    <row r="2" spans="1:29">
      <c r="A2" s="476">
        <v>0</v>
      </c>
      <c r="C2">
        <v>0</v>
      </c>
      <c r="D2">
        <v>0</v>
      </c>
      <c r="N2">
        <v>0</v>
      </c>
      <c r="AB2">
        <v>0</v>
      </c>
    </row>
    <row r="3" spans="1:29">
      <c r="A3" s="476">
        <v>6.9444444444444441E-3</v>
      </c>
      <c r="C3">
        <v>0</v>
      </c>
      <c r="D3">
        <v>0</v>
      </c>
      <c r="N3">
        <v>0</v>
      </c>
      <c r="AB3">
        <v>0</v>
      </c>
    </row>
    <row r="4" spans="1:29">
      <c r="A4" s="476">
        <v>1.38888888888889E-2</v>
      </c>
      <c r="C4">
        <v>0</v>
      </c>
      <c r="D4">
        <v>0</v>
      </c>
      <c r="N4">
        <v>0</v>
      </c>
      <c r="AB4">
        <v>0</v>
      </c>
    </row>
    <row r="5" spans="1:29">
      <c r="A5" s="476">
        <v>2.0833333333333332E-2</v>
      </c>
      <c r="C5">
        <v>0</v>
      </c>
      <c r="D5">
        <v>0</v>
      </c>
      <c r="N5">
        <v>0</v>
      </c>
      <c r="AB5">
        <v>0</v>
      </c>
    </row>
    <row r="6" spans="1:29">
      <c r="A6" s="476">
        <v>2.7777777777777801E-2</v>
      </c>
      <c r="C6">
        <v>0</v>
      </c>
      <c r="D6">
        <v>0</v>
      </c>
      <c r="N6">
        <v>0</v>
      </c>
      <c r="AB6">
        <v>0</v>
      </c>
    </row>
    <row r="7" spans="1:29">
      <c r="A7" s="476">
        <v>3.4722222222222203E-2</v>
      </c>
      <c r="C7">
        <v>0</v>
      </c>
      <c r="D7">
        <v>0</v>
      </c>
      <c r="N7">
        <v>0</v>
      </c>
      <c r="AB7">
        <v>0</v>
      </c>
    </row>
    <row r="8" spans="1:29">
      <c r="A8" s="476">
        <v>4.1666666666666699E-2</v>
      </c>
      <c r="C8">
        <v>0</v>
      </c>
      <c r="D8">
        <v>0</v>
      </c>
      <c r="N8">
        <v>0</v>
      </c>
      <c r="AB8">
        <v>0</v>
      </c>
    </row>
    <row r="9" spans="1:29">
      <c r="A9" s="476">
        <v>4.8611111111111098E-2</v>
      </c>
      <c r="C9">
        <v>0</v>
      </c>
      <c r="D9">
        <v>0</v>
      </c>
      <c r="N9">
        <v>0</v>
      </c>
      <c r="AB9">
        <v>0</v>
      </c>
    </row>
    <row r="10" spans="1:29">
      <c r="A10" s="476">
        <v>5.5555555555555601E-2</v>
      </c>
      <c r="C10">
        <v>0</v>
      </c>
      <c r="D10">
        <v>0</v>
      </c>
      <c r="N10">
        <v>0</v>
      </c>
      <c r="AB10">
        <v>0</v>
      </c>
    </row>
    <row r="11" spans="1:29">
      <c r="A11" s="476">
        <v>6.25E-2</v>
      </c>
      <c r="C11">
        <v>0</v>
      </c>
      <c r="D11">
        <v>0</v>
      </c>
      <c r="N11">
        <v>0</v>
      </c>
      <c r="AB11">
        <v>0</v>
      </c>
    </row>
    <row r="12" spans="1:29">
      <c r="A12" s="476">
        <v>6.9444444444444406E-2</v>
      </c>
      <c r="C12">
        <v>0</v>
      </c>
      <c r="D12">
        <v>0</v>
      </c>
      <c r="N12">
        <v>0</v>
      </c>
      <c r="AB12">
        <v>0</v>
      </c>
    </row>
    <row r="13" spans="1:29">
      <c r="A13" s="476">
        <v>7.6388888888888895E-2</v>
      </c>
      <c r="C13">
        <v>0</v>
      </c>
      <c r="D13">
        <v>0</v>
      </c>
      <c r="N13">
        <v>0</v>
      </c>
      <c r="AB13">
        <v>0</v>
      </c>
    </row>
    <row r="14" spans="1:29">
      <c r="A14" s="476">
        <v>8.3333333333333301E-2</v>
      </c>
      <c r="C14">
        <v>0</v>
      </c>
      <c r="D14">
        <v>0</v>
      </c>
      <c r="N14">
        <v>0</v>
      </c>
      <c r="AB14">
        <v>0</v>
      </c>
    </row>
    <row r="15" spans="1:29">
      <c r="A15" s="476">
        <v>9.0277777777777804E-2</v>
      </c>
      <c r="C15">
        <v>0</v>
      </c>
      <c r="D15">
        <v>0</v>
      </c>
      <c r="N15">
        <v>0</v>
      </c>
      <c r="AB15">
        <v>0</v>
      </c>
    </row>
    <row r="16" spans="1:29">
      <c r="A16" s="476">
        <v>9.7222222222222196E-2</v>
      </c>
      <c r="C16">
        <v>0</v>
      </c>
      <c r="D16">
        <v>0</v>
      </c>
      <c r="N16">
        <v>0</v>
      </c>
      <c r="AB16">
        <v>0</v>
      </c>
    </row>
    <row r="17" spans="1:28">
      <c r="A17" s="476">
        <v>0.104166666666667</v>
      </c>
      <c r="C17">
        <v>0</v>
      </c>
      <c r="D17">
        <v>0</v>
      </c>
      <c r="N17">
        <v>0</v>
      </c>
      <c r="AB17">
        <v>0</v>
      </c>
    </row>
    <row r="18" spans="1:28">
      <c r="A18" s="476">
        <v>0.11111111111111099</v>
      </c>
      <c r="C18">
        <v>0</v>
      </c>
      <c r="D18">
        <v>0</v>
      </c>
      <c r="N18">
        <v>0</v>
      </c>
      <c r="AB18">
        <v>0</v>
      </c>
    </row>
    <row r="19" spans="1:28">
      <c r="A19" s="476">
        <v>0.118055555555556</v>
      </c>
      <c r="C19">
        <v>0</v>
      </c>
      <c r="D19">
        <v>0</v>
      </c>
      <c r="N19">
        <v>0</v>
      </c>
      <c r="AB19">
        <v>0</v>
      </c>
    </row>
    <row r="20" spans="1:28">
      <c r="A20" s="476">
        <v>0.125</v>
      </c>
      <c r="C20">
        <v>0</v>
      </c>
      <c r="D20">
        <v>0</v>
      </c>
      <c r="N20">
        <v>0</v>
      </c>
      <c r="AB20">
        <v>0</v>
      </c>
    </row>
    <row r="21" spans="1:28">
      <c r="A21" s="476">
        <v>0.131944444444444</v>
      </c>
      <c r="C21">
        <v>0</v>
      </c>
      <c r="D21">
        <v>0</v>
      </c>
      <c r="N21">
        <v>0</v>
      </c>
      <c r="AB21">
        <v>0</v>
      </c>
    </row>
    <row r="22" spans="1:28">
      <c r="A22" s="476">
        <v>0.13888888888888901</v>
      </c>
      <c r="C22">
        <v>0</v>
      </c>
      <c r="D22">
        <v>0</v>
      </c>
      <c r="N22">
        <v>0</v>
      </c>
      <c r="AB22">
        <v>0</v>
      </c>
    </row>
    <row r="23" spans="1:28">
      <c r="A23" s="476">
        <v>0.14583333333333301</v>
      </c>
      <c r="C23">
        <v>0</v>
      </c>
      <c r="D23">
        <v>0</v>
      </c>
      <c r="N23">
        <v>0</v>
      </c>
      <c r="AB23">
        <v>0</v>
      </c>
    </row>
    <row r="24" spans="1:28">
      <c r="A24" s="132">
        <v>0.15277777777777801</v>
      </c>
      <c r="C24">
        <v>0</v>
      </c>
      <c r="D24">
        <v>0</v>
      </c>
      <c r="N24">
        <v>0</v>
      </c>
      <c r="AB24">
        <v>0</v>
      </c>
    </row>
    <row r="25" spans="1:28">
      <c r="A25" s="132">
        <v>0.15972222222222199</v>
      </c>
      <c r="C25">
        <v>0</v>
      </c>
      <c r="D25">
        <v>0</v>
      </c>
      <c r="N25">
        <v>0</v>
      </c>
      <c r="AB25">
        <v>0</v>
      </c>
    </row>
    <row r="26" spans="1:28">
      <c r="A26" s="132">
        <v>0.16666666666666699</v>
      </c>
      <c r="C26">
        <v>0</v>
      </c>
      <c r="D26">
        <v>0</v>
      </c>
      <c r="N26">
        <v>0</v>
      </c>
      <c r="AB26">
        <v>0</v>
      </c>
    </row>
    <row r="27" spans="1:28">
      <c r="A27" s="132">
        <v>0.17361111111111099</v>
      </c>
      <c r="C27">
        <v>0</v>
      </c>
      <c r="D27">
        <v>0</v>
      </c>
      <c r="N27">
        <v>0</v>
      </c>
      <c r="AB27">
        <v>0</v>
      </c>
    </row>
    <row r="28" spans="1:28">
      <c r="A28" s="132">
        <v>0.180555555555556</v>
      </c>
      <c r="C28">
        <v>0</v>
      </c>
      <c r="D28">
        <v>0</v>
      </c>
      <c r="N28">
        <v>0</v>
      </c>
      <c r="AB28">
        <v>0</v>
      </c>
    </row>
    <row r="29" spans="1:28">
      <c r="A29" s="132">
        <v>0.1875</v>
      </c>
      <c r="C29">
        <v>0</v>
      </c>
      <c r="D29">
        <v>0</v>
      </c>
      <c r="N29">
        <v>0</v>
      </c>
      <c r="AB29">
        <v>0</v>
      </c>
    </row>
    <row r="30" spans="1:28">
      <c r="A30" s="132">
        <v>0.194444444444444</v>
      </c>
      <c r="C30">
        <v>0</v>
      </c>
      <c r="D30">
        <v>0</v>
      </c>
      <c r="N30">
        <v>0</v>
      </c>
      <c r="AB30">
        <v>0</v>
      </c>
    </row>
    <row r="31" spans="1:28">
      <c r="A31" s="132">
        <v>0.20138888888888901</v>
      </c>
      <c r="C31">
        <v>0</v>
      </c>
      <c r="D31">
        <v>0</v>
      </c>
      <c r="N31">
        <v>0</v>
      </c>
      <c r="AB31">
        <v>0</v>
      </c>
    </row>
    <row r="32" spans="1:28">
      <c r="A32" s="132">
        <v>0.20833333333333301</v>
      </c>
      <c r="C32">
        <v>0</v>
      </c>
      <c r="D32">
        <v>0</v>
      </c>
      <c r="N32">
        <v>0</v>
      </c>
      <c r="AB32">
        <v>0</v>
      </c>
    </row>
    <row r="33" spans="1:28">
      <c r="A33" s="132">
        <v>0.21527777777777801</v>
      </c>
      <c r="C33">
        <v>0</v>
      </c>
      <c r="D33">
        <v>0</v>
      </c>
      <c r="N33">
        <v>0</v>
      </c>
      <c r="AB33">
        <v>0</v>
      </c>
    </row>
    <row r="34" spans="1:28">
      <c r="A34" s="132">
        <v>0.22222222222222199</v>
      </c>
      <c r="C34">
        <v>0</v>
      </c>
      <c r="D34">
        <v>0</v>
      </c>
      <c r="N34">
        <v>0</v>
      </c>
      <c r="AB34">
        <v>0</v>
      </c>
    </row>
    <row r="35" spans="1:28">
      <c r="A35" s="132">
        <v>0.22916666666666699</v>
      </c>
      <c r="C35">
        <v>0</v>
      </c>
      <c r="D35">
        <v>0</v>
      </c>
      <c r="N35">
        <v>0</v>
      </c>
      <c r="AB35">
        <v>0</v>
      </c>
    </row>
    <row r="36" spans="1:28">
      <c r="A36" s="132">
        <v>0.23611111111111099</v>
      </c>
      <c r="C36">
        <v>0</v>
      </c>
      <c r="D36">
        <v>0</v>
      </c>
      <c r="N36">
        <v>0</v>
      </c>
      <c r="AB36">
        <v>0</v>
      </c>
    </row>
    <row r="37" spans="1:28">
      <c r="A37" s="132">
        <v>0.243055555555556</v>
      </c>
      <c r="C37">
        <v>0</v>
      </c>
      <c r="D37">
        <v>0</v>
      </c>
      <c r="N37">
        <v>0</v>
      </c>
      <c r="AB37">
        <v>0</v>
      </c>
    </row>
    <row r="38" spans="1:28">
      <c r="A38" s="132">
        <v>0.25</v>
      </c>
      <c r="C38">
        <v>0</v>
      </c>
      <c r="D38">
        <v>0</v>
      </c>
      <c r="N38">
        <v>0</v>
      </c>
      <c r="AB38">
        <v>0</v>
      </c>
    </row>
    <row r="39" spans="1:28">
      <c r="A39" s="132">
        <v>0.25694444444444398</v>
      </c>
      <c r="C39">
        <v>0</v>
      </c>
      <c r="D39">
        <v>0</v>
      </c>
      <c r="N39">
        <v>0</v>
      </c>
      <c r="AB39">
        <v>0</v>
      </c>
    </row>
    <row r="40" spans="1:28">
      <c r="A40" s="132">
        <v>0.26388888888888901</v>
      </c>
      <c r="C40">
        <v>0</v>
      </c>
      <c r="D40">
        <v>0</v>
      </c>
      <c r="N40">
        <v>0</v>
      </c>
      <c r="AB40">
        <v>0</v>
      </c>
    </row>
    <row r="41" spans="1:28">
      <c r="A41" s="132">
        <v>0.27083333333333298</v>
      </c>
      <c r="C41">
        <v>0</v>
      </c>
      <c r="D41">
        <v>0</v>
      </c>
      <c r="N41">
        <v>0</v>
      </c>
      <c r="AB41">
        <v>0</v>
      </c>
    </row>
    <row r="42" spans="1:28">
      <c r="A42" s="132">
        <v>0.27777777777777801</v>
      </c>
      <c r="C42">
        <v>0</v>
      </c>
      <c r="D42">
        <v>0</v>
      </c>
      <c r="N42">
        <v>0</v>
      </c>
      <c r="AB42">
        <v>0</v>
      </c>
    </row>
    <row r="43" spans="1:28">
      <c r="A43" s="132">
        <v>0.28472222222222199</v>
      </c>
      <c r="C43">
        <v>0</v>
      </c>
      <c r="D43">
        <v>0</v>
      </c>
      <c r="N43">
        <v>0</v>
      </c>
      <c r="AB43">
        <v>0</v>
      </c>
    </row>
    <row r="44" spans="1:28">
      <c r="A44" s="132">
        <v>0.29166666666666702</v>
      </c>
      <c r="C44">
        <v>0</v>
      </c>
      <c r="D44">
        <v>0</v>
      </c>
      <c r="N44">
        <v>0</v>
      </c>
      <c r="AB44">
        <v>0</v>
      </c>
    </row>
    <row r="45" spans="1:28">
      <c r="A45" s="132">
        <v>0.29861111111111099</v>
      </c>
      <c r="C45">
        <v>0</v>
      </c>
      <c r="D45">
        <v>0</v>
      </c>
      <c r="N45">
        <v>0</v>
      </c>
      <c r="AB45">
        <v>0</v>
      </c>
    </row>
    <row r="46" spans="1:28">
      <c r="A46" s="132">
        <v>0.30555555555555602</v>
      </c>
      <c r="C46">
        <v>0</v>
      </c>
      <c r="D46">
        <v>0</v>
      </c>
      <c r="N46">
        <v>0</v>
      </c>
      <c r="AB46">
        <v>0</v>
      </c>
    </row>
    <row r="47" spans="1:28">
      <c r="A47" s="132">
        <v>0.3125</v>
      </c>
      <c r="C47">
        <v>0</v>
      </c>
      <c r="D47">
        <v>0</v>
      </c>
      <c r="N47">
        <v>0</v>
      </c>
      <c r="AB47">
        <v>0</v>
      </c>
    </row>
    <row r="48" spans="1:28">
      <c r="A48" s="132">
        <v>0.31944444444444398</v>
      </c>
      <c r="C48">
        <v>0</v>
      </c>
      <c r="D48">
        <v>0</v>
      </c>
      <c r="N48">
        <v>0</v>
      </c>
      <c r="AB48">
        <v>0</v>
      </c>
    </row>
    <row r="49" spans="1:28">
      <c r="A49" s="132">
        <v>0.32638888888888901</v>
      </c>
      <c r="C49">
        <v>0</v>
      </c>
      <c r="D49">
        <v>0</v>
      </c>
      <c r="N49">
        <v>0</v>
      </c>
      <c r="AB49">
        <v>0</v>
      </c>
    </row>
    <row r="50" spans="1:28">
      <c r="A50" s="132">
        <v>0.33333333333333298</v>
      </c>
      <c r="C50">
        <v>0</v>
      </c>
      <c r="D50">
        <v>0</v>
      </c>
      <c r="N50">
        <v>0</v>
      </c>
      <c r="AB50">
        <v>0</v>
      </c>
    </row>
    <row r="51" spans="1:28">
      <c r="A51" s="132">
        <v>0.34027777777777801</v>
      </c>
      <c r="C51">
        <v>0</v>
      </c>
      <c r="D51">
        <v>0</v>
      </c>
      <c r="N51">
        <v>0</v>
      </c>
      <c r="AB51">
        <v>0</v>
      </c>
    </row>
    <row r="52" spans="1:28">
      <c r="A52" s="132">
        <v>0.34722222222222199</v>
      </c>
      <c r="C52">
        <v>0</v>
      </c>
      <c r="D52">
        <v>0</v>
      </c>
      <c r="N52">
        <v>0</v>
      </c>
      <c r="AB52">
        <v>0</v>
      </c>
    </row>
    <row r="53" spans="1:28">
      <c r="A53" s="132">
        <v>0.35416666666666702</v>
      </c>
      <c r="C53">
        <v>0</v>
      </c>
      <c r="D53">
        <v>0</v>
      </c>
      <c r="N53">
        <v>0</v>
      </c>
      <c r="AB53">
        <v>0</v>
      </c>
    </row>
    <row r="54" spans="1:28">
      <c r="A54" s="132">
        <v>0.36111111111111099</v>
      </c>
      <c r="C54">
        <v>0</v>
      </c>
      <c r="D54">
        <v>0</v>
      </c>
      <c r="N54">
        <v>0</v>
      </c>
      <c r="AB54">
        <v>0</v>
      </c>
    </row>
    <row r="55" spans="1:28">
      <c r="A55" s="132">
        <v>0.36805555555555602</v>
      </c>
      <c r="C55">
        <v>0</v>
      </c>
      <c r="D55">
        <v>0</v>
      </c>
      <c r="N55">
        <v>0</v>
      </c>
      <c r="AB55">
        <v>0</v>
      </c>
    </row>
    <row r="56" spans="1:28">
      <c r="A56" s="132">
        <v>0.375</v>
      </c>
      <c r="C56">
        <v>0</v>
      </c>
      <c r="D56">
        <v>0</v>
      </c>
      <c r="N56">
        <v>0</v>
      </c>
      <c r="AB56">
        <v>0</v>
      </c>
    </row>
    <row r="57" spans="1:28">
      <c r="A57" s="132">
        <v>0.38194444444444398</v>
      </c>
      <c r="C57">
        <v>0</v>
      </c>
      <c r="D57">
        <v>0</v>
      </c>
      <c r="N57">
        <v>0</v>
      </c>
      <c r="AB57">
        <v>0</v>
      </c>
    </row>
    <row r="58" spans="1:28">
      <c r="A58" s="132">
        <v>0.38888888888888901</v>
      </c>
      <c r="C58">
        <v>0</v>
      </c>
      <c r="D58">
        <v>0</v>
      </c>
      <c r="N58">
        <v>0</v>
      </c>
      <c r="AB58">
        <v>0</v>
      </c>
    </row>
    <row r="59" spans="1:28">
      <c r="A59" s="132">
        <v>0.39583333333333298</v>
      </c>
      <c r="C59">
        <v>0</v>
      </c>
      <c r="D59">
        <v>0</v>
      </c>
      <c r="N59">
        <v>0</v>
      </c>
      <c r="AB59">
        <v>0</v>
      </c>
    </row>
    <row r="60" spans="1:28">
      <c r="A60" s="132">
        <v>0.40277777777777801</v>
      </c>
      <c r="C60">
        <v>0</v>
      </c>
      <c r="D60">
        <v>0</v>
      </c>
      <c r="N60">
        <v>0</v>
      </c>
      <c r="AB60">
        <v>0</v>
      </c>
    </row>
    <row r="61" spans="1:28">
      <c r="A61" s="132">
        <v>0.40972222222222199</v>
      </c>
      <c r="C61">
        <v>0</v>
      </c>
      <c r="D61">
        <v>0</v>
      </c>
      <c r="N61">
        <v>0</v>
      </c>
      <c r="AB61">
        <v>0</v>
      </c>
    </row>
    <row r="62" spans="1:28">
      <c r="A62" s="132">
        <v>0.41666666666666702</v>
      </c>
      <c r="C62">
        <v>0</v>
      </c>
      <c r="D62">
        <v>0</v>
      </c>
      <c r="N62">
        <v>0</v>
      </c>
      <c r="AB62">
        <v>0</v>
      </c>
    </row>
    <row r="63" spans="1:28">
      <c r="A63" s="132">
        <v>0.42361111111111099</v>
      </c>
      <c r="C63">
        <v>0</v>
      </c>
      <c r="D63">
        <v>0</v>
      </c>
      <c r="N63">
        <v>0</v>
      </c>
      <c r="AB63">
        <v>0</v>
      </c>
    </row>
    <row r="64" spans="1:28">
      <c r="A64" s="132">
        <v>0.43055555555555602</v>
      </c>
      <c r="C64">
        <v>0</v>
      </c>
      <c r="D64">
        <v>0</v>
      </c>
      <c r="N64">
        <v>0</v>
      </c>
      <c r="AB64">
        <v>0</v>
      </c>
    </row>
    <row r="65" spans="1:28">
      <c r="A65" s="132">
        <v>0.4375</v>
      </c>
      <c r="C65">
        <v>0</v>
      </c>
      <c r="D65">
        <v>0</v>
      </c>
      <c r="N65">
        <v>0</v>
      </c>
      <c r="AB65">
        <v>0</v>
      </c>
    </row>
    <row r="66" spans="1:28">
      <c r="A66" s="132">
        <v>0.44444444444444398</v>
      </c>
      <c r="C66">
        <v>0</v>
      </c>
      <c r="D66">
        <v>0</v>
      </c>
      <c r="N66">
        <v>0</v>
      </c>
      <c r="AB66">
        <v>0</v>
      </c>
    </row>
    <row r="67" spans="1:28">
      <c r="A67" s="132">
        <v>0.45138888888888901</v>
      </c>
      <c r="C67">
        <v>0</v>
      </c>
      <c r="D67">
        <v>0</v>
      </c>
      <c r="N67">
        <v>0</v>
      </c>
      <c r="AB67">
        <v>0</v>
      </c>
    </row>
    <row r="68" spans="1:28">
      <c r="A68" s="132">
        <v>0.45833333333333298</v>
      </c>
      <c r="C68">
        <v>0</v>
      </c>
      <c r="D68">
        <v>0</v>
      </c>
      <c r="N68">
        <v>0</v>
      </c>
      <c r="AB68">
        <v>0</v>
      </c>
    </row>
    <row r="69" spans="1:28">
      <c r="A69" s="132">
        <v>0.46527777777777801</v>
      </c>
      <c r="C69">
        <v>0</v>
      </c>
      <c r="D69">
        <v>0</v>
      </c>
      <c r="N69">
        <v>0</v>
      </c>
      <c r="AB69">
        <v>0</v>
      </c>
    </row>
    <row r="70" spans="1:28">
      <c r="A70" s="132">
        <v>0.47222222222222199</v>
      </c>
      <c r="C70">
        <v>0</v>
      </c>
      <c r="D70">
        <v>0</v>
      </c>
      <c r="N70">
        <v>0</v>
      </c>
      <c r="AB70">
        <v>0</v>
      </c>
    </row>
    <row r="71" spans="1:28">
      <c r="A71" s="132">
        <v>0.47916666666666702</v>
      </c>
      <c r="C71">
        <v>0</v>
      </c>
      <c r="D71">
        <v>0</v>
      </c>
      <c r="N71">
        <v>0</v>
      </c>
      <c r="AB71">
        <v>0</v>
      </c>
    </row>
    <row r="72" spans="1:28">
      <c r="A72" s="132">
        <v>0.48611111111111099</v>
      </c>
      <c r="C72">
        <v>0</v>
      </c>
      <c r="D72">
        <v>0</v>
      </c>
      <c r="N72">
        <v>0</v>
      </c>
      <c r="AB72">
        <v>0</v>
      </c>
    </row>
    <row r="73" spans="1:28">
      <c r="A73" s="132">
        <v>0.49305555555555602</v>
      </c>
      <c r="C73">
        <v>0</v>
      </c>
      <c r="D73">
        <v>0</v>
      </c>
      <c r="N73">
        <v>0</v>
      </c>
      <c r="AB73">
        <v>0</v>
      </c>
    </row>
    <row r="74" spans="1:28">
      <c r="A74" s="132">
        <v>0.5</v>
      </c>
      <c r="C74">
        <v>0</v>
      </c>
      <c r="D74">
        <v>0</v>
      </c>
      <c r="N74">
        <v>0</v>
      </c>
      <c r="AB74">
        <v>0</v>
      </c>
    </row>
    <row r="75" spans="1:28">
      <c r="A75" s="132">
        <v>0.50694444444444398</v>
      </c>
      <c r="C75">
        <v>0</v>
      </c>
      <c r="D75">
        <v>0</v>
      </c>
      <c r="N75">
        <v>0</v>
      </c>
      <c r="AB75">
        <v>0</v>
      </c>
    </row>
    <row r="76" spans="1:28">
      <c r="A76" s="132">
        <v>0.51388888888888895</v>
      </c>
      <c r="C76">
        <v>0</v>
      </c>
      <c r="D76">
        <v>0</v>
      </c>
      <c r="N76">
        <v>0</v>
      </c>
      <c r="AB76">
        <v>0</v>
      </c>
    </row>
    <row r="77" spans="1:28">
      <c r="A77" s="132">
        <v>0.52083333333333304</v>
      </c>
      <c r="C77">
        <v>0</v>
      </c>
      <c r="D77">
        <v>0</v>
      </c>
      <c r="N77">
        <v>0</v>
      </c>
      <c r="AB77">
        <v>0</v>
      </c>
    </row>
    <row r="78" spans="1:28">
      <c r="A78" s="132">
        <v>0.52777777777777801</v>
      </c>
      <c r="C78">
        <v>0</v>
      </c>
      <c r="D78">
        <v>0</v>
      </c>
      <c r="N78">
        <v>0</v>
      </c>
      <c r="AB78">
        <v>0</v>
      </c>
    </row>
    <row r="79" spans="1:28">
      <c r="A79" s="132">
        <v>0.53472222222222199</v>
      </c>
      <c r="C79">
        <v>0</v>
      </c>
      <c r="D79">
        <v>0</v>
      </c>
      <c r="N79">
        <v>0</v>
      </c>
      <c r="AB79">
        <v>0</v>
      </c>
    </row>
    <row r="80" spans="1:28">
      <c r="A80" s="132">
        <v>0.54166666666666696</v>
      </c>
      <c r="C80">
        <v>0</v>
      </c>
      <c r="D80">
        <v>0</v>
      </c>
      <c r="N80">
        <v>0</v>
      </c>
      <c r="AB80">
        <v>0</v>
      </c>
    </row>
    <row r="81" spans="1:28">
      <c r="A81" s="132">
        <v>0.54861111111111105</v>
      </c>
      <c r="C81">
        <v>0</v>
      </c>
      <c r="D81">
        <v>0</v>
      </c>
      <c r="N81">
        <v>0</v>
      </c>
      <c r="AB81">
        <v>0</v>
      </c>
    </row>
    <row r="82" spans="1:28">
      <c r="A82" s="132">
        <v>0.55555555555555602</v>
      </c>
      <c r="C82">
        <v>0</v>
      </c>
      <c r="D82">
        <v>0</v>
      </c>
      <c r="N82">
        <v>0</v>
      </c>
      <c r="AB82">
        <v>0</v>
      </c>
    </row>
    <row r="83" spans="1:28">
      <c r="A83" s="132">
        <v>0.5625</v>
      </c>
      <c r="C83">
        <v>0</v>
      </c>
      <c r="D83">
        <v>0</v>
      </c>
      <c r="N83">
        <v>0</v>
      </c>
      <c r="AB83">
        <v>0</v>
      </c>
    </row>
    <row r="84" spans="1:28">
      <c r="A84" s="132">
        <v>0.56944444444444398</v>
      </c>
      <c r="C84">
        <v>0</v>
      </c>
      <c r="D84">
        <v>0</v>
      </c>
      <c r="N84">
        <v>0</v>
      </c>
      <c r="AB84">
        <v>0</v>
      </c>
    </row>
    <row r="85" spans="1:28">
      <c r="A85" s="132">
        <v>0.57638888888888895</v>
      </c>
      <c r="C85">
        <v>0</v>
      </c>
      <c r="D85">
        <v>0</v>
      </c>
      <c r="N85">
        <v>0</v>
      </c>
      <c r="AB85">
        <v>0</v>
      </c>
    </row>
    <row r="86" spans="1:28">
      <c r="A86" s="132">
        <v>0.58333333333333304</v>
      </c>
      <c r="C86">
        <v>0</v>
      </c>
      <c r="D86">
        <v>0</v>
      </c>
      <c r="N86">
        <v>0</v>
      </c>
      <c r="AB86">
        <v>0</v>
      </c>
    </row>
    <row r="87" spans="1:28">
      <c r="A87" s="132">
        <v>0.59027777777777801</v>
      </c>
      <c r="C87">
        <v>0</v>
      </c>
      <c r="D87">
        <v>0</v>
      </c>
      <c r="N87">
        <v>0</v>
      </c>
      <c r="AB87">
        <v>0</v>
      </c>
    </row>
    <row r="88" spans="1:28">
      <c r="A88" s="132">
        <v>0.59722222222222199</v>
      </c>
      <c r="C88">
        <v>0</v>
      </c>
      <c r="D88">
        <v>0</v>
      </c>
      <c r="N88">
        <v>0</v>
      </c>
      <c r="AB88">
        <v>0</v>
      </c>
    </row>
    <row r="89" spans="1:28">
      <c r="A89" s="132">
        <v>0.60416666666666696</v>
      </c>
      <c r="C89">
        <v>0</v>
      </c>
      <c r="D89">
        <v>0</v>
      </c>
      <c r="N89">
        <v>0</v>
      </c>
      <c r="AB89">
        <v>0</v>
      </c>
    </row>
    <row r="90" spans="1:28">
      <c r="A90" s="132">
        <v>0.61111111111111105</v>
      </c>
      <c r="C90">
        <v>0</v>
      </c>
      <c r="D90">
        <v>0</v>
      </c>
      <c r="N90">
        <v>0</v>
      </c>
      <c r="AB90">
        <v>0</v>
      </c>
    </row>
    <row r="91" spans="1:28">
      <c r="A91" s="132">
        <v>0.61805555555555503</v>
      </c>
      <c r="C91">
        <v>0</v>
      </c>
      <c r="D91">
        <v>0</v>
      </c>
      <c r="N91">
        <v>0</v>
      </c>
      <c r="AB91">
        <v>0</v>
      </c>
    </row>
    <row r="92" spans="1:28">
      <c r="A92" s="132">
        <v>0.625</v>
      </c>
      <c r="C92">
        <v>0</v>
      </c>
      <c r="D92">
        <v>0</v>
      </c>
      <c r="N92">
        <v>0</v>
      </c>
      <c r="AB92">
        <v>0</v>
      </c>
    </row>
    <row r="93" spans="1:28">
      <c r="A93" s="132">
        <v>0.63194444444444398</v>
      </c>
      <c r="C93">
        <v>0</v>
      </c>
      <c r="D93">
        <v>0</v>
      </c>
      <c r="N93">
        <v>0</v>
      </c>
      <c r="AB93">
        <v>0</v>
      </c>
    </row>
    <row r="94" spans="1:28">
      <c r="A94" s="132">
        <v>0.63888888888888895</v>
      </c>
      <c r="C94">
        <v>0</v>
      </c>
      <c r="D94">
        <v>0</v>
      </c>
      <c r="N94">
        <v>0</v>
      </c>
      <c r="AB94">
        <v>0</v>
      </c>
    </row>
    <row r="95" spans="1:28">
      <c r="A95" s="132">
        <v>0.64583333333333304</v>
      </c>
      <c r="C95">
        <v>0</v>
      </c>
      <c r="D95">
        <v>0</v>
      </c>
      <c r="N95">
        <v>0</v>
      </c>
      <c r="AB95">
        <v>0</v>
      </c>
    </row>
    <row r="96" spans="1:28">
      <c r="A96" s="132">
        <v>0.65277777777777801</v>
      </c>
      <c r="C96">
        <v>0</v>
      </c>
      <c r="D96">
        <v>0</v>
      </c>
      <c r="N96">
        <v>0</v>
      </c>
      <c r="AB96">
        <v>0</v>
      </c>
    </row>
    <row r="97" spans="1:28">
      <c r="A97" s="132">
        <v>0.65972222222222199</v>
      </c>
      <c r="C97">
        <v>0</v>
      </c>
      <c r="D97">
        <v>0</v>
      </c>
      <c r="N97">
        <v>0</v>
      </c>
      <c r="AB97">
        <v>0</v>
      </c>
    </row>
    <row r="98" spans="1:28">
      <c r="A98" s="132">
        <v>0.66666666666666596</v>
      </c>
      <c r="C98">
        <v>0</v>
      </c>
      <c r="D98">
        <v>0</v>
      </c>
      <c r="N98">
        <v>0</v>
      </c>
      <c r="AB98">
        <v>0</v>
      </c>
    </row>
    <row r="99" spans="1:28">
      <c r="A99" s="132">
        <v>0.67361111111111105</v>
      </c>
      <c r="C99">
        <v>0</v>
      </c>
      <c r="D99">
        <v>0</v>
      </c>
      <c r="N99">
        <v>0</v>
      </c>
      <c r="AB99">
        <v>0</v>
      </c>
    </row>
    <row r="100" spans="1:28">
      <c r="A100" s="132">
        <v>0.68055555555555503</v>
      </c>
      <c r="C100">
        <v>0</v>
      </c>
      <c r="D100">
        <v>0</v>
      </c>
      <c r="N100">
        <v>0</v>
      </c>
      <c r="AB100">
        <v>0</v>
      </c>
    </row>
    <row r="101" spans="1:28">
      <c r="A101" s="132">
        <v>0.687499999999999</v>
      </c>
      <c r="C101">
        <v>0</v>
      </c>
      <c r="D101">
        <v>0</v>
      </c>
      <c r="N101">
        <v>0</v>
      </c>
      <c r="AB101">
        <v>0</v>
      </c>
    </row>
    <row r="102" spans="1:28">
      <c r="A102" s="132">
        <v>0.69444444444444398</v>
      </c>
      <c r="C102">
        <v>0</v>
      </c>
      <c r="D102">
        <v>0</v>
      </c>
      <c r="N102">
        <v>0</v>
      </c>
      <c r="AB102">
        <v>0</v>
      </c>
    </row>
    <row r="103" spans="1:28">
      <c r="A103" s="132">
        <v>0.70138888888888895</v>
      </c>
      <c r="C103">
        <v>0</v>
      </c>
      <c r="D103">
        <v>0</v>
      </c>
      <c r="N103">
        <v>0</v>
      </c>
      <c r="AB103">
        <v>0</v>
      </c>
    </row>
    <row r="104" spans="1:28">
      <c r="A104" s="132">
        <v>0.70833333333333204</v>
      </c>
      <c r="C104">
        <v>0</v>
      </c>
      <c r="D104">
        <v>0</v>
      </c>
      <c r="N104">
        <v>0</v>
      </c>
      <c r="AB104">
        <v>0</v>
      </c>
    </row>
    <row r="105" spans="1:28">
      <c r="A105" s="132">
        <v>0.71527777777777801</v>
      </c>
      <c r="C105">
        <v>0</v>
      </c>
      <c r="D105">
        <v>0</v>
      </c>
      <c r="N105">
        <v>0</v>
      </c>
      <c r="AB105">
        <v>0</v>
      </c>
    </row>
    <row r="106" spans="1:28">
      <c r="A106" s="132">
        <v>0.72222222222222199</v>
      </c>
      <c r="C106">
        <v>0</v>
      </c>
      <c r="D106">
        <v>0</v>
      </c>
      <c r="N106">
        <v>0</v>
      </c>
      <c r="AB106">
        <v>0</v>
      </c>
    </row>
    <row r="107" spans="1:28">
      <c r="A107" s="132">
        <v>0.72916666666666496</v>
      </c>
      <c r="C107">
        <v>0</v>
      </c>
      <c r="D107">
        <v>0</v>
      </c>
      <c r="N107">
        <v>0</v>
      </c>
      <c r="AB107">
        <v>0</v>
      </c>
    </row>
    <row r="108" spans="1:28">
      <c r="A108" s="132">
        <v>0.73611111111111105</v>
      </c>
      <c r="C108">
        <v>0</v>
      </c>
      <c r="D108">
        <v>0</v>
      </c>
      <c r="N108">
        <v>0</v>
      </c>
      <c r="AB108">
        <v>0</v>
      </c>
    </row>
    <row r="109" spans="1:28">
      <c r="A109" s="132">
        <v>0.74305555555555503</v>
      </c>
      <c r="C109">
        <v>0</v>
      </c>
      <c r="D109">
        <v>0</v>
      </c>
      <c r="N109">
        <v>0</v>
      </c>
      <c r="AB109">
        <v>0</v>
      </c>
    </row>
    <row r="110" spans="1:28">
      <c r="A110" s="132">
        <v>0.749999999999998</v>
      </c>
      <c r="C110">
        <v>0</v>
      </c>
      <c r="D110">
        <v>0</v>
      </c>
      <c r="N110">
        <v>0</v>
      </c>
      <c r="AB110">
        <v>0</v>
      </c>
    </row>
    <row r="111" spans="1:28">
      <c r="A111" s="132">
        <v>0.75694444444444398</v>
      </c>
      <c r="C111">
        <v>0</v>
      </c>
      <c r="D111">
        <v>0</v>
      </c>
      <c r="N111">
        <v>0</v>
      </c>
      <c r="AB111">
        <v>0</v>
      </c>
    </row>
    <row r="112" spans="1:28">
      <c r="A112" s="132">
        <v>0.76388888888888895</v>
      </c>
      <c r="C112">
        <v>0</v>
      </c>
      <c r="D112">
        <v>0</v>
      </c>
      <c r="N112">
        <v>0</v>
      </c>
      <c r="AB112">
        <v>0</v>
      </c>
    </row>
    <row r="113" spans="1:28">
      <c r="A113" s="132">
        <v>0.77083333333333104</v>
      </c>
      <c r="C113">
        <v>0</v>
      </c>
      <c r="D113">
        <v>0</v>
      </c>
      <c r="N113">
        <v>0</v>
      </c>
      <c r="AB113">
        <v>0</v>
      </c>
    </row>
    <row r="114" spans="1:28">
      <c r="A114" s="132">
        <v>0.77777777777777801</v>
      </c>
      <c r="C114">
        <v>0</v>
      </c>
      <c r="D114">
        <v>0</v>
      </c>
      <c r="N114">
        <v>0</v>
      </c>
      <c r="AB114">
        <v>0</v>
      </c>
    </row>
    <row r="115" spans="1:28">
      <c r="A115" s="132">
        <v>0.78472222222222199</v>
      </c>
      <c r="C115">
        <v>0</v>
      </c>
      <c r="D115">
        <v>0</v>
      </c>
      <c r="N115">
        <v>0</v>
      </c>
      <c r="AB115">
        <v>0</v>
      </c>
    </row>
    <row r="116" spans="1:28">
      <c r="A116" s="132">
        <v>0.79166666666666397</v>
      </c>
      <c r="C116">
        <v>0</v>
      </c>
      <c r="D116">
        <v>0</v>
      </c>
      <c r="N116">
        <v>0</v>
      </c>
      <c r="AB116">
        <v>0</v>
      </c>
    </row>
    <row r="117" spans="1:28">
      <c r="A117" s="132">
        <v>0.79861111111111105</v>
      </c>
      <c r="C117">
        <v>0</v>
      </c>
      <c r="D117">
        <v>0</v>
      </c>
      <c r="N117">
        <v>0</v>
      </c>
      <c r="AB117">
        <v>0</v>
      </c>
    </row>
    <row r="118" spans="1:28">
      <c r="A118" s="132">
        <v>0.80555555555555503</v>
      </c>
      <c r="C118">
        <v>0</v>
      </c>
      <c r="D118">
        <v>0</v>
      </c>
      <c r="N118">
        <v>0</v>
      </c>
      <c r="AB118">
        <v>0</v>
      </c>
    </row>
    <row r="119" spans="1:28">
      <c r="A119" s="132">
        <v>0.812499999999997</v>
      </c>
      <c r="C119">
        <v>0</v>
      </c>
      <c r="D119">
        <v>0</v>
      </c>
      <c r="N119">
        <v>0</v>
      </c>
      <c r="AB119">
        <v>0</v>
      </c>
    </row>
    <row r="120" spans="1:28">
      <c r="A120" s="132">
        <v>0.81944444444444398</v>
      </c>
      <c r="C120">
        <v>0</v>
      </c>
      <c r="D120">
        <v>0</v>
      </c>
      <c r="N120">
        <v>0</v>
      </c>
      <c r="AB120">
        <v>0</v>
      </c>
    </row>
    <row r="121" spans="1:28">
      <c r="A121" s="132">
        <v>0.82638888888888895</v>
      </c>
      <c r="C121">
        <v>0</v>
      </c>
      <c r="D121">
        <v>0</v>
      </c>
      <c r="N121">
        <v>0</v>
      </c>
      <c r="AB121">
        <v>0</v>
      </c>
    </row>
    <row r="122" spans="1:28">
      <c r="A122" s="132">
        <v>0.83333333333333004</v>
      </c>
      <c r="C122">
        <v>0</v>
      </c>
      <c r="D122">
        <v>0</v>
      </c>
      <c r="N122">
        <v>0</v>
      </c>
      <c r="AB122">
        <v>0</v>
      </c>
    </row>
    <row r="123" spans="1:28">
      <c r="A123" s="132">
        <v>0.84027777777777801</v>
      </c>
      <c r="C123">
        <v>0</v>
      </c>
      <c r="D123">
        <v>0</v>
      </c>
      <c r="N123">
        <v>0</v>
      </c>
      <c r="AB123">
        <v>0</v>
      </c>
    </row>
    <row r="124" spans="1:28">
      <c r="A124" s="132">
        <v>0.84722222222222199</v>
      </c>
      <c r="C124">
        <v>0</v>
      </c>
      <c r="D124">
        <v>0</v>
      </c>
      <c r="N124">
        <v>0</v>
      </c>
      <c r="AB124">
        <v>0</v>
      </c>
    </row>
    <row r="125" spans="1:28">
      <c r="A125" s="132">
        <v>0.85416666666666297</v>
      </c>
      <c r="C125">
        <v>0</v>
      </c>
      <c r="D125">
        <v>0</v>
      </c>
      <c r="N125">
        <v>0</v>
      </c>
      <c r="AB125">
        <v>0</v>
      </c>
    </row>
    <row r="126" spans="1:28">
      <c r="A126" s="132">
        <v>0.86111111111111105</v>
      </c>
      <c r="C126">
        <v>0</v>
      </c>
      <c r="D126">
        <v>0</v>
      </c>
      <c r="N126">
        <v>0</v>
      </c>
      <c r="AB126">
        <v>0</v>
      </c>
    </row>
    <row r="127" spans="1:28">
      <c r="A127" s="132">
        <v>0.86805555555555503</v>
      </c>
      <c r="C127">
        <v>0</v>
      </c>
      <c r="D127">
        <v>0</v>
      </c>
      <c r="N127">
        <v>0</v>
      </c>
      <c r="AB127">
        <v>0</v>
      </c>
    </row>
    <row r="128" spans="1:28">
      <c r="A128" s="132">
        <v>0.874999999999996</v>
      </c>
      <c r="C128">
        <v>0</v>
      </c>
      <c r="D128">
        <v>0</v>
      </c>
      <c r="N128">
        <v>0</v>
      </c>
      <c r="AB128">
        <v>0</v>
      </c>
    </row>
    <row r="129" spans="1:28">
      <c r="A129" s="132">
        <v>0.88194444444444398</v>
      </c>
      <c r="C129">
        <v>0</v>
      </c>
      <c r="D129">
        <v>0</v>
      </c>
      <c r="N129">
        <v>0</v>
      </c>
      <c r="AB129">
        <v>0</v>
      </c>
    </row>
    <row r="130" spans="1:28">
      <c r="A130" s="132">
        <v>0.88888888888888895</v>
      </c>
      <c r="C130">
        <v>0</v>
      </c>
      <c r="D130">
        <v>0</v>
      </c>
      <c r="N130">
        <v>0</v>
      </c>
      <c r="AB130">
        <v>0</v>
      </c>
    </row>
    <row r="131" spans="1:28">
      <c r="A131" s="132">
        <v>0.89583333333333004</v>
      </c>
      <c r="C131">
        <v>0</v>
      </c>
      <c r="D131">
        <v>0</v>
      </c>
      <c r="N131">
        <v>0</v>
      </c>
      <c r="AB131">
        <v>0</v>
      </c>
    </row>
    <row r="132" spans="1:28">
      <c r="A132" s="132">
        <v>0.90277777777777801</v>
      </c>
      <c r="C132">
        <v>0</v>
      </c>
      <c r="D132">
        <v>0</v>
      </c>
      <c r="N132">
        <v>0</v>
      </c>
      <c r="AB132">
        <v>0</v>
      </c>
    </row>
    <row r="133" spans="1:28">
      <c r="A133" s="132">
        <v>0.90972222222222199</v>
      </c>
      <c r="C133">
        <v>0</v>
      </c>
      <c r="D133">
        <v>0</v>
      </c>
      <c r="N133">
        <v>0</v>
      </c>
      <c r="AB133">
        <v>0</v>
      </c>
    </row>
    <row r="134" spans="1:28">
      <c r="A134" s="132">
        <v>0.91666666666666397</v>
      </c>
      <c r="C134">
        <v>0</v>
      </c>
      <c r="D134">
        <v>0</v>
      </c>
      <c r="N134">
        <v>0</v>
      </c>
      <c r="AB134">
        <v>0</v>
      </c>
    </row>
    <row r="135" spans="1:28">
      <c r="A135" s="132">
        <v>0.92361111111111105</v>
      </c>
      <c r="C135">
        <v>0</v>
      </c>
      <c r="D135">
        <v>0</v>
      </c>
      <c r="N135">
        <v>0</v>
      </c>
      <c r="AB135">
        <v>0</v>
      </c>
    </row>
    <row r="136" spans="1:28">
      <c r="A136" s="132">
        <v>0.93055555555555503</v>
      </c>
      <c r="C136">
        <v>0</v>
      </c>
      <c r="D136">
        <v>0</v>
      </c>
      <c r="N136">
        <v>0</v>
      </c>
      <c r="AB136">
        <v>0</v>
      </c>
    </row>
    <row r="137" spans="1:28">
      <c r="A137" s="132">
        <v>0.937499999999998</v>
      </c>
      <c r="C137">
        <v>0</v>
      </c>
      <c r="D137">
        <v>0</v>
      </c>
      <c r="N137">
        <v>0</v>
      </c>
      <c r="AB137">
        <v>0</v>
      </c>
    </row>
    <row r="138" spans="1:28">
      <c r="A138" s="132">
        <v>0.94444444444444398</v>
      </c>
      <c r="C138">
        <v>0</v>
      </c>
      <c r="D138">
        <v>0</v>
      </c>
      <c r="N138">
        <v>0</v>
      </c>
      <c r="AB138">
        <v>0</v>
      </c>
    </row>
    <row r="139" spans="1:28">
      <c r="A139" s="132">
        <v>0.95138888888888895</v>
      </c>
      <c r="C139">
        <v>0</v>
      </c>
      <c r="D139">
        <v>0</v>
      </c>
      <c r="N139">
        <v>0</v>
      </c>
      <c r="AB139">
        <v>0</v>
      </c>
    </row>
    <row r="140" spans="1:28">
      <c r="A140" s="132">
        <v>0.95833333333333204</v>
      </c>
      <c r="C140">
        <v>0</v>
      </c>
      <c r="D140">
        <v>0</v>
      </c>
      <c r="N140">
        <v>0</v>
      </c>
      <c r="AB140">
        <v>0</v>
      </c>
    </row>
    <row r="141" spans="1:28">
      <c r="A141" s="132">
        <v>0.96527777777777801</v>
      </c>
      <c r="C141">
        <v>0</v>
      </c>
      <c r="D141">
        <v>0</v>
      </c>
      <c r="N141">
        <v>0</v>
      </c>
      <c r="AB141">
        <v>0</v>
      </c>
    </row>
    <row r="142" spans="1:28">
      <c r="A142" s="132">
        <v>0.97222222222222199</v>
      </c>
      <c r="C142">
        <v>0</v>
      </c>
      <c r="D142">
        <v>0</v>
      </c>
      <c r="N142">
        <v>0</v>
      </c>
      <c r="AB142">
        <v>0</v>
      </c>
    </row>
    <row r="143" spans="1:28">
      <c r="A143" s="132">
        <v>0.97916666666666596</v>
      </c>
      <c r="C143">
        <v>0</v>
      </c>
      <c r="D143">
        <v>0</v>
      </c>
      <c r="N143">
        <v>0</v>
      </c>
      <c r="AB143">
        <v>0</v>
      </c>
    </row>
    <row r="144" spans="1:28">
      <c r="A144" s="132">
        <v>0.98611111111111105</v>
      </c>
      <c r="C144">
        <v>0</v>
      </c>
      <c r="D144">
        <v>0</v>
      </c>
      <c r="N144">
        <v>0</v>
      </c>
      <c r="AB144">
        <v>0</v>
      </c>
    </row>
    <row r="145" spans="1:28">
      <c r="A145" s="132">
        <v>0.99305555555555503</v>
      </c>
      <c r="C145">
        <v>0</v>
      </c>
      <c r="D145">
        <v>0</v>
      </c>
      <c r="N145">
        <v>0</v>
      </c>
      <c r="AB145">
        <v>0</v>
      </c>
    </row>
    <row r="146" spans="1:28">
      <c r="A146" s="134">
        <v>0</v>
      </c>
      <c r="C146">
        <v>0</v>
      </c>
      <c r="D146">
        <v>0</v>
      </c>
      <c r="N146">
        <v>0</v>
      </c>
      <c r="AB146">
        <v>0</v>
      </c>
    </row>
    <row r="147" spans="1:28">
      <c r="A147" s="134">
        <v>6.9444444444444441E-3</v>
      </c>
      <c r="C147">
        <v>0</v>
      </c>
      <c r="D147">
        <v>0</v>
      </c>
      <c r="N147">
        <v>0</v>
      </c>
      <c r="AB147">
        <v>0</v>
      </c>
    </row>
    <row r="148" spans="1:28">
      <c r="A148" s="134">
        <v>1.38888888888889E-2</v>
      </c>
      <c r="C148">
        <v>0</v>
      </c>
      <c r="D148">
        <v>0</v>
      </c>
      <c r="N148">
        <v>0</v>
      </c>
      <c r="AB148">
        <v>0</v>
      </c>
    </row>
    <row r="149" spans="1:28">
      <c r="A149" s="134">
        <v>2.0833333333333332E-2</v>
      </c>
      <c r="C149">
        <v>0</v>
      </c>
      <c r="D149">
        <v>0</v>
      </c>
      <c r="N149">
        <v>0</v>
      </c>
      <c r="AB149">
        <v>0</v>
      </c>
    </row>
    <row r="150" spans="1:28">
      <c r="A150" s="134">
        <v>2.7777777777777801E-2</v>
      </c>
      <c r="C150">
        <v>0</v>
      </c>
      <c r="D150">
        <v>0</v>
      </c>
      <c r="N150">
        <v>0</v>
      </c>
      <c r="AB150">
        <v>0</v>
      </c>
    </row>
    <row r="151" spans="1:28">
      <c r="A151" s="134">
        <v>3.4722222222222203E-2</v>
      </c>
      <c r="C151">
        <v>0</v>
      </c>
      <c r="D151">
        <v>0</v>
      </c>
      <c r="N151">
        <v>0</v>
      </c>
      <c r="AB151">
        <v>0</v>
      </c>
    </row>
    <row r="152" spans="1:28">
      <c r="A152" s="134">
        <v>4.1666666666666699E-2</v>
      </c>
      <c r="C152">
        <v>0</v>
      </c>
      <c r="D152">
        <v>0</v>
      </c>
      <c r="N152">
        <v>0</v>
      </c>
      <c r="AB152">
        <v>0</v>
      </c>
    </row>
    <row r="153" spans="1:28">
      <c r="A153" s="134">
        <v>4.8611111111111098E-2</v>
      </c>
      <c r="C153">
        <v>0</v>
      </c>
      <c r="D153">
        <v>0</v>
      </c>
      <c r="N153">
        <v>0</v>
      </c>
      <c r="AB153">
        <v>0</v>
      </c>
    </row>
    <row r="154" spans="1:28">
      <c r="A154" s="134">
        <v>5.5555555555555601E-2</v>
      </c>
      <c r="C154">
        <v>0</v>
      </c>
      <c r="D154">
        <v>0</v>
      </c>
      <c r="N154">
        <v>0</v>
      </c>
      <c r="AB154">
        <v>0</v>
      </c>
    </row>
    <row r="155" spans="1:28">
      <c r="A155" s="134">
        <v>6.25E-2</v>
      </c>
      <c r="C155">
        <v>0</v>
      </c>
      <c r="D155">
        <v>0</v>
      </c>
      <c r="N155">
        <v>0</v>
      </c>
      <c r="AB155">
        <v>0</v>
      </c>
    </row>
    <row r="156" spans="1:28">
      <c r="A156" s="134">
        <v>6.9444444444444406E-2</v>
      </c>
      <c r="C156">
        <v>0</v>
      </c>
      <c r="D156">
        <v>0</v>
      </c>
      <c r="N156">
        <v>0</v>
      </c>
      <c r="AB156">
        <v>0</v>
      </c>
    </row>
    <row r="157" spans="1:28">
      <c r="A157" s="134">
        <v>7.6388888888888895E-2</v>
      </c>
      <c r="C157">
        <v>0</v>
      </c>
      <c r="D157">
        <v>0</v>
      </c>
      <c r="N157">
        <v>0</v>
      </c>
      <c r="AB157">
        <v>0</v>
      </c>
    </row>
    <row r="158" spans="1:28">
      <c r="A158" s="134">
        <v>8.3333333333333301E-2</v>
      </c>
      <c r="C158">
        <v>0</v>
      </c>
      <c r="D158">
        <v>0</v>
      </c>
      <c r="N158">
        <v>0</v>
      </c>
      <c r="AB158">
        <v>0</v>
      </c>
    </row>
    <row r="159" spans="1:28">
      <c r="A159" s="134">
        <v>9.0277777777777804E-2</v>
      </c>
      <c r="C159">
        <v>0</v>
      </c>
      <c r="D159">
        <v>0</v>
      </c>
      <c r="N159">
        <v>0</v>
      </c>
      <c r="AB159">
        <v>0</v>
      </c>
    </row>
    <row r="160" spans="1:28">
      <c r="A160" s="134">
        <v>9.7222222222222196E-2</v>
      </c>
      <c r="C160">
        <v>0</v>
      </c>
      <c r="D160">
        <v>0</v>
      </c>
      <c r="N160">
        <v>0</v>
      </c>
      <c r="AB160">
        <v>0</v>
      </c>
    </row>
    <row r="161" spans="1:28">
      <c r="A161" s="134">
        <v>0.104166666666667</v>
      </c>
      <c r="C161">
        <v>0</v>
      </c>
      <c r="D161">
        <v>0</v>
      </c>
      <c r="N161">
        <v>0</v>
      </c>
      <c r="AB161">
        <v>0</v>
      </c>
    </row>
    <row r="162" spans="1:28">
      <c r="A162" s="134">
        <v>0.11111111111111099</v>
      </c>
      <c r="C162">
        <v>0</v>
      </c>
      <c r="D162">
        <v>0</v>
      </c>
      <c r="N162">
        <v>0</v>
      </c>
      <c r="AB162">
        <v>0</v>
      </c>
    </row>
    <row r="163" spans="1:28">
      <c r="A163" s="134">
        <v>0.118055555555556</v>
      </c>
      <c r="C163">
        <v>0</v>
      </c>
      <c r="D163">
        <v>0</v>
      </c>
      <c r="N163">
        <v>0</v>
      </c>
      <c r="AB163">
        <v>0</v>
      </c>
    </row>
    <row r="164" spans="1:28">
      <c r="A164" s="134">
        <v>0.125</v>
      </c>
      <c r="C164">
        <v>0</v>
      </c>
      <c r="D164">
        <v>0</v>
      </c>
      <c r="N164">
        <v>0</v>
      </c>
      <c r="AB164">
        <v>0</v>
      </c>
    </row>
    <row r="165" spans="1:28">
      <c r="A165" s="134">
        <v>0.131944444444444</v>
      </c>
      <c r="C165">
        <v>0</v>
      </c>
      <c r="D165">
        <v>0</v>
      </c>
      <c r="N165">
        <v>0</v>
      </c>
      <c r="AB165">
        <v>0</v>
      </c>
    </row>
    <row r="166" spans="1:28">
      <c r="A166" s="134">
        <v>0.13888888888888901</v>
      </c>
      <c r="C166">
        <v>0</v>
      </c>
      <c r="D166">
        <v>0</v>
      </c>
      <c r="N166">
        <v>0</v>
      </c>
      <c r="AB166">
        <v>0</v>
      </c>
    </row>
    <row r="167" spans="1:28">
      <c r="A167" s="134">
        <v>0.14583333333333301</v>
      </c>
      <c r="C167">
        <v>0</v>
      </c>
      <c r="D167">
        <v>0</v>
      </c>
      <c r="N167">
        <v>0</v>
      </c>
      <c r="AB167">
        <v>0</v>
      </c>
    </row>
    <row r="168" spans="1:28">
      <c r="A168" s="134">
        <v>0.15277777777777801</v>
      </c>
      <c r="C168">
        <v>0</v>
      </c>
      <c r="D168">
        <v>0</v>
      </c>
      <c r="N168">
        <v>0</v>
      </c>
      <c r="AB168">
        <v>0</v>
      </c>
    </row>
    <row r="169" spans="1:28">
      <c r="A169" s="134">
        <v>0.15972222222222199</v>
      </c>
      <c r="C169">
        <v>0</v>
      </c>
      <c r="D169">
        <v>0</v>
      </c>
      <c r="N169">
        <v>0</v>
      </c>
      <c r="AB169">
        <v>0</v>
      </c>
    </row>
    <row r="170" spans="1:28">
      <c r="A170" s="134">
        <v>0.16666666666666699</v>
      </c>
      <c r="C170">
        <v>0</v>
      </c>
      <c r="D170">
        <v>0</v>
      </c>
      <c r="N170">
        <v>0</v>
      </c>
      <c r="AB170">
        <v>0</v>
      </c>
    </row>
    <row r="171" spans="1:28">
      <c r="A171" s="134">
        <v>0.17361111111111099</v>
      </c>
      <c r="C171">
        <v>0</v>
      </c>
      <c r="D171">
        <v>0</v>
      </c>
      <c r="N171">
        <v>0</v>
      </c>
      <c r="AB171">
        <v>0</v>
      </c>
    </row>
    <row r="172" spans="1:28">
      <c r="A172" s="134">
        <v>0.180555555555556</v>
      </c>
      <c r="C172">
        <v>0</v>
      </c>
      <c r="D172">
        <v>0</v>
      </c>
      <c r="N172">
        <v>0</v>
      </c>
      <c r="AB172">
        <v>0</v>
      </c>
    </row>
    <row r="173" spans="1:28">
      <c r="A173" s="134">
        <v>0.1875</v>
      </c>
      <c r="C173">
        <v>0</v>
      </c>
      <c r="D173">
        <v>0</v>
      </c>
      <c r="N173">
        <v>0</v>
      </c>
      <c r="AB173">
        <v>0</v>
      </c>
    </row>
    <row r="174" spans="1:28">
      <c r="A174" s="134">
        <v>0.194444444444444</v>
      </c>
      <c r="C174">
        <v>0</v>
      </c>
      <c r="D174">
        <v>0</v>
      </c>
      <c r="N174">
        <v>0</v>
      </c>
      <c r="AB174">
        <v>0</v>
      </c>
    </row>
    <row r="175" spans="1:28">
      <c r="A175" s="134">
        <v>0.20138888888888901</v>
      </c>
      <c r="C175">
        <v>0</v>
      </c>
      <c r="D175">
        <v>0</v>
      </c>
      <c r="N175">
        <v>0</v>
      </c>
      <c r="AB175">
        <v>0</v>
      </c>
    </row>
    <row r="176" spans="1:28">
      <c r="A176" s="134">
        <v>0.20833333333333301</v>
      </c>
      <c r="C176">
        <v>0</v>
      </c>
      <c r="D176">
        <v>0</v>
      </c>
      <c r="N176">
        <v>0</v>
      </c>
      <c r="AB176">
        <v>0</v>
      </c>
    </row>
    <row r="177" spans="1:28">
      <c r="A177" s="134">
        <v>0.21527777777777801</v>
      </c>
      <c r="C177">
        <v>0</v>
      </c>
      <c r="D177">
        <v>0</v>
      </c>
      <c r="N177">
        <v>0</v>
      </c>
      <c r="AB177">
        <v>0</v>
      </c>
    </row>
    <row r="178" spans="1:28">
      <c r="A178" s="134">
        <v>0.22222222222222199</v>
      </c>
      <c r="C178">
        <v>0</v>
      </c>
      <c r="D178">
        <v>0</v>
      </c>
      <c r="N178">
        <v>0</v>
      </c>
      <c r="AB178">
        <v>0</v>
      </c>
    </row>
    <row r="179" spans="1:28">
      <c r="A179" s="134">
        <v>0.22916666666666699</v>
      </c>
      <c r="C179">
        <v>0</v>
      </c>
      <c r="D179">
        <v>0</v>
      </c>
      <c r="N179">
        <v>0</v>
      </c>
      <c r="AB179">
        <v>0</v>
      </c>
    </row>
    <row r="180" spans="1:28">
      <c r="A180" s="134">
        <v>0.23611111111111099</v>
      </c>
      <c r="C180">
        <v>0</v>
      </c>
      <c r="D180">
        <v>0</v>
      </c>
      <c r="N180">
        <v>0</v>
      </c>
      <c r="AB180">
        <v>0</v>
      </c>
    </row>
    <row r="181" spans="1:28">
      <c r="A181" s="134">
        <v>0.243055555555556</v>
      </c>
      <c r="C181">
        <v>0</v>
      </c>
      <c r="D181">
        <v>0</v>
      </c>
      <c r="N181">
        <v>0</v>
      </c>
      <c r="AB181">
        <v>0</v>
      </c>
    </row>
    <row r="182" spans="1:28">
      <c r="A182" s="134">
        <v>0.25</v>
      </c>
      <c r="C182">
        <v>0</v>
      </c>
      <c r="D182">
        <v>0</v>
      </c>
      <c r="N182">
        <v>0</v>
      </c>
      <c r="AB182">
        <v>0</v>
      </c>
    </row>
    <row r="183" spans="1:28">
      <c r="A183" s="134">
        <v>0.25694444444444398</v>
      </c>
      <c r="C183">
        <v>0</v>
      </c>
      <c r="D183">
        <v>0</v>
      </c>
      <c r="N183">
        <v>0</v>
      </c>
      <c r="AB183">
        <v>0</v>
      </c>
    </row>
    <row r="184" spans="1:28">
      <c r="A184" s="134">
        <v>0.26388888888888901</v>
      </c>
      <c r="C184">
        <v>0</v>
      </c>
      <c r="D184">
        <v>0</v>
      </c>
      <c r="N184">
        <v>0</v>
      </c>
      <c r="AB184">
        <v>0</v>
      </c>
    </row>
    <row r="185" spans="1:28">
      <c r="A185" s="134">
        <v>0.27083333333333298</v>
      </c>
      <c r="C185">
        <v>0</v>
      </c>
      <c r="D185">
        <v>0</v>
      </c>
      <c r="N185">
        <v>0</v>
      </c>
      <c r="AB185">
        <v>0</v>
      </c>
    </row>
    <row r="186" spans="1:28">
      <c r="A186" s="134">
        <v>0.27777777777777801</v>
      </c>
      <c r="C186">
        <v>0</v>
      </c>
      <c r="D186">
        <v>0</v>
      </c>
      <c r="N186">
        <v>0</v>
      </c>
      <c r="AB186">
        <v>0</v>
      </c>
    </row>
    <row r="187" spans="1:28">
      <c r="A187" s="134">
        <v>0.28472222222222199</v>
      </c>
      <c r="C187">
        <v>0</v>
      </c>
      <c r="D187">
        <v>0</v>
      </c>
      <c r="N187">
        <v>0</v>
      </c>
      <c r="AB187">
        <v>0</v>
      </c>
    </row>
    <row r="188" spans="1:28">
      <c r="A188" s="134">
        <v>0.29166666666666702</v>
      </c>
      <c r="C188">
        <v>0</v>
      </c>
      <c r="D188">
        <v>0</v>
      </c>
      <c r="N188">
        <v>0</v>
      </c>
      <c r="AB188">
        <v>0</v>
      </c>
    </row>
    <row r="189" spans="1:28">
      <c r="A189" s="134">
        <v>0.29861111111111099</v>
      </c>
      <c r="C189">
        <v>0</v>
      </c>
      <c r="D189">
        <v>0</v>
      </c>
      <c r="N189">
        <v>0</v>
      </c>
      <c r="AB189">
        <v>0</v>
      </c>
    </row>
    <row r="190" spans="1:28">
      <c r="A190" s="134">
        <v>0.30555555555555602</v>
      </c>
      <c r="C190">
        <v>0</v>
      </c>
      <c r="D190">
        <v>0</v>
      </c>
      <c r="N190">
        <v>0</v>
      </c>
      <c r="AB190">
        <v>0</v>
      </c>
    </row>
    <row r="191" spans="1:28">
      <c r="A191" s="134">
        <v>0.3125</v>
      </c>
      <c r="C191">
        <v>0</v>
      </c>
      <c r="D191">
        <v>0</v>
      </c>
      <c r="N191">
        <v>0</v>
      </c>
      <c r="AB191">
        <v>0</v>
      </c>
    </row>
    <row r="192" spans="1:28">
      <c r="A192" s="134">
        <v>0.31944444444444398</v>
      </c>
      <c r="C192">
        <v>0</v>
      </c>
      <c r="D192">
        <v>0</v>
      </c>
      <c r="N192">
        <v>0</v>
      </c>
      <c r="AB192">
        <v>0</v>
      </c>
    </row>
    <row r="193" spans="1:28">
      <c r="A193" s="134">
        <v>0.32638888888888901</v>
      </c>
      <c r="C193">
        <v>0</v>
      </c>
      <c r="D193">
        <v>0</v>
      </c>
      <c r="N193">
        <v>0</v>
      </c>
      <c r="AB193">
        <v>0</v>
      </c>
    </row>
    <row r="194" spans="1:28">
      <c r="A194" s="134">
        <v>0.33333333333333298</v>
      </c>
      <c r="C194">
        <v>0</v>
      </c>
      <c r="D194">
        <v>0</v>
      </c>
      <c r="N194">
        <v>0</v>
      </c>
      <c r="AB194">
        <v>0</v>
      </c>
    </row>
    <row r="195" spans="1:28">
      <c r="A195" s="134">
        <v>0.34027777777777801</v>
      </c>
      <c r="C195">
        <v>0</v>
      </c>
      <c r="D195">
        <v>0</v>
      </c>
      <c r="N195">
        <v>0</v>
      </c>
      <c r="AB195">
        <v>0</v>
      </c>
    </row>
    <row r="196" spans="1:28">
      <c r="A196" s="134">
        <v>0.34722222222222199</v>
      </c>
      <c r="C196">
        <v>0</v>
      </c>
      <c r="D196">
        <v>0</v>
      </c>
      <c r="N196">
        <v>0</v>
      </c>
      <c r="AB196">
        <v>0</v>
      </c>
    </row>
    <row r="197" spans="1:28">
      <c r="A197" s="134">
        <v>0.35416666666666702</v>
      </c>
      <c r="C197">
        <v>0</v>
      </c>
      <c r="D197">
        <v>0</v>
      </c>
      <c r="N197">
        <v>0</v>
      </c>
      <c r="AB197">
        <v>0</v>
      </c>
    </row>
    <row r="198" spans="1:28">
      <c r="A198" s="134">
        <v>0.36111111111111099</v>
      </c>
      <c r="C198">
        <v>0</v>
      </c>
      <c r="D198">
        <v>0</v>
      </c>
      <c r="N198">
        <v>0</v>
      </c>
      <c r="AB198">
        <v>0</v>
      </c>
    </row>
    <row r="199" spans="1:28">
      <c r="A199" s="134">
        <v>0.36805555555555602</v>
      </c>
      <c r="C199">
        <v>0</v>
      </c>
      <c r="D199">
        <v>0</v>
      </c>
      <c r="N199">
        <v>0</v>
      </c>
      <c r="AB199">
        <v>0</v>
      </c>
    </row>
    <row r="200" spans="1:28">
      <c r="A200" s="134">
        <v>0.375</v>
      </c>
      <c r="C200">
        <v>0</v>
      </c>
      <c r="D200">
        <v>0</v>
      </c>
      <c r="N200">
        <v>0</v>
      </c>
      <c r="AB200">
        <v>0</v>
      </c>
    </row>
    <row r="201" spans="1:28">
      <c r="A201" s="134">
        <v>0.38194444444444398</v>
      </c>
      <c r="C201">
        <v>0</v>
      </c>
      <c r="D201">
        <v>0</v>
      </c>
      <c r="N201">
        <v>0</v>
      </c>
      <c r="AB201">
        <v>0</v>
      </c>
    </row>
    <row r="202" spans="1:28">
      <c r="A202" s="134">
        <v>0.38888888888888901</v>
      </c>
      <c r="C202">
        <v>0</v>
      </c>
      <c r="D202">
        <v>0</v>
      </c>
      <c r="N202">
        <v>0</v>
      </c>
      <c r="AB202">
        <v>0</v>
      </c>
    </row>
    <row r="203" spans="1:28">
      <c r="A203" s="134">
        <v>0.39583333333333298</v>
      </c>
      <c r="C203">
        <v>0</v>
      </c>
      <c r="D203">
        <v>0</v>
      </c>
      <c r="N203">
        <v>0</v>
      </c>
      <c r="AB203">
        <v>0</v>
      </c>
    </row>
    <row r="204" spans="1:28">
      <c r="A204" s="134">
        <v>0.40277777777777801</v>
      </c>
      <c r="C204">
        <v>0</v>
      </c>
      <c r="D204">
        <v>0</v>
      </c>
      <c r="N204">
        <v>0</v>
      </c>
      <c r="AB204">
        <v>0</v>
      </c>
    </row>
    <row r="205" spans="1:28">
      <c r="A205" s="134">
        <v>0.40972222222222199</v>
      </c>
      <c r="C205">
        <v>0</v>
      </c>
      <c r="D205">
        <v>0</v>
      </c>
      <c r="N205">
        <v>0</v>
      </c>
      <c r="AB205">
        <v>0</v>
      </c>
    </row>
    <row r="206" spans="1:28">
      <c r="A206" s="134">
        <v>0.41666666666666702</v>
      </c>
      <c r="C206">
        <v>0</v>
      </c>
      <c r="D206">
        <v>0</v>
      </c>
      <c r="N206">
        <v>0</v>
      </c>
      <c r="AB206">
        <v>0</v>
      </c>
    </row>
    <row r="207" spans="1:28">
      <c r="A207" s="134">
        <v>0.42361111111111099</v>
      </c>
      <c r="C207">
        <v>0</v>
      </c>
      <c r="D207">
        <v>0</v>
      </c>
      <c r="N207">
        <v>0</v>
      </c>
      <c r="AB207">
        <v>0</v>
      </c>
    </row>
    <row r="208" spans="1:28">
      <c r="A208" s="134">
        <v>0.43055555555555602</v>
      </c>
      <c r="C208">
        <v>0</v>
      </c>
      <c r="D208">
        <v>0</v>
      </c>
      <c r="N208">
        <v>0</v>
      </c>
      <c r="AB208">
        <v>0</v>
      </c>
    </row>
    <row r="209" spans="1:28">
      <c r="A209" s="134">
        <v>0.4375</v>
      </c>
      <c r="C209">
        <v>0</v>
      </c>
      <c r="D209">
        <v>0</v>
      </c>
      <c r="N209">
        <v>0</v>
      </c>
      <c r="AB209">
        <v>0</v>
      </c>
    </row>
    <row r="210" spans="1:28">
      <c r="A210" s="134">
        <v>0.44444444444444398</v>
      </c>
      <c r="C210">
        <v>0</v>
      </c>
      <c r="D210">
        <v>0</v>
      </c>
      <c r="N210">
        <v>0</v>
      </c>
      <c r="AB210">
        <v>0</v>
      </c>
    </row>
    <row r="211" spans="1:28">
      <c r="A211" s="134">
        <v>0.45138888888888901</v>
      </c>
      <c r="C211">
        <v>0</v>
      </c>
      <c r="D211">
        <v>0</v>
      </c>
      <c r="N211">
        <v>0</v>
      </c>
      <c r="AB211">
        <v>0</v>
      </c>
    </row>
    <row r="212" spans="1:28">
      <c r="A212" s="134">
        <v>0.45833333333333298</v>
      </c>
      <c r="C212">
        <v>0</v>
      </c>
      <c r="D212">
        <v>0</v>
      </c>
      <c r="N212">
        <v>0</v>
      </c>
      <c r="AB212">
        <v>0</v>
      </c>
    </row>
    <row r="213" spans="1:28">
      <c r="A213" s="134">
        <v>0.46527777777777801</v>
      </c>
      <c r="C213">
        <v>0</v>
      </c>
      <c r="D213">
        <v>0</v>
      </c>
      <c r="N213">
        <v>0</v>
      </c>
      <c r="AB213">
        <v>0</v>
      </c>
    </row>
    <row r="214" spans="1:28">
      <c r="A214" s="134">
        <v>0.47222222222222199</v>
      </c>
      <c r="C214">
        <v>0</v>
      </c>
      <c r="D214">
        <v>0</v>
      </c>
      <c r="N214">
        <v>0</v>
      </c>
      <c r="AB214">
        <v>0</v>
      </c>
    </row>
    <row r="215" spans="1:28">
      <c r="A215" s="134">
        <v>0.47916666666666702</v>
      </c>
      <c r="C215">
        <v>0</v>
      </c>
      <c r="D215">
        <v>0</v>
      </c>
      <c r="N215">
        <v>0</v>
      </c>
      <c r="AB215">
        <v>0</v>
      </c>
    </row>
    <row r="216" spans="1:28">
      <c r="A216" s="134">
        <v>0.48611111111111099</v>
      </c>
      <c r="C216">
        <v>0</v>
      </c>
      <c r="D216">
        <v>0</v>
      </c>
      <c r="N216">
        <v>0</v>
      </c>
      <c r="AB216">
        <v>0</v>
      </c>
    </row>
    <row r="217" spans="1:28">
      <c r="A217" s="134">
        <v>0.49305555555555602</v>
      </c>
      <c r="C217">
        <v>0</v>
      </c>
      <c r="D217">
        <v>0</v>
      </c>
      <c r="N217">
        <v>0</v>
      </c>
      <c r="AB217">
        <v>0</v>
      </c>
    </row>
    <row r="218" spans="1:28">
      <c r="A218" s="134">
        <v>0.5</v>
      </c>
      <c r="C218">
        <v>0</v>
      </c>
      <c r="D218">
        <v>0</v>
      </c>
      <c r="N218">
        <v>0</v>
      </c>
      <c r="AB218">
        <v>0</v>
      </c>
    </row>
    <row r="219" spans="1:28">
      <c r="A219" s="134">
        <v>0.50694444444444398</v>
      </c>
      <c r="C219">
        <v>0</v>
      </c>
      <c r="D219">
        <v>0</v>
      </c>
      <c r="N219">
        <v>0</v>
      </c>
      <c r="AB219">
        <v>0</v>
      </c>
    </row>
    <row r="220" spans="1:28">
      <c r="A220" s="134">
        <v>0.51388888888888895</v>
      </c>
      <c r="C220">
        <v>0</v>
      </c>
      <c r="D220">
        <v>0</v>
      </c>
      <c r="N220">
        <v>0</v>
      </c>
      <c r="AB220">
        <v>0</v>
      </c>
    </row>
    <row r="221" spans="1:28">
      <c r="A221" s="134">
        <v>0.52083333333333304</v>
      </c>
      <c r="C221">
        <v>0</v>
      </c>
      <c r="D221">
        <v>0</v>
      </c>
      <c r="N221">
        <v>0</v>
      </c>
      <c r="AB221">
        <v>0</v>
      </c>
    </row>
    <row r="222" spans="1:28">
      <c r="A222" s="134">
        <v>0.52777777777777801</v>
      </c>
      <c r="C222">
        <v>0</v>
      </c>
      <c r="D222">
        <v>0</v>
      </c>
      <c r="N222">
        <v>0</v>
      </c>
      <c r="AB222">
        <v>0</v>
      </c>
    </row>
    <row r="223" spans="1:28">
      <c r="A223" s="134">
        <v>0.53472222222222199</v>
      </c>
      <c r="C223">
        <v>0</v>
      </c>
      <c r="D223">
        <v>0</v>
      </c>
      <c r="N223">
        <v>0</v>
      </c>
      <c r="AB223">
        <v>0</v>
      </c>
    </row>
    <row r="224" spans="1:28">
      <c r="A224" s="134">
        <v>0.54166666666666696</v>
      </c>
      <c r="C224">
        <v>0</v>
      </c>
      <c r="D224">
        <v>0</v>
      </c>
      <c r="N224">
        <v>0</v>
      </c>
      <c r="AB224">
        <v>0</v>
      </c>
    </row>
    <row r="225" spans="1:28">
      <c r="A225" s="134">
        <v>0.54861111111111105</v>
      </c>
      <c r="C225">
        <v>0</v>
      </c>
      <c r="D225">
        <v>0</v>
      </c>
      <c r="N225">
        <v>0</v>
      </c>
      <c r="AB225">
        <v>0</v>
      </c>
    </row>
    <row r="226" spans="1:28">
      <c r="A226" s="134">
        <v>0.55555555555555602</v>
      </c>
      <c r="C226">
        <v>0</v>
      </c>
      <c r="D226">
        <v>0</v>
      </c>
      <c r="N226">
        <v>0</v>
      </c>
      <c r="AB226">
        <v>0</v>
      </c>
    </row>
    <row r="227" spans="1:28">
      <c r="A227" s="134">
        <v>0.5625</v>
      </c>
      <c r="C227">
        <v>0</v>
      </c>
      <c r="D227">
        <v>0</v>
      </c>
      <c r="N227">
        <v>0</v>
      </c>
      <c r="AB227">
        <v>0</v>
      </c>
    </row>
    <row r="228" spans="1:28">
      <c r="A228" s="134">
        <v>0.56944444444444398</v>
      </c>
      <c r="C228">
        <v>0</v>
      </c>
      <c r="D228">
        <v>0</v>
      </c>
      <c r="N228">
        <v>0</v>
      </c>
      <c r="AB228">
        <v>0</v>
      </c>
    </row>
    <row r="229" spans="1:28">
      <c r="A229" s="134">
        <v>0.57638888888888895</v>
      </c>
      <c r="C229">
        <v>0</v>
      </c>
      <c r="D229">
        <v>0</v>
      </c>
      <c r="N229">
        <v>0</v>
      </c>
      <c r="AB229">
        <v>0</v>
      </c>
    </row>
    <row r="230" spans="1:28">
      <c r="A230" s="134">
        <v>0.58333333333333304</v>
      </c>
      <c r="C230">
        <v>0</v>
      </c>
      <c r="D230">
        <v>0</v>
      </c>
      <c r="N230">
        <v>0</v>
      </c>
      <c r="AB230">
        <v>0</v>
      </c>
    </row>
    <row r="231" spans="1:28">
      <c r="A231" s="134">
        <v>0.59027777777777801</v>
      </c>
      <c r="C231">
        <v>0</v>
      </c>
      <c r="D231">
        <v>0</v>
      </c>
      <c r="N231">
        <v>0</v>
      </c>
      <c r="AB231">
        <v>0</v>
      </c>
    </row>
    <row r="232" spans="1:28">
      <c r="A232" s="134">
        <v>0.59722222222222199</v>
      </c>
      <c r="C232">
        <v>0</v>
      </c>
      <c r="D232">
        <v>0</v>
      </c>
      <c r="N232">
        <v>0</v>
      </c>
      <c r="AB232">
        <v>0</v>
      </c>
    </row>
    <row r="233" spans="1:28">
      <c r="A233" s="134">
        <v>0.60416666666666696</v>
      </c>
      <c r="C233">
        <v>0</v>
      </c>
      <c r="D233">
        <v>0</v>
      </c>
      <c r="N233">
        <v>0</v>
      </c>
      <c r="AB233">
        <v>0</v>
      </c>
    </row>
    <row r="234" spans="1:28">
      <c r="A234" s="134">
        <v>0.61111111111111105</v>
      </c>
      <c r="C234">
        <v>0</v>
      </c>
      <c r="D234">
        <v>0</v>
      </c>
      <c r="N234">
        <v>0</v>
      </c>
      <c r="AB234">
        <v>0</v>
      </c>
    </row>
    <row r="235" spans="1:28">
      <c r="A235" s="134">
        <v>0.61805555555555503</v>
      </c>
      <c r="C235">
        <v>0</v>
      </c>
      <c r="D235">
        <v>0</v>
      </c>
      <c r="N235">
        <v>0</v>
      </c>
      <c r="AB235">
        <v>0</v>
      </c>
    </row>
    <row r="236" spans="1:28">
      <c r="A236" s="134">
        <v>0.625</v>
      </c>
      <c r="C236">
        <v>0</v>
      </c>
      <c r="D236">
        <v>0</v>
      </c>
      <c r="N236">
        <v>0</v>
      </c>
      <c r="AB236">
        <v>0</v>
      </c>
    </row>
    <row r="237" spans="1:28">
      <c r="A237" s="134">
        <v>0.63194444444444398</v>
      </c>
      <c r="C237">
        <v>0</v>
      </c>
      <c r="D237">
        <v>0</v>
      </c>
      <c r="N237">
        <v>0</v>
      </c>
      <c r="AB237">
        <v>0</v>
      </c>
    </row>
    <row r="238" spans="1:28">
      <c r="A238" s="134">
        <v>0.63888888888888895</v>
      </c>
      <c r="C238">
        <v>0</v>
      </c>
      <c r="D238">
        <v>0</v>
      </c>
      <c r="N238">
        <v>0</v>
      </c>
      <c r="AB238">
        <v>0</v>
      </c>
    </row>
    <row r="239" spans="1:28">
      <c r="A239" s="134">
        <v>0.64583333333333304</v>
      </c>
      <c r="C239">
        <v>0</v>
      </c>
      <c r="D239">
        <v>0</v>
      </c>
      <c r="N239">
        <v>0</v>
      </c>
      <c r="AB239">
        <v>0</v>
      </c>
    </row>
    <row r="240" spans="1:28">
      <c r="A240" s="134">
        <v>0.65277777777777801</v>
      </c>
      <c r="C240">
        <v>0</v>
      </c>
      <c r="D240">
        <v>0</v>
      </c>
      <c r="N240">
        <v>0</v>
      </c>
      <c r="AB240">
        <v>0</v>
      </c>
    </row>
    <row r="241" spans="1:28">
      <c r="A241" s="134">
        <v>0.65972222222222199</v>
      </c>
      <c r="C241">
        <v>0</v>
      </c>
      <c r="D241">
        <v>0</v>
      </c>
      <c r="N241">
        <v>0</v>
      </c>
      <c r="AB241">
        <v>0</v>
      </c>
    </row>
    <row r="242" spans="1:28">
      <c r="A242" s="134">
        <v>0.66666666666666596</v>
      </c>
      <c r="C242">
        <v>0</v>
      </c>
      <c r="D242">
        <v>0</v>
      </c>
      <c r="N242">
        <v>0</v>
      </c>
      <c r="AB242">
        <v>0</v>
      </c>
    </row>
    <row r="243" spans="1:28">
      <c r="A243" s="134">
        <v>0.67361111111111105</v>
      </c>
      <c r="C243">
        <v>0</v>
      </c>
      <c r="D243">
        <v>0</v>
      </c>
      <c r="N243">
        <v>0</v>
      </c>
      <c r="AB243">
        <v>0</v>
      </c>
    </row>
    <row r="244" spans="1:28">
      <c r="A244" s="134">
        <v>0.68055555555555503</v>
      </c>
      <c r="C244">
        <v>0</v>
      </c>
      <c r="D244">
        <v>0</v>
      </c>
      <c r="N244">
        <v>0</v>
      </c>
      <c r="AB244">
        <v>0</v>
      </c>
    </row>
    <row r="245" spans="1:28">
      <c r="A245" s="134">
        <v>0.687499999999999</v>
      </c>
      <c r="C245">
        <v>0</v>
      </c>
      <c r="D245">
        <v>0</v>
      </c>
      <c r="N245">
        <v>0</v>
      </c>
      <c r="AB245">
        <v>0</v>
      </c>
    </row>
    <row r="246" spans="1:28">
      <c r="A246" s="134">
        <v>0.69444444444444398</v>
      </c>
      <c r="C246">
        <v>0</v>
      </c>
      <c r="D246">
        <v>0</v>
      </c>
      <c r="N246">
        <v>0</v>
      </c>
      <c r="AB246">
        <v>0</v>
      </c>
    </row>
    <row r="247" spans="1:28">
      <c r="A247" s="134">
        <v>0.70138888888888895</v>
      </c>
      <c r="C247">
        <v>0</v>
      </c>
      <c r="D247">
        <v>0</v>
      </c>
      <c r="N247">
        <v>0</v>
      </c>
      <c r="AB247">
        <v>0</v>
      </c>
    </row>
    <row r="248" spans="1:28">
      <c r="A248" s="134">
        <v>0.70833333333333204</v>
      </c>
      <c r="C248">
        <v>0</v>
      </c>
      <c r="D248">
        <v>0</v>
      </c>
      <c r="N248">
        <v>0</v>
      </c>
      <c r="AB248">
        <v>0</v>
      </c>
    </row>
    <row r="249" spans="1:28">
      <c r="A249" s="134">
        <v>0.71527777777777801</v>
      </c>
      <c r="C249">
        <v>0</v>
      </c>
      <c r="D249">
        <v>0</v>
      </c>
      <c r="N249">
        <v>0</v>
      </c>
      <c r="AB249">
        <v>0</v>
      </c>
    </row>
    <row r="250" spans="1:28">
      <c r="A250" s="134">
        <v>0.72222222222222199</v>
      </c>
      <c r="C250">
        <v>0</v>
      </c>
      <c r="D250">
        <v>0</v>
      </c>
      <c r="N250">
        <v>0</v>
      </c>
      <c r="AB250">
        <v>0</v>
      </c>
    </row>
    <row r="251" spans="1:28">
      <c r="A251" s="134">
        <v>0.72916666666666496</v>
      </c>
      <c r="C251">
        <v>0</v>
      </c>
      <c r="D251">
        <v>0</v>
      </c>
      <c r="N251">
        <v>0</v>
      </c>
      <c r="AB251">
        <v>0</v>
      </c>
    </row>
    <row r="252" spans="1:28">
      <c r="A252" s="134">
        <v>0.73611111111111105</v>
      </c>
      <c r="C252">
        <v>0</v>
      </c>
      <c r="D252">
        <v>0</v>
      </c>
      <c r="N252">
        <v>0</v>
      </c>
      <c r="AB252">
        <v>0</v>
      </c>
    </row>
    <row r="253" spans="1:28">
      <c r="A253" s="134">
        <v>0.74305555555555503</v>
      </c>
      <c r="C253">
        <v>0</v>
      </c>
      <c r="D253">
        <v>0</v>
      </c>
      <c r="N253">
        <v>0</v>
      </c>
      <c r="AB253">
        <v>0</v>
      </c>
    </row>
    <row r="254" spans="1:28">
      <c r="A254" s="134">
        <v>0.749999999999998</v>
      </c>
      <c r="C254">
        <v>0</v>
      </c>
      <c r="D254">
        <v>0</v>
      </c>
      <c r="N254">
        <v>0</v>
      </c>
      <c r="AB254">
        <v>0</v>
      </c>
    </row>
    <row r="255" spans="1:28">
      <c r="A255" s="134">
        <v>0.75694444444444398</v>
      </c>
      <c r="C255">
        <v>0</v>
      </c>
      <c r="D255">
        <v>0</v>
      </c>
      <c r="N255">
        <v>0</v>
      </c>
      <c r="AB255">
        <v>0</v>
      </c>
    </row>
    <row r="256" spans="1:28">
      <c r="A256" s="134">
        <v>0.76388888888888895</v>
      </c>
      <c r="C256">
        <v>0</v>
      </c>
      <c r="D256">
        <v>0</v>
      </c>
      <c r="N256">
        <v>0</v>
      </c>
      <c r="AB256">
        <v>0</v>
      </c>
    </row>
    <row r="257" spans="1:28">
      <c r="A257" s="134">
        <v>0.77083333333333104</v>
      </c>
      <c r="C257">
        <v>0</v>
      </c>
      <c r="D257">
        <v>0</v>
      </c>
      <c r="N257">
        <v>0</v>
      </c>
      <c r="AB257">
        <v>0</v>
      </c>
    </row>
    <row r="258" spans="1:28">
      <c r="A258" s="134">
        <v>0.77777777777777801</v>
      </c>
      <c r="C258">
        <v>0</v>
      </c>
      <c r="D258">
        <v>0</v>
      </c>
      <c r="N258">
        <v>0</v>
      </c>
      <c r="AB258">
        <v>0</v>
      </c>
    </row>
    <row r="259" spans="1:28">
      <c r="A259" s="134">
        <v>0.78472222222222199</v>
      </c>
      <c r="C259">
        <v>0</v>
      </c>
      <c r="D259">
        <v>0</v>
      </c>
      <c r="N259">
        <v>0</v>
      </c>
      <c r="AB259">
        <v>0</v>
      </c>
    </row>
    <row r="260" spans="1:28">
      <c r="A260" s="134">
        <v>0.79166666666666397</v>
      </c>
      <c r="C260">
        <v>0</v>
      </c>
      <c r="D260">
        <v>0</v>
      </c>
      <c r="N260">
        <v>0</v>
      </c>
      <c r="AB260">
        <v>0</v>
      </c>
    </row>
    <row r="261" spans="1:28">
      <c r="A261" s="134">
        <v>0.79861111111111105</v>
      </c>
      <c r="C261">
        <v>0</v>
      </c>
      <c r="D261">
        <v>0</v>
      </c>
      <c r="N261">
        <v>0</v>
      </c>
      <c r="AB261">
        <v>0</v>
      </c>
    </row>
    <row r="262" spans="1:28">
      <c r="A262" s="134">
        <v>0.80555555555555503</v>
      </c>
      <c r="C262">
        <v>0</v>
      </c>
      <c r="D262">
        <v>0</v>
      </c>
      <c r="N262">
        <v>0</v>
      </c>
      <c r="AB262">
        <v>0</v>
      </c>
    </row>
    <row r="263" spans="1:28">
      <c r="A263" s="134">
        <v>0.812499999999997</v>
      </c>
      <c r="C263">
        <v>0</v>
      </c>
      <c r="D263">
        <v>0</v>
      </c>
      <c r="N263">
        <v>0</v>
      </c>
      <c r="AB263">
        <v>0</v>
      </c>
    </row>
    <row r="264" spans="1:28">
      <c r="A264" s="134">
        <v>0.81944444444444398</v>
      </c>
      <c r="C264">
        <v>0</v>
      </c>
      <c r="D264">
        <v>0</v>
      </c>
      <c r="N264">
        <v>0</v>
      </c>
      <c r="AB264">
        <v>0</v>
      </c>
    </row>
    <row r="265" spans="1:28">
      <c r="A265" s="134">
        <v>0.82638888888888895</v>
      </c>
      <c r="C265">
        <v>0</v>
      </c>
      <c r="D265">
        <v>0</v>
      </c>
      <c r="N265">
        <v>0</v>
      </c>
      <c r="AB265">
        <v>0</v>
      </c>
    </row>
    <row r="266" spans="1:28">
      <c r="A266" s="134">
        <v>0.83333333333333004</v>
      </c>
      <c r="C266">
        <v>0</v>
      </c>
      <c r="D266">
        <v>0</v>
      </c>
      <c r="N266">
        <v>0</v>
      </c>
      <c r="AB266">
        <v>0</v>
      </c>
    </row>
    <row r="267" spans="1:28">
      <c r="A267" s="134">
        <v>0.84027777777777801</v>
      </c>
      <c r="C267">
        <v>0</v>
      </c>
      <c r="D267">
        <v>0</v>
      </c>
      <c r="N267">
        <v>0</v>
      </c>
      <c r="AB267">
        <v>0</v>
      </c>
    </row>
    <row r="268" spans="1:28">
      <c r="A268" s="134">
        <v>0.84722222222222199</v>
      </c>
      <c r="C268">
        <v>0</v>
      </c>
      <c r="D268">
        <v>0</v>
      </c>
      <c r="N268">
        <v>0</v>
      </c>
      <c r="AB268">
        <v>0</v>
      </c>
    </row>
    <row r="269" spans="1:28">
      <c r="A269" s="134">
        <v>0.85416666666666297</v>
      </c>
      <c r="C269">
        <v>0</v>
      </c>
      <c r="D269">
        <v>0</v>
      </c>
      <c r="N269">
        <v>0</v>
      </c>
      <c r="AB269">
        <v>0</v>
      </c>
    </row>
    <row r="270" spans="1:28">
      <c r="A270" s="134">
        <v>0.86111111111111105</v>
      </c>
      <c r="C270">
        <v>0</v>
      </c>
      <c r="D270">
        <v>0</v>
      </c>
      <c r="N270">
        <v>0</v>
      </c>
      <c r="AB270">
        <v>0</v>
      </c>
    </row>
    <row r="271" spans="1:28">
      <c r="A271" s="134">
        <v>0.86805555555555503</v>
      </c>
      <c r="C271">
        <v>0</v>
      </c>
      <c r="D271">
        <v>0</v>
      </c>
      <c r="N271">
        <v>0</v>
      </c>
      <c r="AB271">
        <v>0</v>
      </c>
    </row>
    <row r="272" spans="1:28">
      <c r="A272" s="134">
        <v>0.874999999999996</v>
      </c>
      <c r="C272">
        <v>0</v>
      </c>
      <c r="D272">
        <v>0</v>
      </c>
      <c r="N272">
        <v>0</v>
      </c>
      <c r="AB272">
        <v>0</v>
      </c>
    </row>
    <row r="273" spans="1:28">
      <c r="A273" s="134">
        <v>0.88194444444444398</v>
      </c>
      <c r="C273">
        <v>0</v>
      </c>
      <c r="D273">
        <v>0</v>
      </c>
      <c r="N273">
        <v>0</v>
      </c>
      <c r="AB273">
        <v>0</v>
      </c>
    </row>
    <row r="274" spans="1:28">
      <c r="A274" s="134">
        <v>0.88888888888888895</v>
      </c>
      <c r="C274">
        <v>0</v>
      </c>
      <c r="D274">
        <v>0</v>
      </c>
      <c r="N274">
        <v>0</v>
      </c>
      <c r="AB274">
        <v>0</v>
      </c>
    </row>
    <row r="275" spans="1:28">
      <c r="A275" s="134">
        <v>0.89583333333333004</v>
      </c>
      <c r="C275">
        <v>0</v>
      </c>
      <c r="D275">
        <v>0</v>
      </c>
      <c r="N275">
        <v>0</v>
      </c>
      <c r="AB275">
        <v>0</v>
      </c>
    </row>
    <row r="276" spans="1:28">
      <c r="A276" s="134">
        <v>0.90277777777777801</v>
      </c>
      <c r="C276">
        <v>0</v>
      </c>
      <c r="D276">
        <v>0</v>
      </c>
      <c r="N276">
        <v>0</v>
      </c>
      <c r="AB276">
        <v>0</v>
      </c>
    </row>
    <row r="277" spans="1:28">
      <c r="A277" s="134">
        <v>0.90972222222222199</v>
      </c>
      <c r="C277">
        <v>0</v>
      </c>
      <c r="D277">
        <v>0</v>
      </c>
      <c r="N277">
        <v>0</v>
      </c>
      <c r="AB277">
        <v>0</v>
      </c>
    </row>
    <row r="278" spans="1:28">
      <c r="A278" s="134">
        <v>0.91666666666666397</v>
      </c>
      <c r="C278">
        <v>0</v>
      </c>
      <c r="D278">
        <v>0</v>
      </c>
      <c r="N278">
        <v>0</v>
      </c>
      <c r="AB278">
        <v>0</v>
      </c>
    </row>
    <row r="279" spans="1:28">
      <c r="A279" s="134">
        <v>0.92361111111111105</v>
      </c>
      <c r="C279">
        <v>0</v>
      </c>
      <c r="D279">
        <v>0</v>
      </c>
      <c r="N279">
        <v>0</v>
      </c>
      <c r="AB279">
        <v>0</v>
      </c>
    </row>
    <row r="280" spans="1:28">
      <c r="A280" s="134">
        <v>0.93055555555555503</v>
      </c>
      <c r="C280">
        <v>0</v>
      </c>
      <c r="D280">
        <v>0</v>
      </c>
      <c r="N280">
        <v>0</v>
      </c>
      <c r="AB280">
        <v>0</v>
      </c>
    </row>
    <row r="281" spans="1:28">
      <c r="A281" s="134">
        <v>0.937499999999998</v>
      </c>
      <c r="C281">
        <v>0</v>
      </c>
      <c r="D281">
        <v>0</v>
      </c>
      <c r="N281">
        <v>0</v>
      </c>
      <c r="AB281">
        <v>0</v>
      </c>
    </row>
    <row r="282" spans="1:28">
      <c r="A282" s="134">
        <v>0.94444444444444398</v>
      </c>
      <c r="C282">
        <v>0</v>
      </c>
      <c r="D282">
        <v>0</v>
      </c>
      <c r="N282">
        <v>0</v>
      </c>
      <c r="AB282">
        <v>0</v>
      </c>
    </row>
    <row r="283" spans="1:28">
      <c r="A283" s="134">
        <v>0.95138888888888895</v>
      </c>
      <c r="C283">
        <v>0</v>
      </c>
      <c r="D283">
        <v>0</v>
      </c>
      <c r="N283">
        <v>0</v>
      </c>
      <c r="AB283">
        <v>0</v>
      </c>
    </row>
    <row r="284" spans="1:28">
      <c r="A284" s="134">
        <v>0.95833333333333204</v>
      </c>
      <c r="C284">
        <v>0</v>
      </c>
      <c r="D284">
        <v>0</v>
      </c>
      <c r="N284">
        <v>0</v>
      </c>
      <c r="AB284">
        <v>0</v>
      </c>
    </row>
    <row r="285" spans="1:28">
      <c r="A285" s="134">
        <v>0.96527777777777801</v>
      </c>
      <c r="C285">
        <v>0</v>
      </c>
      <c r="D285">
        <v>0</v>
      </c>
      <c r="N285">
        <v>0</v>
      </c>
      <c r="AB285">
        <v>0</v>
      </c>
    </row>
    <row r="286" spans="1:28">
      <c r="A286" s="134">
        <v>0.97222222222222199</v>
      </c>
      <c r="C286">
        <v>0</v>
      </c>
      <c r="D286">
        <v>0</v>
      </c>
      <c r="N286">
        <v>0</v>
      </c>
      <c r="AB286">
        <v>0</v>
      </c>
    </row>
    <row r="287" spans="1:28">
      <c r="A287" s="134">
        <v>0.97916666666666596</v>
      </c>
      <c r="C287">
        <v>0</v>
      </c>
      <c r="D287">
        <v>0</v>
      </c>
      <c r="N287">
        <v>0</v>
      </c>
      <c r="AB287">
        <v>0</v>
      </c>
    </row>
    <row r="288" spans="1:28">
      <c r="A288" s="134">
        <v>0.98611111111111105</v>
      </c>
      <c r="C288">
        <v>0</v>
      </c>
      <c r="D288">
        <v>0</v>
      </c>
      <c r="N288">
        <v>0</v>
      </c>
      <c r="AB288">
        <v>0</v>
      </c>
    </row>
    <row r="289" spans="1:28">
      <c r="A289" s="134">
        <v>0.99305555555555503</v>
      </c>
      <c r="C289">
        <v>0</v>
      </c>
      <c r="D289">
        <v>0</v>
      </c>
      <c r="N289">
        <v>0</v>
      </c>
      <c r="AB289">
        <v>0</v>
      </c>
    </row>
    <row r="290" spans="1:28">
      <c r="A290" s="128">
        <v>0</v>
      </c>
      <c r="J290">
        <v>2</v>
      </c>
      <c r="K290">
        <v>2</v>
      </c>
      <c r="N290">
        <v>4</v>
      </c>
      <c r="Z290">
        <v>2</v>
      </c>
      <c r="AA290">
        <v>2</v>
      </c>
      <c r="AB290">
        <v>0</v>
      </c>
    </row>
    <row r="291" spans="1:28">
      <c r="A291" s="128">
        <v>6.9444444444444441E-3</v>
      </c>
      <c r="J291">
        <v>0</v>
      </c>
      <c r="K291">
        <v>0</v>
      </c>
      <c r="N291">
        <v>0</v>
      </c>
      <c r="AB291">
        <v>0</v>
      </c>
    </row>
    <row r="292" spans="1:28">
      <c r="A292" s="128">
        <v>1.38888888888889E-2</v>
      </c>
      <c r="J292">
        <v>0</v>
      </c>
      <c r="K292">
        <v>0</v>
      </c>
      <c r="N292">
        <v>0</v>
      </c>
      <c r="AB292">
        <v>0</v>
      </c>
    </row>
    <row r="293" spans="1:28">
      <c r="A293" s="128">
        <v>2.0833333333333332E-2</v>
      </c>
      <c r="J293">
        <v>0</v>
      </c>
      <c r="K293">
        <v>0</v>
      </c>
      <c r="N293">
        <v>0</v>
      </c>
      <c r="AB293">
        <v>0</v>
      </c>
    </row>
    <row r="294" spans="1:28">
      <c r="A294" s="128">
        <v>2.7777777777777801E-2</v>
      </c>
      <c r="J294">
        <v>0</v>
      </c>
      <c r="K294">
        <v>0</v>
      </c>
      <c r="N294">
        <v>0</v>
      </c>
      <c r="AB294">
        <v>0</v>
      </c>
    </row>
    <row r="295" spans="1:28">
      <c r="A295" s="128">
        <v>3.4722222222222203E-2</v>
      </c>
      <c r="J295">
        <v>0</v>
      </c>
      <c r="K295">
        <v>0</v>
      </c>
      <c r="N295">
        <v>0</v>
      </c>
      <c r="AB295">
        <v>0</v>
      </c>
    </row>
    <row r="296" spans="1:28">
      <c r="A296" s="128">
        <v>4.1666666666666699E-2</v>
      </c>
      <c r="J296">
        <v>0</v>
      </c>
      <c r="K296">
        <v>0</v>
      </c>
      <c r="N296">
        <v>0</v>
      </c>
      <c r="AB296">
        <v>0</v>
      </c>
    </row>
    <row r="297" spans="1:28">
      <c r="A297" s="128">
        <v>4.8611111111111098E-2</v>
      </c>
      <c r="J297">
        <v>0</v>
      </c>
      <c r="K297">
        <v>0</v>
      </c>
      <c r="N297">
        <v>0</v>
      </c>
      <c r="AB297">
        <v>0</v>
      </c>
    </row>
    <row r="298" spans="1:28">
      <c r="A298" s="128">
        <v>5.5555555555555601E-2</v>
      </c>
      <c r="J298">
        <v>0</v>
      </c>
      <c r="K298">
        <v>0</v>
      </c>
      <c r="N298">
        <v>0</v>
      </c>
      <c r="AB298">
        <v>0</v>
      </c>
    </row>
    <row r="299" spans="1:28">
      <c r="A299" s="128">
        <v>6.25E-2</v>
      </c>
      <c r="J299">
        <v>0</v>
      </c>
      <c r="K299">
        <v>0</v>
      </c>
      <c r="N299">
        <v>0</v>
      </c>
      <c r="AB299">
        <v>0</v>
      </c>
    </row>
    <row r="300" spans="1:28">
      <c r="A300" s="128">
        <v>6.9444444444444406E-2</v>
      </c>
      <c r="J300">
        <v>0</v>
      </c>
      <c r="K300">
        <v>0</v>
      </c>
      <c r="N300">
        <v>0</v>
      </c>
      <c r="AB300">
        <v>0</v>
      </c>
    </row>
    <row r="301" spans="1:28">
      <c r="A301" s="128">
        <v>7.6388888888888895E-2</v>
      </c>
      <c r="J301">
        <v>0</v>
      </c>
      <c r="K301">
        <v>0</v>
      </c>
      <c r="N301">
        <v>0</v>
      </c>
      <c r="AB301">
        <v>0</v>
      </c>
    </row>
    <row r="302" spans="1:28">
      <c r="A302" s="128">
        <v>8.3333333333333301E-2</v>
      </c>
      <c r="J302">
        <v>0</v>
      </c>
      <c r="K302">
        <v>0</v>
      </c>
      <c r="N302">
        <v>0</v>
      </c>
      <c r="AB302">
        <v>0</v>
      </c>
    </row>
    <row r="303" spans="1:28">
      <c r="A303" s="128">
        <v>9.0277777777777804E-2</v>
      </c>
      <c r="J303">
        <v>0</v>
      </c>
      <c r="K303">
        <v>0</v>
      </c>
      <c r="N303">
        <v>0</v>
      </c>
      <c r="AB303">
        <v>0</v>
      </c>
    </row>
    <row r="304" spans="1:28">
      <c r="A304" s="128">
        <v>9.7222222222222196E-2</v>
      </c>
      <c r="J304">
        <v>0</v>
      </c>
      <c r="K304">
        <v>0</v>
      </c>
      <c r="N304">
        <v>0</v>
      </c>
      <c r="AB304">
        <v>0</v>
      </c>
    </row>
    <row r="305" spans="1:28">
      <c r="A305" s="128">
        <v>0.104166666666667</v>
      </c>
      <c r="J305">
        <v>0</v>
      </c>
      <c r="K305">
        <v>0</v>
      </c>
      <c r="N305">
        <v>0</v>
      </c>
      <c r="AB305">
        <v>0</v>
      </c>
    </row>
    <row r="306" spans="1:28">
      <c r="A306" s="128">
        <v>0.11111111111111099</v>
      </c>
      <c r="J306">
        <v>0</v>
      </c>
      <c r="K306">
        <v>0</v>
      </c>
      <c r="N306">
        <v>0</v>
      </c>
      <c r="AB306">
        <v>0</v>
      </c>
    </row>
    <row r="307" spans="1:28">
      <c r="A307" s="128">
        <v>0.118055555555556</v>
      </c>
      <c r="J307">
        <v>0</v>
      </c>
      <c r="K307">
        <v>0</v>
      </c>
      <c r="N307">
        <v>0</v>
      </c>
      <c r="AB307">
        <v>0</v>
      </c>
    </row>
    <row r="308" spans="1:28">
      <c r="A308" s="128">
        <v>0.125</v>
      </c>
      <c r="J308">
        <v>0</v>
      </c>
      <c r="K308">
        <v>0</v>
      </c>
      <c r="N308">
        <v>0</v>
      </c>
      <c r="AB308">
        <v>0</v>
      </c>
    </row>
    <row r="309" spans="1:28">
      <c r="A309" s="128">
        <v>0.131944444444444</v>
      </c>
      <c r="J309">
        <v>0</v>
      </c>
      <c r="K309">
        <v>0</v>
      </c>
      <c r="N309">
        <v>0</v>
      </c>
      <c r="AB309">
        <v>0</v>
      </c>
    </row>
    <row r="310" spans="1:28">
      <c r="A310" s="128">
        <v>0.13888888888888901</v>
      </c>
      <c r="J310">
        <v>0</v>
      </c>
      <c r="K310">
        <v>0</v>
      </c>
      <c r="N310">
        <v>0</v>
      </c>
      <c r="AB310">
        <v>0</v>
      </c>
    </row>
    <row r="311" spans="1:28">
      <c r="A311" s="128">
        <v>0.14583333333333301</v>
      </c>
      <c r="J311">
        <v>0</v>
      </c>
      <c r="K311">
        <v>0</v>
      </c>
      <c r="N311">
        <v>0</v>
      </c>
      <c r="AB311">
        <v>0</v>
      </c>
    </row>
    <row r="312" spans="1:28">
      <c r="A312" s="128">
        <v>0.15277777777777801</v>
      </c>
      <c r="J312">
        <v>0</v>
      </c>
      <c r="K312">
        <v>0</v>
      </c>
      <c r="N312">
        <v>0</v>
      </c>
      <c r="AB312">
        <v>0</v>
      </c>
    </row>
    <row r="313" spans="1:28">
      <c r="A313" s="128">
        <v>0.15972222222222199</v>
      </c>
      <c r="J313">
        <v>0</v>
      </c>
      <c r="K313">
        <v>0</v>
      </c>
      <c r="N313">
        <v>0</v>
      </c>
      <c r="AB313">
        <v>0</v>
      </c>
    </row>
    <row r="314" spans="1:28">
      <c r="A314" s="128">
        <v>0.16666666666666699</v>
      </c>
      <c r="J314">
        <v>0</v>
      </c>
      <c r="K314">
        <v>0</v>
      </c>
      <c r="N314">
        <v>0</v>
      </c>
      <c r="AB314">
        <v>0</v>
      </c>
    </row>
    <row r="315" spans="1:28">
      <c r="A315" s="128">
        <v>0.17361111111111099</v>
      </c>
      <c r="J315">
        <v>0</v>
      </c>
      <c r="K315">
        <v>0</v>
      </c>
      <c r="N315">
        <v>0</v>
      </c>
      <c r="AB315">
        <v>0</v>
      </c>
    </row>
    <row r="316" spans="1:28">
      <c r="A316" s="128">
        <v>0.180555555555556</v>
      </c>
      <c r="J316">
        <v>0</v>
      </c>
      <c r="K316">
        <v>0</v>
      </c>
      <c r="N316">
        <v>0</v>
      </c>
      <c r="AB316">
        <v>0</v>
      </c>
    </row>
    <row r="317" spans="1:28">
      <c r="A317" s="128">
        <v>0.1875</v>
      </c>
      <c r="J317">
        <v>0</v>
      </c>
      <c r="K317">
        <v>0</v>
      </c>
      <c r="N317">
        <v>0</v>
      </c>
      <c r="AB317">
        <v>0</v>
      </c>
    </row>
    <row r="318" spans="1:28">
      <c r="A318" s="128">
        <v>0.194444444444444</v>
      </c>
      <c r="J318">
        <v>0</v>
      </c>
      <c r="K318">
        <v>0</v>
      </c>
      <c r="N318">
        <v>0</v>
      </c>
      <c r="AB318">
        <v>0</v>
      </c>
    </row>
    <row r="319" spans="1:28">
      <c r="A319" s="128">
        <v>0.20138888888888901</v>
      </c>
      <c r="J319">
        <v>0</v>
      </c>
      <c r="K319">
        <v>0</v>
      </c>
      <c r="N319">
        <v>0</v>
      </c>
      <c r="AB319">
        <v>0</v>
      </c>
    </row>
    <row r="320" spans="1:28">
      <c r="A320" s="128">
        <v>0.20833333333333301</v>
      </c>
      <c r="J320">
        <v>0</v>
      </c>
      <c r="K320">
        <v>0</v>
      </c>
      <c r="N320">
        <v>0</v>
      </c>
      <c r="AB320">
        <v>0</v>
      </c>
    </row>
    <row r="321" spans="1:29">
      <c r="A321" s="128">
        <v>0.21527777777777801</v>
      </c>
      <c r="J321">
        <v>0</v>
      </c>
      <c r="K321">
        <v>0</v>
      </c>
      <c r="N321">
        <v>0</v>
      </c>
      <c r="AB321">
        <v>0</v>
      </c>
    </row>
    <row r="322" spans="1:29">
      <c r="A322" s="128">
        <v>0.22222222222222199</v>
      </c>
      <c r="J322">
        <v>0</v>
      </c>
      <c r="K322">
        <v>0</v>
      </c>
      <c r="N322">
        <v>0</v>
      </c>
      <c r="AB322">
        <v>0</v>
      </c>
    </row>
    <row r="323" spans="1:29">
      <c r="A323" s="128">
        <v>0.22916666666666699</v>
      </c>
      <c r="J323">
        <v>0</v>
      </c>
      <c r="K323">
        <v>0</v>
      </c>
      <c r="N323">
        <v>0</v>
      </c>
      <c r="AB323">
        <v>0</v>
      </c>
    </row>
    <row r="324" spans="1:29">
      <c r="A324" s="128">
        <v>0.23611111111111099</v>
      </c>
      <c r="J324">
        <v>0</v>
      </c>
      <c r="K324">
        <v>0</v>
      </c>
      <c r="N324">
        <v>0</v>
      </c>
      <c r="AB324">
        <v>0</v>
      </c>
    </row>
    <row r="325" spans="1:29">
      <c r="A325" s="128">
        <v>0.243055555555556</v>
      </c>
      <c r="J325">
        <v>0</v>
      </c>
      <c r="K325">
        <v>0</v>
      </c>
      <c r="N325">
        <v>0</v>
      </c>
      <c r="AB325">
        <v>4</v>
      </c>
    </row>
    <row r="326" spans="1:29">
      <c r="A326" s="128">
        <v>0.25</v>
      </c>
      <c r="J326">
        <v>0</v>
      </c>
      <c r="K326">
        <v>0</v>
      </c>
      <c r="N326">
        <v>0</v>
      </c>
      <c r="AB326">
        <v>0</v>
      </c>
      <c r="AC326">
        <v>4</v>
      </c>
    </row>
    <row r="327" spans="1:29">
      <c r="A327" s="128">
        <v>0.25694444444444398</v>
      </c>
      <c r="J327">
        <v>0</v>
      </c>
      <c r="K327">
        <v>0</v>
      </c>
      <c r="N327">
        <v>0</v>
      </c>
      <c r="AB327">
        <v>0</v>
      </c>
    </row>
    <row r="328" spans="1:29">
      <c r="A328" s="128">
        <v>0.26388888888888901</v>
      </c>
      <c r="J328">
        <v>2</v>
      </c>
      <c r="K328">
        <v>2</v>
      </c>
      <c r="N328">
        <v>4</v>
      </c>
      <c r="Z328">
        <v>3</v>
      </c>
      <c r="AA328">
        <v>2</v>
      </c>
      <c r="AB328">
        <v>0</v>
      </c>
    </row>
    <row r="329" spans="1:29">
      <c r="A329" s="128">
        <v>0.27083333333333298</v>
      </c>
      <c r="J329">
        <v>0</v>
      </c>
      <c r="K329">
        <v>0</v>
      </c>
      <c r="N329">
        <v>0</v>
      </c>
      <c r="AB329">
        <v>2</v>
      </c>
      <c r="AC329">
        <v>2</v>
      </c>
    </row>
    <row r="330" spans="1:29">
      <c r="A330" s="128">
        <v>0.27777777777777801</v>
      </c>
      <c r="J330">
        <v>0</v>
      </c>
      <c r="K330">
        <v>0</v>
      </c>
      <c r="N330">
        <v>0</v>
      </c>
      <c r="AB330">
        <v>0</v>
      </c>
    </row>
    <row r="331" spans="1:29">
      <c r="A331" s="128">
        <v>0.28472222222222199</v>
      </c>
      <c r="J331">
        <v>0</v>
      </c>
      <c r="K331">
        <v>0</v>
      </c>
      <c r="N331">
        <v>0</v>
      </c>
      <c r="AB331">
        <v>0</v>
      </c>
    </row>
    <row r="332" spans="1:29">
      <c r="A332" s="128">
        <v>0.29166666666666702</v>
      </c>
      <c r="B332">
        <v>9</v>
      </c>
      <c r="C332">
        <v>2</v>
      </c>
      <c r="D332">
        <v>2</v>
      </c>
      <c r="F332">
        <v>4</v>
      </c>
      <c r="I332">
        <v>5</v>
      </c>
      <c r="J332">
        <v>0</v>
      </c>
      <c r="K332">
        <v>0</v>
      </c>
      <c r="L332">
        <v>2</v>
      </c>
      <c r="M332">
        <v>2</v>
      </c>
      <c r="N332">
        <v>0</v>
      </c>
      <c r="O332">
        <v>12</v>
      </c>
      <c r="P332">
        <v>7</v>
      </c>
      <c r="Q332">
        <v>5</v>
      </c>
      <c r="R332">
        <v>14</v>
      </c>
      <c r="S332">
        <v>9</v>
      </c>
      <c r="T332">
        <v>18</v>
      </c>
      <c r="U332">
        <v>14</v>
      </c>
      <c r="V332">
        <v>9</v>
      </c>
      <c r="W332">
        <v>20</v>
      </c>
      <c r="X332">
        <v>5</v>
      </c>
      <c r="Y332">
        <v>4</v>
      </c>
      <c r="AB332">
        <v>2</v>
      </c>
      <c r="AC332">
        <v>2</v>
      </c>
    </row>
    <row r="333" spans="1:29">
      <c r="A333" s="128">
        <v>0.29861111111111099</v>
      </c>
      <c r="J333">
        <v>0</v>
      </c>
      <c r="K333">
        <v>0</v>
      </c>
      <c r="N333">
        <v>0</v>
      </c>
      <c r="AB333">
        <v>0</v>
      </c>
    </row>
    <row r="334" spans="1:29">
      <c r="A334" s="128">
        <v>0.30555555555555602</v>
      </c>
      <c r="J334">
        <v>0</v>
      </c>
      <c r="K334">
        <v>0</v>
      </c>
      <c r="N334">
        <v>0</v>
      </c>
      <c r="AB334">
        <v>0</v>
      </c>
    </row>
    <row r="335" spans="1:29">
      <c r="A335" s="128">
        <v>0.3125</v>
      </c>
      <c r="J335">
        <v>2</v>
      </c>
      <c r="K335">
        <v>2</v>
      </c>
      <c r="N335">
        <v>4</v>
      </c>
      <c r="S335">
        <v>6</v>
      </c>
      <c r="AB335">
        <v>2</v>
      </c>
      <c r="AC335">
        <v>2</v>
      </c>
    </row>
    <row r="336" spans="1:29">
      <c r="A336" s="128">
        <v>0.31944444444444398</v>
      </c>
      <c r="G336">
        <v>14</v>
      </c>
      <c r="J336">
        <v>0</v>
      </c>
      <c r="K336">
        <v>0</v>
      </c>
      <c r="N336">
        <v>0</v>
      </c>
      <c r="AB336">
        <v>0</v>
      </c>
    </row>
    <row r="337" spans="1:29">
      <c r="A337" s="128">
        <v>0.32638888888888901</v>
      </c>
      <c r="J337">
        <v>0</v>
      </c>
      <c r="K337">
        <v>0</v>
      </c>
      <c r="N337">
        <v>0</v>
      </c>
      <c r="AB337">
        <v>0</v>
      </c>
    </row>
    <row r="338" spans="1:29">
      <c r="A338" s="128">
        <v>0.33333333333333298</v>
      </c>
      <c r="E338">
        <v>11</v>
      </c>
      <c r="F338">
        <v>2</v>
      </c>
      <c r="I338">
        <v>4</v>
      </c>
      <c r="J338">
        <v>2</v>
      </c>
      <c r="K338">
        <v>0</v>
      </c>
      <c r="N338">
        <v>2</v>
      </c>
      <c r="AB338">
        <v>4</v>
      </c>
      <c r="AC338">
        <v>4</v>
      </c>
    </row>
    <row r="339" spans="1:29">
      <c r="A339" s="128">
        <v>0.34027777777777801</v>
      </c>
      <c r="J339">
        <v>0</v>
      </c>
      <c r="K339">
        <v>0</v>
      </c>
      <c r="N339">
        <v>0</v>
      </c>
      <c r="AB339">
        <v>0</v>
      </c>
    </row>
    <row r="340" spans="1:29">
      <c r="A340" s="128">
        <v>0.34722222222222199</v>
      </c>
      <c r="C340">
        <v>1</v>
      </c>
      <c r="D340">
        <v>1</v>
      </c>
      <c r="J340">
        <v>0</v>
      </c>
      <c r="K340">
        <v>0</v>
      </c>
      <c r="L340">
        <v>1</v>
      </c>
      <c r="M340">
        <v>1</v>
      </c>
      <c r="N340">
        <v>0</v>
      </c>
      <c r="P340">
        <v>9</v>
      </c>
      <c r="Q340">
        <v>5</v>
      </c>
      <c r="R340">
        <v>18</v>
      </c>
      <c r="S340">
        <v>9</v>
      </c>
      <c r="T340">
        <v>9</v>
      </c>
      <c r="U340">
        <v>8</v>
      </c>
      <c r="V340">
        <v>3</v>
      </c>
      <c r="W340">
        <v>12</v>
      </c>
      <c r="X340">
        <v>3</v>
      </c>
      <c r="Y340">
        <v>3</v>
      </c>
      <c r="AB340">
        <v>0</v>
      </c>
    </row>
    <row r="341" spans="1:29">
      <c r="A341" s="128">
        <v>0.35416666666666702</v>
      </c>
      <c r="J341">
        <v>0</v>
      </c>
      <c r="K341">
        <v>0</v>
      </c>
      <c r="N341">
        <v>0</v>
      </c>
      <c r="AB341">
        <v>4</v>
      </c>
      <c r="AC341">
        <v>4</v>
      </c>
    </row>
    <row r="342" spans="1:29">
      <c r="A342" s="128">
        <v>0.36111111111111099</v>
      </c>
      <c r="I342">
        <v>4</v>
      </c>
      <c r="J342">
        <v>0</v>
      </c>
      <c r="K342">
        <v>0</v>
      </c>
      <c r="N342">
        <v>0</v>
      </c>
      <c r="AB342">
        <v>0</v>
      </c>
    </row>
    <row r="343" spans="1:29">
      <c r="A343" s="128">
        <v>0.36805555555555602</v>
      </c>
      <c r="J343">
        <v>0</v>
      </c>
      <c r="K343">
        <v>0</v>
      </c>
      <c r="N343">
        <v>0</v>
      </c>
      <c r="AB343">
        <v>0</v>
      </c>
    </row>
    <row r="344" spans="1:29">
      <c r="A344" s="128">
        <v>0.375</v>
      </c>
      <c r="C344">
        <v>1</v>
      </c>
      <c r="D344">
        <v>1</v>
      </c>
      <c r="J344">
        <v>0</v>
      </c>
      <c r="K344">
        <v>2</v>
      </c>
      <c r="L344">
        <v>1</v>
      </c>
      <c r="M344">
        <v>1</v>
      </c>
      <c r="N344">
        <v>2</v>
      </c>
      <c r="O344">
        <v>23</v>
      </c>
      <c r="Q344">
        <v>5</v>
      </c>
      <c r="AB344">
        <v>0</v>
      </c>
    </row>
    <row r="345" spans="1:29">
      <c r="A345" s="128">
        <v>0.38194444444444398</v>
      </c>
      <c r="J345">
        <v>0</v>
      </c>
      <c r="K345">
        <v>0</v>
      </c>
      <c r="N345">
        <v>0</v>
      </c>
      <c r="AB345">
        <v>3</v>
      </c>
      <c r="AC345">
        <v>3</v>
      </c>
    </row>
    <row r="346" spans="1:29">
      <c r="A346" s="128">
        <v>0.38888888888888901</v>
      </c>
      <c r="I346">
        <v>4</v>
      </c>
      <c r="J346">
        <v>0</v>
      </c>
      <c r="K346">
        <v>0</v>
      </c>
      <c r="N346">
        <v>0</v>
      </c>
      <c r="AB346">
        <v>0</v>
      </c>
    </row>
    <row r="347" spans="1:29">
      <c r="A347" s="128">
        <v>0.39583333333333298</v>
      </c>
      <c r="J347">
        <v>2</v>
      </c>
      <c r="K347">
        <v>0</v>
      </c>
      <c r="N347">
        <v>2</v>
      </c>
      <c r="AB347">
        <v>0</v>
      </c>
    </row>
    <row r="348" spans="1:29">
      <c r="A348" s="128">
        <v>0.40277777777777801</v>
      </c>
      <c r="F348">
        <v>2</v>
      </c>
      <c r="J348">
        <v>0</v>
      </c>
      <c r="K348">
        <v>0</v>
      </c>
      <c r="N348">
        <v>0</v>
      </c>
      <c r="AB348">
        <v>0</v>
      </c>
    </row>
    <row r="349" spans="1:29">
      <c r="A349" s="128">
        <v>0.40972222222222199</v>
      </c>
      <c r="J349">
        <v>0</v>
      </c>
      <c r="K349">
        <v>0</v>
      </c>
      <c r="N349">
        <v>0</v>
      </c>
      <c r="AB349">
        <v>0</v>
      </c>
    </row>
    <row r="350" spans="1:29">
      <c r="A350" s="128">
        <v>0.41666666666666702</v>
      </c>
      <c r="J350">
        <v>0</v>
      </c>
      <c r="K350">
        <v>0</v>
      </c>
      <c r="N350">
        <v>0</v>
      </c>
      <c r="AB350">
        <v>0</v>
      </c>
    </row>
    <row r="351" spans="1:29">
      <c r="A351" s="128">
        <v>0.42361111111111099</v>
      </c>
      <c r="J351">
        <v>0</v>
      </c>
      <c r="K351">
        <v>0</v>
      </c>
      <c r="N351">
        <v>0</v>
      </c>
      <c r="AB351">
        <v>0</v>
      </c>
    </row>
    <row r="352" spans="1:29">
      <c r="A352" s="128">
        <v>0.43055555555555602</v>
      </c>
      <c r="J352">
        <v>0</v>
      </c>
      <c r="K352">
        <v>0</v>
      </c>
      <c r="N352">
        <v>0</v>
      </c>
      <c r="AB352">
        <v>0</v>
      </c>
    </row>
    <row r="353" spans="1:29">
      <c r="A353" s="128">
        <v>0.4375</v>
      </c>
      <c r="J353">
        <v>0</v>
      </c>
      <c r="K353">
        <v>0</v>
      </c>
      <c r="N353">
        <v>0</v>
      </c>
      <c r="AB353">
        <v>0</v>
      </c>
    </row>
    <row r="354" spans="1:29">
      <c r="A354" s="128">
        <v>0.44444444444444398</v>
      </c>
      <c r="C354">
        <v>1</v>
      </c>
      <c r="D354">
        <v>1</v>
      </c>
      <c r="J354">
        <v>0</v>
      </c>
      <c r="K354">
        <v>0</v>
      </c>
      <c r="L354">
        <v>1</v>
      </c>
      <c r="M354">
        <v>1</v>
      </c>
      <c r="N354">
        <v>0</v>
      </c>
      <c r="Q354">
        <v>5</v>
      </c>
      <c r="AB354">
        <v>7</v>
      </c>
      <c r="AC354">
        <v>2</v>
      </c>
    </row>
    <row r="355" spans="1:29">
      <c r="A355" s="128">
        <v>0.45138888888888901</v>
      </c>
      <c r="J355">
        <v>0</v>
      </c>
      <c r="K355">
        <v>0</v>
      </c>
      <c r="N355">
        <v>0</v>
      </c>
      <c r="AB355">
        <v>0</v>
      </c>
    </row>
    <row r="356" spans="1:29">
      <c r="A356" s="128">
        <v>0.45833333333333298</v>
      </c>
      <c r="I356">
        <v>5</v>
      </c>
      <c r="J356">
        <v>0</v>
      </c>
      <c r="K356">
        <v>0</v>
      </c>
      <c r="N356">
        <v>0</v>
      </c>
      <c r="AB356">
        <v>0</v>
      </c>
    </row>
    <row r="357" spans="1:29">
      <c r="A357" s="128">
        <v>0.46527777777777801</v>
      </c>
      <c r="J357">
        <v>0</v>
      </c>
      <c r="K357">
        <v>0</v>
      </c>
      <c r="N357">
        <v>0</v>
      </c>
      <c r="AB357">
        <v>0</v>
      </c>
    </row>
    <row r="358" spans="1:29">
      <c r="A358" s="128">
        <v>0.47222222222222199</v>
      </c>
      <c r="J358">
        <v>0</v>
      </c>
      <c r="K358">
        <v>0</v>
      </c>
      <c r="N358">
        <v>0</v>
      </c>
      <c r="AB358">
        <v>0</v>
      </c>
    </row>
    <row r="359" spans="1:29">
      <c r="A359" s="128">
        <v>0.47916666666666702</v>
      </c>
      <c r="J359">
        <v>0</v>
      </c>
      <c r="K359">
        <v>0</v>
      </c>
      <c r="N359">
        <v>0</v>
      </c>
      <c r="AB359">
        <v>0</v>
      </c>
    </row>
    <row r="360" spans="1:29">
      <c r="A360" s="128">
        <v>0.48611111111111099</v>
      </c>
      <c r="J360">
        <v>0</v>
      </c>
      <c r="K360">
        <v>0</v>
      </c>
      <c r="N360">
        <v>0</v>
      </c>
      <c r="AB360">
        <v>0</v>
      </c>
    </row>
    <row r="361" spans="1:29">
      <c r="A361" s="128">
        <v>0.49305555555555602</v>
      </c>
      <c r="J361">
        <v>0</v>
      </c>
      <c r="K361">
        <v>0</v>
      </c>
      <c r="N361">
        <v>0</v>
      </c>
      <c r="AB361">
        <v>0</v>
      </c>
    </row>
    <row r="362" spans="1:29">
      <c r="A362" s="128">
        <v>0.5</v>
      </c>
      <c r="J362">
        <v>0</v>
      </c>
      <c r="K362">
        <v>0</v>
      </c>
      <c r="N362">
        <v>0</v>
      </c>
      <c r="AB362">
        <v>0</v>
      </c>
    </row>
    <row r="363" spans="1:29">
      <c r="A363" s="128">
        <v>0.50694444444444398</v>
      </c>
      <c r="J363">
        <v>0</v>
      </c>
      <c r="K363">
        <v>0</v>
      </c>
      <c r="N363">
        <v>0</v>
      </c>
      <c r="AB363">
        <v>0</v>
      </c>
    </row>
    <row r="364" spans="1:29">
      <c r="A364" s="128">
        <v>0.51388888888888895</v>
      </c>
      <c r="J364">
        <v>0</v>
      </c>
      <c r="K364">
        <v>0</v>
      </c>
      <c r="N364">
        <v>0</v>
      </c>
      <c r="AB364">
        <v>0</v>
      </c>
    </row>
    <row r="365" spans="1:29">
      <c r="A365" s="128">
        <v>0.52083333333333304</v>
      </c>
      <c r="J365">
        <v>0</v>
      </c>
      <c r="K365">
        <v>0</v>
      </c>
      <c r="N365">
        <v>0</v>
      </c>
      <c r="AB365">
        <v>0</v>
      </c>
    </row>
    <row r="366" spans="1:29">
      <c r="A366" s="128">
        <v>0.52777777777777801</v>
      </c>
      <c r="J366">
        <v>0</v>
      </c>
      <c r="K366">
        <v>2</v>
      </c>
      <c r="N366">
        <v>2</v>
      </c>
      <c r="Z366">
        <v>4</v>
      </c>
      <c r="AA366">
        <v>2</v>
      </c>
      <c r="AB366">
        <v>0</v>
      </c>
    </row>
    <row r="367" spans="1:29">
      <c r="A367" s="128">
        <v>0.53472222222222199</v>
      </c>
      <c r="J367">
        <v>0</v>
      </c>
      <c r="K367">
        <v>0</v>
      </c>
      <c r="N367">
        <v>0</v>
      </c>
      <c r="AB367">
        <v>5</v>
      </c>
      <c r="AC367">
        <v>3</v>
      </c>
    </row>
    <row r="368" spans="1:29">
      <c r="A368" s="128">
        <v>0.54166666666666696</v>
      </c>
      <c r="B368">
        <v>2</v>
      </c>
      <c r="J368">
        <v>0</v>
      </c>
      <c r="K368">
        <v>0</v>
      </c>
      <c r="N368">
        <v>0</v>
      </c>
      <c r="AB368">
        <v>0</v>
      </c>
    </row>
    <row r="369" spans="1:29">
      <c r="A369" s="128">
        <v>0.54861111111111105</v>
      </c>
      <c r="J369">
        <v>0</v>
      </c>
      <c r="K369">
        <v>0</v>
      </c>
      <c r="N369">
        <v>0</v>
      </c>
      <c r="AB369">
        <v>0</v>
      </c>
    </row>
    <row r="370" spans="1:29">
      <c r="A370" s="128">
        <v>0.55555555555555602</v>
      </c>
      <c r="C370">
        <v>1</v>
      </c>
      <c r="D370">
        <v>1</v>
      </c>
      <c r="F370">
        <v>3</v>
      </c>
      <c r="I370">
        <v>5</v>
      </c>
      <c r="J370">
        <v>0</v>
      </c>
      <c r="K370">
        <v>0</v>
      </c>
      <c r="L370">
        <v>1</v>
      </c>
      <c r="M370">
        <v>2</v>
      </c>
      <c r="N370">
        <v>0</v>
      </c>
      <c r="O370">
        <v>15</v>
      </c>
      <c r="P370">
        <v>7</v>
      </c>
      <c r="Q370">
        <v>4</v>
      </c>
      <c r="R370">
        <v>14</v>
      </c>
      <c r="S370">
        <v>9</v>
      </c>
      <c r="T370">
        <v>17.399999999999999</v>
      </c>
      <c r="U370">
        <v>14</v>
      </c>
      <c r="V370">
        <v>8</v>
      </c>
      <c r="W370">
        <v>20</v>
      </c>
      <c r="X370">
        <v>4</v>
      </c>
      <c r="Y370">
        <v>3</v>
      </c>
      <c r="AB370">
        <v>0</v>
      </c>
    </row>
    <row r="371" spans="1:29">
      <c r="A371" s="128">
        <v>0.5625</v>
      </c>
      <c r="J371">
        <v>0</v>
      </c>
      <c r="K371">
        <v>0</v>
      </c>
      <c r="N371">
        <v>0</v>
      </c>
      <c r="AB371">
        <v>0</v>
      </c>
    </row>
    <row r="372" spans="1:29">
      <c r="A372" s="128">
        <v>0.56944444444444398</v>
      </c>
      <c r="J372">
        <v>0</v>
      </c>
      <c r="K372">
        <v>0</v>
      </c>
      <c r="N372">
        <v>0</v>
      </c>
      <c r="AB372">
        <v>0</v>
      </c>
    </row>
    <row r="373" spans="1:29">
      <c r="A373" s="128">
        <v>0.57638888888888895</v>
      </c>
      <c r="J373">
        <v>2</v>
      </c>
      <c r="K373">
        <v>2</v>
      </c>
      <c r="N373">
        <v>4</v>
      </c>
      <c r="S373">
        <v>6</v>
      </c>
      <c r="AB373">
        <v>5</v>
      </c>
      <c r="AC373">
        <v>4</v>
      </c>
    </row>
    <row r="374" spans="1:29">
      <c r="A374" s="128">
        <v>0.58333333333333304</v>
      </c>
      <c r="J374">
        <v>0</v>
      </c>
      <c r="K374">
        <v>0</v>
      </c>
      <c r="L374">
        <v>1</v>
      </c>
      <c r="N374">
        <v>0</v>
      </c>
      <c r="AB374">
        <v>0</v>
      </c>
    </row>
    <row r="375" spans="1:29">
      <c r="A375" s="128">
        <v>0.59027777777777801</v>
      </c>
      <c r="J375">
        <v>0</v>
      </c>
      <c r="K375">
        <v>0</v>
      </c>
      <c r="N375">
        <v>0</v>
      </c>
      <c r="AB375">
        <v>0</v>
      </c>
    </row>
    <row r="376" spans="1:29">
      <c r="A376" s="128">
        <v>0.59722222222222199</v>
      </c>
      <c r="F376">
        <v>2</v>
      </c>
      <c r="J376">
        <v>2</v>
      </c>
      <c r="K376">
        <v>0</v>
      </c>
      <c r="N376">
        <v>2</v>
      </c>
      <c r="AB376">
        <v>0</v>
      </c>
    </row>
    <row r="377" spans="1:29">
      <c r="A377" s="128">
        <v>0.60416666666666696</v>
      </c>
      <c r="J377">
        <v>0</v>
      </c>
      <c r="K377">
        <v>0</v>
      </c>
      <c r="N377">
        <v>0</v>
      </c>
      <c r="AB377">
        <v>4</v>
      </c>
      <c r="AC377">
        <v>4</v>
      </c>
    </row>
    <row r="378" spans="1:29">
      <c r="A378" s="128">
        <v>0.61111111111111105</v>
      </c>
      <c r="B378">
        <v>8</v>
      </c>
      <c r="J378">
        <v>0</v>
      </c>
      <c r="K378">
        <v>0</v>
      </c>
      <c r="N378">
        <v>0</v>
      </c>
      <c r="O378">
        <v>10</v>
      </c>
      <c r="P378">
        <v>7</v>
      </c>
      <c r="R378">
        <v>18</v>
      </c>
      <c r="S378">
        <v>13</v>
      </c>
      <c r="T378">
        <v>6</v>
      </c>
      <c r="U378">
        <v>5.0999999999999996</v>
      </c>
      <c r="V378">
        <v>2</v>
      </c>
      <c r="W378">
        <v>7.9</v>
      </c>
      <c r="X378">
        <v>3</v>
      </c>
      <c r="Y378">
        <v>3</v>
      </c>
      <c r="AB378">
        <v>0</v>
      </c>
    </row>
    <row r="379" spans="1:29">
      <c r="A379" s="128">
        <v>0.61805555555555503</v>
      </c>
      <c r="J379">
        <v>0</v>
      </c>
      <c r="K379">
        <v>0</v>
      </c>
      <c r="N379">
        <v>0</v>
      </c>
      <c r="AB379">
        <v>0</v>
      </c>
    </row>
    <row r="380" spans="1:29">
      <c r="A380" s="128">
        <v>0.625</v>
      </c>
      <c r="C380">
        <v>1</v>
      </c>
      <c r="I380">
        <v>5</v>
      </c>
      <c r="J380">
        <v>0</v>
      </c>
      <c r="K380">
        <v>0</v>
      </c>
      <c r="M380">
        <v>2</v>
      </c>
      <c r="N380">
        <v>0</v>
      </c>
      <c r="Q380">
        <v>4</v>
      </c>
      <c r="AB380">
        <v>0</v>
      </c>
    </row>
    <row r="381" spans="1:29">
      <c r="A381" s="128">
        <v>0.63194444444444398</v>
      </c>
      <c r="J381">
        <v>0</v>
      </c>
      <c r="K381">
        <v>0</v>
      </c>
      <c r="N381">
        <v>0</v>
      </c>
      <c r="AB381">
        <v>4</v>
      </c>
      <c r="AC381">
        <v>4</v>
      </c>
    </row>
    <row r="382" spans="1:29">
      <c r="A382" s="128">
        <v>0.63888888888888895</v>
      </c>
      <c r="J382">
        <v>0</v>
      </c>
      <c r="K382">
        <v>0</v>
      </c>
      <c r="N382">
        <v>0</v>
      </c>
      <c r="AB382">
        <v>0</v>
      </c>
    </row>
    <row r="383" spans="1:29">
      <c r="A383" s="128">
        <v>0.64583333333333304</v>
      </c>
      <c r="J383">
        <v>0</v>
      </c>
      <c r="K383">
        <v>0</v>
      </c>
      <c r="N383">
        <v>0</v>
      </c>
      <c r="AB383">
        <v>0</v>
      </c>
    </row>
    <row r="384" spans="1:29">
      <c r="A384" s="128">
        <v>0.65277777777777801</v>
      </c>
      <c r="J384">
        <v>0</v>
      </c>
      <c r="K384">
        <v>0</v>
      </c>
      <c r="N384">
        <v>0</v>
      </c>
      <c r="AB384">
        <v>0</v>
      </c>
    </row>
    <row r="385" spans="1:29">
      <c r="A385" s="128">
        <v>0.65972222222222199</v>
      </c>
      <c r="J385">
        <v>2</v>
      </c>
      <c r="K385">
        <v>0</v>
      </c>
      <c r="N385">
        <v>2</v>
      </c>
      <c r="AB385">
        <v>0</v>
      </c>
    </row>
    <row r="386" spans="1:29">
      <c r="A386" s="128">
        <v>0.66666666666666596</v>
      </c>
      <c r="I386">
        <v>2</v>
      </c>
      <c r="J386">
        <v>0</v>
      </c>
      <c r="K386">
        <v>0</v>
      </c>
      <c r="N386">
        <v>0</v>
      </c>
      <c r="AB386">
        <v>0</v>
      </c>
    </row>
    <row r="387" spans="1:29">
      <c r="A387" s="128">
        <v>0.67361111111111105</v>
      </c>
      <c r="J387">
        <v>0</v>
      </c>
      <c r="K387">
        <v>0</v>
      </c>
      <c r="N387">
        <v>0</v>
      </c>
      <c r="AB387">
        <v>0</v>
      </c>
    </row>
    <row r="388" spans="1:29">
      <c r="A388" s="128">
        <v>0.68055555555555503</v>
      </c>
      <c r="J388">
        <v>0</v>
      </c>
      <c r="K388">
        <v>0</v>
      </c>
      <c r="N388">
        <v>0</v>
      </c>
      <c r="AB388">
        <v>0</v>
      </c>
    </row>
    <row r="389" spans="1:29">
      <c r="A389" s="128">
        <v>0.687499999999999</v>
      </c>
      <c r="J389">
        <v>0</v>
      </c>
      <c r="K389">
        <v>0</v>
      </c>
      <c r="N389">
        <v>0</v>
      </c>
      <c r="AB389">
        <v>0</v>
      </c>
    </row>
    <row r="390" spans="1:29">
      <c r="A390" s="128">
        <v>0.69444444444444398</v>
      </c>
      <c r="I390">
        <v>2</v>
      </c>
      <c r="J390">
        <v>0</v>
      </c>
      <c r="K390">
        <v>0</v>
      </c>
      <c r="N390">
        <v>0</v>
      </c>
      <c r="AB390">
        <v>0</v>
      </c>
    </row>
    <row r="391" spans="1:29">
      <c r="A391" s="128">
        <v>0.70138888888888895</v>
      </c>
      <c r="J391">
        <v>0</v>
      </c>
      <c r="K391">
        <v>0</v>
      </c>
      <c r="N391">
        <v>0</v>
      </c>
      <c r="AB391">
        <v>0</v>
      </c>
    </row>
    <row r="392" spans="1:29">
      <c r="A392" s="128">
        <v>0.70833333333333204</v>
      </c>
      <c r="J392">
        <v>0</v>
      </c>
      <c r="K392">
        <v>0</v>
      </c>
      <c r="N392">
        <v>0</v>
      </c>
      <c r="AB392">
        <v>0</v>
      </c>
    </row>
    <row r="393" spans="1:29">
      <c r="A393" s="128">
        <v>0.71527777777777801</v>
      </c>
      <c r="J393">
        <v>0</v>
      </c>
      <c r="K393">
        <v>0</v>
      </c>
      <c r="N393">
        <v>0</v>
      </c>
      <c r="AB393">
        <v>0</v>
      </c>
    </row>
    <row r="394" spans="1:29">
      <c r="A394" s="128">
        <v>0.72222222222222199</v>
      </c>
      <c r="J394">
        <v>0</v>
      </c>
      <c r="K394">
        <v>0</v>
      </c>
      <c r="N394">
        <v>0</v>
      </c>
      <c r="AB394">
        <v>6</v>
      </c>
      <c r="AC394">
        <v>4</v>
      </c>
    </row>
    <row r="395" spans="1:29">
      <c r="A395" s="128">
        <v>0.72916666666666496</v>
      </c>
      <c r="J395">
        <v>0</v>
      </c>
      <c r="K395">
        <v>0</v>
      </c>
      <c r="N395">
        <v>0</v>
      </c>
      <c r="AB395">
        <v>0</v>
      </c>
    </row>
    <row r="396" spans="1:29">
      <c r="A396" s="128">
        <v>0.73611111111111105</v>
      </c>
      <c r="C396">
        <v>2</v>
      </c>
      <c r="D396">
        <v>2</v>
      </c>
      <c r="F396">
        <v>4</v>
      </c>
      <c r="I396">
        <v>4</v>
      </c>
      <c r="J396">
        <v>2</v>
      </c>
      <c r="K396">
        <v>2</v>
      </c>
      <c r="L396">
        <v>2</v>
      </c>
      <c r="M396">
        <v>2</v>
      </c>
      <c r="N396">
        <v>4</v>
      </c>
      <c r="Q396">
        <v>2</v>
      </c>
      <c r="Z396">
        <v>2</v>
      </c>
      <c r="AA396">
        <v>2</v>
      </c>
      <c r="AB396">
        <v>0</v>
      </c>
    </row>
    <row r="397" spans="1:29">
      <c r="A397" s="128">
        <v>0.74305555555555503</v>
      </c>
      <c r="J397">
        <v>0</v>
      </c>
      <c r="K397">
        <v>0</v>
      </c>
      <c r="N397">
        <v>0</v>
      </c>
      <c r="AB397">
        <v>0</v>
      </c>
    </row>
    <row r="398" spans="1:29">
      <c r="A398" s="128">
        <v>0.749999999999998</v>
      </c>
      <c r="J398">
        <v>0</v>
      </c>
      <c r="K398">
        <v>0</v>
      </c>
      <c r="N398">
        <v>0</v>
      </c>
      <c r="AB398">
        <v>0</v>
      </c>
    </row>
    <row r="399" spans="1:29">
      <c r="A399" s="128">
        <v>0.75694444444444398</v>
      </c>
      <c r="J399">
        <v>0</v>
      </c>
      <c r="K399">
        <v>0</v>
      </c>
      <c r="N399">
        <v>0</v>
      </c>
      <c r="AB399">
        <v>0</v>
      </c>
    </row>
    <row r="400" spans="1:29">
      <c r="A400" s="128">
        <v>0.76388888888888895</v>
      </c>
      <c r="J400">
        <v>0</v>
      </c>
      <c r="K400">
        <v>0</v>
      </c>
      <c r="N400">
        <v>0</v>
      </c>
      <c r="AB400">
        <v>0</v>
      </c>
    </row>
    <row r="401" spans="1:28">
      <c r="A401" s="128">
        <v>0.77083333333333104</v>
      </c>
      <c r="J401">
        <v>0</v>
      </c>
      <c r="K401">
        <v>0</v>
      </c>
      <c r="N401">
        <v>0</v>
      </c>
      <c r="AB401">
        <v>0</v>
      </c>
    </row>
    <row r="402" spans="1:28">
      <c r="A402" s="128">
        <v>0.77777777777777801</v>
      </c>
      <c r="J402">
        <v>0</v>
      </c>
      <c r="K402">
        <v>0</v>
      </c>
      <c r="N402">
        <v>0</v>
      </c>
      <c r="AB402">
        <v>0</v>
      </c>
    </row>
    <row r="403" spans="1:28">
      <c r="A403" s="128">
        <v>0.78472222222222199</v>
      </c>
      <c r="J403">
        <v>0</v>
      </c>
      <c r="K403">
        <v>0</v>
      </c>
      <c r="N403">
        <v>0</v>
      </c>
      <c r="AB403">
        <v>0</v>
      </c>
    </row>
    <row r="404" spans="1:28">
      <c r="A404" s="128">
        <v>0.79166666666666397</v>
      </c>
      <c r="J404">
        <v>0</v>
      </c>
      <c r="K404">
        <v>0</v>
      </c>
      <c r="N404">
        <v>0</v>
      </c>
      <c r="AB404">
        <v>0</v>
      </c>
    </row>
    <row r="405" spans="1:28">
      <c r="A405" s="128">
        <v>0.79861111111111105</v>
      </c>
      <c r="J405">
        <v>0</v>
      </c>
      <c r="K405">
        <v>0</v>
      </c>
      <c r="N405">
        <v>0</v>
      </c>
      <c r="AB405">
        <v>0</v>
      </c>
    </row>
    <row r="406" spans="1:28">
      <c r="A406" s="128">
        <v>0.80555555555555503</v>
      </c>
      <c r="J406">
        <v>0</v>
      </c>
      <c r="K406">
        <v>0</v>
      </c>
      <c r="N406">
        <v>0</v>
      </c>
      <c r="AB406">
        <v>0</v>
      </c>
    </row>
    <row r="407" spans="1:28">
      <c r="A407" s="128">
        <v>0.812499999999997</v>
      </c>
      <c r="J407">
        <v>0</v>
      </c>
      <c r="K407">
        <v>0</v>
      </c>
      <c r="N407">
        <v>0</v>
      </c>
      <c r="AB407">
        <v>0</v>
      </c>
    </row>
    <row r="408" spans="1:28">
      <c r="A408" s="128">
        <v>0.81944444444444398</v>
      </c>
      <c r="J408">
        <v>0</v>
      </c>
      <c r="K408">
        <v>0</v>
      </c>
      <c r="N408">
        <v>0</v>
      </c>
      <c r="AB408">
        <v>0</v>
      </c>
    </row>
    <row r="409" spans="1:28">
      <c r="A409" s="128">
        <v>0.82638888888888895</v>
      </c>
      <c r="J409">
        <v>0</v>
      </c>
      <c r="K409">
        <v>0</v>
      </c>
      <c r="N409">
        <v>0</v>
      </c>
      <c r="AB409">
        <v>0</v>
      </c>
    </row>
    <row r="410" spans="1:28">
      <c r="A410" s="128">
        <v>0.83333333333333004</v>
      </c>
      <c r="J410">
        <v>0</v>
      </c>
      <c r="K410">
        <v>0</v>
      </c>
      <c r="N410">
        <v>0</v>
      </c>
      <c r="AB410">
        <v>0</v>
      </c>
    </row>
    <row r="411" spans="1:28">
      <c r="A411" s="128">
        <v>0.84027777777777801</v>
      </c>
      <c r="J411">
        <v>0</v>
      </c>
      <c r="K411">
        <v>0</v>
      </c>
      <c r="N411">
        <v>0</v>
      </c>
      <c r="AB411">
        <v>0</v>
      </c>
    </row>
    <row r="412" spans="1:28">
      <c r="A412" s="128">
        <v>0.84722222222222199</v>
      </c>
      <c r="J412">
        <v>0</v>
      </c>
      <c r="K412">
        <v>0</v>
      </c>
      <c r="N412">
        <v>0</v>
      </c>
      <c r="AB412">
        <v>0</v>
      </c>
    </row>
    <row r="413" spans="1:28">
      <c r="A413" s="128">
        <v>0.85416666666666297</v>
      </c>
      <c r="J413">
        <v>0</v>
      </c>
      <c r="K413">
        <v>0</v>
      </c>
      <c r="N413">
        <v>0</v>
      </c>
      <c r="AB413">
        <v>0</v>
      </c>
    </row>
    <row r="414" spans="1:28">
      <c r="A414" s="128">
        <v>0.86111111111111105</v>
      </c>
      <c r="J414">
        <v>0</v>
      </c>
      <c r="K414">
        <v>0</v>
      </c>
      <c r="N414">
        <v>0</v>
      </c>
      <c r="AB414">
        <v>0</v>
      </c>
    </row>
    <row r="415" spans="1:28">
      <c r="A415" s="128">
        <v>0.86805555555555503</v>
      </c>
      <c r="J415">
        <v>0</v>
      </c>
      <c r="K415">
        <v>0</v>
      </c>
      <c r="N415">
        <v>0</v>
      </c>
      <c r="AB415">
        <v>0</v>
      </c>
    </row>
    <row r="416" spans="1:28">
      <c r="A416" s="128">
        <v>0.874999999999996</v>
      </c>
      <c r="J416">
        <v>0</v>
      </c>
      <c r="K416">
        <v>0</v>
      </c>
      <c r="N416">
        <v>0</v>
      </c>
      <c r="AB416">
        <v>0</v>
      </c>
    </row>
    <row r="417" spans="1:29">
      <c r="A417" s="128">
        <v>0.88194444444444398</v>
      </c>
      <c r="J417">
        <v>0</v>
      </c>
      <c r="K417">
        <v>0</v>
      </c>
      <c r="N417">
        <v>0</v>
      </c>
      <c r="AB417">
        <v>0</v>
      </c>
    </row>
    <row r="418" spans="1:29">
      <c r="A418" s="128">
        <v>0.88888888888888895</v>
      </c>
      <c r="J418">
        <v>0</v>
      </c>
      <c r="K418">
        <v>0</v>
      </c>
      <c r="N418">
        <v>0</v>
      </c>
      <c r="AB418">
        <v>0</v>
      </c>
    </row>
    <row r="419" spans="1:29">
      <c r="A419" s="128">
        <v>0.89583333333333004</v>
      </c>
      <c r="J419">
        <v>0</v>
      </c>
      <c r="K419">
        <v>0</v>
      </c>
      <c r="N419">
        <v>0</v>
      </c>
      <c r="AB419">
        <v>0</v>
      </c>
    </row>
    <row r="420" spans="1:29">
      <c r="A420" s="128">
        <v>0.90277777777777801</v>
      </c>
      <c r="J420">
        <v>0</v>
      </c>
      <c r="K420">
        <v>0</v>
      </c>
      <c r="N420">
        <v>0</v>
      </c>
      <c r="AB420">
        <v>0</v>
      </c>
    </row>
    <row r="421" spans="1:29">
      <c r="A421" s="128">
        <v>0.90972222222222199</v>
      </c>
      <c r="J421">
        <v>0</v>
      </c>
      <c r="K421">
        <v>0</v>
      </c>
      <c r="N421">
        <v>0</v>
      </c>
      <c r="AB421">
        <v>0</v>
      </c>
    </row>
    <row r="422" spans="1:29">
      <c r="A422" s="128">
        <v>0.91666666666666397</v>
      </c>
      <c r="J422">
        <v>0</v>
      </c>
      <c r="K422">
        <v>0</v>
      </c>
      <c r="N422">
        <v>0</v>
      </c>
      <c r="AB422">
        <v>0</v>
      </c>
    </row>
    <row r="423" spans="1:29">
      <c r="A423" s="128">
        <v>0.92361111111111105</v>
      </c>
      <c r="J423">
        <v>0</v>
      </c>
      <c r="K423">
        <v>0</v>
      </c>
      <c r="N423">
        <v>0</v>
      </c>
      <c r="AB423">
        <v>0</v>
      </c>
    </row>
    <row r="424" spans="1:29">
      <c r="A424" s="128">
        <v>0.93055555555555503</v>
      </c>
      <c r="J424">
        <v>0</v>
      </c>
      <c r="K424">
        <v>0</v>
      </c>
      <c r="N424">
        <v>0</v>
      </c>
      <c r="AB424">
        <v>0</v>
      </c>
    </row>
    <row r="425" spans="1:29">
      <c r="A425" s="128">
        <v>0.937499999999998</v>
      </c>
      <c r="J425">
        <v>0</v>
      </c>
      <c r="K425">
        <v>0</v>
      </c>
      <c r="N425">
        <v>0</v>
      </c>
      <c r="AB425">
        <v>0</v>
      </c>
    </row>
    <row r="426" spans="1:29">
      <c r="A426" s="128">
        <v>0.94444444444444398</v>
      </c>
      <c r="J426">
        <v>0</v>
      </c>
      <c r="K426">
        <v>0</v>
      </c>
      <c r="N426">
        <v>0</v>
      </c>
      <c r="AB426">
        <v>0</v>
      </c>
    </row>
    <row r="427" spans="1:29">
      <c r="A427" s="128">
        <v>0.95138888888888895</v>
      </c>
      <c r="J427">
        <v>0</v>
      </c>
      <c r="K427">
        <v>0</v>
      </c>
      <c r="N427">
        <v>0</v>
      </c>
      <c r="AB427">
        <v>0</v>
      </c>
    </row>
    <row r="428" spans="1:29">
      <c r="A428" s="128">
        <v>0.95833333333333204</v>
      </c>
      <c r="J428">
        <v>0</v>
      </c>
      <c r="K428">
        <v>0</v>
      </c>
      <c r="N428">
        <v>0</v>
      </c>
      <c r="AB428">
        <v>0</v>
      </c>
    </row>
    <row r="429" spans="1:29">
      <c r="A429" s="128">
        <v>0.96527777777777801</v>
      </c>
      <c r="J429">
        <v>0</v>
      </c>
      <c r="K429">
        <v>0</v>
      </c>
      <c r="N429">
        <v>0</v>
      </c>
      <c r="AB429">
        <v>0</v>
      </c>
    </row>
    <row r="430" spans="1:29">
      <c r="A430" s="128">
        <v>0.97222222222222199</v>
      </c>
      <c r="J430">
        <v>0</v>
      </c>
      <c r="K430">
        <v>0</v>
      </c>
      <c r="N430">
        <v>0</v>
      </c>
      <c r="AB430">
        <v>0</v>
      </c>
    </row>
    <row r="431" spans="1:29">
      <c r="A431" s="128">
        <v>0.97916666666666596</v>
      </c>
      <c r="J431">
        <v>0</v>
      </c>
      <c r="K431">
        <v>0</v>
      </c>
      <c r="N431">
        <v>0</v>
      </c>
      <c r="AB431">
        <v>0</v>
      </c>
    </row>
    <row r="432" spans="1:29">
      <c r="A432" s="128">
        <v>0.98611111111111105</v>
      </c>
      <c r="J432">
        <v>0</v>
      </c>
      <c r="K432">
        <v>0</v>
      </c>
      <c r="N432">
        <v>0</v>
      </c>
      <c r="AC432">
        <v>4</v>
      </c>
    </row>
    <row r="433" spans="1:28">
      <c r="A433" s="128">
        <v>0.99305555555555503</v>
      </c>
      <c r="J433">
        <v>0</v>
      </c>
      <c r="K433">
        <v>0</v>
      </c>
      <c r="N433">
        <v>0</v>
      </c>
      <c r="AB433">
        <v>0</v>
      </c>
    </row>
    <row r="434" spans="1:28">
      <c r="A434" s="133">
        <v>0</v>
      </c>
      <c r="N434">
        <v>0</v>
      </c>
      <c r="AB434">
        <v>0</v>
      </c>
    </row>
    <row r="435" spans="1:28">
      <c r="A435" s="133">
        <v>6.9444444444444441E-3</v>
      </c>
      <c r="N435">
        <v>0</v>
      </c>
      <c r="AB435">
        <v>0</v>
      </c>
    </row>
    <row r="436" spans="1:28">
      <c r="A436" s="133">
        <v>1.38888888888889E-2</v>
      </c>
      <c r="N436">
        <v>0</v>
      </c>
      <c r="AB436">
        <v>0</v>
      </c>
    </row>
    <row r="437" spans="1:28">
      <c r="A437" s="133">
        <v>2.0833333333333332E-2</v>
      </c>
      <c r="N437">
        <v>0</v>
      </c>
      <c r="AB437">
        <v>0</v>
      </c>
    </row>
    <row r="438" spans="1:28">
      <c r="A438" s="133">
        <v>2.7777777777777801E-2</v>
      </c>
      <c r="N438">
        <v>0</v>
      </c>
      <c r="AB438">
        <v>0</v>
      </c>
    </row>
    <row r="439" spans="1:28">
      <c r="A439" s="133">
        <v>3.4722222222222203E-2</v>
      </c>
      <c r="N439">
        <v>0</v>
      </c>
      <c r="AB439">
        <v>0</v>
      </c>
    </row>
    <row r="440" spans="1:28">
      <c r="A440" s="133">
        <v>4.1666666666666699E-2</v>
      </c>
      <c r="N440">
        <v>0</v>
      </c>
      <c r="AB440">
        <v>0</v>
      </c>
    </row>
    <row r="441" spans="1:28">
      <c r="A441" s="133">
        <v>4.8611111111111098E-2</v>
      </c>
      <c r="N441">
        <v>0</v>
      </c>
      <c r="AB441">
        <v>0</v>
      </c>
    </row>
    <row r="442" spans="1:28">
      <c r="A442" s="133">
        <v>5.5555555555555601E-2</v>
      </c>
      <c r="N442">
        <v>0</v>
      </c>
      <c r="AB442">
        <v>0</v>
      </c>
    </row>
    <row r="443" spans="1:28">
      <c r="A443" s="133">
        <v>6.25E-2</v>
      </c>
      <c r="N443">
        <v>0</v>
      </c>
      <c r="AB443">
        <v>0</v>
      </c>
    </row>
    <row r="444" spans="1:28">
      <c r="A444" s="133">
        <v>6.9444444444444406E-2</v>
      </c>
      <c r="N444">
        <v>0</v>
      </c>
      <c r="AB444">
        <v>0</v>
      </c>
    </row>
    <row r="445" spans="1:28">
      <c r="A445" s="133">
        <v>7.6388888888888895E-2</v>
      </c>
      <c r="N445">
        <v>0</v>
      </c>
      <c r="AB445">
        <v>0</v>
      </c>
    </row>
    <row r="446" spans="1:28">
      <c r="A446" s="133">
        <v>8.3333333333333301E-2</v>
      </c>
      <c r="N446">
        <v>0</v>
      </c>
      <c r="AB446">
        <v>0</v>
      </c>
    </row>
    <row r="447" spans="1:28">
      <c r="A447" s="133">
        <v>9.0277777777777804E-2</v>
      </c>
      <c r="N447">
        <v>0</v>
      </c>
      <c r="AB447">
        <v>0</v>
      </c>
    </row>
    <row r="448" spans="1:28">
      <c r="A448" s="133">
        <v>9.7222222222222196E-2</v>
      </c>
      <c r="N448">
        <v>0</v>
      </c>
      <c r="AB448">
        <v>0</v>
      </c>
    </row>
    <row r="449" spans="1:28">
      <c r="A449" s="133">
        <v>0.104166666666667</v>
      </c>
      <c r="N449">
        <v>0</v>
      </c>
      <c r="AB449">
        <v>0</v>
      </c>
    </row>
    <row r="450" spans="1:28">
      <c r="A450" s="133">
        <v>0.11111111111111099</v>
      </c>
      <c r="N450">
        <v>0</v>
      </c>
      <c r="AB450">
        <v>0</v>
      </c>
    </row>
    <row r="451" spans="1:28">
      <c r="A451" s="133">
        <v>0.118055555555556</v>
      </c>
      <c r="N451">
        <v>0</v>
      </c>
      <c r="AB451">
        <v>0</v>
      </c>
    </row>
    <row r="452" spans="1:28">
      <c r="A452" s="133">
        <v>0.125</v>
      </c>
      <c r="N452">
        <v>0</v>
      </c>
      <c r="AB452">
        <v>0</v>
      </c>
    </row>
    <row r="453" spans="1:28">
      <c r="A453" s="133">
        <v>0.131944444444444</v>
      </c>
      <c r="N453">
        <v>0</v>
      </c>
      <c r="AB453">
        <v>0</v>
      </c>
    </row>
    <row r="454" spans="1:28">
      <c r="A454" s="133">
        <v>0.13888888888888901</v>
      </c>
      <c r="N454">
        <v>0</v>
      </c>
      <c r="AB454">
        <v>0</v>
      </c>
    </row>
    <row r="455" spans="1:28">
      <c r="A455" s="133">
        <v>0.14583333333333301</v>
      </c>
      <c r="N455">
        <v>0</v>
      </c>
      <c r="AB455">
        <v>0</v>
      </c>
    </row>
    <row r="456" spans="1:28">
      <c r="A456" s="133">
        <v>0.15277777777777801</v>
      </c>
      <c r="N456">
        <v>0</v>
      </c>
      <c r="AB456">
        <v>0</v>
      </c>
    </row>
    <row r="457" spans="1:28">
      <c r="A457" s="133">
        <v>0.15972222222222199</v>
      </c>
      <c r="N457">
        <v>0</v>
      </c>
      <c r="AB457">
        <v>0</v>
      </c>
    </row>
    <row r="458" spans="1:28">
      <c r="A458" s="133">
        <v>0.16666666666666699</v>
      </c>
      <c r="N458">
        <v>0</v>
      </c>
      <c r="AB458">
        <v>0</v>
      </c>
    </row>
    <row r="459" spans="1:28">
      <c r="A459" s="133">
        <v>0.17361111111111099</v>
      </c>
      <c r="N459">
        <v>0</v>
      </c>
      <c r="AB459">
        <v>0</v>
      </c>
    </row>
    <row r="460" spans="1:28">
      <c r="A460" s="133">
        <v>0.180555555555556</v>
      </c>
      <c r="N460">
        <v>0</v>
      </c>
      <c r="AB460">
        <v>0</v>
      </c>
    </row>
    <row r="461" spans="1:28">
      <c r="A461" s="133">
        <v>0.1875</v>
      </c>
      <c r="N461">
        <v>0</v>
      </c>
      <c r="AB461">
        <v>0</v>
      </c>
    </row>
    <row r="462" spans="1:28">
      <c r="A462" s="133">
        <v>0.194444444444444</v>
      </c>
      <c r="N462">
        <v>0</v>
      </c>
      <c r="AB462">
        <v>0</v>
      </c>
    </row>
    <row r="463" spans="1:28">
      <c r="A463" s="133">
        <v>0.20138888888888901</v>
      </c>
      <c r="N463">
        <v>0</v>
      </c>
      <c r="AB463">
        <v>0</v>
      </c>
    </row>
    <row r="464" spans="1:28">
      <c r="A464" s="133">
        <v>0.20833333333333301</v>
      </c>
      <c r="N464">
        <v>0</v>
      </c>
      <c r="AB464">
        <v>0</v>
      </c>
    </row>
    <row r="465" spans="1:28">
      <c r="A465" s="133">
        <v>0.21527777777777801</v>
      </c>
      <c r="N465">
        <v>0</v>
      </c>
      <c r="AB465">
        <v>0</v>
      </c>
    </row>
    <row r="466" spans="1:28">
      <c r="A466" s="133">
        <v>0.22222222222222199</v>
      </c>
      <c r="N466">
        <v>0</v>
      </c>
      <c r="AB466">
        <v>0</v>
      </c>
    </row>
    <row r="467" spans="1:28">
      <c r="A467" s="133">
        <v>0.22916666666666699</v>
      </c>
      <c r="N467">
        <v>0</v>
      </c>
      <c r="AB467">
        <v>0</v>
      </c>
    </row>
    <row r="468" spans="1:28">
      <c r="A468" s="133">
        <v>0.23611111111111099</v>
      </c>
      <c r="N468">
        <v>0</v>
      </c>
      <c r="AB468">
        <v>0</v>
      </c>
    </row>
    <row r="469" spans="1:28">
      <c r="A469" s="133">
        <v>0.243055555555556</v>
      </c>
      <c r="N469">
        <v>0</v>
      </c>
      <c r="AB469">
        <v>0</v>
      </c>
    </row>
    <row r="470" spans="1:28">
      <c r="A470" s="133">
        <v>0.25</v>
      </c>
      <c r="N470">
        <v>0</v>
      </c>
      <c r="AB470">
        <v>0</v>
      </c>
    </row>
    <row r="471" spans="1:28">
      <c r="A471" s="133">
        <v>0.25694444444444398</v>
      </c>
      <c r="N471">
        <v>0</v>
      </c>
      <c r="AB471">
        <v>0</v>
      </c>
    </row>
    <row r="472" spans="1:28">
      <c r="A472" s="133">
        <v>0.26388888888888901</v>
      </c>
      <c r="N472">
        <v>0</v>
      </c>
      <c r="AB472">
        <v>0</v>
      </c>
    </row>
    <row r="473" spans="1:28">
      <c r="A473" s="133">
        <v>0.27083333333333298</v>
      </c>
      <c r="N473">
        <v>0</v>
      </c>
      <c r="AB473">
        <v>0</v>
      </c>
    </row>
    <row r="474" spans="1:28">
      <c r="A474" s="133">
        <v>0.27777777777777801</v>
      </c>
      <c r="N474">
        <v>0</v>
      </c>
      <c r="AB474">
        <v>0</v>
      </c>
    </row>
    <row r="475" spans="1:28">
      <c r="A475" s="133">
        <v>0.28472222222222199</v>
      </c>
      <c r="N475">
        <v>0</v>
      </c>
      <c r="AB475">
        <v>0</v>
      </c>
    </row>
    <row r="476" spans="1:28">
      <c r="A476" s="133">
        <v>0.29166666666666702</v>
      </c>
      <c r="N476">
        <v>3</v>
      </c>
      <c r="AB476">
        <v>0</v>
      </c>
    </row>
    <row r="477" spans="1:28">
      <c r="A477" s="133">
        <v>0.29861111111111099</v>
      </c>
      <c r="N477">
        <v>0</v>
      </c>
      <c r="AB477">
        <v>0</v>
      </c>
    </row>
    <row r="478" spans="1:28">
      <c r="A478" s="133">
        <v>0.30555555555555602</v>
      </c>
      <c r="N478">
        <v>0</v>
      </c>
      <c r="AB478">
        <v>0</v>
      </c>
    </row>
    <row r="479" spans="1:28">
      <c r="A479" s="133">
        <v>0.3125</v>
      </c>
      <c r="N479">
        <v>0</v>
      </c>
      <c r="AB479">
        <v>0</v>
      </c>
    </row>
    <row r="480" spans="1:28">
      <c r="A480" s="133">
        <v>0.31944444444444398</v>
      </c>
      <c r="N480">
        <v>0</v>
      </c>
      <c r="AB480">
        <v>0</v>
      </c>
    </row>
    <row r="481" spans="1:28">
      <c r="A481" s="133">
        <v>0.32638888888888901</v>
      </c>
      <c r="N481">
        <v>0</v>
      </c>
      <c r="AB481">
        <v>0</v>
      </c>
    </row>
    <row r="482" spans="1:28">
      <c r="A482" s="133">
        <v>0.33333333333333298</v>
      </c>
      <c r="N482">
        <v>0</v>
      </c>
      <c r="AB482">
        <v>0</v>
      </c>
    </row>
    <row r="483" spans="1:28">
      <c r="A483" s="133">
        <v>0.34027777777777801</v>
      </c>
      <c r="N483">
        <v>0</v>
      </c>
      <c r="AB483">
        <v>0</v>
      </c>
    </row>
    <row r="484" spans="1:28">
      <c r="A484" s="133">
        <v>0.34722222222222199</v>
      </c>
      <c r="N484">
        <v>0</v>
      </c>
      <c r="AB484">
        <v>0</v>
      </c>
    </row>
    <row r="485" spans="1:28">
      <c r="A485" s="133">
        <v>0.35416666666666702</v>
      </c>
      <c r="B485">
        <v>4</v>
      </c>
      <c r="N485">
        <v>2</v>
      </c>
      <c r="AB485">
        <v>0</v>
      </c>
    </row>
    <row r="486" spans="1:28">
      <c r="A486" s="133">
        <v>0.36111111111111099</v>
      </c>
      <c r="N486">
        <v>0</v>
      </c>
      <c r="AB486">
        <v>0</v>
      </c>
    </row>
    <row r="487" spans="1:28">
      <c r="A487" s="133">
        <v>0.36805555555555602</v>
      </c>
      <c r="N487">
        <v>0</v>
      </c>
      <c r="AB487">
        <v>0</v>
      </c>
    </row>
    <row r="488" spans="1:28">
      <c r="A488" s="133">
        <v>0.375</v>
      </c>
      <c r="N488">
        <v>0</v>
      </c>
      <c r="S488">
        <v>2</v>
      </c>
      <c r="AB488">
        <v>0</v>
      </c>
    </row>
    <row r="489" spans="1:28">
      <c r="A489" s="133">
        <v>0.38194444444444398</v>
      </c>
      <c r="N489">
        <v>0</v>
      </c>
      <c r="AB489">
        <v>0</v>
      </c>
    </row>
    <row r="490" spans="1:28">
      <c r="A490" s="133">
        <v>0.38888888888888901</v>
      </c>
      <c r="N490">
        <v>0</v>
      </c>
      <c r="AB490">
        <v>0</v>
      </c>
    </row>
    <row r="491" spans="1:28">
      <c r="A491" s="133">
        <v>0.39583333333333298</v>
      </c>
      <c r="N491">
        <v>0</v>
      </c>
      <c r="S491">
        <v>7</v>
      </c>
      <c r="AB491">
        <v>0</v>
      </c>
    </row>
    <row r="492" spans="1:28">
      <c r="A492" s="133">
        <v>0.40277777777777801</v>
      </c>
      <c r="N492">
        <v>0</v>
      </c>
      <c r="AB492">
        <v>0</v>
      </c>
    </row>
    <row r="493" spans="1:28">
      <c r="A493" s="133">
        <v>0.40972222222222199</v>
      </c>
      <c r="B493">
        <v>4</v>
      </c>
      <c r="N493">
        <v>0</v>
      </c>
      <c r="AB493">
        <v>0</v>
      </c>
    </row>
    <row r="494" spans="1:28">
      <c r="A494" s="133">
        <v>0.41666666666666702</v>
      </c>
      <c r="N494">
        <v>0</v>
      </c>
      <c r="AB494">
        <v>0</v>
      </c>
    </row>
    <row r="495" spans="1:28">
      <c r="A495" s="133">
        <v>0.42361111111111099</v>
      </c>
      <c r="N495">
        <v>0</v>
      </c>
      <c r="AB495">
        <v>0</v>
      </c>
    </row>
    <row r="496" spans="1:28">
      <c r="A496" s="133">
        <v>0.43055555555555602</v>
      </c>
      <c r="N496">
        <v>0</v>
      </c>
      <c r="AB496">
        <v>0</v>
      </c>
    </row>
    <row r="497" spans="1:28">
      <c r="A497" s="133">
        <v>0.4375</v>
      </c>
      <c r="N497">
        <v>0</v>
      </c>
      <c r="AB497">
        <v>0</v>
      </c>
    </row>
    <row r="498" spans="1:28">
      <c r="A498" s="133">
        <v>0.44444444444444398</v>
      </c>
      <c r="N498">
        <v>0</v>
      </c>
      <c r="AB498">
        <v>0</v>
      </c>
    </row>
    <row r="499" spans="1:28">
      <c r="A499" s="133">
        <v>0.45138888888888901</v>
      </c>
      <c r="N499">
        <v>0</v>
      </c>
      <c r="AB499">
        <v>0</v>
      </c>
    </row>
    <row r="500" spans="1:28">
      <c r="A500" s="133">
        <v>0.45833333333333298</v>
      </c>
      <c r="N500">
        <v>0</v>
      </c>
      <c r="AB500">
        <v>0</v>
      </c>
    </row>
    <row r="501" spans="1:28">
      <c r="A501" s="133">
        <v>0.46527777777777801</v>
      </c>
      <c r="N501">
        <v>0</v>
      </c>
      <c r="AB501">
        <v>0</v>
      </c>
    </row>
    <row r="502" spans="1:28">
      <c r="A502" s="133">
        <v>0.47222222222222199</v>
      </c>
      <c r="N502">
        <v>0</v>
      </c>
      <c r="AB502">
        <v>0</v>
      </c>
    </row>
    <row r="503" spans="1:28">
      <c r="A503" s="133">
        <v>0.47916666666666702</v>
      </c>
      <c r="N503">
        <v>0</v>
      </c>
      <c r="AB503">
        <v>0</v>
      </c>
    </row>
    <row r="504" spans="1:28">
      <c r="A504" s="133">
        <v>0.48611111111111099</v>
      </c>
      <c r="N504">
        <v>0</v>
      </c>
      <c r="AB504">
        <v>0</v>
      </c>
    </row>
    <row r="505" spans="1:28">
      <c r="A505" s="133">
        <v>0.49305555555555602</v>
      </c>
      <c r="N505">
        <v>0</v>
      </c>
      <c r="AB505">
        <v>0</v>
      </c>
    </row>
    <row r="506" spans="1:28">
      <c r="A506" s="133">
        <v>0.5</v>
      </c>
      <c r="N506">
        <v>0</v>
      </c>
      <c r="AB506">
        <v>0</v>
      </c>
    </row>
    <row r="507" spans="1:28">
      <c r="A507" s="133">
        <v>0.50694444444444398</v>
      </c>
      <c r="N507">
        <v>0</v>
      </c>
      <c r="AB507">
        <v>0</v>
      </c>
    </row>
    <row r="508" spans="1:28">
      <c r="A508" s="133">
        <v>0.51388888888888895</v>
      </c>
      <c r="N508">
        <v>0</v>
      </c>
      <c r="AB508">
        <v>0</v>
      </c>
    </row>
    <row r="509" spans="1:28">
      <c r="A509" s="133">
        <v>0.52083333333333304</v>
      </c>
      <c r="N509">
        <v>0</v>
      </c>
      <c r="AB509">
        <v>0</v>
      </c>
    </row>
    <row r="510" spans="1:28">
      <c r="A510" s="133">
        <v>0.52777777777777801</v>
      </c>
      <c r="N510">
        <v>0</v>
      </c>
      <c r="AB510">
        <v>0</v>
      </c>
    </row>
    <row r="511" spans="1:28">
      <c r="A511" s="133">
        <v>0.53472222222222199</v>
      </c>
      <c r="N511">
        <v>0</v>
      </c>
      <c r="AB511">
        <v>0</v>
      </c>
    </row>
    <row r="512" spans="1:28">
      <c r="A512" s="133">
        <v>0.54166666666666696</v>
      </c>
      <c r="N512">
        <v>0</v>
      </c>
      <c r="AB512">
        <v>0</v>
      </c>
    </row>
    <row r="513" spans="1:28">
      <c r="A513" s="133">
        <v>0.54861111111111105</v>
      </c>
      <c r="N513">
        <v>0</v>
      </c>
      <c r="AB513">
        <v>0</v>
      </c>
    </row>
    <row r="514" spans="1:28">
      <c r="A514" s="133">
        <v>0.55555555555555602</v>
      </c>
      <c r="N514">
        <v>0</v>
      </c>
      <c r="AB514">
        <v>0</v>
      </c>
    </row>
    <row r="515" spans="1:28">
      <c r="A515" s="133">
        <v>0.5625</v>
      </c>
      <c r="N515">
        <v>0</v>
      </c>
      <c r="AB515">
        <v>0</v>
      </c>
    </row>
    <row r="516" spans="1:28">
      <c r="A516" s="133">
        <v>0.56944444444444398</v>
      </c>
      <c r="N516">
        <v>0</v>
      </c>
      <c r="AB516">
        <v>0</v>
      </c>
    </row>
    <row r="517" spans="1:28">
      <c r="A517" s="133">
        <v>0.57638888888888895</v>
      </c>
      <c r="N517">
        <v>0</v>
      </c>
      <c r="AB517">
        <v>0</v>
      </c>
    </row>
    <row r="518" spans="1:28">
      <c r="A518" s="133">
        <v>0.58333333333333304</v>
      </c>
      <c r="N518">
        <v>0</v>
      </c>
      <c r="AB518">
        <v>0</v>
      </c>
    </row>
    <row r="519" spans="1:28">
      <c r="A519" s="133">
        <v>0.59027777777777801</v>
      </c>
      <c r="N519">
        <v>0</v>
      </c>
      <c r="AB519">
        <v>0</v>
      </c>
    </row>
    <row r="520" spans="1:28">
      <c r="A520" s="133">
        <v>0.59722222222222199</v>
      </c>
      <c r="N520">
        <v>0</v>
      </c>
      <c r="AB520">
        <v>0</v>
      </c>
    </row>
    <row r="521" spans="1:28">
      <c r="A521" s="133">
        <v>0.60416666666666696</v>
      </c>
      <c r="N521">
        <v>0</v>
      </c>
      <c r="AB521">
        <v>0</v>
      </c>
    </row>
    <row r="522" spans="1:28">
      <c r="A522" s="133">
        <v>0.61111111111111105</v>
      </c>
      <c r="N522">
        <v>2</v>
      </c>
      <c r="AB522">
        <v>0</v>
      </c>
    </row>
    <row r="523" spans="1:28">
      <c r="A523" s="133">
        <v>0.61805555555555503</v>
      </c>
      <c r="N523">
        <v>0</v>
      </c>
      <c r="AB523">
        <v>0</v>
      </c>
    </row>
    <row r="524" spans="1:28">
      <c r="A524" s="133">
        <v>0.625</v>
      </c>
      <c r="N524">
        <v>0</v>
      </c>
      <c r="AB524">
        <v>0</v>
      </c>
    </row>
    <row r="525" spans="1:28">
      <c r="A525" s="133">
        <v>0.63194444444444398</v>
      </c>
      <c r="N525">
        <v>0</v>
      </c>
      <c r="AB525">
        <v>0</v>
      </c>
    </row>
    <row r="526" spans="1:28">
      <c r="A526" s="133">
        <v>0.63888888888888895</v>
      </c>
      <c r="N526">
        <v>0</v>
      </c>
      <c r="AB526">
        <v>0</v>
      </c>
    </row>
    <row r="527" spans="1:28">
      <c r="A527" s="133">
        <v>0.64583333333333304</v>
      </c>
      <c r="N527">
        <v>0</v>
      </c>
      <c r="AB527">
        <v>0</v>
      </c>
    </row>
    <row r="528" spans="1:28">
      <c r="A528" s="133">
        <v>0.65277777777777801</v>
      </c>
      <c r="N528">
        <v>0</v>
      </c>
      <c r="AB528">
        <v>0</v>
      </c>
    </row>
    <row r="529" spans="1:28">
      <c r="A529" s="133">
        <v>0.65972222222222199</v>
      </c>
      <c r="N529">
        <v>0</v>
      </c>
      <c r="AB529">
        <v>0</v>
      </c>
    </row>
    <row r="530" spans="1:28">
      <c r="A530" s="133">
        <v>0.66666666666666596</v>
      </c>
      <c r="N530">
        <v>0</v>
      </c>
      <c r="AB530">
        <v>0</v>
      </c>
    </row>
    <row r="531" spans="1:28">
      <c r="A531" s="133">
        <v>0.67361111111111105</v>
      </c>
      <c r="N531">
        <v>0</v>
      </c>
      <c r="AB531">
        <v>0</v>
      </c>
    </row>
    <row r="532" spans="1:28">
      <c r="A532" s="133">
        <v>0.68055555555555503</v>
      </c>
      <c r="N532">
        <v>0</v>
      </c>
      <c r="AB532">
        <v>0</v>
      </c>
    </row>
    <row r="533" spans="1:28">
      <c r="A533" s="133">
        <v>0.687499999999999</v>
      </c>
      <c r="N533">
        <v>0</v>
      </c>
      <c r="AB533">
        <v>0</v>
      </c>
    </row>
    <row r="534" spans="1:28">
      <c r="A534" s="133">
        <v>0.69444444444444398</v>
      </c>
      <c r="N534">
        <v>0</v>
      </c>
      <c r="AB534">
        <v>0</v>
      </c>
    </row>
    <row r="535" spans="1:28">
      <c r="A535" s="133">
        <v>0.70138888888888895</v>
      </c>
      <c r="N535">
        <v>0</v>
      </c>
      <c r="AB535">
        <v>0</v>
      </c>
    </row>
    <row r="536" spans="1:28">
      <c r="A536" s="133">
        <v>0.70833333333333204</v>
      </c>
      <c r="N536">
        <v>0</v>
      </c>
      <c r="AB536">
        <v>0</v>
      </c>
    </row>
    <row r="537" spans="1:28">
      <c r="A537" s="133">
        <v>0.71527777777777801</v>
      </c>
      <c r="N537">
        <v>0</v>
      </c>
      <c r="AB537">
        <v>0</v>
      </c>
    </row>
    <row r="538" spans="1:28">
      <c r="A538" s="133">
        <v>0.72222222222222199</v>
      </c>
      <c r="N538">
        <v>0</v>
      </c>
      <c r="AB538">
        <v>0</v>
      </c>
    </row>
    <row r="539" spans="1:28">
      <c r="A539" s="133">
        <v>0.72916666666666496</v>
      </c>
      <c r="N539">
        <v>0</v>
      </c>
      <c r="AB539">
        <v>0</v>
      </c>
    </row>
    <row r="540" spans="1:28">
      <c r="A540" s="133">
        <v>0.73611111111111105</v>
      </c>
      <c r="N540">
        <v>0</v>
      </c>
      <c r="AB540">
        <v>0</v>
      </c>
    </row>
    <row r="541" spans="1:28">
      <c r="A541" s="133">
        <v>0.74305555555555503</v>
      </c>
      <c r="N541">
        <v>0</v>
      </c>
      <c r="AB541">
        <v>0</v>
      </c>
    </row>
    <row r="542" spans="1:28">
      <c r="A542" s="133">
        <v>0.749999999999998</v>
      </c>
      <c r="N542">
        <v>0</v>
      </c>
      <c r="AB542">
        <v>0</v>
      </c>
    </row>
    <row r="543" spans="1:28">
      <c r="A543" s="133">
        <v>0.75694444444444398</v>
      </c>
      <c r="N543">
        <v>0</v>
      </c>
      <c r="AB543">
        <v>0</v>
      </c>
    </row>
    <row r="544" spans="1:28">
      <c r="A544" s="133">
        <v>0.76388888888888895</v>
      </c>
      <c r="N544">
        <v>0</v>
      </c>
      <c r="AB544">
        <v>0</v>
      </c>
    </row>
    <row r="545" spans="1:28">
      <c r="A545" s="133">
        <v>0.77083333333333104</v>
      </c>
      <c r="N545">
        <v>0</v>
      </c>
      <c r="AB545">
        <v>0</v>
      </c>
    </row>
    <row r="546" spans="1:28">
      <c r="A546" s="133">
        <v>0.77777777777777801</v>
      </c>
      <c r="N546">
        <v>0</v>
      </c>
      <c r="AB546">
        <v>0</v>
      </c>
    </row>
    <row r="547" spans="1:28">
      <c r="A547" s="133">
        <v>0.78472222222222199</v>
      </c>
      <c r="N547">
        <v>0</v>
      </c>
      <c r="AB547">
        <v>0</v>
      </c>
    </row>
    <row r="548" spans="1:28">
      <c r="A548" s="133">
        <v>0.79166666666666397</v>
      </c>
      <c r="N548">
        <v>0</v>
      </c>
      <c r="AB548">
        <v>0</v>
      </c>
    </row>
    <row r="549" spans="1:28">
      <c r="A549" s="133">
        <v>0.79861111111111105</v>
      </c>
      <c r="N549">
        <v>0</v>
      </c>
      <c r="AB549">
        <v>0</v>
      </c>
    </row>
    <row r="550" spans="1:28">
      <c r="A550" s="133">
        <v>0.80555555555555503</v>
      </c>
      <c r="N550">
        <v>0</v>
      </c>
      <c r="AB550">
        <v>0</v>
      </c>
    </row>
    <row r="551" spans="1:28">
      <c r="A551" s="133">
        <v>0.812499999999997</v>
      </c>
      <c r="N551">
        <v>0</v>
      </c>
      <c r="AB551">
        <v>0</v>
      </c>
    </row>
    <row r="552" spans="1:28">
      <c r="A552" s="133">
        <v>0.81944444444444398</v>
      </c>
      <c r="N552">
        <v>0</v>
      </c>
      <c r="AB552">
        <v>0</v>
      </c>
    </row>
    <row r="553" spans="1:28">
      <c r="A553" s="133">
        <v>0.82638888888888895</v>
      </c>
      <c r="N553">
        <v>0</v>
      </c>
      <c r="AB553">
        <v>0</v>
      </c>
    </row>
    <row r="554" spans="1:28">
      <c r="A554" s="133">
        <v>0.83333333333333004</v>
      </c>
      <c r="N554">
        <v>0</v>
      </c>
      <c r="AB554">
        <v>0</v>
      </c>
    </row>
    <row r="555" spans="1:28">
      <c r="A555" s="133">
        <v>0.84027777777777801</v>
      </c>
      <c r="N555">
        <v>0</v>
      </c>
      <c r="AB555">
        <v>0</v>
      </c>
    </row>
    <row r="556" spans="1:28">
      <c r="A556" s="133">
        <v>0.84722222222222199</v>
      </c>
      <c r="N556">
        <v>0</v>
      </c>
      <c r="AB556">
        <v>0</v>
      </c>
    </row>
    <row r="557" spans="1:28">
      <c r="A557" s="133">
        <v>0.85416666666666297</v>
      </c>
      <c r="N557">
        <v>0</v>
      </c>
      <c r="AB557">
        <v>0</v>
      </c>
    </row>
    <row r="558" spans="1:28">
      <c r="A558" s="133">
        <v>0.86111111111111105</v>
      </c>
      <c r="N558">
        <v>0</v>
      </c>
      <c r="AB558">
        <v>0</v>
      </c>
    </row>
    <row r="559" spans="1:28">
      <c r="A559" s="133">
        <v>0.86805555555555503</v>
      </c>
      <c r="N559">
        <v>0</v>
      </c>
      <c r="AB559">
        <v>0</v>
      </c>
    </row>
    <row r="560" spans="1:28">
      <c r="A560" s="133">
        <v>0.874999999999996</v>
      </c>
      <c r="N560">
        <v>0</v>
      </c>
      <c r="AB560">
        <v>0</v>
      </c>
    </row>
    <row r="561" spans="1:28">
      <c r="A561" s="133">
        <v>0.88194444444444398</v>
      </c>
      <c r="N561">
        <v>0</v>
      </c>
      <c r="AB561">
        <v>0</v>
      </c>
    </row>
    <row r="562" spans="1:28">
      <c r="A562" s="133">
        <v>0.88888888888888895</v>
      </c>
      <c r="N562">
        <v>0</v>
      </c>
      <c r="AB562">
        <v>0</v>
      </c>
    </row>
    <row r="563" spans="1:28">
      <c r="A563" s="133">
        <v>0.89583333333333004</v>
      </c>
      <c r="N563">
        <v>0</v>
      </c>
      <c r="AB563">
        <v>0</v>
      </c>
    </row>
    <row r="564" spans="1:28">
      <c r="A564" s="133">
        <v>0.90277777777777801</v>
      </c>
      <c r="N564">
        <v>0</v>
      </c>
      <c r="AB564">
        <v>0</v>
      </c>
    </row>
    <row r="565" spans="1:28">
      <c r="A565" s="133">
        <v>0.90972222222222199</v>
      </c>
      <c r="N565">
        <v>0</v>
      </c>
      <c r="AB565">
        <v>0</v>
      </c>
    </row>
    <row r="566" spans="1:28">
      <c r="A566" s="133">
        <v>0.91666666666666397</v>
      </c>
      <c r="N566">
        <v>0</v>
      </c>
      <c r="AB566">
        <v>0</v>
      </c>
    </row>
    <row r="567" spans="1:28">
      <c r="A567" s="133">
        <v>0.92361111111111105</v>
      </c>
      <c r="N567">
        <v>0</v>
      </c>
      <c r="AB567">
        <v>0</v>
      </c>
    </row>
    <row r="568" spans="1:28">
      <c r="A568" s="133">
        <v>0.93055555555555503</v>
      </c>
      <c r="N568">
        <v>0</v>
      </c>
      <c r="AB568">
        <v>0</v>
      </c>
    </row>
    <row r="569" spans="1:28">
      <c r="A569" s="133">
        <v>0.937499999999998</v>
      </c>
      <c r="N569">
        <v>0</v>
      </c>
      <c r="AB569">
        <v>0</v>
      </c>
    </row>
    <row r="570" spans="1:28">
      <c r="A570" s="133">
        <v>0.94444444444444398</v>
      </c>
      <c r="N570">
        <v>0</v>
      </c>
      <c r="AB570">
        <v>0</v>
      </c>
    </row>
    <row r="571" spans="1:28">
      <c r="A571" s="133">
        <v>0.95138888888888895</v>
      </c>
      <c r="N571">
        <v>0</v>
      </c>
      <c r="AB571">
        <v>0</v>
      </c>
    </row>
    <row r="572" spans="1:28">
      <c r="A572" s="133">
        <v>0.95833333333333204</v>
      </c>
      <c r="N572">
        <v>0</v>
      </c>
      <c r="AB572">
        <v>0</v>
      </c>
    </row>
    <row r="573" spans="1:28">
      <c r="A573" s="133">
        <v>0.96527777777777801</v>
      </c>
      <c r="N573">
        <v>0</v>
      </c>
      <c r="AB573">
        <v>0</v>
      </c>
    </row>
    <row r="574" spans="1:28">
      <c r="A574" s="133">
        <v>0.97222222222222199</v>
      </c>
      <c r="N574">
        <v>0</v>
      </c>
      <c r="AB574">
        <v>0</v>
      </c>
    </row>
    <row r="575" spans="1:28">
      <c r="A575" s="133">
        <v>0.97916666666666596</v>
      </c>
      <c r="N575">
        <v>0</v>
      </c>
      <c r="AB575">
        <v>0</v>
      </c>
    </row>
    <row r="576" spans="1:28">
      <c r="A576" s="133">
        <v>0.98611111111111105</v>
      </c>
      <c r="N576">
        <v>0</v>
      </c>
      <c r="AB576">
        <v>0</v>
      </c>
    </row>
    <row r="577" spans="1:29">
      <c r="A577" s="133">
        <v>0.99305555555555503</v>
      </c>
      <c r="N577">
        <v>0</v>
      </c>
      <c r="AB577">
        <v>0</v>
      </c>
    </row>
    <row r="578" spans="1:29">
      <c r="A578" s="286">
        <v>0</v>
      </c>
      <c r="AC578">
        <v>-2</v>
      </c>
    </row>
    <row r="579" spans="1:29">
      <c r="A579" s="286">
        <v>6.9444444444444441E-3</v>
      </c>
      <c r="AC579">
        <v>-2</v>
      </c>
    </row>
    <row r="580" spans="1:29">
      <c r="A580" s="286">
        <v>1.38888888888889E-2</v>
      </c>
      <c r="AC580">
        <v>-2</v>
      </c>
    </row>
    <row r="581" spans="1:29">
      <c r="A581" s="286">
        <v>2.0833333333333332E-2</v>
      </c>
      <c r="AC581">
        <v>-2</v>
      </c>
    </row>
    <row r="582" spans="1:29">
      <c r="A582" s="286">
        <v>2.7777777777777801E-2</v>
      </c>
      <c r="AC582">
        <v>-2</v>
      </c>
    </row>
    <row r="583" spans="1:29">
      <c r="A583" s="286">
        <v>3.4722222222222203E-2</v>
      </c>
      <c r="AC583">
        <v>-2</v>
      </c>
    </row>
    <row r="584" spans="1:29">
      <c r="A584" s="286">
        <v>4.1666666666666699E-2</v>
      </c>
      <c r="AC584">
        <v>-2</v>
      </c>
    </row>
    <row r="585" spans="1:29">
      <c r="A585" s="286">
        <v>4.8611111111111098E-2</v>
      </c>
      <c r="AC585">
        <v>-2</v>
      </c>
    </row>
    <row r="586" spans="1:29">
      <c r="A586" s="286">
        <v>5.5555555555555601E-2</v>
      </c>
      <c r="AC586">
        <v>-2</v>
      </c>
    </row>
    <row r="587" spans="1:29">
      <c r="A587" s="286">
        <v>6.25E-2</v>
      </c>
      <c r="AC587">
        <v>-2</v>
      </c>
    </row>
    <row r="588" spans="1:29">
      <c r="A588" s="286">
        <v>6.9444444444444406E-2</v>
      </c>
      <c r="AC588">
        <v>-2</v>
      </c>
    </row>
    <row r="589" spans="1:29">
      <c r="A589" s="286">
        <v>7.6388888888888895E-2</v>
      </c>
      <c r="AC589">
        <v>-2</v>
      </c>
    </row>
    <row r="590" spans="1:29">
      <c r="A590" s="286">
        <v>8.3333333333333301E-2</v>
      </c>
      <c r="AC590">
        <v>-2</v>
      </c>
    </row>
    <row r="591" spans="1:29">
      <c r="A591" s="286">
        <v>9.0277777777777804E-2</v>
      </c>
      <c r="AC591">
        <v>-2</v>
      </c>
    </row>
    <row r="592" spans="1:29">
      <c r="A592" s="286">
        <v>9.7222222222222196E-2</v>
      </c>
      <c r="AC592">
        <v>-2</v>
      </c>
    </row>
    <row r="593" spans="1:29">
      <c r="A593" s="286">
        <v>0.104166666666667</v>
      </c>
      <c r="AC593">
        <v>-2</v>
      </c>
    </row>
    <row r="594" spans="1:29">
      <c r="A594" s="286">
        <v>0.11111111111111099</v>
      </c>
      <c r="AC594">
        <v>-2</v>
      </c>
    </row>
    <row r="595" spans="1:29">
      <c r="A595" s="286">
        <v>0.118055555555556</v>
      </c>
      <c r="AC595">
        <v>-2</v>
      </c>
    </row>
    <row r="596" spans="1:29">
      <c r="A596" s="286">
        <v>0.125</v>
      </c>
      <c r="AC596">
        <v>-2</v>
      </c>
    </row>
    <row r="597" spans="1:29">
      <c r="A597" s="286">
        <v>0.131944444444444</v>
      </c>
      <c r="AC597">
        <v>-2</v>
      </c>
    </row>
    <row r="598" spans="1:29">
      <c r="A598" s="286">
        <v>0.13888888888888901</v>
      </c>
      <c r="AC598">
        <v>-2</v>
      </c>
    </row>
    <row r="599" spans="1:29">
      <c r="A599" s="286">
        <v>0.14583333333333301</v>
      </c>
      <c r="AC599">
        <v>-2</v>
      </c>
    </row>
    <row r="600" spans="1:29">
      <c r="A600" s="286">
        <v>0.15277777777777801</v>
      </c>
      <c r="AC600">
        <v>-2</v>
      </c>
    </row>
    <row r="601" spans="1:29">
      <c r="A601" s="286">
        <v>0.15972222222222199</v>
      </c>
      <c r="AC601">
        <v>-2</v>
      </c>
    </row>
    <row r="602" spans="1:29">
      <c r="A602" s="286">
        <v>0.16666666666666699</v>
      </c>
      <c r="AC602">
        <v>-2</v>
      </c>
    </row>
    <row r="603" spans="1:29">
      <c r="A603" s="286">
        <v>0.17361111111111099</v>
      </c>
      <c r="AC603">
        <v>-2</v>
      </c>
    </row>
    <row r="604" spans="1:29">
      <c r="A604" s="286">
        <v>0.180555555555556</v>
      </c>
      <c r="AC604">
        <v>-2</v>
      </c>
    </row>
    <row r="605" spans="1:29">
      <c r="A605" s="286">
        <v>0.1875</v>
      </c>
      <c r="AC605">
        <v>-2</v>
      </c>
    </row>
    <row r="606" spans="1:29">
      <c r="A606" s="286">
        <v>0.194444444444444</v>
      </c>
      <c r="AC606">
        <v>-2</v>
      </c>
    </row>
    <row r="607" spans="1:29">
      <c r="A607" s="286">
        <v>0.20138888888888901</v>
      </c>
      <c r="AC607">
        <v>-2</v>
      </c>
    </row>
    <row r="608" spans="1:29">
      <c r="A608" s="286">
        <v>0.20833333333333301</v>
      </c>
      <c r="AC608">
        <v>-2</v>
      </c>
    </row>
    <row r="609" spans="1:29">
      <c r="A609" s="286">
        <v>0.21527777777777801</v>
      </c>
      <c r="AC609">
        <v>-2</v>
      </c>
    </row>
    <row r="610" spans="1:29">
      <c r="A610" s="286">
        <v>0.22222222222222199</v>
      </c>
      <c r="AC610">
        <v>-2</v>
      </c>
    </row>
    <row r="611" spans="1:29">
      <c r="A611" s="286">
        <v>0.22916666666666699</v>
      </c>
      <c r="AC611">
        <v>-2</v>
      </c>
    </row>
    <row r="612" spans="1:29">
      <c r="A612" s="286">
        <v>0.23611111111111099</v>
      </c>
      <c r="AC612">
        <v>-2</v>
      </c>
    </row>
    <row r="613" spans="1:29">
      <c r="A613" s="286">
        <v>0.243055555555556</v>
      </c>
      <c r="AC613">
        <v>-2</v>
      </c>
    </row>
    <row r="614" spans="1:29">
      <c r="A614" s="286">
        <v>0.25</v>
      </c>
    </row>
    <row r="615" spans="1:29">
      <c r="A615" s="286">
        <v>0.25694444444444398</v>
      </c>
    </row>
    <row r="616" spans="1:29">
      <c r="A616" s="286">
        <v>0.26388888888888901</v>
      </c>
    </row>
    <row r="617" spans="1:29">
      <c r="A617" s="286">
        <v>0.27083333333333298</v>
      </c>
    </row>
    <row r="618" spans="1:29">
      <c r="A618" s="286">
        <v>0.27777777777777801</v>
      </c>
    </row>
    <row r="619" spans="1:29">
      <c r="A619" s="286">
        <v>0.28472222222222199</v>
      </c>
    </row>
    <row r="620" spans="1:29">
      <c r="A620" s="286">
        <v>0.29166666666666702</v>
      </c>
    </row>
    <row r="621" spans="1:29">
      <c r="A621" s="286">
        <v>0.29861111111111099</v>
      </c>
    </row>
    <row r="622" spans="1:29">
      <c r="A622" s="286">
        <v>0.30555555555555602</v>
      </c>
    </row>
    <row r="623" spans="1:29">
      <c r="A623" s="286">
        <v>0.3125</v>
      </c>
    </row>
    <row r="624" spans="1:29">
      <c r="A624" s="286">
        <v>0.31944444444444398</v>
      </c>
    </row>
    <row r="625" spans="1:1">
      <c r="A625" s="286">
        <v>0.32638888888888901</v>
      </c>
    </row>
    <row r="626" spans="1:1">
      <c r="A626" s="286">
        <v>0.33333333333333298</v>
      </c>
    </row>
    <row r="627" spans="1:1">
      <c r="A627" s="286">
        <v>0.34027777777777801</v>
      </c>
    </row>
    <row r="628" spans="1:1">
      <c r="A628" s="286">
        <v>0.34722222222222199</v>
      </c>
    </row>
    <row r="629" spans="1:1">
      <c r="A629" s="286">
        <v>0.35416666666666702</v>
      </c>
    </row>
    <row r="630" spans="1:1">
      <c r="A630" s="286">
        <v>0.36111111111111099</v>
      </c>
    </row>
    <row r="631" spans="1:1">
      <c r="A631" s="286">
        <v>0.36805555555555602</v>
      </c>
    </row>
    <row r="632" spans="1:1">
      <c r="A632" s="286">
        <v>0.375</v>
      </c>
    </row>
    <row r="633" spans="1:1">
      <c r="A633" s="286">
        <v>0.38194444444444398</v>
      </c>
    </row>
    <row r="634" spans="1:1">
      <c r="A634" s="286">
        <v>0.38888888888888901</v>
      </c>
    </row>
    <row r="635" spans="1:1">
      <c r="A635" s="286">
        <v>0.39583333333333298</v>
      </c>
    </row>
    <row r="636" spans="1:1">
      <c r="A636" s="286">
        <v>0.40277777777777801</v>
      </c>
    </row>
    <row r="637" spans="1:1">
      <c r="A637" s="286">
        <v>0.40972222222222199</v>
      </c>
    </row>
    <row r="638" spans="1:1">
      <c r="A638" s="286">
        <v>0.41666666666666702</v>
      </c>
    </row>
    <row r="639" spans="1:1">
      <c r="A639" s="286">
        <v>0.42361111111111099</v>
      </c>
    </row>
    <row r="640" spans="1:1">
      <c r="A640" s="286">
        <v>0.43055555555555602</v>
      </c>
    </row>
    <row r="641" spans="1:1">
      <c r="A641" s="286">
        <v>0.4375</v>
      </c>
    </row>
    <row r="642" spans="1:1">
      <c r="A642" s="286">
        <v>0.44444444444444398</v>
      </c>
    </row>
    <row r="643" spans="1:1">
      <c r="A643" s="286">
        <v>0.45138888888888901</v>
      </c>
    </row>
    <row r="644" spans="1:1">
      <c r="A644" s="286">
        <v>0.45833333333333298</v>
      </c>
    </row>
    <row r="645" spans="1:1">
      <c r="A645" s="286">
        <v>0.46527777777777801</v>
      </c>
    </row>
    <row r="646" spans="1:1">
      <c r="A646" s="286">
        <v>0.47222222222222199</v>
      </c>
    </row>
    <row r="647" spans="1:1">
      <c r="A647" s="286">
        <v>0.47916666666666702</v>
      </c>
    </row>
    <row r="648" spans="1:1">
      <c r="A648" s="286">
        <v>0.48611111111111099</v>
      </c>
    </row>
    <row r="649" spans="1:1">
      <c r="A649" s="286">
        <v>0.49305555555555602</v>
      </c>
    </row>
    <row r="650" spans="1:1">
      <c r="A650" s="286">
        <v>0.5</v>
      </c>
    </row>
    <row r="651" spans="1:1">
      <c r="A651" s="286">
        <v>0.50694444444444398</v>
      </c>
    </row>
    <row r="652" spans="1:1">
      <c r="A652" s="286">
        <v>0.51388888888888895</v>
      </c>
    </row>
    <row r="653" spans="1:1">
      <c r="A653" s="286">
        <v>0.52083333333333304</v>
      </c>
    </row>
    <row r="654" spans="1:1">
      <c r="A654" s="286">
        <v>0.52777777777777801</v>
      </c>
    </row>
    <row r="655" spans="1:1">
      <c r="A655" s="286">
        <v>0.53472222222222199</v>
      </c>
    </row>
    <row r="656" spans="1:1">
      <c r="A656" s="286">
        <v>0.54166666666666696</v>
      </c>
    </row>
    <row r="657" spans="1:1">
      <c r="A657" s="286">
        <v>0.54861111111111105</v>
      </c>
    </row>
    <row r="658" spans="1:1">
      <c r="A658" s="286">
        <v>0.55555555555555602</v>
      </c>
    </row>
    <row r="659" spans="1:1">
      <c r="A659" s="286">
        <v>0.5625</v>
      </c>
    </row>
    <row r="660" spans="1:1">
      <c r="A660" s="286">
        <v>0.56944444444444398</v>
      </c>
    </row>
    <row r="661" spans="1:1">
      <c r="A661" s="286">
        <v>0.57638888888888895</v>
      </c>
    </row>
    <row r="662" spans="1:1">
      <c r="A662" s="286">
        <v>0.58333333333333304</v>
      </c>
    </row>
    <row r="663" spans="1:1">
      <c r="A663" s="286">
        <v>0.59027777777777801</v>
      </c>
    </row>
    <row r="664" spans="1:1">
      <c r="A664" s="286">
        <v>0.59722222222222199</v>
      </c>
    </row>
    <row r="665" spans="1:1">
      <c r="A665" s="286">
        <v>0.60416666666666696</v>
      </c>
    </row>
    <row r="666" spans="1:1">
      <c r="A666" s="286">
        <v>0.61111111111111105</v>
      </c>
    </row>
    <row r="667" spans="1:1">
      <c r="A667" s="286">
        <v>0.61805555555555503</v>
      </c>
    </row>
    <row r="668" spans="1:1">
      <c r="A668" s="286">
        <v>0.625</v>
      </c>
    </row>
    <row r="669" spans="1:1">
      <c r="A669" s="286">
        <v>0.63194444444444398</v>
      </c>
    </row>
    <row r="670" spans="1:1">
      <c r="A670" s="286">
        <v>0.63888888888888895</v>
      </c>
    </row>
    <row r="671" spans="1:1">
      <c r="A671" s="286">
        <v>0.64583333333333304</v>
      </c>
    </row>
    <row r="672" spans="1:1">
      <c r="A672" s="286">
        <v>0.65277777777777801</v>
      </c>
    </row>
    <row r="673" spans="1:27">
      <c r="A673" s="286">
        <v>0.65972222222222199</v>
      </c>
    </row>
    <row r="674" spans="1:27">
      <c r="A674" s="286">
        <v>0.66666666666666596</v>
      </c>
    </row>
    <row r="675" spans="1:27">
      <c r="A675" s="286">
        <v>0.67361111111111105</v>
      </c>
    </row>
    <row r="676" spans="1:27">
      <c r="A676" s="286">
        <v>0.68055555555555503</v>
      </c>
    </row>
    <row r="677" spans="1:27">
      <c r="A677" s="286">
        <v>0.687499999999999</v>
      </c>
    </row>
    <row r="678" spans="1:27">
      <c r="A678" s="286">
        <v>0.69444444444444398</v>
      </c>
    </row>
    <row r="679" spans="1:27">
      <c r="A679" s="286">
        <v>0.70138888888888895</v>
      </c>
    </row>
    <row r="680" spans="1:27">
      <c r="A680" s="286">
        <v>0.70833333333333204</v>
      </c>
    </row>
    <row r="681" spans="1:27">
      <c r="A681" s="286">
        <v>0.71527777777777801</v>
      </c>
    </row>
    <row r="682" spans="1:27">
      <c r="A682" s="286">
        <v>0.72222222222222199</v>
      </c>
    </row>
    <row r="683" spans="1:27">
      <c r="A683" s="286">
        <v>0.72916666666666496</v>
      </c>
    </row>
    <row r="684" spans="1:27">
      <c r="A684" s="286">
        <v>0.73611111111111105</v>
      </c>
      <c r="AA684">
        <v>-2</v>
      </c>
    </row>
    <row r="685" spans="1:27">
      <c r="A685" s="286">
        <v>0.74305555555555503</v>
      </c>
      <c r="AA685">
        <v>-2</v>
      </c>
    </row>
    <row r="686" spans="1:27">
      <c r="A686" s="286">
        <v>0.749999999999998</v>
      </c>
      <c r="AA686">
        <v>-2</v>
      </c>
    </row>
    <row r="687" spans="1:27">
      <c r="A687" s="286">
        <v>0.75694444444444398</v>
      </c>
      <c r="AA687">
        <v>-2</v>
      </c>
    </row>
    <row r="688" spans="1:27">
      <c r="A688" s="286">
        <v>0.76388888888888895</v>
      </c>
      <c r="AA688">
        <v>-2</v>
      </c>
    </row>
    <row r="689" spans="1:27">
      <c r="A689" s="286">
        <v>0.77083333333333104</v>
      </c>
      <c r="AA689">
        <v>-2</v>
      </c>
    </row>
    <row r="690" spans="1:27">
      <c r="A690" s="286">
        <v>0.77777777777777801</v>
      </c>
      <c r="AA690">
        <v>-2</v>
      </c>
    </row>
    <row r="691" spans="1:27">
      <c r="A691" s="286">
        <v>0.78472222222222199</v>
      </c>
      <c r="AA691">
        <v>-2</v>
      </c>
    </row>
    <row r="692" spans="1:27">
      <c r="A692" s="286">
        <v>0.79166666666666397</v>
      </c>
    </row>
    <row r="693" spans="1:27">
      <c r="A693" s="286">
        <v>0.79861111111111105</v>
      </c>
    </row>
    <row r="694" spans="1:27">
      <c r="A694" s="286">
        <v>0.80555555555555503</v>
      </c>
    </row>
    <row r="695" spans="1:27">
      <c r="A695" s="286">
        <v>0.812499999999997</v>
      </c>
    </row>
    <row r="696" spans="1:27">
      <c r="A696" s="286">
        <v>0.81944444444444398</v>
      </c>
    </row>
    <row r="697" spans="1:27">
      <c r="A697" s="286">
        <v>0.82638888888888895</v>
      </c>
    </row>
    <row r="698" spans="1:27">
      <c r="A698" s="286">
        <v>0.83333333333333004</v>
      </c>
    </row>
    <row r="699" spans="1:27">
      <c r="A699" s="286">
        <v>0.84027777777777801</v>
      </c>
    </row>
    <row r="700" spans="1:27">
      <c r="A700" s="286">
        <v>0.84722222222222199</v>
      </c>
    </row>
    <row r="701" spans="1:27">
      <c r="A701" s="286">
        <v>0.85416666666666297</v>
      </c>
    </row>
    <row r="702" spans="1:27">
      <c r="A702" s="286">
        <v>0.86111111111111105</v>
      </c>
    </row>
    <row r="703" spans="1:27">
      <c r="A703" s="286">
        <v>0.86805555555555503</v>
      </c>
    </row>
    <row r="704" spans="1:27">
      <c r="A704" s="286">
        <v>0.874999999999996</v>
      </c>
    </row>
    <row r="705" spans="1:1">
      <c r="A705" s="286">
        <v>0.88194444444444398</v>
      </c>
    </row>
    <row r="706" spans="1:1">
      <c r="A706" s="286">
        <v>0.88888888888888895</v>
      </c>
    </row>
    <row r="707" spans="1:1">
      <c r="A707" s="286">
        <v>0.89583333333333004</v>
      </c>
    </row>
    <row r="708" spans="1:1">
      <c r="A708" s="286">
        <v>0.90277777777777801</v>
      </c>
    </row>
    <row r="709" spans="1:1">
      <c r="A709" s="286">
        <v>0.90972222222222199</v>
      </c>
    </row>
    <row r="710" spans="1:1">
      <c r="A710" s="286">
        <v>0.91666666666666397</v>
      </c>
    </row>
    <row r="711" spans="1:1">
      <c r="A711" s="286">
        <v>0.92361111111111105</v>
      </c>
    </row>
    <row r="712" spans="1:1">
      <c r="A712" s="286">
        <v>0.93055555555555503</v>
      </c>
    </row>
    <row r="713" spans="1:1">
      <c r="A713" s="286">
        <v>0.937499999999998</v>
      </c>
    </row>
    <row r="714" spans="1:1">
      <c r="A714" s="286">
        <v>0.94444444444444398</v>
      </c>
    </row>
    <row r="715" spans="1:1">
      <c r="A715" s="286">
        <v>0.95138888888888895</v>
      </c>
    </row>
    <row r="716" spans="1:1">
      <c r="A716" s="286">
        <v>0.95833333333333204</v>
      </c>
    </row>
    <row r="717" spans="1:1">
      <c r="A717" s="286">
        <v>0.96527777777777801</v>
      </c>
    </row>
    <row r="718" spans="1:1">
      <c r="A718" s="286">
        <v>0.97222222222222199</v>
      </c>
    </row>
    <row r="719" spans="1:1">
      <c r="A719" s="286">
        <v>0.97916666666666596</v>
      </c>
    </row>
    <row r="720" spans="1:1">
      <c r="A720" s="286">
        <v>0.98611111111111105</v>
      </c>
    </row>
    <row r="721" spans="1:1">
      <c r="A721" s="286">
        <v>0.99305555555555503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>
    <tabColor rgb="FFFF0000"/>
  </sheetPr>
  <dimension ref="A1:AA1148"/>
  <sheetViews>
    <sheetView workbookViewId="0">
      <selection activeCell="A2" sqref="A2:A506"/>
    </sheetView>
  </sheetViews>
  <sheetFormatPr defaultRowHeight="15"/>
  <sheetData>
    <row r="1" spans="1:27">
      <c r="A1">
        <f>COUNTA(A2:A1087)</f>
        <v>26</v>
      </c>
      <c r="B1" t="s">
        <v>850</v>
      </c>
      <c r="C1" t="s">
        <v>851</v>
      </c>
      <c r="D1" t="s">
        <v>853</v>
      </c>
      <c r="E1" t="s">
        <v>854</v>
      </c>
      <c r="F1" t="s">
        <v>855</v>
      </c>
      <c r="G1" t="s">
        <v>856</v>
      </c>
      <c r="H1" t="s">
        <v>859</v>
      </c>
      <c r="I1" t="s">
        <v>861</v>
      </c>
      <c r="J1" t="s">
        <v>862</v>
      </c>
      <c r="K1" t="s">
        <v>863</v>
      </c>
      <c r="L1" t="s">
        <v>865</v>
      </c>
      <c r="M1" t="s">
        <v>867</v>
      </c>
      <c r="N1" t="s">
        <v>868</v>
      </c>
      <c r="O1" t="s">
        <v>869</v>
      </c>
      <c r="P1" t="s">
        <v>873</v>
      </c>
      <c r="Q1" t="s">
        <v>877</v>
      </c>
      <c r="R1" t="s">
        <v>878</v>
      </c>
      <c r="S1" t="s">
        <v>881</v>
      </c>
      <c r="T1" t="s">
        <v>882</v>
      </c>
      <c r="U1" t="s">
        <v>883</v>
      </c>
      <c r="V1" t="s">
        <v>884</v>
      </c>
      <c r="W1" t="s">
        <v>885</v>
      </c>
      <c r="X1" t="s">
        <v>886</v>
      </c>
      <c r="Y1" t="s">
        <v>887</v>
      </c>
      <c r="Z1" t="s">
        <v>888</v>
      </c>
      <c r="AA1" t="s">
        <v>889</v>
      </c>
    </row>
    <row r="2" spans="1:27">
      <c r="A2" s="485" t="s">
        <v>850</v>
      </c>
      <c r="B2" s="485">
        <v>43952</v>
      </c>
      <c r="C2" s="485">
        <v>43983</v>
      </c>
      <c r="D2" s="485">
        <v>44013</v>
      </c>
      <c r="E2" s="485">
        <v>44044</v>
      </c>
      <c r="F2" s="485">
        <v>44105</v>
      </c>
      <c r="G2" s="485">
        <v>44105</v>
      </c>
      <c r="H2" s="485">
        <v>44287</v>
      </c>
      <c r="I2" s="485">
        <v>44348</v>
      </c>
      <c r="J2" s="485">
        <v>44378</v>
      </c>
      <c r="K2" s="485">
        <v>44409</v>
      </c>
      <c r="L2" s="485">
        <v>44440</v>
      </c>
      <c r="M2" s="485">
        <v>44440</v>
      </c>
      <c r="N2" s="485">
        <v>44470</v>
      </c>
      <c r="O2" s="485">
        <v>44501</v>
      </c>
      <c r="P2" s="485">
        <v>44531</v>
      </c>
      <c r="Q2" s="485">
        <v>44531</v>
      </c>
      <c r="R2" s="485">
        <v>44562</v>
      </c>
      <c r="S2" s="485">
        <v>44593</v>
      </c>
      <c r="T2" s="485">
        <v>44621</v>
      </c>
      <c r="U2" s="485">
        <v>44652</v>
      </c>
      <c r="V2" s="485">
        <v>44682</v>
      </c>
      <c r="W2" s="485">
        <v>44682</v>
      </c>
      <c r="X2" s="485">
        <v>44743</v>
      </c>
      <c r="Y2" s="485">
        <v>44774</v>
      </c>
      <c r="Z2" s="485">
        <v>44958</v>
      </c>
      <c r="AA2" s="485">
        <v>44986</v>
      </c>
    </row>
    <row r="3" spans="1:27">
      <c r="A3" s="485" t="s">
        <v>851</v>
      </c>
      <c r="B3" s="485">
        <v>43953</v>
      </c>
      <c r="C3" s="485">
        <v>43984</v>
      </c>
      <c r="D3" s="485">
        <v>44014</v>
      </c>
      <c r="E3" s="485">
        <v>44045</v>
      </c>
      <c r="F3" s="485">
        <v>44106</v>
      </c>
      <c r="G3" s="485">
        <v>44106</v>
      </c>
      <c r="H3" s="485">
        <v>44288</v>
      </c>
      <c r="I3" s="485">
        <v>44349</v>
      </c>
      <c r="J3" s="485">
        <v>44379</v>
      </c>
      <c r="K3" s="485">
        <v>44410</v>
      </c>
      <c r="L3" s="485">
        <v>44441</v>
      </c>
      <c r="M3" s="485">
        <v>44441</v>
      </c>
      <c r="N3" s="485">
        <v>44471</v>
      </c>
      <c r="O3" s="485">
        <v>44502</v>
      </c>
      <c r="P3" s="485">
        <v>44532</v>
      </c>
      <c r="Q3" s="485">
        <v>44532</v>
      </c>
      <c r="R3" s="485">
        <v>44563</v>
      </c>
      <c r="S3" s="485">
        <v>44594</v>
      </c>
      <c r="T3" s="485">
        <v>44622</v>
      </c>
      <c r="U3" s="485">
        <v>44653</v>
      </c>
      <c r="V3" s="485">
        <v>44683</v>
      </c>
      <c r="W3" s="485">
        <v>44683</v>
      </c>
      <c r="X3" s="485">
        <v>44744</v>
      </c>
      <c r="Y3" s="485">
        <v>44775</v>
      </c>
      <c r="Z3" s="485">
        <v>44959</v>
      </c>
      <c r="AA3" s="485">
        <v>44987</v>
      </c>
    </row>
    <row r="4" spans="1:27">
      <c r="A4" s="485" t="s">
        <v>853</v>
      </c>
      <c r="B4" s="485">
        <v>43954</v>
      </c>
      <c r="C4" s="485">
        <v>43985</v>
      </c>
      <c r="D4" s="485">
        <v>44015</v>
      </c>
      <c r="E4" s="485">
        <v>44046</v>
      </c>
      <c r="F4" s="485">
        <v>44107</v>
      </c>
      <c r="G4" s="485">
        <v>44107</v>
      </c>
      <c r="H4" s="485">
        <v>44289</v>
      </c>
      <c r="I4" s="485">
        <v>44350</v>
      </c>
      <c r="J4" s="485">
        <v>44380</v>
      </c>
      <c r="K4" s="485">
        <v>44411</v>
      </c>
      <c r="L4" s="485">
        <v>44442</v>
      </c>
      <c r="M4" s="485">
        <v>44442</v>
      </c>
      <c r="N4" s="485">
        <v>44472</v>
      </c>
      <c r="O4" s="485">
        <v>44503</v>
      </c>
      <c r="P4" s="485">
        <v>44533</v>
      </c>
      <c r="Q4" s="485">
        <v>44533</v>
      </c>
      <c r="R4" s="485">
        <v>44564</v>
      </c>
      <c r="S4" s="485">
        <v>44595</v>
      </c>
      <c r="T4" s="485">
        <v>44623</v>
      </c>
      <c r="U4" s="485">
        <v>44654</v>
      </c>
      <c r="V4" s="485">
        <v>44684</v>
      </c>
      <c r="W4" s="485">
        <v>44684</v>
      </c>
      <c r="X4" s="485">
        <v>44745</v>
      </c>
      <c r="Y4" s="485">
        <v>44776</v>
      </c>
      <c r="Z4" s="485">
        <v>44960</v>
      </c>
      <c r="AA4" s="485">
        <v>44988</v>
      </c>
    </row>
    <row r="5" spans="1:27">
      <c r="A5" s="485" t="s">
        <v>854</v>
      </c>
      <c r="B5" s="485">
        <v>43955</v>
      </c>
      <c r="C5" s="485">
        <v>43986</v>
      </c>
      <c r="D5" s="485">
        <v>44016</v>
      </c>
      <c r="E5" s="485">
        <v>44047</v>
      </c>
      <c r="F5" s="485">
        <v>44108</v>
      </c>
      <c r="G5" s="485">
        <v>44108</v>
      </c>
      <c r="H5" s="485">
        <v>44290</v>
      </c>
      <c r="I5" s="485">
        <v>44351</v>
      </c>
      <c r="J5" s="485">
        <v>44381</v>
      </c>
      <c r="K5" s="485">
        <v>44412</v>
      </c>
      <c r="L5" s="485">
        <v>44443</v>
      </c>
      <c r="M5" s="485">
        <v>44443</v>
      </c>
      <c r="N5" s="485">
        <v>44473</v>
      </c>
      <c r="O5" s="485">
        <v>44504</v>
      </c>
      <c r="P5" s="485">
        <v>44534</v>
      </c>
      <c r="Q5" s="485">
        <v>44534</v>
      </c>
      <c r="R5" s="485">
        <v>44565</v>
      </c>
      <c r="S5" s="485">
        <v>44596</v>
      </c>
      <c r="T5" s="485">
        <v>44624</v>
      </c>
      <c r="U5" s="485">
        <v>44655</v>
      </c>
      <c r="V5" s="485">
        <v>44685</v>
      </c>
      <c r="W5" s="485">
        <v>44685</v>
      </c>
      <c r="X5" s="485">
        <v>44746</v>
      </c>
      <c r="Y5" s="485">
        <v>44777</v>
      </c>
      <c r="Z5" s="485">
        <v>44961</v>
      </c>
      <c r="AA5" s="485">
        <v>44989</v>
      </c>
    </row>
    <row r="6" spans="1:27">
      <c r="A6" s="485" t="s">
        <v>855</v>
      </c>
      <c r="B6" s="485">
        <v>43956</v>
      </c>
      <c r="C6" s="485">
        <v>43987</v>
      </c>
      <c r="D6" s="485">
        <v>44017</v>
      </c>
      <c r="E6" s="485">
        <v>44048</v>
      </c>
      <c r="F6" s="485">
        <v>44109</v>
      </c>
      <c r="G6" s="485">
        <v>44109</v>
      </c>
      <c r="H6" s="485">
        <v>44291</v>
      </c>
      <c r="I6" s="485">
        <v>44352</v>
      </c>
      <c r="J6" s="485">
        <v>44382</v>
      </c>
      <c r="K6" s="485">
        <v>44413</v>
      </c>
      <c r="L6" s="485">
        <v>44444</v>
      </c>
      <c r="M6" s="485">
        <v>44444</v>
      </c>
      <c r="N6" s="485">
        <v>44474</v>
      </c>
      <c r="O6" s="485">
        <v>44505</v>
      </c>
      <c r="P6" s="485">
        <v>44535</v>
      </c>
      <c r="Q6" s="485">
        <v>44535</v>
      </c>
      <c r="R6" s="485">
        <v>44566</v>
      </c>
      <c r="S6" s="485">
        <v>44597</v>
      </c>
      <c r="T6" s="485">
        <v>44625</v>
      </c>
      <c r="U6" s="485">
        <v>44656</v>
      </c>
      <c r="V6" s="485">
        <v>44686</v>
      </c>
      <c r="W6" s="485">
        <v>44686</v>
      </c>
      <c r="X6" s="485">
        <v>44747</v>
      </c>
      <c r="Y6" s="485">
        <v>44778</v>
      </c>
      <c r="Z6" s="485">
        <v>44962</v>
      </c>
      <c r="AA6" s="485">
        <v>44990</v>
      </c>
    </row>
    <row r="7" spans="1:27">
      <c r="A7" s="485" t="s">
        <v>856</v>
      </c>
      <c r="B7" s="485">
        <v>43957</v>
      </c>
      <c r="C7" s="485">
        <v>43988</v>
      </c>
      <c r="D7" s="485">
        <v>44018</v>
      </c>
      <c r="E7" s="485">
        <v>44049</v>
      </c>
      <c r="F7" s="485">
        <v>44110</v>
      </c>
      <c r="G7" s="485">
        <v>44110</v>
      </c>
      <c r="H7" s="485">
        <v>44292</v>
      </c>
      <c r="I7" s="485">
        <v>44353</v>
      </c>
      <c r="J7" s="485">
        <v>44383</v>
      </c>
      <c r="K7" s="485">
        <v>44414</v>
      </c>
      <c r="L7" s="485">
        <v>44445</v>
      </c>
      <c r="M7" s="485">
        <v>44445</v>
      </c>
      <c r="N7" s="485">
        <v>44475</v>
      </c>
      <c r="O7" s="485">
        <v>44506</v>
      </c>
      <c r="P7" s="485">
        <v>44536</v>
      </c>
      <c r="Q7" s="485">
        <v>44536</v>
      </c>
      <c r="R7" s="485">
        <v>44567</v>
      </c>
      <c r="S7" s="485">
        <v>44598</v>
      </c>
      <c r="T7" s="485">
        <v>44626</v>
      </c>
      <c r="U7" s="485">
        <v>44657</v>
      </c>
      <c r="V7" s="485">
        <v>44687</v>
      </c>
      <c r="W7" s="485">
        <v>44687</v>
      </c>
      <c r="X7" s="485">
        <v>44748</v>
      </c>
      <c r="Y7" s="485">
        <v>44779</v>
      </c>
      <c r="Z7" s="485">
        <v>44963</v>
      </c>
      <c r="AA7" s="485">
        <v>44991</v>
      </c>
    </row>
    <row r="8" spans="1:27">
      <c r="A8" s="485" t="s">
        <v>859</v>
      </c>
      <c r="B8" s="485">
        <v>43958</v>
      </c>
      <c r="C8" s="485">
        <v>43989</v>
      </c>
      <c r="D8" s="485">
        <v>44019</v>
      </c>
      <c r="E8" s="485">
        <v>44050</v>
      </c>
      <c r="F8" s="485">
        <v>44111</v>
      </c>
      <c r="G8" s="485">
        <v>44111</v>
      </c>
      <c r="H8" s="485">
        <v>44293</v>
      </c>
      <c r="I8" s="485">
        <v>44354</v>
      </c>
      <c r="J8" s="485">
        <v>44384</v>
      </c>
      <c r="K8" s="485">
        <v>44415</v>
      </c>
      <c r="L8" s="485">
        <v>44446</v>
      </c>
      <c r="M8" s="485">
        <v>44446</v>
      </c>
      <c r="N8" s="485">
        <v>44476</v>
      </c>
      <c r="O8" s="485">
        <v>44507</v>
      </c>
      <c r="P8" s="485">
        <v>44537</v>
      </c>
      <c r="Q8" s="485">
        <v>44537</v>
      </c>
      <c r="R8" s="485">
        <v>44568</v>
      </c>
      <c r="S8" s="485">
        <v>44599</v>
      </c>
      <c r="T8" s="485">
        <v>44627</v>
      </c>
      <c r="U8" s="485">
        <v>44658</v>
      </c>
      <c r="V8" s="485">
        <v>44688</v>
      </c>
      <c r="W8" s="485">
        <v>44688</v>
      </c>
      <c r="X8" s="485">
        <v>44749</v>
      </c>
      <c r="Y8" s="485">
        <v>44780</v>
      </c>
      <c r="Z8" s="485">
        <v>44964</v>
      </c>
      <c r="AA8" s="485">
        <v>44992</v>
      </c>
    </row>
    <row r="9" spans="1:27">
      <c r="A9" s="485" t="s">
        <v>861</v>
      </c>
      <c r="B9" s="485">
        <v>43959</v>
      </c>
      <c r="C9" s="485">
        <v>43990</v>
      </c>
      <c r="D9" s="485">
        <v>44020</v>
      </c>
      <c r="E9" s="485">
        <v>44051</v>
      </c>
      <c r="F9" s="485">
        <v>44112</v>
      </c>
      <c r="G9" s="485">
        <v>44112</v>
      </c>
      <c r="H9" s="485">
        <v>44294</v>
      </c>
      <c r="I9" s="485">
        <v>44355</v>
      </c>
      <c r="J9" s="485">
        <v>44385</v>
      </c>
      <c r="K9" s="485">
        <v>44416</v>
      </c>
      <c r="L9" s="485">
        <v>44447</v>
      </c>
      <c r="M9" s="485">
        <v>44447</v>
      </c>
      <c r="N9" s="485">
        <v>44477</v>
      </c>
      <c r="O9" s="485">
        <v>44508</v>
      </c>
      <c r="P9" s="485">
        <v>44538</v>
      </c>
      <c r="Q9" s="485">
        <v>44538</v>
      </c>
      <c r="R9" s="485">
        <v>44569</v>
      </c>
      <c r="S9" s="485">
        <v>44600</v>
      </c>
      <c r="T9" s="485">
        <v>44628</v>
      </c>
      <c r="U9" s="485">
        <v>44659</v>
      </c>
      <c r="V9" s="485">
        <v>44689</v>
      </c>
      <c r="W9" s="485">
        <v>44689</v>
      </c>
      <c r="X9" s="485">
        <v>44750</v>
      </c>
      <c r="Y9" s="485">
        <v>44781</v>
      </c>
      <c r="Z9" s="485">
        <v>44965</v>
      </c>
      <c r="AA9" s="485">
        <v>44993</v>
      </c>
    </row>
    <row r="10" spans="1:27">
      <c r="A10" s="485" t="s">
        <v>862</v>
      </c>
      <c r="B10" s="485">
        <v>43960</v>
      </c>
      <c r="C10" s="485">
        <v>43991</v>
      </c>
      <c r="D10" s="485">
        <v>44021</v>
      </c>
      <c r="E10" s="485">
        <v>44052</v>
      </c>
      <c r="F10" s="485">
        <v>44113</v>
      </c>
      <c r="G10" s="485">
        <v>44113</v>
      </c>
      <c r="H10" s="485">
        <v>44295</v>
      </c>
      <c r="I10" s="485">
        <v>44356</v>
      </c>
      <c r="J10" s="485">
        <v>44386</v>
      </c>
      <c r="K10" s="485">
        <v>44417</v>
      </c>
      <c r="L10" s="485">
        <v>44448</v>
      </c>
      <c r="M10" s="485">
        <v>44448</v>
      </c>
      <c r="N10" s="485">
        <v>44478</v>
      </c>
      <c r="O10" s="485">
        <v>44509</v>
      </c>
      <c r="P10" s="485">
        <v>44539</v>
      </c>
      <c r="Q10" s="485">
        <v>44539</v>
      </c>
      <c r="R10" s="485">
        <v>44570</v>
      </c>
      <c r="S10" s="485">
        <v>44601</v>
      </c>
      <c r="T10" s="485">
        <v>44629</v>
      </c>
      <c r="U10" s="485">
        <v>44660</v>
      </c>
      <c r="V10" s="485">
        <v>44690</v>
      </c>
      <c r="W10" s="485">
        <v>44690</v>
      </c>
      <c r="X10" s="485">
        <v>44751</v>
      </c>
      <c r="Y10" s="485">
        <v>44782</v>
      </c>
      <c r="Z10" s="485">
        <v>44966</v>
      </c>
      <c r="AA10" s="485">
        <v>44994</v>
      </c>
    </row>
    <row r="11" spans="1:27">
      <c r="A11" s="485" t="s">
        <v>863</v>
      </c>
      <c r="B11" s="485">
        <v>43961</v>
      </c>
      <c r="C11" s="485">
        <v>43992</v>
      </c>
      <c r="D11" s="485">
        <v>44022</v>
      </c>
      <c r="E11" s="485">
        <v>44053</v>
      </c>
      <c r="F11" s="485">
        <v>44114</v>
      </c>
      <c r="G11" s="485">
        <v>44114</v>
      </c>
      <c r="H11" s="485">
        <v>44296</v>
      </c>
      <c r="I11" s="485">
        <v>44357</v>
      </c>
      <c r="J11" s="485">
        <v>44387</v>
      </c>
      <c r="K11" s="485">
        <v>44418</v>
      </c>
      <c r="L11" s="485">
        <v>44449</v>
      </c>
      <c r="M11" s="485">
        <v>44449</v>
      </c>
      <c r="N11" s="485">
        <v>44479</v>
      </c>
      <c r="O11" s="485">
        <v>44510</v>
      </c>
      <c r="P11" s="485">
        <v>44540</v>
      </c>
      <c r="Q11" s="485">
        <v>44540</v>
      </c>
      <c r="R11" s="485">
        <v>44571</v>
      </c>
      <c r="S11" s="485">
        <v>44602</v>
      </c>
      <c r="T11" s="485">
        <v>44630</v>
      </c>
      <c r="U11" s="485">
        <v>44661</v>
      </c>
      <c r="V11" s="485">
        <v>44691</v>
      </c>
      <c r="W11" s="485">
        <v>44691</v>
      </c>
      <c r="X11" s="485">
        <v>44752</v>
      </c>
      <c r="Y11" s="485">
        <v>44783</v>
      </c>
      <c r="Z11" s="485">
        <v>44967</v>
      </c>
      <c r="AA11" s="485">
        <v>44995</v>
      </c>
    </row>
    <row r="12" spans="1:27">
      <c r="A12" s="485" t="s">
        <v>865</v>
      </c>
      <c r="B12" s="485">
        <v>43962</v>
      </c>
      <c r="C12" s="485">
        <v>43993</v>
      </c>
      <c r="D12" s="485">
        <v>44023</v>
      </c>
      <c r="E12" s="485">
        <v>44054</v>
      </c>
      <c r="F12" s="485">
        <v>44115</v>
      </c>
      <c r="G12" s="485">
        <v>44115</v>
      </c>
      <c r="H12" s="485">
        <v>44297</v>
      </c>
      <c r="I12" s="485">
        <v>44358</v>
      </c>
      <c r="J12" s="485">
        <v>44388</v>
      </c>
      <c r="K12" s="485">
        <v>44419</v>
      </c>
      <c r="L12" s="485">
        <v>44450</v>
      </c>
      <c r="M12" s="485">
        <v>44450</v>
      </c>
      <c r="N12" s="485">
        <v>44480</v>
      </c>
      <c r="O12" s="485">
        <v>44511</v>
      </c>
      <c r="P12" s="485">
        <v>44541</v>
      </c>
      <c r="Q12" s="485">
        <v>44541</v>
      </c>
      <c r="R12" s="485">
        <v>44572</v>
      </c>
      <c r="S12" s="485">
        <v>44603</v>
      </c>
      <c r="T12" s="485">
        <v>44631</v>
      </c>
      <c r="U12" s="485">
        <v>44662</v>
      </c>
      <c r="V12" s="485">
        <v>44692</v>
      </c>
      <c r="W12" s="485">
        <v>44692</v>
      </c>
      <c r="X12" s="485">
        <v>44753</v>
      </c>
      <c r="Y12" s="485">
        <v>44784</v>
      </c>
      <c r="Z12" s="485">
        <v>44968</v>
      </c>
      <c r="AA12" s="485">
        <v>44996</v>
      </c>
    </row>
    <row r="13" spans="1:27">
      <c r="A13" s="485" t="s">
        <v>867</v>
      </c>
      <c r="B13" s="485">
        <v>43963</v>
      </c>
      <c r="C13" s="485">
        <v>43994</v>
      </c>
      <c r="D13" s="485">
        <v>44024</v>
      </c>
      <c r="E13" s="485">
        <v>44055</v>
      </c>
      <c r="F13" s="485">
        <v>44116</v>
      </c>
      <c r="G13" s="485">
        <v>44116</v>
      </c>
      <c r="H13" s="485">
        <v>44298</v>
      </c>
      <c r="I13" s="485">
        <v>44359</v>
      </c>
      <c r="J13" s="485">
        <v>44389</v>
      </c>
      <c r="K13" s="485">
        <v>44420</v>
      </c>
      <c r="L13" s="485">
        <v>44451</v>
      </c>
      <c r="M13" s="485">
        <v>44451</v>
      </c>
      <c r="N13" s="485">
        <v>44481</v>
      </c>
      <c r="O13" s="485">
        <v>44512</v>
      </c>
      <c r="P13" s="485">
        <v>44542</v>
      </c>
      <c r="Q13" s="485">
        <v>44542</v>
      </c>
      <c r="R13" s="485">
        <v>44573</v>
      </c>
      <c r="S13" s="485">
        <v>44604</v>
      </c>
      <c r="T13" s="485">
        <v>44632</v>
      </c>
      <c r="U13" s="485">
        <v>44663</v>
      </c>
      <c r="V13" s="485">
        <v>44693</v>
      </c>
      <c r="W13" s="485">
        <v>44693</v>
      </c>
      <c r="X13" s="485">
        <v>44754</v>
      </c>
      <c r="Y13" s="485">
        <v>44785</v>
      </c>
      <c r="Z13" s="485">
        <v>44969</v>
      </c>
      <c r="AA13" s="485">
        <v>44997</v>
      </c>
    </row>
    <row r="14" spans="1:27">
      <c r="A14" s="485" t="s">
        <v>868</v>
      </c>
      <c r="B14" s="485">
        <v>43964</v>
      </c>
      <c r="C14" s="485">
        <v>43995</v>
      </c>
      <c r="D14" s="485">
        <v>44025</v>
      </c>
      <c r="E14" s="485">
        <v>44056</v>
      </c>
      <c r="F14" s="485">
        <v>44117</v>
      </c>
      <c r="G14" s="485">
        <v>44117</v>
      </c>
      <c r="H14" s="485">
        <v>44299</v>
      </c>
      <c r="I14" s="485">
        <v>44360</v>
      </c>
      <c r="J14" s="485">
        <v>44390</v>
      </c>
      <c r="K14" s="485">
        <v>44421</v>
      </c>
      <c r="L14" s="485">
        <v>44452</v>
      </c>
      <c r="M14" s="485">
        <v>44452</v>
      </c>
      <c r="N14" s="485">
        <v>44482</v>
      </c>
      <c r="O14" s="485">
        <v>44513</v>
      </c>
      <c r="P14" s="485">
        <v>44543</v>
      </c>
      <c r="Q14" s="485">
        <v>44543</v>
      </c>
      <c r="R14" s="485">
        <v>44574</v>
      </c>
      <c r="S14" s="485">
        <v>44605</v>
      </c>
      <c r="T14" s="485">
        <v>44633</v>
      </c>
      <c r="U14" s="485">
        <v>44664</v>
      </c>
      <c r="V14" s="485">
        <v>44694</v>
      </c>
      <c r="W14" s="485">
        <v>44694</v>
      </c>
      <c r="X14" s="485">
        <v>44755</v>
      </c>
      <c r="Y14" s="485">
        <v>44786</v>
      </c>
      <c r="Z14" s="485">
        <v>44970</v>
      </c>
      <c r="AA14" s="485">
        <v>44998</v>
      </c>
    </row>
    <row r="15" spans="1:27">
      <c r="A15" s="485" t="s">
        <v>869</v>
      </c>
      <c r="B15" s="485">
        <v>43965</v>
      </c>
      <c r="C15" s="485">
        <v>43996</v>
      </c>
      <c r="D15" s="485">
        <v>44026</v>
      </c>
      <c r="E15" s="485">
        <v>44057</v>
      </c>
      <c r="F15" s="485">
        <v>44118</v>
      </c>
      <c r="G15" s="485">
        <v>44118</v>
      </c>
      <c r="H15" s="485">
        <v>44300</v>
      </c>
      <c r="I15" s="485">
        <v>44361</v>
      </c>
      <c r="J15" s="485">
        <v>44391</v>
      </c>
      <c r="K15" s="485">
        <v>44422</v>
      </c>
      <c r="L15" s="485">
        <v>44453</v>
      </c>
      <c r="M15" s="485">
        <v>44453</v>
      </c>
      <c r="N15" s="485">
        <v>44483</v>
      </c>
      <c r="O15" s="485">
        <v>44514</v>
      </c>
      <c r="P15" s="485">
        <v>44544</v>
      </c>
      <c r="Q15" s="485">
        <v>44544</v>
      </c>
      <c r="R15" s="485">
        <v>44575</v>
      </c>
      <c r="S15" s="485">
        <v>44606</v>
      </c>
      <c r="T15" s="485">
        <v>44634</v>
      </c>
      <c r="U15" s="485">
        <v>44665</v>
      </c>
      <c r="V15" s="485">
        <v>44695</v>
      </c>
      <c r="W15" s="485">
        <v>44695</v>
      </c>
      <c r="X15" s="485">
        <v>44756</v>
      </c>
      <c r="Y15" s="485">
        <v>44787</v>
      </c>
      <c r="Z15" s="485">
        <v>44971</v>
      </c>
      <c r="AA15" s="485">
        <v>44999</v>
      </c>
    </row>
    <row r="16" spans="1:27">
      <c r="A16" s="485" t="s">
        <v>873</v>
      </c>
      <c r="B16" s="485">
        <v>43966</v>
      </c>
      <c r="C16" s="485">
        <v>43997</v>
      </c>
      <c r="D16" s="485">
        <v>44027</v>
      </c>
      <c r="E16" s="485">
        <v>44058</v>
      </c>
      <c r="F16" s="485">
        <v>44119</v>
      </c>
      <c r="G16" s="485">
        <v>44119</v>
      </c>
      <c r="H16" s="485">
        <v>44301</v>
      </c>
      <c r="I16" s="485">
        <v>44362</v>
      </c>
      <c r="J16" s="485">
        <v>44392</v>
      </c>
      <c r="K16" s="485">
        <v>44423</v>
      </c>
      <c r="L16" s="485">
        <v>44454</v>
      </c>
      <c r="M16" s="485">
        <v>44454</v>
      </c>
      <c r="N16" s="485">
        <v>44484</v>
      </c>
      <c r="O16" s="485">
        <v>44515</v>
      </c>
      <c r="P16" s="485">
        <v>44545</v>
      </c>
      <c r="Q16" s="485">
        <v>44545</v>
      </c>
      <c r="R16" s="485">
        <v>44576</v>
      </c>
      <c r="S16" s="485">
        <v>44607</v>
      </c>
      <c r="T16" s="485">
        <v>44635</v>
      </c>
      <c r="U16" s="485">
        <v>44666</v>
      </c>
      <c r="V16" s="485">
        <v>44696</v>
      </c>
      <c r="W16" s="485">
        <v>44696</v>
      </c>
      <c r="X16" s="485">
        <v>44757</v>
      </c>
      <c r="Y16" s="485">
        <v>44788</v>
      </c>
      <c r="Z16" s="485">
        <v>44972</v>
      </c>
      <c r="AA16" s="485">
        <v>45000</v>
      </c>
    </row>
    <row r="17" spans="1:27">
      <c r="A17" s="485" t="s">
        <v>877</v>
      </c>
      <c r="B17" s="485">
        <v>43967</v>
      </c>
      <c r="C17" s="485">
        <v>43998</v>
      </c>
      <c r="D17" s="485">
        <v>44028</v>
      </c>
      <c r="E17" s="485">
        <v>44059</v>
      </c>
      <c r="F17" s="485">
        <v>44120</v>
      </c>
      <c r="G17" s="485">
        <v>44120</v>
      </c>
      <c r="H17" s="485">
        <v>44302</v>
      </c>
      <c r="I17" s="485">
        <v>44363</v>
      </c>
      <c r="J17" s="485">
        <v>44393</v>
      </c>
      <c r="K17" s="485">
        <v>44424</v>
      </c>
      <c r="L17" s="485">
        <v>44455</v>
      </c>
      <c r="M17" s="485">
        <v>44455</v>
      </c>
      <c r="N17" s="485">
        <v>44485</v>
      </c>
      <c r="O17" s="485">
        <v>44516</v>
      </c>
      <c r="P17" s="485">
        <v>44546</v>
      </c>
      <c r="Q17" s="485">
        <v>44546</v>
      </c>
      <c r="R17" s="485">
        <v>44577</v>
      </c>
      <c r="S17" s="485">
        <v>44608</v>
      </c>
      <c r="T17" s="485">
        <v>44636</v>
      </c>
      <c r="U17" s="485">
        <v>44667</v>
      </c>
      <c r="V17" s="485">
        <v>44697</v>
      </c>
      <c r="W17" s="485">
        <v>44697</v>
      </c>
      <c r="X17" s="485">
        <v>44758</v>
      </c>
      <c r="Y17" s="485">
        <v>44789</v>
      </c>
      <c r="Z17" s="485">
        <v>44973</v>
      </c>
      <c r="AA17" s="485">
        <v>45001</v>
      </c>
    </row>
    <row r="18" spans="1:27">
      <c r="A18" s="485" t="s">
        <v>878</v>
      </c>
      <c r="B18" s="485">
        <v>43968</v>
      </c>
      <c r="C18" s="485">
        <v>43999</v>
      </c>
      <c r="D18" s="485">
        <v>44029</v>
      </c>
      <c r="E18" s="485">
        <v>44060</v>
      </c>
      <c r="F18" s="485">
        <v>44121</v>
      </c>
      <c r="G18" s="485">
        <v>44121</v>
      </c>
      <c r="H18" s="485">
        <v>44303</v>
      </c>
      <c r="I18" s="485">
        <v>44364</v>
      </c>
      <c r="J18" s="485">
        <v>44394</v>
      </c>
      <c r="K18" s="485">
        <v>44425</v>
      </c>
      <c r="L18" s="485">
        <v>44456</v>
      </c>
      <c r="M18" s="485">
        <v>44456</v>
      </c>
      <c r="N18" s="485">
        <v>44486</v>
      </c>
      <c r="O18" s="485">
        <v>44517</v>
      </c>
      <c r="P18" s="485">
        <v>44547</v>
      </c>
      <c r="Q18" s="485">
        <v>44547</v>
      </c>
      <c r="R18" s="485">
        <v>44578</v>
      </c>
      <c r="S18" s="485">
        <v>44609</v>
      </c>
      <c r="T18" s="485">
        <v>44637</v>
      </c>
      <c r="U18" s="485">
        <v>44668</v>
      </c>
      <c r="V18" s="485">
        <v>44698</v>
      </c>
      <c r="W18" s="485">
        <v>44698</v>
      </c>
      <c r="X18" s="485">
        <v>44759</v>
      </c>
      <c r="Y18" s="485">
        <v>44790</v>
      </c>
      <c r="Z18" s="485">
        <v>44974</v>
      </c>
      <c r="AA18" s="485">
        <v>45002</v>
      </c>
    </row>
    <row r="19" spans="1:27">
      <c r="A19" s="485" t="s">
        <v>881</v>
      </c>
      <c r="B19" s="485">
        <v>43969</v>
      </c>
      <c r="C19" s="485">
        <v>44000</v>
      </c>
      <c r="D19" s="485">
        <v>44030</v>
      </c>
      <c r="E19" s="485">
        <v>44061</v>
      </c>
      <c r="F19" s="485">
        <v>44122</v>
      </c>
      <c r="G19" s="485">
        <v>44122</v>
      </c>
      <c r="H19" s="485">
        <v>44304</v>
      </c>
      <c r="I19" s="485">
        <v>44365</v>
      </c>
      <c r="J19" s="485">
        <v>44395</v>
      </c>
      <c r="K19" s="485">
        <v>44426</v>
      </c>
      <c r="L19" s="485">
        <v>44457</v>
      </c>
      <c r="M19" s="485">
        <v>44457</v>
      </c>
      <c r="N19" s="485">
        <v>44487</v>
      </c>
      <c r="O19" s="485">
        <v>44518</v>
      </c>
      <c r="P19" s="485">
        <v>44548</v>
      </c>
      <c r="Q19" s="485">
        <v>44548</v>
      </c>
      <c r="R19" s="485">
        <v>44579</v>
      </c>
      <c r="S19" s="485">
        <v>44610</v>
      </c>
      <c r="T19" s="485">
        <v>44638</v>
      </c>
      <c r="U19" s="485">
        <v>44669</v>
      </c>
      <c r="V19" s="485">
        <v>44699</v>
      </c>
      <c r="W19" s="485">
        <v>44699</v>
      </c>
      <c r="X19" s="485">
        <v>44760</v>
      </c>
      <c r="Y19" s="485">
        <v>44791</v>
      </c>
      <c r="Z19" s="485">
        <v>44975</v>
      </c>
      <c r="AA19" s="485">
        <v>45003</v>
      </c>
    </row>
    <row r="20" spans="1:27">
      <c r="A20" s="485" t="s">
        <v>882</v>
      </c>
      <c r="B20" s="485">
        <v>43970</v>
      </c>
      <c r="C20" s="485">
        <v>44001</v>
      </c>
      <c r="D20" s="485">
        <v>44031</v>
      </c>
      <c r="E20" s="485">
        <v>44062</v>
      </c>
      <c r="F20" s="485">
        <v>44123</v>
      </c>
      <c r="G20" s="485">
        <v>44123</v>
      </c>
      <c r="H20" s="485">
        <v>44305</v>
      </c>
      <c r="I20" s="485">
        <v>44366</v>
      </c>
      <c r="J20" s="485">
        <v>44396</v>
      </c>
      <c r="K20" s="485">
        <v>44427</v>
      </c>
      <c r="L20" s="485">
        <v>44458</v>
      </c>
      <c r="M20" s="485">
        <v>44458</v>
      </c>
      <c r="N20" s="485">
        <v>44488</v>
      </c>
      <c r="O20" s="485">
        <v>44519</v>
      </c>
      <c r="P20" s="485">
        <v>44549</v>
      </c>
      <c r="Q20" s="485">
        <v>44549</v>
      </c>
      <c r="R20" s="485">
        <v>44580</v>
      </c>
      <c r="S20" s="485">
        <v>44611</v>
      </c>
      <c r="T20" s="485">
        <v>44639</v>
      </c>
      <c r="U20" s="485">
        <v>44670</v>
      </c>
      <c r="V20" s="485">
        <v>44700</v>
      </c>
      <c r="W20" s="485">
        <v>44700</v>
      </c>
      <c r="X20" s="485">
        <v>44761</v>
      </c>
      <c r="Y20" s="485">
        <v>44792</v>
      </c>
      <c r="Z20" s="485">
        <v>44976</v>
      </c>
      <c r="AA20" s="485">
        <v>45004</v>
      </c>
    </row>
    <row r="21" spans="1:27">
      <c r="A21" s="485" t="s">
        <v>883</v>
      </c>
      <c r="B21" s="485">
        <v>43971</v>
      </c>
      <c r="C21" s="485">
        <v>44002</v>
      </c>
      <c r="D21" s="485">
        <v>44032</v>
      </c>
      <c r="E21" s="485">
        <v>44063</v>
      </c>
      <c r="F21" s="485">
        <v>44124</v>
      </c>
      <c r="G21" s="485">
        <v>44124</v>
      </c>
      <c r="H21" s="485">
        <v>44306</v>
      </c>
      <c r="I21" s="485">
        <v>44367</v>
      </c>
      <c r="J21" s="485">
        <v>44397</v>
      </c>
      <c r="K21" s="485">
        <v>44428</v>
      </c>
      <c r="L21" s="485">
        <v>44459</v>
      </c>
      <c r="M21" s="485">
        <v>44459</v>
      </c>
      <c r="N21" s="485">
        <v>44489</v>
      </c>
      <c r="O21" s="485">
        <v>44520</v>
      </c>
      <c r="P21" s="485">
        <v>44550</v>
      </c>
      <c r="Q21" s="485">
        <v>44550</v>
      </c>
      <c r="R21" s="485">
        <v>44581</v>
      </c>
      <c r="S21" s="485">
        <v>44612</v>
      </c>
      <c r="T21" s="485">
        <v>44640</v>
      </c>
      <c r="U21" s="485">
        <v>44671</v>
      </c>
      <c r="V21" s="485">
        <v>44701</v>
      </c>
      <c r="W21" s="485">
        <v>44701</v>
      </c>
      <c r="X21" s="485">
        <v>44762</v>
      </c>
      <c r="Y21" s="485">
        <v>44793</v>
      </c>
      <c r="Z21" s="485">
        <v>44977</v>
      </c>
      <c r="AA21" s="485">
        <v>45005</v>
      </c>
    </row>
    <row r="22" spans="1:27">
      <c r="A22" s="485" t="s">
        <v>884</v>
      </c>
      <c r="B22" s="485">
        <v>43972</v>
      </c>
      <c r="C22" s="485">
        <v>44003</v>
      </c>
      <c r="D22" s="485">
        <v>44033</v>
      </c>
      <c r="E22" s="485">
        <v>44064</v>
      </c>
      <c r="F22" s="485">
        <v>44125</v>
      </c>
      <c r="G22" s="485">
        <v>44125</v>
      </c>
      <c r="H22" s="485">
        <v>44307</v>
      </c>
      <c r="I22" s="485">
        <v>44368</v>
      </c>
      <c r="J22" s="485">
        <v>44398</v>
      </c>
      <c r="K22" s="485">
        <v>44429</v>
      </c>
      <c r="L22" s="485">
        <v>44460</v>
      </c>
      <c r="M22" s="485">
        <v>44460</v>
      </c>
      <c r="N22" s="485">
        <v>44490</v>
      </c>
      <c r="O22" s="485">
        <v>44521</v>
      </c>
      <c r="P22" s="485">
        <v>44551</v>
      </c>
      <c r="Q22" s="485">
        <v>44551</v>
      </c>
      <c r="R22" s="485">
        <v>44582</v>
      </c>
      <c r="S22" s="485">
        <v>44613</v>
      </c>
      <c r="T22" s="485">
        <v>44641</v>
      </c>
      <c r="U22" s="485">
        <v>44672</v>
      </c>
      <c r="V22" s="485">
        <v>44702</v>
      </c>
      <c r="W22" s="485">
        <v>44702</v>
      </c>
      <c r="X22" s="485">
        <v>44763</v>
      </c>
      <c r="Y22" s="485">
        <v>44794</v>
      </c>
      <c r="Z22" s="485">
        <v>44978</v>
      </c>
      <c r="AA22" s="485">
        <v>45006</v>
      </c>
    </row>
    <row r="23" spans="1:27">
      <c r="A23" s="485" t="s">
        <v>885</v>
      </c>
      <c r="B23" s="485">
        <v>43973</v>
      </c>
      <c r="C23" s="485">
        <v>44004</v>
      </c>
      <c r="D23" s="485">
        <v>44034</v>
      </c>
      <c r="E23" s="485">
        <v>44065</v>
      </c>
      <c r="F23" s="485">
        <v>44126</v>
      </c>
      <c r="G23" s="485">
        <v>44126</v>
      </c>
      <c r="H23" s="485">
        <v>44308</v>
      </c>
      <c r="I23" s="485">
        <v>44369</v>
      </c>
      <c r="J23" s="485">
        <v>44399</v>
      </c>
      <c r="K23" s="485">
        <v>44430</v>
      </c>
      <c r="L23" s="485">
        <v>44461</v>
      </c>
      <c r="M23" s="485">
        <v>44461</v>
      </c>
      <c r="N23" s="485">
        <v>44491</v>
      </c>
      <c r="O23" s="485">
        <v>44522</v>
      </c>
      <c r="P23" s="485">
        <v>44552</v>
      </c>
      <c r="Q23" s="485">
        <v>44552</v>
      </c>
      <c r="R23" s="485">
        <v>44583</v>
      </c>
      <c r="S23" s="485">
        <v>44614</v>
      </c>
      <c r="T23" s="485">
        <v>44642</v>
      </c>
      <c r="U23" s="485">
        <v>44673</v>
      </c>
      <c r="V23" s="485">
        <v>44703</v>
      </c>
      <c r="W23" s="485">
        <v>44703</v>
      </c>
      <c r="X23" s="485">
        <v>44764</v>
      </c>
      <c r="Y23" s="485">
        <v>44795</v>
      </c>
      <c r="Z23" s="485">
        <v>44979</v>
      </c>
      <c r="AA23" s="485">
        <v>45007</v>
      </c>
    </row>
    <row r="24" spans="1:27">
      <c r="A24" s="485" t="s">
        <v>886</v>
      </c>
      <c r="B24" s="485">
        <v>43974</v>
      </c>
      <c r="C24" s="485">
        <v>44005</v>
      </c>
      <c r="D24" s="485">
        <v>44035</v>
      </c>
      <c r="E24" s="485">
        <v>44066</v>
      </c>
      <c r="F24" s="485">
        <v>44127</v>
      </c>
      <c r="G24" s="485">
        <v>44127</v>
      </c>
      <c r="H24" s="485">
        <v>44309</v>
      </c>
      <c r="I24" s="485">
        <v>44370</v>
      </c>
      <c r="J24" s="485">
        <v>44400</v>
      </c>
      <c r="K24" s="485">
        <v>44431</v>
      </c>
      <c r="L24" s="485">
        <v>44462</v>
      </c>
      <c r="M24" s="485">
        <v>44462</v>
      </c>
      <c r="N24" s="485">
        <v>44492</v>
      </c>
      <c r="O24" s="485">
        <v>44523</v>
      </c>
      <c r="P24" s="485">
        <v>44553</v>
      </c>
      <c r="Q24" s="485">
        <v>44553</v>
      </c>
      <c r="R24" s="485">
        <v>44584</v>
      </c>
      <c r="S24" s="485">
        <v>44615</v>
      </c>
      <c r="T24" s="485">
        <v>44643</v>
      </c>
      <c r="U24" s="485">
        <v>44674</v>
      </c>
      <c r="V24" s="485">
        <v>44704</v>
      </c>
      <c r="W24" s="485">
        <v>44704</v>
      </c>
      <c r="X24" s="485">
        <v>44765</v>
      </c>
      <c r="Y24" s="485">
        <v>44796</v>
      </c>
      <c r="Z24" s="485">
        <v>44980</v>
      </c>
      <c r="AA24" s="485">
        <v>45008</v>
      </c>
    </row>
    <row r="25" spans="1:27">
      <c r="A25" s="485" t="s">
        <v>887</v>
      </c>
      <c r="B25" s="485">
        <v>43975</v>
      </c>
      <c r="C25" s="485">
        <v>44006</v>
      </c>
      <c r="D25" s="485">
        <v>44036</v>
      </c>
      <c r="E25" s="485">
        <v>44067</v>
      </c>
      <c r="F25" s="485">
        <v>44128</v>
      </c>
      <c r="G25" s="485">
        <v>44128</v>
      </c>
      <c r="H25" s="485">
        <v>44310</v>
      </c>
      <c r="I25" s="485">
        <v>44371</v>
      </c>
      <c r="J25" s="485">
        <v>44401</v>
      </c>
      <c r="K25" s="485">
        <v>44432</v>
      </c>
      <c r="L25" s="485">
        <v>44463</v>
      </c>
      <c r="M25" s="485">
        <v>44463</v>
      </c>
      <c r="N25" s="485">
        <v>44493</v>
      </c>
      <c r="O25" s="485">
        <v>44524</v>
      </c>
      <c r="P25" s="485">
        <v>44554</v>
      </c>
      <c r="Q25" s="485">
        <v>44554</v>
      </c>
      <c r="R25" s="485">
        <v>44585</v>
      </c>
      <c r="S25" s="485">
        <v>44616</v>
      </c>
      <c r="T25" s="485">
        <v>44644</v>
      </c>
      <c r="U25" s="485">
        <v>44675</v>
      </c>
      <c r="V25" s="485">
        <v>44705</v>
      </c>
      <c r="W25" s="485">
        <v>44705</v>
      </c>
      <c r="X25" s="485">
        <v>44766</v>
      </c>
      <c r="Y25" s="485">
        <v>44797</v>
      </c>
      <c r="Z25" s="485">
        <v>44981</v>
      </c>
      <c r="AA25" s="485">
        <v>45009</v>
      </c>
    </row>
    <row r="26" spans="1:27">
      <c r="A26" s="485" t="s">
        <v>888</v>
      </c>
      <c r="B26" s="485">
        <v>43976</v>
      </c>
      <c r="C26" s="485">
        <v>44007</v>
      </c>
      <c r="D26" s="485">
        <v>44037</v>
      </c>
      <c r="E26" s="485">
        <v>44068</v>
      </c>
      <c r="F26" s="485">
        <v>44129</v>
      </c>
      <c r="G26" s="485">
        <v>44129</v>
      </c>
      <c r="H26" s="485">
        <v>44311</v>
      </c>
      <c r="I26" s="485">
        <v>44372</v>
      </c>
      <c r="J26" s="485">
        <v>44402</v>
      </c>
      <c r="K26" s="485">
        <v>44433</v>
      </c>
      <c r="L26" s="485">
        <v>44464</v>
      </c>
      <c r="M26" s="485">
        <v>44464</v>
      </c>
      <c r="N26" s="485">
        <v>44494</v>
      </c>
      <c r="O26" s="485">
        <v>44525</v>
      </c>
      <c r="P26" s="485">
        <v>44555</v>
      </c>
      <c r="Q26" s="485">
        <v>44555</v>
      </c>
      <c r="R26" s="485">
        <v>44586</v>
      </c>
      <c r="S26" s="485">
        <v>44617</v>
      </c>
      <c r="T26" s="485">
        <v>44645</v>
      </c>
      <c r="U26" s="485">
        <v>44676</v>
      </c>
      <c r="V26" s="485">
        <v>44706</v>
      </c>
      <c r="W26" s="485">
        <v>44706</v>
      </c>
      <c r="X26" s="485">
        <v>44767</v>
      </c>
      <c r="Y26" s="485">
        <v>44798</v>
      </c>
      <c r="Z26" s="485">
        <v>44982</v>
      </c>
      <c r="AA26" s="485">
        <v>45010</v>
      </c>
    </row>
    <row r="27" spans="1:27">
      <c r="A27" s="485" t="s">
        <v>889</v>
      </c>
      <c r="B27" s="485">
        <v>43977</v>
      </c>
      <c r="C27" s="485">
        <v>44008</v>
      </c>
      <c r="D27" s="485">
        <v>44038</v>
      </c>
      <c r="E27" s="485">
        <v>44069</v>
      </c>
      <c r="F27" s="485">
        <v>44130</v>
      </c>
      <c r="G27" s="485">
        <v>44130</v>
      </c>
      <c r="H27" s="485">
        <v>44312</v>
      </c>
      <c r="I27" s="485">
        <v>44373</v>
      </c>
      <c r="J27" s="485">
        <v>44403</v>
      </c>
      <c r="K27" s="485">
        <v>44434</v>
      </c>
      <c r="L27" s="485">
        <v>44465</v>
      </c>
      <c r="M27" s="485">
        <v>44465</v>
      </c>
      <c r="N27" s="485">
        <v>44495</v>
      </c>
      <c r="O27" s="485">
        <v>44526</v>
      </c>
      <c r="P27" s="485">
        <v>44556</v>
      </c>
      <c r="Q27" s="485">
        <v>44556</v>
      </c>
      <c r="R27" s="485">
        <v>44587</v>
      </c>
      <c r="S27" s="485">
        <v>44618</v>
      </c>
      <c r="T27" s="485">
        <v>44646</v>
      </c>
      <c r="U27" s="485">
        <v>44677</v>
      </c>
      <c r="V27" s="485">
        <v>44707</v>
      </c>
      <c r="W27" s="485">
        <v>44707</v>
      </c>
      <c r="X27" s="485">
        <v>44768</v>
      </c>
      <c r="Y27" s="485">
        <v>44799</v>
      </c>
      <c r="Z27" s="485">
        <v>44983</v>
      </c>
      <c r="AA27" s="485">
        <v>45011</v>
      </c>
    </row>
    <row r="28" spans="1:27">
      <c r="A28" s="485"/>
      <c r="B28" s="485">
        <v>43978</v>
      </c>
      <c r="C28" s="485">
        <v>44009</v>
      </c>
      <c r="D28" s="485">
        <v>44039</v>
      </c>
      <c r="E28" s="485">
        <v>44070</v>
      </c>
      <c r="F28" s="485">
        <v>44131</v>
      </c>
      <c r="G28" s="485">
        <v>44131</v>
      </c>
      <c r="H28" s="485">
        <v>44313</v>
      </c>
      <c r="I28" s="485">
        <v>44374</v>
      </c>
      <c r="J28" s="485">
        <v>44404</v>
      </c>
      <c r="K28" s="485">
        <v>44435</v>
      </c>
      <c r="L28" s="485">
        <v>44466</v>
      </c>
      <c r="M28" s="485">
        <v>44466</v>
      </c>
      <c r="N28" s="485">
        <v>44496</v>
      </c>
      <c r="O28" s="485">
        <v>44527</v>
      </c>
      <c r="P28" s="485">
        <v>44557</v>
      </c>
      <c r="Q28" s="485">
        <v>44557</v>
      </c>
      <c r="R28" s="485">
        <v>44588</v>
      </c>
      <c r="S28" s="485">
        <v>44619</v>
      </c>
      <c r="T28" s="485">
        <v>44647</v>
      </c>
      <c r="U28" s="485">
        <v>44678</v>
      </c>
      <c r="V28" s="485">
        <v>44708</v>
      </c>
      <c r="W28" s="485">
        <v>44708</v>
      </c>
      <c r="X28" s="485">
        <v>44769</v>
      </c>
      <c r="Y28" s="485">
        <v>44800</v>
      </c>
      <c r="Z28" s="485">
        <v>44984</v>
      </c>
      <c r="AA28" s="485">
        <v>45012</v>
      </c>
    </row>
    <row r="29" spans="1:27">
      <c r="A29" s="485"/>
      <c r="B29" s="485">
        <v>43979</v>
      </c>
      <c r="C29" s="485">
        <v>44010</v>
      </c>
      <c r="D29" s="485">
        <v>44040</v>
      </c>
      <c r="E29" s="485">
        <v>44071</v>
      </c>
      <c r="F29" s="485">
        <v>44132</v>
      </c>
      <c r="G29" s="485">
        <v>44132</v>
      </c>
      <c r="H29" s="485">
        <v>44314</v>
      </c>
      <c r="I29" s="485">
        <v>44375</v>
      </c>
      <c r="J29" s="485">
        <v>44405</v>
      </c>
      <c r="K29" s="485">
        <v>44436</v>
      </c>
      <c r="L29" s="485">
        <v>44467</v>
      </c>
      <c r="M29" s="485">
        <v>44467</v>
      </c>
      <c r="N29" s="485">
        <v>44497</v>
      </c>
      <c r="O29" s="485">
        <v>44528</v>
      </c>
      <c r="P29" s="485">
        <v>44558</v>
      </c>
      <c r="Q29" s="485">
        <v>44558</v>
      </c>
      <c r="R29" s="485">
        <v>44589</v>
      </c>
      <c r="S29" s="485">
        <v>44620</v>
      </c>
      <c r="T29" s="485">
        <v>44648</v>
      </c>
      <c r="U29" s="485">
        <v>44679</v>
      </c>
      <c r="V29" s="485">
        <v>44709</v>
      </c>
      <c r="W29" s="485">
        <v>44709</v>
      </c>
      <c r="X29" s="485">
        <v>44770</v>
      </c>
      <c r="Y29" s="485">
        <v>44801</v>
      </c>
      <c r="Z29" s="485">
        <v>44985</v>
      </c>
      <c r="AA29" s="485">
        <v>45013</v>
      </c>
    </row>
    <row r="30" spans="1:27">
      <c r="A30" s="485"/>
      <c r="B30" s="485">
        <v>43980</v>
      </c>
      <c r="C30" s="485">
        <v>44011</v>
      </c>
      <c r="D30" s="485">
        <v>44041</v>
      </c>
      <c r="E30" s="485">
        <v>44072</v>
      </c>
      <c r="F30" s="485">
        <v>44133</v>
      </c>
      <c r="G30" s="485">
        <v>44133</v>
      </c>
      <c r="H30" s="485">
        <v>44315</v>
      </c>
      <c r="I30" s="485">
        <v>44376</v>
      </c>
      <c r="J30" s="485">
        <v>44406</v>
      </c>
      <c r="K30" s="485">
        <v>44437</v>
      </c>
      <c r="L30" s="485">
        <v>44468</v>
      </c>
      <c r="M30" s="485">
        <v>44468</v>
      </c>
      <c r="N30" s="485">
        <v>44498</v>
      </c>
      <c r="O30" s="485">
        <v>44529</v>
      </c>
      <c r="P30" s="485">
        <v>44559</v>
      </c>
      <c r="Q30" s="485">
        <v>44559</v>
      </c>
      <c r="R30" s="485">
        <v>44590</v>
      </c>
      <c r="T30" s="485">
        <v>44649</v>
      </c>
      <c r="U30" s="485">
        <v>44680</v>
      </c>
      <c r="V30" s="485">
        <v>44710</v>
      </c>
      <c r="W30" s="485">
        <v>44710</v>
      </c>
      <c r="X30" s="485">
        <v>44771</v>
      </c>
      <c r="Y30" s="485">
        <v>44802</v>
      </c>
      <c r="Z30" s="485">
        <v>44986</v>
      </c>
      <c r="AA30" s="485">
        <v>45014</v>
      </c>
    </row>
    <row r="31" spans="1:27">
      <c r="A31" s="485"/>
      <c r="B31" s="485">
        <v>43981</v>
      </c>
      <c r="C31" s="485">
        <v>44012</v>
      </c>
      <c r="D31" s="485">
        <v>44042</v>
      </c>
      <c r="E31" s="485">
        <v>44073</v>
      </c>
      <c r="F31" s="485">
        <v>44134</v>
      </c>
      <c r="G31" s="485">
        <v>44134</v>
      </c>
      <c r="H31" s="485">
        <v>44316</v>
      </c>
      <c r="I31" s="485">
        <v>44377</v>
      </c>
      <c r="J31" s="485">
        <v>44407</v>
      </c>
      <c r="K31" s="485">
        <v>44438</v>
      </c>
      <c r="L31" s="485">
        <v>44469</v>
      </c>
      <c r="M31" s="485">
        <v>44469</v>
      </c>
      <c r="N31" s="485">
        <v>44499</v>
      </c>
      <c r="O31" s="485">
        <v>44530</v>
      </c>
      <c r="P31" s="485">
        <v>44560</v>
      </c>
      <c r="Q31" s="485">
        <v>44560</v>
      </c>
      <c r="R31" s="485">
        <v>44591</v>
      </c>
      <c r="T31" s="485">
        <v>44650</v>
      </c>
      <c r="U31" s="485">
        <v>44681</v>
      </c>
      <c r="V31" s="485">
        <v>44711</v>
      </c>
      <c r="W31" s="485">
        <v>44711</v>
      </c>
      <c r="X31" s="485">
        <v>44772</v>
      </c>
      <c r="Y31" s="485">
        <v>44803</v>
      </c>
      <c r="Z31" s="485">
        <v>44987</v>
      </c>
      <c r="AA31" s="485">
        <v>45015</v>
      </c>
    </row>
    <row r="32" spans="1:27">
      <c r="A32" s="485"/>
      <c r="B32" s="485">
        <v>43982</v>
      </c>
      <c r="C32" s="485">
        <v>44013</v>
      </c>
      <c r="D32" s="485">
        <v>44043</v>
      </c>
      <c r="E32" s="485">
        <v>44074</v>
      </c>
      <c r="F32" s="485">
        <v>44135</v>
      </c>
      <c r="G32" s="485">
        <v>44135</v>
      </c>
      <c r="H32" s="485">
        <v>44317</v>
      </c>
      <c r="I32" s="485">
        <v>44378</v>
      </c>
      <c r="J32" s="485">
        <v>44408</v>
      </c>
      <c r="K32" s="485">
        <v>44439</v>
      </c>
      <c r="N32" s="485">
        <v>44500</v>
      </c>
      <c r="R32" s="485">
        <v>44592</v>
      </c>
      <c r="T32" s="485">
        <v>44651</v>
      </c>
      <c r="U32" s="485">
        <v>44682</v>
      </c>
      <c r="V32" s="485">
        <v>44712</v>
      </c>
      <c r="W32" s="485">
        <v>44712</v>
      </c>
      <c r="X32" s="485">
        <v>44773</v>
      </c>
      <c r="Y32" s="485">
        <v>44804</v>
      </c>
      <c r="Z32" s="485">
        <v>44988</v>
      </c>
      <c r="AA32" s="485">
        <v>45016</v>
      </c>
    </row>
    <row r="33" spans="2:27">
      <c r="B33">
        <v>0.7</v>
      </c>
      <c r="C33">
        <v>0.7</v>
      </c>
      <c r="D33">
        <v>0.7</v>
      </c>
      <c r="E33">
        <v>0.7</v>
      </c>
      <c r="F33">
        <v>0.99999899999999997</v>
      </c>
      <c r="G33">
        <v>0.99999899999999997</v>
      </c>
      <c r="H33">
        <v>0.99999899999999997</v>
      </c>
      <c r="I33">
        <v>0.99999899999999997</v>
      </c>
      <c r="J33">
        <v>0.99999899999999997</v>
      </c>
      <c r="K33">
        <v>0.99999899999999997</v>
      </c>
      <c r="L33">
        <v>0.99999899999999997</v>
      </c>
      <c r="M33">
        <v>0.99999899999999997</v>
      </c>
      <c r="N33">
        <v>0.99999899999999997</v>
      </c>
      <c r="O33">
        <v>0.99999899999999997</v>
      </c>
      <c r="P33">
        <v>0.99999899999999997</v>
      </c>
      <c r="Q33">
        <v>0.99999899999999997</v>
      </c>
      <c r="R33">
        <v>0.99999899999999997</v>
      </c>
      <c r="S33">
        <v>0.8</v>
      </c>
      <c r="T33">
        <v>0.8</v>
      </c>
      <c r="U33">
        <v>0.8</v>
      </c>
      <c r="V33">
        <v>0.8</v>
      </c>
      <c r="W33">
        <v>0.8</v>
      </c>
      <c r="X33">
        <v>0.8</v>
      </c>
      <c r="Y33">
        <v>0.8</v>
      </c>
      <c r="Z33">
        <v>0.8</v>
      </c>
      <c r="AA33">
        <v>0.8</v>
      </c>
    </row>
    <row r="34" spans="2:27">
      <c r="B34">
        <v>0.7</v>
      </c>
      <c r="C34">
        <v>0.7</v>
      </c>
      <c r="D34">
        <v>0.7</v>
      </c>
      <c r="E34">
        <v>0.7</v>
      </c>
      <c r="F34">
        <v>0.99999899999999997</v>
      </c>
      <c r="G34">
        <v>0.99999899999999997</v>
      </c>
      <c r="H34">
        <v>0.99999899999999997</v>
      </c>
      <c r="I34">
        <v>0.99999899999999997</v>
      </c>
      <c r="J34">
        <v>0.99999899999999997</v>
      </c>
      <c r="K34">
        <v>0.99999899999999997</v>
      </c>
      <c r="L34">
        <v>0.99999899999999997</v>
      </c>
      <c r="M34">
        <v>0.99999899999999997</v>
      </c>
      <c r="N34">
        <v>0.99999899999999997</v>
      </c>
      <c r="O34">
        <v>0.99999899999999997</v>
      </c>
      <c r="P34">
        <v>0.99999899999999997</v>
      </c>
      <c r="Q34">
        <v>0.99999899999999997</v>
      </c>
      <c r="R34">
        <v>0.99999899999999997</v>
      </c>
      <c r="S34">
        <v>0.8</v>
      </c>
      <c r="T34">
        <v>0.8</v>
      </c>
      <c r="U34">
        <v>0.8</v>
      </c>
      <c r="V34">
        <v>0.8</v>
      </c>
      <c r="W34">
        <v>0.8</v>
      </c>
      <c r="X34">
        <v>0.8</v>
      </c>
      <c r="Y34">
        <v>0.8</v>
      </c>
      <c r="Z34">
        <v>0.8</v>
      </c>
      <c r="AA34">
        <v>0.8</v>
      </c>
    </row>
    <row r="35" spans="2:27">
      <c r="B35">
        <v>0.7</v>
      </c>
      <c r="C35">
        <v>0.7</v>
      </c>
      <c r="D35">
        <v>0.7</v>
      </c>
      <c r="E35">
        <v>0.7</v>
      </c>
      <c r="F35">
        <v>0.99999899999999997</v>
      </c>
      <c r="G35">
        <v>0.99999899999999997</v>
      </c>
      <c r="H35">
        <v>0.99999899999999997</v>
      </c>
      <c r="I35">
        <v>0.99999899999999997</v>
      </c>
      <c r="J35">
        <v>0.99999899999999997</v>
      </c>
      <c r="K35">
        <v>0.99999899999999997</v>
      </c>
      <c r="L35">
        <v>0.99999899999999997</v>
      </c>
      <c r="M35">
        <v>0.99999899999999997</v>
      </c>
      <c r="N35">
        <v>0.99999899999999997</v>
      </c>
      <c r="O35">
        <v>0.99999899999999997</v>
      </c>
      <c r="P35">
        <v>0.99999899999999997</v>
      </c>
      <c r="Q35">
        <v>0.99999899999999997</v>
      </c>
      <c r="R35">
        <v>0.99999899999999997</v>
      </c>
      <c r="S35">
        <v>0.8</v>
      </c>
      <c r="T35">
        <v>0.8</v>
      </c>
      <c r="U35">
        <v>0.8</v>
      </c>
      <c r="V35">
        <v>0.8</v>
      </c>
      <c r="W35">
        <v>0.8</v>
      </c>
      <c r="X35">
        <v>0.8</v>
      </c>
      <c r="Y35">
        <v>0.8</v>
      </c>
      <c r="Z35">
        <v>0.8</v>
      </c>
      <c r="AA35">
        <v>0.8</v>
      </c>
    </row>
    <row r="36" spans="2:27">
      <c r="B36">
        <v>0.7</v>
      </c>
      <c r="C36">
        <v>0.7</v>
      </c>
      <c r="D36">
        <v>0.7</v>
      </c>
      <c r="E36">
        <v>0.7</v>
      </c>
      <c r="F36">
        <v>0.99999899999999997</v>
      </c>
      <c r="G36">
        <v>0.99999899999999997</v>
      </c>
      <c r="H36">
        <v>0.99999899999999997</v>
      </c>
      <c r="I36">
        <v>0.99999899999999997</v>
      </c>
      <c r="J36">
        <v>0.99999899999999997</v>
      </c>
      <c r="K36">
        <v>0.99999899999999997</v>
      </c>
      <c r="L36">
        <v>0.99999899999999997</v>
      </c>
      <c r="M36">
        <v>0.99999899999999997</v>
      </c>
      <c r="N36">
        <v>0.99999899999999997</v>
      </c>
      <c r="O36">
        <v>0.99999899999999997</v>
      </c>
      <c r="P36">
        <v>0.99999899999999997</v>
      </c>
      <c r="Q36">
        <v>0.99999899999999997</v>
      </c>
      <c r="R36">
        <v>0.99999899999999997</v>
      </c>
      <c r="S36">
        <v>0.8</v>
      </c>
      <c r="T36">
        <v>0.8</v>
      </c>
      <c r="U36">
        <v>0.8</v>
      </c>
      <c r="V36">
        <v>0.8</v>
      </c>
      <c r="W36">
        <v>0.8</v>
      </c>
      <c r="X36">
        <v>0.8</v>
      </c>
      <c r="Y36">
        <v>0.8</v>
      </c>
      <c r="Z36">
        <v>0.8</v>
      </c>
      <c r="AA36">
        <v>0.8</v>
      </c>
    </row>
    <row r="37" spans="2:27">
      <c r="B37">
        <v>0.7</v>
      </c>
      <c r="C37">
        <v>0.7</v>
      </c>
      <c r="D37">
        <v>0.7</v>
      </c>
      <c r="E37">
        <v>0.7</v>
      </c>
      <c r="F37">
        <v>0.99999899999999997</v>
      </c>
      <c r="G37">
        <v>0.99999899999999997</v>
      </c>
      <c r="H37">
        <v>0.99999899999999997</v>
      </c>
      <c r="I37">
        <v>0.99999899999999997</v>
      </c>
      <c r="J37">
        <v>0.99999899999999997</v>
      </c>
      <c r="K37">
        <v>0.99999899999999997</v>
      </c>
      <c r="L37">
        <v>0.99999899999999997</v>
      </c>
      <c r="M37">
        <v>0.99999899999999997</v>
      </c>
      <c r="N37">
        <v>0.99999899999999997</v>
      </c>
      <c r="O37">
        <v>0.99999899999999997</v>
      </c>
      <c r="P37">
        <v>0.99999899999999997</v>
      </c>
      <c r="Q37">
        <v>0.99999899999999997</v>
      </c>
      <c r="R37">
        <v>0.99999899999999997</v>
      </c>
      <c r="S37">
        <v>0.8</v>
      </c>
      <c r="T37">
        <v>0.8</v>
      </c>
      <c r="U37">
        <v>0.8</v>
      </c>
      <c r="V37">
        <v>0.8</v>
      </c>
      <c r="W37">
        <v>0.8</v>
      </c>
      <c r="X37">
        <v>0.8</v>
      </c>
      <c r="Y37">
        <v>0.8</v>
      </c>
      <c r="Z37">
        <v>0.8</v>
      </c>
      <c r="AA37">
        <v>0.8</v>
      </c>
    </row>
    <row r="38" spans="2:27">
      <c r="B38">
        <v>0.7</v>
      </c>
      <c r="C38">
        <v>0.7</v>
      </c>
      <c r="D38">
        <v>0.7</v>
      </c>
      <c r="E38">
        <v>0.7</v>
      </c>
      <c r="F38">
        <v>0.99999899999999997</v>
      </c>
      <c r="G38">
        <v>0.99999899999999997</v>
      </c>
      <c r="H38">
        <v>0.99999899999999997</v>
      </c>
      <c r="I38">
        <v>0.99999899999999997</v>
      </c>
      <c r="J38">
        <v>0.99999899999999997</v>
      </c>
      <c r="K38">
        <v>0.99999899999999997</v>
      </c>
      <c r="L38">
        <v>0.99999899999999997</v>
      </c>
      <c r="M38">
        <v>0.99999899999999997</v>
      </c>
      <c r="N38">
        <v>0.99999899999999997</v>
      </c>
      <c r="O38">
        <v>0.99999899999999997</v>
      </c>
      <c r="P38">
        <v>0.99999899999999997</v>
      </c>
      <c r="Q38">
        <v>0.99999899999999997</v>
      </c>
      <c r="R38">
        <v>0.99999899999999997</v>
      </c>
      <c r="S38">
        <v>0.8</v>
      </c>
      <c r="T38">
        <v>0.8</v>
      </c>
      <c r="U38">
        <v>0.8</v>
      </c>
      <c r="V38">
        <v>0.8</v>
      </c>
      <c r="W38">
        <v>0.8</v>
      </c>
      <c r="X38">
        <v>0.8</v>
      </c>
      <c r="Y38">
        <v>0.8</v>
      </c>
      <c r="Z38">
        <v>0.8</v>
      </c>
      <c r="AA38">
        <v>0.8</v>
      </c>
    </row>
    <row r="39" spans="2:27">
      <c r="B39">
        <v>0.7</v>
      </c>
      <c r="C39">
        <v>0.7</v>
      </c>
      <c r="D39">
        <v>0.7</v>
      </c>
      <c r="E39">
        <v>0.7</v>
      </c>
      <c r="F39">
        <v>0.99999899999999997</v>
      </c>
      <c r="G39">
        <v>0.99999899999999997</v>
      </c>
      <c r="H39">
        <v>0.99999899999999997</v>
      </c>
      <c r="I39">
        <v>0.99999899999999997</v>
      </c>
      <c r="J39">
        <v>0.99999899999999997</v>
      </c>
      <c r="K39">
        <v>0.99999899999999997</v>
      </c>
      <c r="L39">
        <v>0.99999899999999997</v>
      </c>
      <c r="M39">
        <v>0.99999899999999997</v>
      </c>
      <c r="N39">
        <v>0.99999899999999997</v>
      </c>
      <c r="O39">
        <v>0.99999899999999997</v>
      </c>
      <c r="P39">
        <v>0.99999899999999997</v>
      </c>
      <c r="Q39">
        <v>0.99999899999999997</v>
      </c>
      <c r="R39">
        <v>0.99999899999999997</v>
      </c>
      <c r="S39">
        <v>0.8</v>
      </c>
      <c r="T39">
        <v>0.8</v>
      </c>
      <c r="U39">
        <v>0.8</v>
      </c>
      <c r="V39">
        <v>0.8</v>
      </c>
      <c r="W39">
        <v>0.8</v>
      </c>
      <c r="X39">
        <v>0.8</v>
      </c>
      <c r="Y39">
        <v>0.8</v>
      </c>
      <c r="Z39">
        <v>0.8</v>
      </c>
      <c r="AA39">
        <v>0.8</v>
      </c>
    </row>
    <row r="40" spans="2:27">
      <c r="B40">
        <v>0.7</v>
      </c>
      <c r="C40">
        <v>0.7</v>
      </c>
      <c r="D40">
        <v>0.7</v>
      </c>
      <c r="E40">
        <v>0.7</v>
      </c>
      <c r="F40">
        <v>0.99999899999999997</v>
      </c>
      <c r="G40">
        <v>0.99999899999999997</v>
      </c>
      <c r="H40">
        <v>0.99999899999999997</v>
      </c>
      <c r="I40">
        <v>0.99999899999999997</v>
      </c>
      <c r="J40">
        <v>0.99999899999999997</v>
      </c>
      <c r="K40">
        <v>0.99999899999999997</v>
      </c>
      <c r="L40">
        <v>0.99999899999999997</v>
      </c>
      <c r="M40">
        <v>0.99999899999999997</v>
      </c>
      <c r="N40">
        <v>0.99999899999999997</v>
      </c>
      <c r="O40">
        <v>0.99999899999999997</v>
      </c>
      <c r="P40">
        <v>0.99999899999999997</v>
      </c>
      <c r="Q40">
        <v>0.99999899999999997</v>
      </c>
      <c r="R40">
        <v>0.99999899999999997</v>
      </c>
      <c r="S40">
        <v>0.8</v>
      </c>
      <c r="T40">
        <v>0.8</v>
      </c>
      <c r="U40">
        <v>0.8</v>
      </c>
      <c r="V40">
        <v>0.8</v>
      </c>
      <c r="W40">
        <v>0.8</v>
      </c>
      <c r="X40">
        <v>0.8</v>
      </c>
      <c r="Y40">
        <v>0.8</v>
      </c>
      <c r="Z40">
        <v>0.8</v>
      </c>
      <c r="AA40">
        <v>0.8</v>
      </c>
    </row>
    <row r="41" spans="2:27">
      <c r="B41">
        <v>0.7</v>
      </c>
      <c r="C41">
        <v>0.7</v>
      </c>
      <c r="D41">
        <v>0.7</v>
      </c>
      <c r="E41">
        <v>0.7</v>
      </c>
      <c r="F41">
        <v>0.99999899999999997</v>
      </c>
      <c r="G41">
        <v>0.99999899999999997</v>
      </c>
      <c r="H41">
        <v>0.99999899999999997</v>
      </c>
      <c r="I41">
        <v>0.99999899999999997</v>
      </c>
      <c r="J41">
        <v>0.99999899999999997</v>
      </c>
      <c r="K41">
        <v>0.99999899999999997</v>
      </c>
      <c r="L41">
        <v>0.99999899999999997</v>
      </c>
      <c r="M41">
        <v>0.99999899999999997</v>
      </c>
      <c r="N41">
        <v>0.99999899999999997</v>
      </c>
      <c r="O41">
        <v>0.99999899999999997</v>
      </c>
      <c r="P41">
        <v>0.99999899999999997</v>
      </c>
      <c r="Q41">
        <v>0.99999899999999997</v>
      </c>
      <c r="R41">
        <v>0.99999899999999997</v>
      </c>
      <c r="S41">
        <v>0.8</v>
      </c>
      <c r="T41">
        <v>0.8</v>
      </c>
      <c r="U41">
        <v>0.8</v>
      </c>
      <c r="V41">
        <v>0.8</v>
      </c>
      <c r="W41">
        <v>0.8</v>
      </c>
      <c r="X41">
        <v>0.8</v>
      </c>
      <c r="Y41">
        <v>0.8</v>
      </c>
      <c r="Z41">
        <v>0.8</v>
      </c>
      <c r="AA41">
        <v>0.8</v>
      </c>
    </row>
    <row r="42" spans="2:27">
      <c r="B42">
        <v>0.7</v>
      </c>
      <c r="C42">
        <v>0.7</v>
      </c>
      <c r="D42">
        <v>0.7</v>
      </c>
      <c r="E42">
        <v>0.7</v>
      </c>
      <c r="F42">
        <v>0.99999899999999997</v>
      </c>
      <c r="G42">
        <v>0.99999899999999997</v>
      </c>
      <c r="H42">
        <v>0.99999899999999997</v>
      </c>
      <c r="I42">
        <v>0.99999899999999997</v>
      </c>
      <c r="J42">
        <v>0.99999899999999997</v>
      </c>
      <c r="K42">
        <v>0.99999899999999997</v>
      </c>
      <c r="L42">
        <v>0.99999899999999997</v>
      </c>
      <c r="M42">
        <v>0.99999899999999997</v>
      </c>
      <c r="N42">
        <v>0.99999899999999997</v>
      </c>
      <c r="O42">
        <v>0.99999899999999997</v>
      </c>
      <c r="P42">
        <v>0.99999899999999997</v>
      </c>
      <c r="Q42">
        <v>0.99999899999999997</v>
      </c>
      <c r="R42">
        <v>0.99999899999999997</v>
      </c>
      <c r="S42">
        <v>0.8</v>
      </c>
      <c r="T42">
        <v>0.8</v>
      </c>
      <c r="U42">
        <v>0.8</v>
      </c>
      <c r="V42">
        <v>0.8</v>
      </c>
      <c r="W42">
        <v>0.8</v>
      </c>
      <c r="X42">
        <v>0.8</v>
      </c>
      <c r="Y42">
        <v>0.8</v>
      </c>
      <c r="Z42">
        <v>0.8</v>
      </c>
      <c r="AA42">
        <v>0.8</v>
      </c>
    </row>
    <row r="43" spans="2:27">
      <c r="B43">
        <v>0.7</v>
      </c>
      <c r="C43">
        <v>0.7</v>
      </c>
      <c r="D43">
        <v>0.7</v>
      </c>
      <c r="E43">
        <v>0.7</v>
      </c>
      <c r="F43">
        <v>0.99999899999999997</v>
      </c>
      <c r="G43">
        <v>0.99999899999999997</v>
      </c>
      <c r="H43">
        <v>0.99999899999999997</v>
      </c>
      <c r="I43">
        <v>0.99999899999999997</v>
      </c>
      <c r="J43">
        <v>0.99999899999999997</v>
      </c>
      <c r="K43">
        <v>0.99999899999999997</v>
      </c>
      <c r="L43">
        <v>0.99999899999999997</v>
      </c>
      <c r="M43">
        <v>0.99999899999999997</v>
      </c>
      <c r="N43">
        <v>0.99999899999999997</v>
      </c>
      <c r="O43">
        <v>0.99999899999999997</v>
      </c>
      <c r="P43">
        <v>0.99999899999999997</v>
      </c>
      <c r="Q43">
        <v>0.99999899999999997</v>
      </c>
      <c r="R43">
        <v>0.99999899999999997</v>
      </c>
      <c r="S43">
        <v>0.8</v>
      </c>
      <c r="T43">
        <v>0.8</v>
      </c>
      <c r="U43">
        <v>0.8</v>
      </c>
      <c r="V43">
        <v>0.8</v>
      </c>
      <c r="W43">
        <v>0.8</v>
      </c>
      <c r="X43">
        <v>0.8</v>
      </c>
      <c r="Y43">
        <v>0.8</v>
      </c>
      <c r="Z43">
        <v>0.8</v>
      </c>
      <c r="AA43">
        <v>0.8</v>
      </c>
    </row>
    <row r="44" spans="2:27">
      <c r="B44">
        <v>0.7</v>
      </c>
      <c r="C44">
        <v>0.7</v>
      </c>
      <c r="D44">
        <v>0.7</v>
      </c>
      <c r="E44">
        <v>0.7</v>
      </c>
      <c r="F44">
        <v>0.99999899999999997</v>
      </c>
      <c r="G44">
        <v>0.99999899999999997</v>
      </c>
      <c r="H44">
        <v>0.99999899999999997</v>
      </c>
      <c r="I44">
        <v>0.99999899999999997</v>
      </c>
      <c r="J44">
        <v>0.99999899999999997</v>
      </c>
      <c r="K44">
        <v>0.99999899999999997</v>
      </c>
      <c r="L44">
        <v>0.99999899999999997</v>
      </c>
      <c r="M44">
        <v>0.99999899999999997</v>
      </c>
      <c r="N44">
        <v>0.99999899999999997</v>
      </c>
      <c r="O44">
        <v>0.99999899999999997</v>
      </c>
      <c r="P44">
        <v>0.99999899999999997</v>
      </c>
      <c r="Q44">
        <v>0.99999899999999997</v>
      </c>
      <c r="R44">
        <v>0.99999899999999997</v>
      </c>
      <c r="S44">
        <v>0.8</v>
      </c>
      <c r="T44">
        <v>0.8</v>
      </c>
      <c r="U44">
        <v>0.8</v>
      </c>
      <c r="V44">
        <v>0.8</v>
      </c>
      <c r="W44">
        <v>0.8</v>
      </c>
      <c r="X44">
        <v>0.8</v>
      </c>
      <c r="Y44">
        <v>0.8</v>
      </c>
      <c r="Z44">
        <v>0.8</v>
      </c>
      <c r="AA44">
        <v>0.8</v>
      </c>
    </row>
    <row r="45" spans="2:27">
      <c r="B45">
        <v>0.7</v>
      </c>
      <c r="C45">
        <v>0.7</v>
      </c>
      <c r="D45">
        <v>0.7</v>
      </c>
      <c r="E45">
        <v>0.7</v>
      </c>
      <c r="F45">
        <v>0.99999899999999997</v>
      </c>
      <c r="G45">
        <v>0.99999899999999997</v>
      </c>
      <c r="H45">
        <v>0.99999899999999997</v>
      </c>
      <c r="I45">
        <v>0.99999899999999997</v>
      </c>
      <c r="J45">
        <v>0.99999899999999997</v>
      </c>
      <c r="K45">
        <v>0.99999899999999997</v>
      </c>
      <c r="L45">
        <v>0.99999899999999997</v>
      </c>
      <c r="M45">
        <v>0.99999899999999997</v>
      </c>
      <c r="N45">
        <v>0.99999899999999997</v>
      </c>
      <c r="O45">
        <v>0.99999899999999997</v>
      </c>
      <c r="P45">
        <v>0.99999899999999997</v>
      </c>
      <c r="Q45">
        <v>0.99999899999999997</v>
      </c>
      <c r="R45">
        <v>0.99999899999999997</v>
      </c>
      <c r="S45">
        <v>0.8</v>
      </c>
      <c r="T45">
        <v>0.8</v>
      </c>
      <c r="U45">
        <v>0.8</v>
      </c>
      <c r="V45">
        <v>0.8</v>
      </c>
      <c r="W45">
        <v>0.8</v>
      </c>
      <c r="X45">
        <v>0.8</v>
      </c>
      <c r="Y45">
        <v>0.8</v>
      </c>
      <c r="Z45">
        <v>0.8</v>
      </c>
      <c r="AA45">
        <v>0.8</v>
      </c>
    </row>
    <row r="46" spans="2:27">
      <c r="B46">
        <v>0.7</v>
      </c>
      <c r="C46">
        <v>0.7</v>
      </c>
      <c r="D46">
        <v>0.7</v>
      </c>
      <c r="E46">
        <v>0.7</v>
      </c>
      <c r="F46">
        <v>0.99999899999999997</v>
      </c>
      <c r="G46">
        <v>0.99999899999999997</v>
      </c>
      <c r="H46">
        <v>0.99999899999999997</v>
      </c>
      <c r="I46">
        <v>0.99999899999999997</v>
      </c>
      <c r="J46">
        <v>0.99999899999999997</v>
      </c>
      <c r="K46">
        <v>0.99999899999999997</v>
      </c>
      <c r="L46">
        <v>0.99999899999999997</v>
      </c>
      <c r="M46">
        <v>0.99999899999999997</v>
      </c>
      <c r="N46">
        <v>0.99999899999999997</v>
      </c>
      <c r="O46">
        <v>0.99999899999999997</v>
      </c>
      <c r="P46">
        <v>0.99999899999999997</v>
      </c>
      <c r="Q46">
        <v>0.99999899999999997</v>
      </c>
      <c r="R46">
        <v>0.99999899999999997</v>
      </c>
      <c r="S46">
        <v>0.8</v>
      </c>
      <c r="T46">
        <v>0.8</v>
      </c>
      <c r="U46">
        <v>0.8</v>
      </c>
      <c r="V46">
        <v>0.8</v>
      </c>
      <c r="W46">
        <v>0.8</v>
      </c>
      <c r="X46">
        <v>0.8</v>
      </c>
      <c r="Y46">
        <v>0.8</v>
      </c>
      <c r="Z46">
        <v>0.8</v>
      </c>
      <c r="AA46">
        <v>0.8</v>
      </c>
    </row>
    <row r="47" spans="2:27">
      <c r="B47">
        <v>0.7</v>
      </c>
      <c r="C47">
        <v>0.7</v>
      </c>
      <c r="D47">
        <v>0.7</v>
      </c>
      <c r="E47">
        <v>0.7</v>
      </c>
      <c r="F47">
        <v>0.99999899999999997</v>
      </c>
      <c r="G47">
        <v>0.99999899999999997</v>
      </c>
      <c r="H47">
        <v>0.99999899999999997</v>
      </c>
      <c r="I47">
        <v>0.99999899999999997</v>
      </c>
      <c r="J47">
        <v>0.99999899999999997</v>
      </c>
      <c r="K47">
        <v>0.99999899999999997</v>
      </c>
      <c r="L47">
        <v>0.99999899999999997</v>
      </c>
      <c r="M47">
        <v>0.99999899999999997</v>
      </c>
      <c r="N47">
        <v>0.99999899999999997</v>
      </c>
      <c r="O47">
        <v>0.99999899999999997</v>
      </c>
      <c r="P47">
        <v>0.99999899999999997</v>
      </c>
      <c r="Q47">
        <v>0.99999899999999997</v>
      </c>
      <c r="R47">
        <v>0.99999899999999997</v>
      </c>
      <c r="S47">
        <v>0.8</v>
      </c>
      <c r="T47">
        <v>0.8</v>
      </c>
      <c r="U47">
        <v>0.8</v>
      </c>
      <c r="V47">
        <v>0.8</v>
      </c>
      <c r="W47">
        <v>0.8</v>
      </c>
      <c r="X47">
        <v>0.8</v>
      </c>
      <c r="Y47">
        <v>0.8</v>
      </c>
      <c r="Z47">
        <v>0.8</v>
      </c>
      <c r="AA47">
        <v>0.8</v>
      </c>
    </row>
    <row r="48" spans="2:27">
      <c r="B48">
        <v>0.7</v>
      </c>
      <c r="C48">
        <v>0.7</v>
      </c>
      <c r="D48">
        <v>0.7</v>
      </c>
      <c r="E48">
        <v>0.7</v>
      </c>
      <c r="F48">
        <v>0.99999899999999997</v>
      </c>
      <c r="G48">
        <v>0.99999899999999997</v>
      </c>
      <c r="H48">
        <v>0.99999899999999997</v>
      </c>
      <c r="I48">
        <v>0.99999899999999997</v>
      </c>
      <c r="J48">
        <v>0.99999899999999997</v>
      </c>
      <c r="K48">
        <v>0.99999899999999997</v>
      </c>
      <c r="L48">
        <v>0.99999899999999997</v>
      </c>
      <c r="M48">
        <v>0.99999899999999997</v>
      </c>
      <c r="N48">
        <v>0.99999899999999997</v>
      </c>
      <c r="O48">
        <v>0.99999899999999997</v>
      </c>
      <c r="P48">
        <v>0.99999899999999997</v>
      </c>
      <c r="Q48">
        <v>0.99999899999999997</v>
      </c>
      <c r="R48">
        <v>0.99999899999999997</v>
      </c>
      <c r="S48">
        <v>0.8</v>
      </c>
      <c r="T48">
        <v>0.8</v>
      </c>
      <c r="U48">
        <v>0.8</v>
      </c>
      <c r="V48">
        <v>0.8</v>
      </c>
      <c r="W48">
        <v>0.8</v>
      </c>
      <c r="X48">
        <v>0.8</v>
      </c>
      <c r="Y48">
        <v>0.8</v>
      </c>
      <c r="Z48">
        <v>0.8</v>
      </c>
      <c r="AA48">
        <v>0.8</v>
      </c>
    </row>
    <row r="49" spans="2:27">
      <c r="B49">
        <v>0.7</v>
      </c>
      <c r="C49">
        <v>0.7</v>
      </c>
      <c r="D49">
        <v>0.7</v>
      </c>
      <c r="E49">
        <v>0.7</v>
      </c>
      <c r="F49">
        <v>0.99999899999999997</v>
      </c>
      <c r="G49">
        <v>0.99999899999999997</v>
      </c>
      <c r="H49">
        <v>0.99999899999999997</v>
      </c>
      <c r="I49">
        <v>0.99999899999999997</v>
      </c>
      <c r="J49">
        <v>0.99999899999999997</v>
      </c>
      <c r="K49">
        <v>0.99999899999999997</v>
      </c>
      <c r="L49">
        <v>0.99999899999999997</v>
      </c>
      <c r="M49">
        <v>0.99999899999999997</v>
      </c>
      <c r="N49">
        <v>0.99999899999999997</v>
      </c>
      <c r="O49">
        <v>0.99999899999999997</v>
      </c>
      <c r="P49">
        <v>0.99999899999999997</v>
      </c>
      <c r="Q49">
        <v>0.99999899999999997</v>
      </c>
      <c r="R49">
        <v>0.99999899999999997</v>
      </c>
      <c r="S49">
        <v>0.8</v>
      </c>
      <c r="T49">
        <v>0.8</v>
      </c>
      <c r="U49">
        <v>0.8</v>
      </c>
      <c r="V49">
        <v>0.8</v>
      </c>
      <c r="W49">
        <v>0.8</v>
      </c>
      <c r="X49">
        <v>0.8</v>
      </c>
      <c r="Y49">
        <v>0.8</v>
      </c>
      <c r="Z49">
        <v>0.8</v>
      </c>
      <c r="AA49">
        <v>0.8</v>
      </c>
    </row>
    <row r="50" spans="2:27">
      <c r="B50">
        <v>0.7</v>
      </c>
      <c r="C50">
        <v>0.7</v>
      </c>
      <c r="D50">
        <v>0.7</v>
      </c>
      <c r="E50">
        <v>0.7</v>
      </c>
      <c r="F50">
        <v>0.99999899999999997</v>
      </c>
      <c r="G50">
        <v>0.99999899999999997</v>
      </c>
      <c r="H50">
        <v>0.99999899999999997</v>
      </c>
      <c r="I50">
        <v>0.99999899999999997</v>
      </c>
      <c r="J50">
        <v>0.99999899999999997</v>
      </c>
      <c r="K50">
        <v>0.99999899999999997</v>
      </c>
      <c r="L50">
        <v>0.99999899999999997</v>
      </c>
      <c r="M50">
        <v>0.99999899999999997</v>
      </c>
      <c r="N50">
        <v>0.99999899999999997</v>
      </c>
      <c r="O50">
        <v>0.99999899999999997</v>
      </c>
      <c r="P50">
        <v>0.99999899999999997</v>
      </c>
      <c r="Q50">
        <v>0.99999899999999997</v>
      </c>
      <c r="R50">
        <v>0.99999899999999997</v>
      </c>
      <c r="S50">
        <v>0.8</v>
      </c>
      <c r="T50">
        <v>0.8</v>
      </c>
      <c r="U50">
        <v>0.8</v>
      </c>
      <c r="V50">
        <v>0.8</v>
      </c>
      <c r="W50">
        <v>0.8</v>
      </c>
      <c r="X50">
        <v>0.8</v>
      </c>
      <c r="Y50">
        <v>0.8</v>
      </c>
      <c r="Z50">
        <v>0.8</v>
      </c>
      <c r="AA50">
        <v>0.8</v>
      </c>
    </row>
    <row r="51" spans="2:27">
      <c r="B51">
        <v>0.7</v>
      </c>
      <c r="C51">
        <v>0.7</v>
      </c>
      <c r="D51">
        <v>0.7</v>
      </c>
      <c r="E51">
        <v>0.7</v>
      </c>
      <c r="F51">
        <v>0.99999899999999997</v>
      </c>
      <c r="G51">
        <v>0.99999899999999997</v>
      </c>
      <c r="H51">
        <v>0.99999899999999997</v>
      </c>
      <c r="I51">
        <v>0.99999899999999997</v>
      </c>
      <c r="J51">
        <v>0.99999899999999997</v>
      </c>
      <c r="K51">
        <v>0.99999899999999997</v>
      </c>
      <c r="L51">
        <v>0.99999899999999997</v>
      </c>
      <c r="M51">
        <v>0.99999899999999997</v>
      </c>
      <c r="N51">
        <v>0.99999899999999997</v>
      </c>
      <c r="O51">
        <v>0.99999899999999997</v>
      </c>
      <c r="P51">
        <v>0.99999899999999997</v>
      </c>
      <c r="Q51">
        <v>0.99999899999999997</v>
      </c>
      <c r="R51">
        <v>0.99999899999999997</v>
      </c>
      <c r="S51">
        <v>0.8</v>
      </c>
      <c r="T51">
        <v>0.8</v>
      </c>
      <c r="U51">
        <v>0.8</v>
      </c>
      <c r="V51">
        <v>0.8</v>
      </c>
      <c r="W51">
        <v>0.8</v>
      </c>
      <c r="X51">
        <v>0.8</v>
      </c>
      <c r="Y51">
        <v>0.8</v>
      </c>
      <c r="Z51">
        <v>0.8</v>
      </c>
      <c r="AA51">
        <v>0.8</v>
      </c>
    </row>
    <row r="52" spans="2:27">
      <c r="B52">
        <v>0.7</v>
      </c>
      <c r="C52">
        <v>0.7</v>
      </c>
      <c r="D52">
        <v>0.7</v>
      </c>
      <c r="E52">
        <v>0.7</v>
      </c>
      <c r="F52">
        <v>0.99999899999999997</v>
      </c>
      <c r="G52">
        <v>0.99999899999999997</v>
      </c>
      <c r="H52">
        <v>0.99999899999999997</v>
      </c>
      <c r="I52">
        <v>0.99999899999999997</v>
      </c>
      <c r="J52">
        <v>0.99999899999999997</v>
      </c>
      <c r="K52">
        <v>0.99999899999999997</v>
      </c>
      <c r="L52">
        <v>0.99999899999999997</v>
      </c>
      <c r="M52">
        <v>0.99999899999999997</v>
      </c>
      <c r="N52">
        <v>0.99999899999999997</v>
      </c>
      <c r="O52">
        <v>0.99999899999999997</v>
      </c>
      <c r="P52">
        <v>0.99999899999999997</v>
      </c>
      <c r="Q52">
        <v>0.99999899999999997</v>
      </c>
      <c r="R52">
        <v>0.99999899999999997</v>
      </c>
      <c r="S52">
        <v>0.8</v>
      </c>
      <c r="T52">
        <v>0.8</v>
      </c>
      <c r="U52">
        <v>0.8</v>
      </c>
      <c r="V52">
        <v>0.8</v>
      </c>
      <c r="W52">
        <v>0.8</v>
      </c>
      <c r="X52">
        <v>0.8</v>
      </c>
      <c r="Y52">
        <v>0.8</v>
      </c>
      <c r="Z52">
        <v>0.8</v>
      </c>
      <c r="AA52">
        <v>0.8</v>
      </c>
    </row>
    <row r="53" spans="2:27">
      <c r="B53">
        <v>0.7</v>
      </c>
      <c r="C53">
        <v>0.7</v>
      </c>
      <c r="D53">
        <v>0.7</v>
      </c>
      <c r="E53">
        <v>0.7</v>
      </c>
      <c r="F53">
        <v>0.99999899999999997</v>
      </c>
      <c r="G53">
        <v>0.99999899999999997</v>
      </c>
      <c r="H53">
        <v>0.99999899999999997</v>
      </c>
      <c r="I53">
        <v>0.99999899999999997</v>
      </c>
      <c r="J53">
        <v>0.99999899999999997</v>
      </c>
      <c r="K53">
        <v>0.99999899999999997</v>
      </c>
      <c r="L53">
        <v>0.99999899999999997</v>
      </c>
      <c r="M53">
        <v>0.99999899999999997</v>
      </c>
      <c r="N53">
        <v>0.99999899999999997</v>
      </c>
      <c r="O53">
        <v>0.99999899999999997</v>
      </c>
      <c r="P53">
        <v>0.99999899999999997</v>
      </c>
      <c r="Q53">
        <v>0.99999899999999997</v>
      </c>
      <c r="R53">
        <v>0.99999899999999997</v>
      </c>
      <c r="S53">
        <v>0.8</v>
      </c>
      <c r="T53">
        <v>0.8</v>
      </c>
      <c r="U53">
        <v>0.8</v>
      </c>
      <c r="V53">
        <v>0.8</v>
      </c>
      <c r="W53">
        <v>0.8</v>
      </c>
      <c r="X53">
        <v>0.8</v>
      </c>
      <c r="Y53">
        <v>0.8</v>
      </c>
      <c r="Z53">
        <v>0.8</v>
      </c>
      <c r="AA53">
        <v>0.8</v>
      </c>
    </row>
    <row r="54" spans="2:27">
      <c r="B54">
        <v>0.7</v>
      </c>
      <c r="C54">
        <v>0.7</v>
      </c>
      <c r="D54">
        <v>0.7</v>
      </c>
      <c r="E54">
        <v>0.7</v>
      </c>
      <c r="F54">
        <v>0.99999899999999997</v>
      </c>
      <c r="G54">
        <v>0.99999899999999997</v>
      </c>
      <c r="H54">
        <v>0.99999899999999997</v>
      </c>
      <c r="I54">
        <v>0.99999899999999997</v>
      </c>
      <c r="J54">
        <v>0.99999899999999997</v>
      </c>
      <c r="K54">
        <v>0.99999899999999997</v>
      </c>
      <c r="L54">
        <v>0.99999899999999997</v>
      </c>
      <c r="M54">
        <v>0.99999899999999997</v>
      </c>
      <c r="N54">
        <v>0.99999899999999997</v>
      </c>
      <c r="O54">
        <v>0.99999899999999997</v>
      </c>
      <c r="P54">
        <v>0.99999899999999997</v>
      </c>
      <c r="Q54" t="s">
        <v>801</v>
      </c>
      <c r="R54">
        <v>0.99999899999999997</v>
      </c>
      <c r="S54">
        <v>0.8</v>
      </c>
      <c r="T54">
        <v>0.8</v>
      </c>
      <c r="U54">
        <v>0.8</v>
      </c>
      <c r="V54">
        <v>0.8</v>
      </c>
      <c r="W54">
        <v>0.8</v>
      </c>
      <c r="X54">
        <v>0.8</v>
      </c>
      <c r="Y54">
        <v>0.8</v>
      </c>
      <c r="Z54">
        <v>0.8</v>
      </c>
      <c r="AA54">
        <v>0.8</v>
      </c>
    </row>
    <row r="55" spans="2:27">
      <c r="B55">
        <v>0.7</v>
      </c>
      <c r="C55">
        <v>0.7</v>
      </c>
      <c r="D55">
        <v>0.7</v>
      </c>
      <c r="E55">
        <v>0.7</v>
      </c>
      <c r="F55">
        <v>0.99999899999999997</v>
      </c>
      <c r="G55">
        <v>0.99999899999999997</v>
      </c>
      <c r="H55">
        <v>0.99999899999999997</v>
      </c>
      <c r="I55">
        <v>0.99999899999999997</v>
      </c>
      <c r="J55">
        <v>0.99999899999999997</v>
      </c>
      <c r="K55">
        <v>0.99999899999999997</v>
      </c>
      <c r="L55">
        <v>0.99999899999999997</v>
      </c>
      <c r="M55">
        <v>0.99999899999999997</v>
      </c>
      <c r="N55">
        <v>0.99999899999999997</v>
      </c>
      <c r="O55">
        <v>0.99999899999999997</v>
      </c>
      <c r="P55" t="s">
        <v>801</v>
      </c>
      <c r="Q55" t="s">
        <v>801</v>
      </c>
      <c r="R55">
        <v>0.99999899999999997</v>
      </c>
      <c r="S55">
        <v>0.8</v>
      </c>
      <c r="T55">
        <v>0.8</v>
      </c>
      <c r="U55">
        <v>0.8</v>
      </c>
      <c r="V55">
        <v>0.8</v>
      </c>
      <c r="W55">
        <v>0.8</v>
      </c>
      <c r="X55">
        <v>0.8</v>
      </c>
      <c r="Y55">
        <v>0.8</v>
      </c>
      <c r="Z55">
        <v>0.8</v>
      </c>
      <c r="AA55">
        <v>0.8</v>
      </c>
    </row>
    <row r="56" spans="2:27">
      <c r="B56">
        <v>0.7</v>
      </c>
      <c r="C56">
        <v>0.7</v>
      </c>
      <c r="D56">
        <v>0.7</v>
      </c>
      <c r="E56">
        <v>0.7</v>
      </c>
      <c r="F56">
        <v>0.99999899999999997</v>
      </c>
      <c r="G56">
        <v>0.99999899999999997</v>
      </c>
      <c r="H56">
        <v>0.99999899999999997</v>
      </c>
      <c r="I56">
        <v>0.99999899999999997</v>
      </c>
      <c r="J56">
        <v>0.99999899999999997</v>
      </c>
      <c r="K56">
        <v>0.99999899999999997</v>
      </c>
      <c r="L56">
        <v>0.99999899999999997</v>
      </c>
      <c r="M56">
        <v>0.99999899999999997</v>
      </c>
      <c r="N56">
        <v>0.99999899999999997</v>
      </c>
      <c r="O56">
        <v>0.99999899999999997</v>
      </c>
      <c r="P56" t="s">
        <v>801</v>
      </c>
      <c r="Q56" t="s">
        <v>801</v>
      </c>
      <c r="R56">
        <v>0.99999899999999997</v>
      </c>
      <c r="S56">
        <v>0.8</v>
      </c>
      <c r="T56">
        <v>0.8</v>
      </c>
      <c r="U56">
        <v>0.8</v>
      </c>
      <c r="V56">
        <v>0.8</v>
      </c>
      <c r="W56">
        <v>0.8</v>
      </c>
      <c r="X56">
        <v>0.8</v>
      </c>
      <c r="Y56">
        <v>0.8</v>
      </c>
      <c r="Z56">
        <v>0.8</v>
      </c>
      <c r="AA56">
        <v>0.8</v>
      </c>
    </row>
    <row r="57" spans="2:27">
      <c r="B57">
        <v>0.7</v>
      </c>
      <c r="C57">
        <v>0.7</v>
      </c>
      <c r="D57">
        <v>0.7</v>
      </c>
      <c r="E57">
        <v>0.7</v>
      </c>
      <c r="F57">
        <v>0.99999899999999997</v>
      </c>
      <c r="G57">
        <v>0.99999899999999997</v>
      </c>
      <c r="H57">
        <v>0.99999899999999997</v>
      </c>
      <c r="I57">
        <v>0.99999899999999997</v>
      </c>
      <c r="J57">
        <v>0.99999899999999997</v>
      </c>
      <c r="K57">
        <v>0.99999899999999997</v>
      </c>
      <c r="L57">
        <v>0.99999899999999997</v>
      </c>
      <c r="M57">
        <v>0.99999899999999997</v>
      </c>
      <c r="N57">
        <v>0.99999899999999997</v>
      </c>
      <c r="O57">
        <v>0.99999899999999997</v>
      </c>
      <c r="P57" t="s">
        <v>801</v>
      </c>
      <c r="Q57" t="s">
        <v>801</v>
      </c>
      <c r="R57">
        <v>0.99999899999999997</v>
      </c>
      <c r="S57">
        <v>0.8</v>
      </c>
      <c r="T57">
        <v>0.8</v>
      </c>
      <c r="U57">
        <v>0.8</v>
      </c>
      <c r="V57">
        <v>0.8</v>
      </c>
      <c r="W57">
        <v>0.8</v>
      </c>
      <c r="X57">
        <v>0.8</v>
      </c>
      <c r="Y57">
        <v>0.8</v>
      </c>
      <c r="Z57">
        <v>0.8</v>
      </c>
      <c r="AA57">
        <v>0.8</v>
      </c>
    </row>
    <row r="58" spans="2:27">
      <c r="B58">
        <v>0.7</v>
      </c>
      <c r="C58">
        <v>0.7</v>
      </c>
      <c r="D58">
        <v>0.7</v>
      </c>
      <c r="E58">
        <v>0.7</v>
      </c>
      <c r="F58">
        <v>0.99999899999999997</v>
      </c>
      <c r="G58">
        <v>0.99999899999999997</v>
      </c>
      <c r="H58">
        <v>0.99999899999999997</v>
      </c>
      <c r="I58">
        <v>0.99999899999999997</v>
      </c>
      <c r="J58">
        <v>0.99999899999999997</v>
      </c>
      <c r="K58">
        <v>0.99999899999999997</v>
      </c>
      <c r="L58">
        <v>0.99999899999999997</v>
      </c>
      <c r="M58">
        <v>0.99999899999999997</v>
      </c>
      <c r="N58">
        <v>0.99999899999999997</v>
      </c>
      <c r="O58">
        <v>0.99999899999999997</v>
      </c>
      <c r="P58" t="s">
        <v>801</v>
      </c>
      <c r="Q58" t="s">
        <v>801</v>
      </c>
      <c r="R58">
        <v>0.99999899999999997</v>
      </c>
      <c r="S58">
        <v>0.8</v>
      </c>
      <c r="T58">
        <v>0.8</v>
      </c>
      <c r="U58">
        <v>0.8</v>
      </c>
      <c r="V58">
        <v>0.8</v>
      </c>
      <c r="W58">
        <v>0.8</v>
      </c>
      <c r="X58">
        <v>0.8</v>
      </c>
      <c r="Y58">
        <v>0.8</v>
      </c>
      <c r="Z58">
        <v>0.8</v>
      </c>
      <c r="AA58">
        <v>0.8</v>
      </c>
    </row>
    <row r="59" spans="2:27">
      <c r="B59">
        <v>0.7</v>
      </c>
      <c r="C59">
        <v>0.7</v>
      </c>
      <c r="D59">
        <v>0.7</v>
      </c>
      <c r="E59">
        <v>0.7</v>
      </c>
      <c r="F59">
        <v>0.99999899999999997</v>
      </c>
      <c r="G59">
        <v>0.99999899999999997</v>
      </c>
      <c r="H59">
        <v>0.99999899999999997</v>
      </c>
      <c r="I59">
        <v>0.99999899999999997</v>
      </c>
      <c r="J59">
        <v>0.99999899999999997</v>
      </c>
      <c r="K59">
        <v>0.99999899999999997</v>
      </c>
      <c r="L59">
        <v>0.99999899999999997</v>
      </c>
      <c r="M59">
        <v>0.99999899999999997</v>
      </c>
      <c r="N59">
        <v>0.99999899999999997</v>
      </c>
      <c r="O59">
        <v>0.99999899999999997</v>
      </c>
      <c r="P59" t="s">
        <v>801</v>
      </c>
      <c r="Q59" t="s">
        <v>801</v>
      </c>
      <c r="R59">
        <v>0.99999899999999997</v>
      </c>
      <c r="S59">
        <v>0.8</v>
      </c>
      <c r="T59">
        <v>0.8</v>
      </c>
      <c r="U59">
        <v>0.8</v>
      </c>
      <c r="V59">
        <v>0.8</v>
      </c>
      <c r="W59">
        <v>0.8</v>
      </c>
      <c r="X59">
        <v>0.8</v>
      </c>
      <c r="Y59">
        <v>0.8</v>
      </c>
      <c r="Z59">
        <v>0.8</v>
      </c>
      <c r="AA59">
        <v>0.8</v>
      </c>
    </row>
    <row r="60" spans="2:27">
      <c r="B60">
        <v>0.7</v>
      </c>
      <c r="C60">
        <v>0.7</v>
      </c>
      <c r="D60">
        <v>0.7</v>
      </c>
      <c r="E60">
        <v>0.7</v>
      </c>
      <c r="F60">
        <v>0.99999899999999997</v>
      </c>
      <c r="G60">
        <v>0.99999899999999997</v>
      </c>
      <c r="H60">
        <v>0.99999899999999997</v>
      </c>
      <c r="I60">
        <v>0.99999899999999997</v>
      </c>
      <c r="J60">
        <v>0.99999899999999997</v>
      </c>
      <c r="K60">
        <v>0.99999899999999997</v>
      </c>
      <c r="L60">
        <v>0.99999899999999997</v>
      </c>
      <c r="M60">
        <v>0.99999899999999997</v>
      </c>
      <c r="N60">
        <v>0.99999899999999997</v>
      </c>
      <c r="O60">
        <v>0.99999899999999997</v>
      </c>
      <c r="P60" t="s">
        <v>801</v>
      </c>
      <c r="Q60" t="s">
        <v>801</v>
      </c>
      <c r="R60">
        <v>0.99999899999999997</v>
      </c>
      <c r="S60">
        <v>0.8</v>
      </c>
      <c r="T60">
        <v>0.8</v>
      </c>
      <c r="U60">
        <v>0.8</v>
      </c>
      <c r="V60">
        <v>0.8</v>
      </c>
      <c r="W60">
        <v>0.8</v>
      </c>
      <c r="X60">
        <v>0.8</v>
      </c>
      <c r="Y60">
        <v>0.8</v>
      </c>
      <c r="Z60">
        <v>0.8</v>
      </c>
      <c r="AA60">
        <v>0.8</v>
      </c>
    </row>
    <row r="61" spans="2:27">
      <c r="B61">
        <v>0.7</v>
      </c>
      <c r="C61">
        <v>0.7</v>
      </c>
      <c r="D61">
        <v>0.7</v>
      </c>
      <c r="E61">
        <v>0.7</v>
      </c>
      <c r="F61">
        <v>0.99999899999999997</v>
      </c>
      <c r="G61">
        <v>0.99999899999999997</v>
      </c>
      <c r="H61">
        <v>0.99999899999999997</v>
      </c>
      <c r="I61">
        <v>0.99999899999999997</v>
      </c>
      <c r="J61">
        <v>0.99999899999999997</v>
      </c>
      <c r="K61">
        <v>0.99999899999999997</v>
      </c>
      <c r="L61">
        <v>0.99999899999999997</v>
      </c>
      <c r="M61">
        <v>0.99999899999999997</v>
      </c>
      <c r="N61">
        <v>0.99999899999999997</v>
      </c>
      <c r="O61">
        <v>0.99999899999999997</v>
      </c>
      <c r="P61" t="s">
        <v>801</v>
      </c>
      <c r="Q61" t="s">
        <v>801</v>
      </c>
      <c r="R61">
        <v>0.99999899999999997</v>
      </c>
      <c r="T61">
        <v>0.8</v>
      </c>
      <c r="U61">
        <v>0.8</v>
      </c>
      <c r="V61">
        <v>0.8</v>
      </c>
      <c r="W61">
        <v>0.8</v>
      </c>
      <c r="X61">
        <v>0.8</v>
      </c>
      <c r="Y61">
        <v>0.8</v>
      </c>
      <c r="Z61">
        <v>0.8</v>
      </c>
      <c r="AA61">
        <v>0.8</v>
      </c>
    </row>
    <row r="62" spans="2:27">
      <c r="B62">
        <v>0.7</v>
      </c>
      <c r="C62">
        <v>0.7</v>
      </c>
      <c r="D62">
        <v>0.7</v>
      </c>
      <c r="E62">
        <v>0.7</v>
      </c>
      <c r="F62">
        <v>0.99999899999999997</v>
      </c>
      <c r="G62">
        <v>0.99999899999999997</v>
      </c>
      <c r="H62">
        <v>0.99999899999999997</v>
      </c>
      <c r="I62">
        <v>0.99999899999999997</v>
      </c>
      <c r="J62">
        <v>0.99999899999999997</v>
      </c>
      <c r="K62">
        <v>0.99999899999999997</v>
      </c>
      <c r="L62">
        <v>0.99999899999999997</v>
      </c>
      <c r="M62">
        <v>0.99999899999999997</v>
      </c>
      <c r="N62">
        <v>0.99999899999999997</v>
      </c>
      <c r="O62">
        <v>0.99999899999999997</v>
      </c>
      <c r="P62" t="s">
        <v>801</v>
      </c>
      <c r="Q62" t="s">
        <v>801</v>
      </c>
      <c r="R62">
        <v>0.99999899999999997</v>
      </c>
      <c r="T62">
        <v>0.8</v>
      </c>
      <c r="U62">
        <v>0.8</v>
      </c>
      <c r="V62">
        <v>0.8</v>
      </c>
      <c r="W62">
        <v>0.8</v>
      </c>
      <c r="X62">
        <v>0.8</v>
      </c>
      <c r="Y62">
        <v>0.8</v>
      </c>
      <c r="Z62">
        <v>0.8</v>
      </c>
      <c r="AA62">
        <v>0.8</v>
      </c>
    </row>
    <row r="63" spans="2:27">
      <c r="B63">
        <v>0.7</v>
      </c>
      <c r="C63">
        <v>0.7</v>
      </c>
      <c r="D63">
        <v>0.7</v>
      </c>
      <c r="E63">
        <v>0.7</v>
      </c>
      <c r="F63">
        <v>0.99999899999999997</v>
      </c>
      <c r="G63">
        <v>0.99999899999999997</v>
      </c>
      <c r="H63">
        <v>0.99999899999999997</v>
      </c>
      <c r="I63">
        <v>0.99999899999999997</v>
      </c>
      <c r="J63">
        <v>0.99999899999999997</v>
      </c>
      <c r="K63">
        <v>0.99999899999999997</v>
      </c>
      <c r="N63">
        <v>0.99999899999999997</v>
      </c>
      <c r="R63">
        <v>0.99999899999999997</v>
      </c>
      <c r="T63">
        <v>0.8</v>
      </c>
      <c r="U63">
        <v>0.8</v>
      </c>
      <c r="V63">
        <v>0.8</v>
      </c>
      <c r="W63">
        <v>0.8</v>
      </c>
      <c r="X63">
        <v>0.8</v>
      </c>
      <c r="Y63">
        <v>0.8</v>
      </c>
      <c r="Z63">
        <v>0.8</v>
      </c>
      <c r="AA63">
        <v>0.8</v>
      </c>
    </row>
    <row r="64" spans="2:27">
      <c r="B64">
        <v>30</v>
      </c>
      <c r="C64">
        <v>30</v>
      </c>
      <c r="D64">
        <v>30</v>
      </c>
      <c r="E64">
        <v>30</v>
      </c>
      <c r="F64">
        <v>45</v>
      </c>
      <c r="G64">
        <v>45</v>
      </c>
      <c r="H64">
        <v>45</v>
      </c>
      <c r="I64">
        <v>45</v>
      </c>
      <c r="J64">
        <v>45</v>
      </c>
      <c r="K64">
        <v>45</v>
      </c>
      <c r="L64">
        <v>45</v>
      </c>
      <c r="M64">
        <v>45</v>
      </c>
      <c r="N64">
        <v>45</v>
      </c>
      <c r="O64">
        <v>45</v>
      </c>
      <c r="P64">
        <v>45</v>
      </c>
      <c r="Q64">
        <v>45</v>
      </c>
      <c r="R64">
        <v>45</v>
      </c>
      <c r="S64">
        <v>20</v>
      </c>
      <c r="T64">
        <v>20</v>
      </c>
      <c r="U64">
        <v>20</v>
      </c>
      <c r="V64">
        <v>20</v>
      </c>
      <c r="W64">
        <v>20</v>
      </c>
      <c r="X64">
        <v>20</v>
      </c>
      <c r="Y64">
        <v>20</v>
      </c>
      <c r="Z64">
        <v>20</v>
      </c>
      <c r="AA64">
        <v>20</v>
      </c>
    </row>
    <row r="65" spans="2:27">
      <c r="B65">
        <v>30</v>
      </c>
      <c r="C65">
        <v>30</v>
      </c>
      <c r="D65">
        <v>30</v>
      </c>
      <c r="E65">
        <v>30</v>
      </c>
      <c r="F65">
        <v>45</v>
      </c>
      <c r="G65">
        <v>45</v>
      </c>
      <c r="H65">
        <v>45</v>
      </c>
      <c r="I65">
        <v>45</v>
      </c>
      <c r="J65">
        <v>45</v>
      </c>
      <c r="K65">
        <v>45</v>
      </c>
      <c r="L65">
        <v>45</v>
      </c>
      <c r="M65">
        <v>45</v>
      </c>
      <c r="N65">
        <v>45</v>
      </c>
      <c r="O65">
        <v>45</v>
      </c>
      <c r="P65">
        <v>45</v>
      </c>
      <c r="Q65">
        <v>45</v>
      </c>
      <c r="R65">
        <v>45</v>
      </c>
      <c r="S65">
        <v>20</v>
      </c>
      <c r="T65">
        <v>20</v>
      </c>
      <c r="U65">
        <v>20</v>
      </c>
      <c r="V65">
        <v>20</v>
      </c>
      <c r="W65">
        <v>20</v>
      </c>
      <c r="X65">
        <v>20</v>
      </c>
      <c r="Y65">
        <v>20</v>
      </c>
      <c r="Z65">
        <v>20</v>
      </c>
      <c r="AA65">
        <v>20</v>
      </c>
    </row>
    <row r="66" spans="2:27">
      <c r="B66">
        <v>30</v>
      </c>
      <c r="C66">
        <v>30</v>
      </c>
      <c r="D66">
        <v>30</v>
      </c>
      <c r="E66">
        <v>30</v>
      </c>
      <c r="F66">
        <v>45</v>
      </c>
      <c r="G66">
        <v>45</v>
      </c>
      <c r="H66">
        <v>45</v>
      </c>
      <c r="I66">
        <v>45</v>
      </c>
      <c r="J66">
        <v>45</v>
      </c>
      <c r="K66">
        <v>45</v>
      </c>
      <c r="L66">
        <v>45</v>
      </c>
      <c r="M66">
        <v>45</v>
      </c>
      <c r="N66">
        <v>45</v>
      </c>
      <c r="O66">
        <v>45</v>
      </c>
      <c r="P66">
        <v>45</v>
      </c>
      <c r="Q66">
        <v>45</v>
      </c>
      <c r="R66">
        <v>45</v>
      </c>
      <c r="S66">
        <v>20</v>
      </c>
      <c r="T66">
        <v>20</v>
      </c>
      <c r="U66">
        <v>20</v>
      </c>
      <c r="V66">
        <v>20</v>
      </c>
      <c r="W66">
        <v>20</v>
      </c>
      <c r="X66">
        <v>20</v>
      </c>
      <c r="Y66">
        <v>20</v>
      </c>
      <c r="Z66">
        <v>20</v>
      </c>
      <c r="AA66">
        <v>20</v>
      </c>
    </row>
    <row r="67" spans="2:27">
      <c r="B67">
        <v>30</v>
      </c>
      <c r="C67">
        <v>30</v>
      </c>
      <c r="D67">
        <v>30</v>
      </c>
      <c r="E67">
        <v>30</v>
      </c>
      <c r="F67">
        <v>45</v>
      </c>
      <c r="G67">
        <v>45</v>
      </c>
      <c r="H67">
        <v>45</v>
      </c>
      <c r="I67">
        <v>45</v>
      </c>
      <c r="J67">
        <v>45</v>
      </c>
      <c r="K67">
        <v>45</v>
      </c>
      <c r="L67">
        <v>45</v>
      </c>
      <c r="M67">
        <v>45</v>
      </c>
      <c r="N67">
        <v>45</v>
      </c>
      <c r="O67">
        <v>45</v>
      </c>
      <c r="P67">
        <v>45</v>
      </c>
      <c r="Q67">
        <v>45</v>
      </c>
      <c r="R67">
        <v>45</v>
      </c>
      <c r="S67">
        <v>20</v>
      </c>
      <c r="T67">
        <v>20</v>
      </c>
      <c r="U67">
        <v>20</v>
      </c>
      <c r="V67">
        <v>20</v>
      </c>
      <c r="W67">
        <v>20</v>
      </c>
      <c r="X67">
        <v>20</v>
      </c>
      <c r="Y67">
        <v>20</v>
      </c>
      <c r="Z67">
        <v>20</v>
      </c>
      <c r="AA67">
        <v>20</v>
      </c>
    </row>
    <row r="68" spans="2:27">
      <c r="B68">
        <v>30</v>
      </c>
      <c r="C68">
        <v>30</v>
      </c>
      <c r="D68">
        <v>30</v>
      </c>
      <c r="E68">
        <v>30</v>
      </c>
      <c r="F68">
        <v>45</v>
      </c>
      <c r="G68">
        <v>45</v>
      </c>
      <c r="H68">
        <v>45</v>
      </c>
      <c r="I68">
        <v>45</v>
      </c>
      <c r="J68">
        <v>45</v>
      </c>
      <c r="K68">
        <v>45</v>
      </c>
      <c r="L68">
        <v>45</v>
      </c>
      <c r="M68">
        <v>45</v>
      </c>
      <c r="N68">
        <v>45</v>
      </c>
      <c r="O68">
        <v>45</v>
      </c>
      <c r="P68">
        <v>45</v>
      </c>
      <c r="Q68">
        <v>45</v>
      </c>
      <c r="R68">
        <v>45</v>
      </c>
      <c r="S68">
        <v>20</v>
      </c>
      <c r="T68">
        <v>20</v>
      </c>
      <c r="U68">
        <v>20</v>
      </c>
      <c r="V68">
        <v>20</v>
      </c>
      <c r="W68">
        <v>20</v>
      </c>
      <c r="X68">
        <v>20</v>
      </c>
      <c r="Y68">
        <v>20</v>
      </c>
      <c r="Z68">
        <v>20</v>
      </c>
      <c r="AA68">
        <v>20</v>
      </c>
    </row>
    <row r="69" spans="2:27">
      <c r="B69">
        <v>30</v>
      </c>
      <c r="C69">
        <v>30</v>
      </c>
      <c r="D69">
        <v>30</v>
      </c>
      <c r="E69">
        <v>30</v>
      </c>
      <c r="F69">
        <v>45</v>
      </c>
      <c r="G69">
        <v>45</v>
      </c>
      <c r="H69">
        <v>45</v>
      </c>
      <c r="I69">
        <v>45</v>
      </c>
      <c r="J69">
        <v>45</v>
      </c>
      <c r="K69">
        <v>45</v>
      </c>
      <c r="L69">
        <v>45</v>
      </c>
      <c r="M69">
        <v>45</v>
      </c>
      <c r="N69">
        <v>45</v>
      </c>
      <c r="O69">
        <v>45</v>
      </c>
      <c r="P69">
        <v>45</v>
      </c>
      <c r="Q69">
        <v>45</v>
      </c>
      <c r="R69">
        <v>45</v>
      </c>
      <c r="S69">
        <v>20</v>
      </c>
      <c r="T69">
        <v>20</v>
      </c>
      <c r="U69">
        <v>20</v>
      </c>
      <c r="V69">
        <v>20</v>
      </c>
      <c r="W69">
        <v>20</v>
      </c>
      <c r="X69">
        <v>20</v>
      </c>
      <c r="Y69">
        <v>20</v>
      </c>
      <c r="Z69">
        <v>20</v>
      </c>
      <c r="AA69">
        <v>20</v>
      </c>
    </row>
    <row r="70" spans="2:27">
      <c r="B70">
        <v>30</v>
      </c>
      <c r="C70">
        <v>30</v>
      </c>
      <c r="D70">
        <v>30</v>
      </c>
      <c r="E70">
        <v>30</v>
      </c>
      <c r="F70">
        <v>45</v>
      </c>
      <c r="G70">
        <v>45</v>
      </c>
      <c r="H70">
        <v>45</v>
      </c>
      <c r="I70">
        <v>45</v>
      </c>
      <c r="J70">
        <v>45</v>
      </c>
      <c r="K70">
        <v>45</v>
      </c>
      <c r="L70">
        <v>45</v>
      </c>
      <c r="M70">
        <v>45</v>
      </c>
      <c r="N70">
        <v>45</v>
      </c>
      <c r="O70">
        <v>45</v>
      </c>
      <c r="P70">
        <v>45</v>
      </c>
      <c r="Q70">
        <v>45</v>
      </c>
      <c r="R70">
        <v>45</v>
      </c>
      <c r="S70">
        <v>20</v>
      </c>
      <c r="T70">
        <v>20</v>
      </c>
      <c r="U70">
        <v>20</v>
      </c>
      <c r="V70">
        <v>20</v>
      </c>
      <c r="W70">
        <v>20</v>
      </c>
      <c r="X70">
        <v>20</v>
      </c>
      <c r="Y70">
        <v>20</v>
      </c>
      <c r="Z70">
        <v>20</v>
      </c>
      <c r="AA70">
        <v>20</v>
      </c>
    </row>
    <row r="71" spans="2:27">
      <c r="B71">
        <v>30</v>
      </c>
      <c r="C71">
        <v>30</v>
      </c>
      <c r="D71">
        <v>30</v>
      </c>
      <c r="E71">
        <v>30</v>
      </c>
      <c r="F71">
        <v>45</v>
      </c>
      <c r="G71">
        <v>45</v>
      </c>
      <c r="H71">
        <v>45</v>
      </c>
      <c r="I71">
        <v>45</v>
      </c>
      <c r="J71">
        <v>45</v>
      </c>
      <c r="K71">
        <v>45</v>
      </c>
      <c r="L71">
        <v>45</v>
      </c>
      <c r="M71">
        <v>45</v>
      </c>
      <c r="N71">
        <v>45</v>
      </c>
      <c r="O71">
        <v>45</v>
      </c>
      <c r="P71">
        <v>45</v>
      </c>
      <c r="Q71">
        <v>45</v>
      </c>
      <c r="R71">
        <v>45</v>
      </c>
      <c r="S71">
        <v>20</v>
      </c>
      <c r="T71">
        <v>20</v>
      </c>
      <c r="U71">
        <v>20</v>
      </c>
      <c r="V71">
        <v>20</v>
      </c>
      <c r="W71">
        <v>20</v>
      </c>
      <c r="X71">
        <v>20</v>
      </c>
      <c r="Y71">
        <v>20</v>
      </c>
      <c r="Z71">
        <v>20</v>
      </c>
      <c r="AA71">
        <v>20</v>
      </c>
    </row>
    <row r="72" spans="2:27">
      <c r="B72">
        <v>30</v>
      </c>
      <c r="C72">
        <v>30</v>
      </c>
      <c r="D72">
        <v>30</v>
      </c>
      <c r="E72">
        <v>30</v>
      </c>
      <c r="F72">
        <v>45</v>
      </c>
      <c r="G72">
        <v>45</v>
      </c>
      <c r="H72">
        <v>45</v>
      </c>
      <c r="I72">
        <v>45</v>
      </c>
      <c r="J72">
        <v>45</v>
      </c>
      <c r="K72">
        <v>45</v>
      </c>
      <c r="L72">
        <v>45</v>
      </c>
      <c r="M72">
        <v>45</v>
      </c>
      <c r="N72">
        <v>45</v>
      </c>
      <c r="O72">
        <v>45</v>
      </c>
      <c r="P72">
        <v>45</v>
      </c>
      <c r="Q72">
        <v>45</v>
      </c>
      <c r="R72">
        <v>45</v>
      </c>
      <c r="S72">
        <v>20</v>
      </c>
      <c r="T72">
        <v>20</v>
      </c>
      <c r="U72">
        <v>20</v>
      </c>
      <c r="V72">
        <v>20</v>
      </c>
      <c r="W72">
        <v>20</v>
      </c>
      <c r="X72">
        <v>20</v>
      </c>
      <c r="Y72">
        <v>20</v>
      </c>
      <c r="Z72">
        <v>20</v>
      </c>
      <c r="AA72">
        <v>20</v>
      </c>
    </row>
    <row r="73" spans="2:27">
      <c r="B73">
        <v>30</v>
      </c>
      <c r="C73">
        <v>30</v>
      </c>
      <c r="D73">
        <v>30</v>
      </c>
      <c r="E73">
        <v>30</v>
      </c>
      <c r="F73">
        <v>45</v>
      </c>
      <c r="G73">
        <v>45</v>
      </c>
      <c r="H73">
        <v>45</v>
      </c>
      <c r="I73">
        <v>45</v>
      </c>
      <c r="J73">
        <v>45</v>
      </c>
      <c r="K73">
        <v>45</v>
      </c>
      <c r="L73">
        <v>45</v>
      </c>
      <c r="M73">
        <v>45</v>
      </c>
      <c r="N73">
        <v>45</v>
      </c>
      <c r="O73">
        <v>45</v>
      </c>
      <c r="P73">
        <v>45</v>
      </c>
      <c r="Q73">
        <v>45</v>
      </c>
      <c r="R73">
        <v>45</v>
      </c>
      <c r="S73">
        <v>20</v>
      </c>
      <c r="T73">
        <v>20</v>
      </c>
      <c r="U73">
        <v>20</v>
      </c>
      <c r="V73">
        <v>20</v>
      </c>
      <c r="W73">
        <v>20</v>
      </c>
      <c r="X73">
        <v>20</v>
      </c>
      <c r="Y73">
        <v>20</v>
      </c>
      <c r="Z73">
        <v>20</v>
      </c>
      <c r="AA73">
        <v>20</v>
      </c>
    </row>
    <row r="74" spans="2:27">
      <c r="B74">
        <v>30</v>
      </c>
      <c r="C74">
        <v>30</v>
      </c>
      <c r="D74">
        <v>30</v>
      </c>
      <c r="E74">
        <v>30</v>
      </c>
      <c r="F74">
        <v>45</v>
      </c>
      <c r="G74">
        <v>45</v>
      </c>
      <c r="H74">
        <v>45</v>
      </c>
      <c r="I74">
        <v>45</v>
      </c>
      <c r="J74">
        <v>45</v>
      </c>
      <c r="K74">
        <v>45</v>
      </c>
      <c r="L74">
        <v>45</v>
      </c>
      <c r="M74">
        <v>45</v>
      </c>
      <c r="N74">
        <v>45</v>
      </c>
      <c r="O74">
        <v>45</v>
      </c>
      <c r="P74">
        <v>45</v>
      </c>
      <c r="Q74">
        <v>45</v>
      </c>
      <c r="R74">
        <v>45</v>
      </c>
      <c r="S74">
        <v>20</v>
      </c>
      <c r="T74">
        <v>20</v>
      </c>
      <c r="U74">
        <v>20</v>
      </c>
      <c r="V74">
        <v>20</v>
      </c>
      <c r="W74">
        <v>20</v>
      </c>
      <c r="X74">
        <v>20</v>
      </c>
      <c r="Y74">
        <v>20</v>
      </c>
      <c r="Z74">
        <v>20</v>
      </c>
      <c r="AA74">
        <v>20</v>
      </c>
    </row>
    <row r="75" spans="2:27">
      <c r="B75">
        <v>30</v>
      </c>
      <c r="C75">
        <v>30</v>
      </c>
      <c r="D75">
        <v>30</v>
      </c>
      <c r="E75">
        <v>30</v>
      </c>
      <c r="F75">
        <v>45</v>
      </c>
      <c r="G75">
        <v>45</v>
      </c>
      <c r="H75">
        <v>45</v>
      </c>
      <c r="I75">
        <v>45</v>
      </c>
      <c r="J75">
        <v>45</v>
      </c>
      <c r="K75">
        <v>45</v>
      </c>
      <c r="L75">
        <v>45</v>
      </c>
      <c r="M75">
        <v>45</v>
      </c>
      <c r="N75">
        <v>45</v>
      </c>
      <c r="O75">
        <v>45</v>
      </c>
      <c r="P75">
        <v>45</v>
      </c>
      <c r="Q75">
        <v>45</v>
      </c>
      <c r="R75">
        <v>45</v>
      </c>
      <c r="S75">
        <v>20</v>
      </c>
      <c r="T75">
        <v>20</v>
      </c>
      <c r="U75">
        <v>20</v>
      </c>
      <c r="V75">
        <v>20</v>
      </c>
      <c r="W75">
        <v>20</v>
      </c>
      <c r="X75">
        <v>20</v>
      </c>
      <c r="Y75">
        <v>20</v>
      </c>
      <c r="Z75">
        <v>20</v>
      </c>
      <c r="AA75">
        <v>20</v>
      </c>
    </row>
    <row r="76" spans="2:27">
      <c r="B76">
        <v>30</v>
      </c>
      <c r="C76">
        <v>30</v>
      </c>
      <c r="D76">
        <v>30</v>
      </c>
      <c r="E76">
        <v>30</v>
      </c>
      <c r="F76">
        <v>45</v>
      </c>
      <c r="G76">
        <v>45</v>
      </c>
      <c r="H76">
        <v>45</v>
      </c>
      <c r="I76">
        <v>45</v>
      </c>
      <c r="J76">
        <v>45</v>
      </c>
      <c r="K76">
        <v>45</v>
      </c>
      <c r="L76">
        <v>45</v>
      </c>
      <c r="M76">
        <v>45</v>
      </c>
      <c r="N76">
        <v>45</v>
      </c>
      <c r="O76">
        <v>45</v>
      </c>
      <c r="P76">
        <v>45</v>
      </c>
      <c r="Q76">
        <v>45</v>
      </c>
      <c r="R76">
        <v>45</v>
      </c>
      <c r="S76">
        <v>20</v>
      </c>
      <c r="T76">
        <v>20</v>
      </c>
      <c r="U76">
        <v>20</v>
      </c>
      <c r="V76">
        <v>20</v>
      </c>
      <c r="W76">
        <v>20</v>
      </c>
      <c r="X76">
        <v>20</v>
      </c>
      <c r="Y76">
        <v>20</v>
      </c>
      <c r="Z76">
        <v>20</v>
      </c>
      <c r="AA76">
        <v>20</v>
      </c>
    </row>
    <row r="77" spans="2:27">
      <c r="B77">
        <v>30</v>
      </c>
      <c r="C77">
        <v>30</v>
      </c>
      <c r="D77">
        <v>30</v>
      </c>
      <c r="E77">
        <v>30</v>
      </c>
      <c r="F77">
        <v>45</v>
      </c>
      <c r="G77">
        <v>45</v>
      </c>
      <c r="H77">
        <v>45</v>
      </c>
      <c r="I77">
        <v>45</v>
      </c>
      <c r="J77">
        <v>45</v>
      </c>
      <c r="K77">
        <v>45</v>
      </c>
      <c r="L77">
        <v>45</v>
      </c>
      <c r="M77">
        <v>45</v>
      </c>
      <c r="N77">
        <v>45</v>
      </c>
      <c r="O77">
        <v>45</v>
      </c>
      <c r="P77">
        <v>45</v>
      </c>
      <c r="Q77">
        <v>45</v>
      </c>
      <c r="R77">
        <v>45</v>
      </c>
      <c r="S77">
        <v>20</v>
      </c>
      <c r="T77">
        <v>20</v>
      </c>
      <c r="U77">
        <v>20</v>
      </c>
      <c r="V77">
        <v>20</v>
      </c>
      <c r="W77">
        <v>20</v>
      </c>
      <c r="X77">
        <v>20</v>
      </c>
      <c r="Y77">
        <v>20</v>
      </c>
      <c r="Z77">
        <v>20</v>
      </c>
      <c r="AA77">
        <v>20</v>
      </c>
    </row>
    <row r="78" spans="2:27">
      <c r="B78">
        <v>30</v>
      </c>
      <c r="C78">
        <v>30</v>
      </c>
      <c r="D78">
        <v>30</v>
      </c>
      <c r="E78">
        <v>30</v>
      </c>
      <c r="F78">
        <v>45</v>
      </c>
      <c r="G78">
        <v>45</v>
      </c>
      <c r="H78">
        <v>45</v>
      </c>
      <c r="I78">
        <v>45</v>
      </c>
      <c r="J78">
        <v>45</v>
      </c>
      <c r="K78">
        <v>45</v>
      </c>
      <c r="L78">
        <v>45</v>
      </c>
      <c r="M78">
        <v>45</v>
      </c>
      <c r="N78">
        <v>45</v>
      </c>
      <c r="O78">
        <v>45</v>
      </c>
      <c r="P78">
        <v>45</v>
      </c>
      <c r="Q78">
        <v>45</v>
      </c>
      <c r="R78">
        <v>45</v>
      </c>
      <c r="S78">
        <v>20</v>
      </c>
      <c r="T78">
        <v>20</v>
      </c>
      <c r="U78">
        <v>20</v>
      </c>
      <c r="V78">
        <v>20</v>
      </c>
      <c r="W78">
        <v>20</v>
      </c>
      <c r="X78">
        <v>20</v>
      </c>
      <c r="Y78">
        <v>20</v>
      </c>
      <c r="Z78">
        <v>20</v>
      </c>
      <c r="AA78">
        <v>20</v>
      </c>
    </row>
    <row r="79" spans="2:27">
      <c r="B79">
        <v>30</v>
      </c>
      <c r="C79">
        <v>30</v>
      </c>
      <c r="D79">
        <v>30</v>
      </c>
      <c r="E79">
        <v>30</v>
      </c>
      <c r="F79">
        <v>45</v>
      </c>
      <c r="G79">
        <v>45</v>
      </c>
      <c r="H79">
        <v>45</v>
      </c>
      <c r="I79">
        <v>45</v>
      </c>
      <c r="J79">
        <v>45</v>
      </c>
      <c r="K79">
        <v>45</v>
      </c>
      <c r="L79">
        <v>45</v>
      </c>
      <c r="M79">
        <v>45</v>
      </c>
      <c r="N79">
        <v>45</v>
      </c>
      <c r="O79">
        <v>45</v>
      </c>
      <c r="P79">
        <v>45</v>
      </c>
      <c r="Q79">
        <v>45</v>
      </c>
      <c r="R79">
        <v>45</v>
      </c>
      <c r="S79">
        <v>20</v>
      </c>
      <c r="T79">
        <v>20</v>
      </c>
      <c r="U79">
        <v>20</v>
      </c>
      <c r="V79">
        <v>20</v>
      </c>
      <c r="W79">
        <v>20</v>
      </c>
      <c r="X79">
        <v>20</v>
      </c>
      <c r="Y79">
        <v>20</v>
      </c>
      <c r="Z79">
        <v>20</v>
      </c>
      <c r="AA79">
        <v>20</v>
      </c>
    </row>
    <row r="80" spans="2:27">
      <c r="B80">
        <v>30</v>
      </c>
      <c r="C80">
        <v>30</v>
      </c>
      <c r="D80">
        <v>30</v>
      </c>
      <c r="E80">
        <v>30</v>
      </c>
      <c r="F80">
        <v>45</v>
      </c>
      <c r="G80">
        <v>45</v>
      </c>
      <c r="H80">
        <v>45</v>
      </c>
      <c r="I80">
        <v>45</v>
      </c>
      <c r="J80">
        <v>45</v>
      </c>
      <c r="K80">
        <v>45</v>
      </c>
      <c r="L80">
        <v>45</v>
      </c>
      <c r="M80">
        <v>45</v>
      </c>
      <c r="N80">
        <v>45</v>
      </c>
      <c r="O80">
        <v>45</v>
      </c>
      <c r="P80">
        <v>45</v>
      </c>
      <c r="Q80">
        <v>45</v>
      </c>
      <c r="R80">
        <v>45</v>
      </c>
      <c r="S80">
        <v>20</v>
      </c>
      <c r="T80">
        <v>20</v>
      </c>
      <c r="U80">
        <v>20</v>
      </c>
      <c r="V80">
        <v>20</v>
      </c>
      <c r="W80">
        <v>20</v>
      </c>
      <c r="X80">
        <v>20</v>
      </c>
      <c r="Y80">
        <v>20</v>
      </c>
      <c r="Z80">
        <v>20</v>
      </c>
      <c r="AA80">
        <v>20</v>
      </c>
    </row>
    <row r="81" spans="2:27">
      <c r="B81">
        <v>30</v>
      </c>
      <c r="C81">
        <v>30</v>
      </c>
      <c r="D81">
        <v>30</v>
      </c>
      <c r="E81">
        <v>30</v>
      </c>
      <c r="F81">
        <v>45</v>
      </c>
      <c r="G81">
        <v>45</v>
      </c>
      <c r="H81">
        <v>45</v>
      </c>
      <c r="I81">
        <v>45</v>
      </c>
      <c r="J81">
        <v>45</v>
      </c>
      <c r="K81">
        <v>45</v>
      </c>
      <c r="L81">
        <v>45</v>
      </c>
      <c r="M81">
        <v>45</v>
      </c>
      <c r="N81">
        <v>45</v>
      </c>
      <c r="O81">
        <v>45</v>
      </c>
      <c r="P81">
        <v>45</v>
      </c>
      <c r="Q81">
        <v>45</v>
      </c>
      <c r="R81">
        <v>45</v>
      </c>
      <c r="S81">
        <v>20</v>
      </c>
      <c r="T81">
        <v>20</v>
      </c>
      <c r="U81">
        <v>20</v>
      </c>
      <c r="V81">
        <v>20</v>
      </c>
      <c r="W81">
        <v>20</v>
      </c>
      <c r="X81">
        <v>20</v>
      </c>
      <c r="Y81">
        <v>20</v>
      </c>
      <c r="Z81">
        <v>20</v>
      </c>
      <c r="AA81">
        <v>20</v>
      </c>
    </row>
    <row r="82" spans="2:27">
      <c r="B82">
        <v>30</v>
      </c>
      <c r="C82">
        <v>30</v>
      </c>
      <c r="D82">
        <v>30</v>
      </c>
      <c r="E82">
        <v>30</v>
      </c>
      <c r="F82">
        <v>45</v>
      </c>
      <c r="G82">
        <v>45</v>
      </c>
      <c r="H82">
        <v>45</v>
      </c>
      <c r="I82">
        <v>45</v>
      </c>
      <c r="J82">
        <v>45</v>
      </c>
      <c r="K82">
        <v>45</v>
      </c>
      <c r="L82">
        <v>45</v>
      </c>
      <c r="M82">
        <v>45</v>
      </c>
      <c r="N82">
        <v>45</v>
      </c>
      <c r="O82">
        <v>45</v>
      </c>
      <c r="P82">
        <v>45</v>
      </c>
      <c r="Q82">
        <v>45</v>
      </c>
      <c r="R82">
        <v>45</v>
      </c>
      <c r="S82">
        <v>20</v>
      </c>
      <c r="T82">
        <v>20</v>
      </c>
      <c r="U82">
        <v>20</v>
      </c>
      <c r="V82">
        <v>20</v>
      </c>
      <c r="W82">
        <v>20</v>
      </c>
      <c r="X82">
        <v>20</v>
      </c>
      <c r="Y82">
        <v>20</v>
      </c>
      <c r="Z82">
        <v>20</v>
      </c>
      <c r="AA82">
        <v>20</v>
      </c>
    </row>
    <row r="83" spans="2:27">
      <c r="B83">
        <v>30</v>
      </c>
      <c r="C83">
        <v>30</v>
      </c>
      <c r="D83">
        <v>30</v>
      </c>
      <c r="E83">
        <v>30</v>
      </c>
      <c r="F83">
        <v>45</v>
      </c>
      <c r="G83">
        <v>45</v>
      </c>
      <c r="H83">
        <v>45</v>
      </c>
      <c r="I83">
        <v>45</v>
      </c>
      <c r="J83">
        <v>45</v>
      </c>
      <c r="K83">
        <v>45</v>
      </c>
      <c r="L83">
        <v>45</v>
      </c>
      <c r="M83">
        <v>45</v>
      </c>
      <c r="N83">
        <v>45</v>
      </c>
      <c r="O83">
        <v>45</v>
      </c>
      <c r="P83">
        <v>45</v>
      </c>
      <c r="Q83">
        <v>45</v>
      </c>
      <c r="R83">
        <v>45</v>
      </c>
      <c r="S83">
        <v>20</v>
      </c>
      <c r="T83">
        <v>20</v>
      </c>
      <c r="U83">
        <v>20</v>
      </c>
      <c r="V83">
        <v>20</v>
      </c>
      <c r="W83">
        <v>20</v>
      </c>
      <c r="X83">
        <v>20</v>
      </c>
      <c r="Y83">
        <v>20</v>
      </c>
      <c r="Z83">
        <v>20</v>
      </c>
      <c r="AA83">
        <v>20</v>
      </c>
    </row>
    <row r="84" spans="2:27">
      <c r="B84">
        <v>30</v>
      </c>
      <c r="C84">
        <v>30</v>
      </c>
      <c r="D84">
        <v>30</v>
      </c>
      <c r="E84">
        <v>30</v>
      </c>
      <c r="F84">
        <v>45</v>
      </c>
      <c r="G84">
        <v>45</v>
      </c>
      <c r="H84">
        <v>45</v>
      </c>
      <c r="I84">
        <v>45</v>
      </c>
      <c r="J84">
        <v>45</v>
      </c>
      <c r="K84">
        <v>45</v>
      </c>
      <c r="L84">
        <v>45</v>
      </c>
      <c r="M84">
        <v>45</v>
      </c>
      <c r="N84">
        <v>45</v>
      </c>
      <c r="O84">
        <v>45</v>
      </c>
      <c r="P84">
        <v>45</v>
      </c>
      <c r="Q84">
        <v>45</v>
      </c>
      <c r="R84">
        <v>45</v>
      </c>
      <c r="S84">
        <v>20</v>
      </c>
      <c r="T84">
        <v>20</v>
      </c>
      <c r="U84">
        <v>20</v>
      </c>
      <c r="V84">
        <v>20</v>
      </c>
      <c r="W84">
        <v>20</v>
      </c>
      <c r="X84">
        <v>20</v>
      </c>
      <c r="Y84">
        <v>20</v>
      </c>
      <c r="Z84">
        <v>20</v>
      </c>
      <c r="AA84">
        <v>20</v>
      </c>
    </row>
    <row r="85" spans="2:27">
      <c r="B85">
        <v>30</v>
      </c>
      <c r="C85">
        <v>30</v>
      </c>
      <c r="D85">
        <v>30</v>
      </c>
      <c r="E85">
        <v>30</v>
      </c>
      <c r="F85">
        <v>45</v>
      </c>
      <c r="G85">
        <v>45</v>
      </c>
      <c r="H85">
        <v>45</v>
      </c>
      <c r="I85">
        <v>45</v>
      </c>
      <c r="J85">
        <v>45</v>
      </c>
      <c r="K85">
        <v>45</v>
      </c>
      <c r="L85">
        <v>45</v>
      </c>
      <c r="M85">
        <v>45</v>
      </c>
      <c r="N85">
        <v>45</v>
      </c>
      <c r="O85">
        <v>45</v>
      </c>
      <c r="P85">
        <v>45</v>
      </c>
      <c r="Q85" t="s">
        <v>801</v>
      </c>
      <c r="R85">
        <v>45</v>
      </c>
      <c r="S85">
        <v>20</v>
      </c>
      <c r="T85">
        <v>20</v>
      </c>
      <c r="U85">
        <v>20</v>
      </c>
      <c r="V85">
        <v>20</v>
      </c>
      <c r="W85">
        <v>20</v>
      </c>
      <c r="X85">
        <v>20</v>
      </c>
      <c r="Y85">
        <v>20</v>
      </c>
      <c r="Z85">
        <v>20</v>
      </c>
      <c r="AA85">
        <v>20</v>
      </c>
    </row>
    <row r="86" spans="2:27">
      <c r="B86">
        <v>30</v>
      </c>
      <c r="C86">
        <v>30</v>
      </c>
      <c r="D86">
        <v>30</v>
      </c>
      <c r="E86">
        <v>30</v>
      </c>
      <c r="F86">
        <v>45</v>
      </c>
      <c r="G86">
        <v>45</v>
      </c>
      <c r="H86">
        <v>45</v>
      </c>
      <c r="I86">
        <v>45</v>
      </c>
      <c r="J86">
        <v>45</v>
      </c>
      <c r="K86">
        <v>45</v>
      </c>
      <c r="L86">
        <v>45</v>
      </c>
      <c r="M86">
        <v>45</v>
      </c>
      <c r="N86">
        <v>45</v>
      </c>
      <c r="O86">
        <v>45</v>
      </c>
      <c r="P86" t="s">
        <v>801</v>
      </c>
      <c r="Q86" t="s">
        <v>801</v>
      </c>
      <c r="R86">
        <v>45</v>
      </c>
      <c r="S86">
        <v>20</v>
      </c>
      <c r="T86">
        <v>20</v>
      </c>
      <c r="U86">
        <v>20</v>
      </c>
      <c r="V86">
        <v>20</v>
      </c>
      <c r="W86">
        <v>20</v>
      </c>
      <c r="X86">
        <v>20</v>
      </c>
      <c r="Y86">
        <v>20</v>
      </c>
      <c r="Z86">
        <v>20</v>
      </c>
      <c r="AA86">
        <v>20</v>
      </c>
    </row>
    <row r="87" spans="2:27">
      <c r="B87">
        <v>30</v>
      </c>
      <c r="C87">
        <v>30</v>
      </c>
      <c r="D87">
        <v>30</v>
      </c>
      <c r="E87">
        <v>30</v>
      </c>
      <c r="F87">
        <v>45</v>
      </c>
      <c r="G87">
        <v>45</v>
      </c>
      <c r="H87">
        <v>45</v>
      </c>
      <c r="I87">
        <v>45</v>
      </c>
      <c r="J87">
        <v>45</v>
      </c>
      <c r="K87">
        <v>45</v>
      </c>
      <c r="L87">
        <v>45</v>
      </c>
      <c r="M87">
        <v>45</v>
      </c>
      <c r="N87">
        <v>45</v>
      </c>
      <c r="O87">
        <v>45</v>
      </c>
      <c r="P87" t="s">
        <v>801</v>
      </c>
      <c r="Q87" t="s">
        <v>801</v>
      </c>
      <c r="R87">
        <v>45</v>
      </c>
      <c r="S87">
        <v>20</v>
      </c>
      <c r="T87">
        <v>20</v>
      </c>
      <c r="U87">
        <v>20</v>
      </c>
      <c r="V87">
        <v>20</v>
      </c>
      <c r="W87">
        <v>20</v>
      </c>
      <c r="X87">
        <v>20</v>
      </c>
      <c r="Y87">
        <v>20</v>
      </c>
      <c r="Z87">
        <v>20</v>
      </c>
      <c r="AA87">
        <v>20</v>
      </c>
    </row>
    <row r="88" spans="2:27">
      <c r="B88">
        <v>30</v>
      </c>
      <c r="C88">
        <v>30</v>
      </c>
      <c r="D88">
        <v>30</v>
      </c>
      <c r="E88">
        <v>30</v>
      </c>
      <c r="F88">
        <v>45</v>
      </c>
      <c r="G88">
        <v>45</v>
      </c>
      <c r="H88">
        <v>45</v>
      </c>
      <c r="I88">
        <v>45</v>
      </c>
      <c r="J88">
        <v>45</v>
      </c>
      <c r="K88">
        <v>45</v>
      </c>
      <c r="L88">
        <v>45</v>
      </c>
      <c r="M88">
        <v>45</v>
      </c>
      <c r="N88">
        <v>45</v>
      </c>
      <c r="O88">
        <v>45</v>
      </c>
      <c r="P88" t="s">
        <v>801</v>
      </c>
      <c r="Q88" t="s">
        <v>801</v>
      </c>
      <c r="R88">
        <v>45</v>
      </c>
      <c r="S88">
        <v>20</v>
      </c>
      <c r="T88">
        <v>20</v>
      </c>
      <c r="U88">
        <v>20</v>
      </c>
      <c r="V88">
        <v>20</v>
      </c>
      <c r="W88">
        <v>20</v>
      </c>
      <c r="X88">
        <v>20</v>
      </c>
      <c r="Y88">
        <v>20</v>
      </c>
      <c r="Z88">
        <v>20</v>
      </c>
      <c r="AA88">
        <v>20</v>
      </c>
    </row>
    <row r="89" spans="2:27">
      <c r="B89">
        <v>30</v>
      </c>
      <c r="C89">
        <v>30</v>
      </c>
      <c r="D89">
        <v>30</v>
      </c>
      <c r="E89">
        <v>30</v>
      </c>
      <c r="F89">
        <v>45</v>
      </c>
      <c r="G89">
        <v>45</v>
      </c>
      <c r="H89">
        <v>45</v>
      </c>
      <c r="I89">
        <v>45</v>
      </c>
      <c r="J89">
        <v>45</v>
      </c>
      <c r="K89">
        <v>45</v>
      </c>
      <c r="L89">
        <v>45</v>
      </c>
      <c r="M89">
        <v>45</v>
      </c>
      <c r="N89">
        <v>45</v>
      </c>
      <c r="O89">
        <v>45</v>
      </c>
      <c r="P89" t="s">
        <v>801</v>
      </c>
      <c r="Q89" t="s">
        <v>801</v>
      </c>
      <c r="R89">
        <v>45</v>
      </c>
      <c r="S89">
        <v>20</v>
      </c>
      <c r="T89">
        <v>20</v>
      </c>
      <c r="U89">
        <v>20</v>
      </c>
      <c r="V89">
        <v>20</v>
      </c>
      <c r="W89">
        <v>20</v>
      </c>
      <c r="X89">
        <v>20</v>
      </c>
      <c r="Y89">
        <v>20</v>
      </c>
      <c r="Z89">
        <v>20</v>
      </c>
      <c r="AA89">
        <v>20</v>
      </c>
    </row>
    <row r="90" spans="2:27">
      <c r="B90">
        <v>30</v>
      </c>
      <c r="C90">
        <v>30</v>
      </c>
      <c r="D90">
        <v>30</v>
      </c>
      <c r="E90">
        <v>30</v>
      </c>
      <c r="F90">
        <v>45</v>
      </c>
      <c r="G90">
        <v>45</v>
      </c>
      <c r="H90">
        <v>45</v>
      </c>
      <c r="I90">
        <v>45</v>
      </c>
      <c r="J90">
        <v>45</v>
      </c>
      <c r="K90">
        <v>45</v>
      </c>
      <c r="L90">
        <v>45</v>
      </c>
      <c r="M90">
        <v>45</v>
      </c>
      <c r="N90">
        <v>45</v>
      </c>
      <c r="O90">
        <v>45</v>
      </c>
      <c r="P90" t="s">
        <v>801</v>
      </c>
      <c r="Q90" t="s">
        <v>801</v>
      </c>
      <c r="R90">
        <v>45</v>
      </c>
      <c r="S90">
        <v>20</v>
      </c>
      <c r="T90">
        <v>20</v>
      </c>
      <c r="U90">
        <v>20</v>
      </c>
      <c r="V90">
        <v>20</v>
      </c>
      <c r="W90">
        <v>20</v>
      </c>
      <c r="X90">
        <v>20</v>
      </c>
      <c r="Y90">
        <v>20</v>
      </c>
      <c r="Z90">
        <v>20</v>
      </c>
      <c r="AA90">
        <v>20</v>
      </c>
    </row>
    <row r="91" spans="2:27">
      <c r="B91">
        <v>30</v>
      </c>
      <c r="C91">
        <v>30</v>
      </c>
      <c r="D91">
        <v>30</v>
      </c>
      <c r="E91">
        <v>30</v>
      </c>
      <c r="F91">
        <v>45</v>
      </c>
      <c r="G91">
        <v>45</v>
      </c>
      <c r="H91">
        <v>45</v>
      </c>
      <c r="I91">
        <v>45</v>
      </c>
      <c r="J91">
        <v>45</v>
      </c>
      <c r="K91">
        <v>45</v>
      </c>
      <c r="L91">
        <v>45</v>
      </c>
      <c r="M91">
        <v>45</v>
      </c>
      <c r="N91">
        <v>45</v>
      </c>
      <c r="O91">
        <v>45</v>
      </c>
      <c r="P91" t="s">
        <v>801</v>
      </c>
      <c r="Q91" t="s">
        <v>801</v>
      </c>
      <c r="R91">
        <v>45</v>
      </c>
      <c r="S91">
        <v>20</v>
      </c>
      <c r="T91">
        <v>20</v>
      </c>
      <c r="U91">
        <v>20</v>
      </c>
      <c r="V91">
        <v>20</v>
      </c>
      <c r="W91">
        <v>20</v>
      </c>
      <c r="X91">
        <v>20</v>
      </c>
      <c r="Y91">
        <v>20</v>
      </c>
      <c r="Z91">
        <v>20</v>
      </c>
      <c r="AA91">
        <v>20</v>
      </c>
    </row>
    <row r="92" spans="2:27">
      <c r="B92">
        <v>30</v>
      </c>
      <c r="C92">
        <v>30</v>
      </c>
      <c r="D92">
        <v>30</v>
      </c>
      <c r="E92">
        <v>30</v>
      </c>
      <c r="F92">
        <v>45</v>
      </c>
      <c r="G92">
        <v>45</v>
      </c>
      <c r="H92">
        <v>45</v>
      </c>
      <c r="I92">
        <v>45</v>
      </c>
      <c r="J92">
        <v>45</v>
      </c>
      <c r="K92">
        <v>45</v>
      </c>
      <c r="L92">
        <v>45</v>
      </c>
      <c r="M92">
        <v>45</v>
      </c>
      <c r="N92">
        <v>45</v>
      </c>
      <c r="O92">
        <v>45</v>
      </c>
      <c r="P92" t="s">
        <v>801</v>
      </c>
      <c r="Q92" t="s">
        <v>801</v>
      </c>
      <c r="R92">
        <v>45</v>
      </c>
      <c r="T92">
        <v>20</v>
      </c>
      <c r="U92">
        <v>20</v>
      </c>
      <c r="V92">
        <v>20</v>
      </c>
      <c r="W92">
        <v>20</v>
      </c>
      <c r="X92">
        <v>20</v>
      </c>
      <c r="Y92">
        <v>20</v>
      </c>
      <c r="Z92">
        <v>20</v>
      </c>
      <c r="AA92">
        <v>20</v>
      </c>
    </row>
    <row r="93" spans="2:27">
      <c r="B93">
        <v>30</v>
      </c>
      <c r="C93">
        <v>30</v>
      </c>
      <c r="D93">
        <v>30</v>
      </c>
      <c r="E93">
        <v>30</v>
      </c>
      <c r="F93">
        <v>45</v>
      </c>
      <c r="G93">
        <v>45</v>
      </c>
      <c r="H93">
        <v>45</v>
      </c>
      <c r="I93">
        <v>45</v>
      </c>
      <c r="J93">
        <v>45</v>
      </c>
      <c r="K93">
        <v>45</v>
      </c>
      <c r="L93">
        <v>45</v>
      </c>
      <c r="M93">
        <v>45</v>
      </c>
      <c r="N93">
        <v>45</v>
      </c>
      <c r="O93">
        <v>45</v>
      </c>
      <c r="P93" t="s">
        <v>801</v>
      </c>
      <c r="Q93" t="s">
        <v>801</v>
      </c>
      <c r="R93">
        <v>45</v>
      </c>
      <c r="T93">
        <v>20</v>
      </c>
      <c r="U93">
        <v>20</v>
      </c>
      <c r="V93">
        <v>20</v>
      </c>
      <c r="W93">
        <v>20</v>
      </c>
      <c r="X93">
        <v>20</v>
      </c>
      <c r="Y93">
        <v>20</v>
      </c>
      <c r="Z93">
        <v>20</v>
      </c>
      <c r="AA93">
        <v>20</v>
      </c>
    </row>
    <row r="94" spans="2:27">
      <c r="B94">
        <v>30</v>
      </c>
      <c r="C94">
        <v>30</v>
      </c>
      <c r="D94">
        <v>30</v>
      </c>
      <c r="E94">
        <v>30</v>
      </c>
      <c r="F94">
        <v>45</v>
      </c>
      <c r="G94">
        <v>45</v>
      </c>
      <c r="H94">
        <v>45</v>
      </c>
      <c r="I94">
        <v>45</v>
      </c>
      <c r="J94">
        <v>45</v>
      </c>
      <c r="K94">
        <v>45</v>
      </c>
      <c r="N94">
        <v>45</v>
      </c>
      <c r="R94">
        <v>45</v>
      </c>
      <c r="T94">
        <v>20</v>
      </c>
      <c r="U94">
        <v>20</v>
      </c>
      <c r="V94">
        <v>20</v>
      </c>
      <c r="W94">
        <v>20</v>
      </c>
      <c r="X94">
        <v>20</v>
      </c>
      <c r="Y94">
        <v>20</v>
      </c>
      <c r="Z94">
        <v>20</v>
      </c>
      <c r="AA94">
        <v>20</v>
      </c>
    </row>
    <row r="95" spans="2:27">
      <c r="B95">
        <v>2.5098488828755344E-2</v>
      </c>
      <c r="C95">
        <v>4.2634459423767507E-2</v>
      </c>
      <c r="D95">
        <v>3.8737527472928343E-2</v>
      </c>
      <c r="E95">
        <v>2.2397774741452089E-2</v>
      </c>
      <c r="F95">
        <v>4.7913470679921279E-2</v>
      </c>
      <c r="G95">
        <v>4.7913470679921279E-2</v>
      </c>
      <c r="H95">
        <v>4.8079537269574348E-2</v>
      </c>
      <c r="I95">
        <v>5.8255821463833145E-2</v>
      </c>
      <c r="J95">
        <v>4.6770936685419172E-2</v>
      </c>
      <c r="K95">
        <v>0</v>
      </c>
      <c r="L95">
        <v>4.6068633931772525E-2</v>
      </c>
      <c r="M95">
        <v>4.6068633931772525E-2</v>
      </c>
      <c r="N95">
        <v>5.0960353389307003E-2</v>
      </c>
      <c r="O95">
        <v>5.6918070570635158E-2</v>
      </c>
      <c r="P95">
        <v>6.2381223252152299E-2</v>
      </c>
      <c r="Q95">
        <v>0.16556589630705465</v>
      </c>
      <c r="R95">
        <v>5.6187818729958334E-3</v>
      </c>
      <c r="S95">
        <v>4.3573363809433364E-2</v>
      </c>
      <c r="T95">
        <v>4.4785266228428947E-2</v>
      </c>
      <c r="U95">
        <v>4.112097201515863E-2</v>
      </c>
      <c r="V95">
        <v>7.8600142826762368E-3</v>
      </c>
      <c r="W95">
        <v>4.4426407129234367E-2</v>
      </c>
      <c r="X95">
        <v>4.4426407129234367E-2</v>
      </c>
      <c r="Y95">
        <v>6.7949885099703497E-2</v>
      </c>
      <c r="Z95">
        <v>5.6737615630325859E-2</v>
      </c>
      <c r="AA95">
        <v>4.4848431191643383E-2</v>
      </c>
    </row>
    <row r="96" spans="2:27">
      <c r="B96">
        <v>1.9396299729238252E-2</v>
      </c>
      <c r="C96">
        <v>3.9170259586932953E-2</v>
      </c>
      <c r="D96">
        <v>3.7394488134828326E-2</v>
      </c>
      <c r="E96">
        <v>1.8684126452473891E-2</v>
      </c>
      <c r="F96">
        <v>4.0879069841640053E-2</v>
      </c>
      <c r="G96">
        <v>4.0879069841640053E-2</v>
      </c>
      <c r="H96">
        <v>4.3504416634771684E-2</v>
      </c>
      <c r="I96">
        <v>5.0030824826604404E-2</v>
      </c>
      <c r="J96">
        <v>4.2686618515396818E-2</v>
      </c>
      <c r="K96">
        <v>5.3407005633816736E-2</v>
      </c>
      <c r="L96">
        <v>3.9396743164773172E-2</v>
      </c>
      <c r="M96">
        <v>3.9396743164773172E-2</v>
      </c>
      <c r="N96">
        <v>3.9670949463430152E-3</v>
      </c>
      <c r="O96">
        <v>1.5244979216391152E-2</v>
      </c>
      <c r="P96">
        <v>6.0464531633292767E-2</v>
      </c>
      <c r="Q96">
        <v>0.16004110400605093</v>
      </c>
      <c r="R96">
        <v>2.0248810879388169E-2</v>
      </c>
      <c r="S96">
        <v>4.8484300463853013E-2</v>
      </c>
      <c r="T96">
        <v>4.6265630105059012E-2</v>
      </c>
      <c r="U96">
        <v>1.7221456118513619E-2</v>
      </c>
      <c r="V96">
        <v>5.4828491767127757E-2</v>
      </c>
      <c r="W96">
        <v>1.8309238257055126E-2</v>
      </c>
      <c r="X96">
        <v>1.8309238257055126E-2</v>
      </c>
      <c r="Y96">
        <v>5.955988557721123E-2</v>
      </c>
      <c r="Z96">
        <v>4.5637789419158026E-2</v>
      </c>
      <c r="AA96">
        <v>4.2016649750040005E-2</v>
      </c>
    </row>
    <row r="97" spans="2:27">
      <c r="B97">
        <v>1.8682040169113866E-2</v>
      </c>
      <c r="C97">
        <v>3.8650910478673792E-2</v>
      </c>
      <c r="D97">
        <v>3.2229302385317064E-2</v>
      </c>
      <c r="E97">
        <v>3.8554409218195654E-2</v>
      </c>
      <c r="F97">
        <v>4.5946644043067296E-3</v>
      </c>
      <c r="G97">
        <v>4.5946644043067296E-3</v>
      </c>
      <c r="H97">
        <v>4.1322284791502325E-3</v>
      </c>
      <c r="I97">
        <v>5.0241013438415284E-2</v>
      </c>
      <c r="J97">
        <v>4.9854483792535374E-3</v>
      </c>
      <c r="K97">
        <v>4.7432877525933705E-2</v>
      </c>
      <c r="L97">
        <v>4.1613620005873347E-2</v>
      </c>
      <c r="M97">
        <v>4.1613620005873347E-2</v>
      </c>
      <c r="N97">
        <v>0</v>
      </c>
      <c r="O97">
        <v>4.9425732786724123E-2</v>
      </c>
      <c r="P97">
        <v>5.3786352393737184E-2</v>
      </c>
      <c r="Q97">
        <v>0.1510025059868072</v>
      </c>
      <c r="R97">
        <v>4.4716399258906712E-2</v>
      </c>
      <c r="S97">
        <v>4.2814516463448464E-2</v>
      </c>
      <c r="T97">
        <v>4.1427266680359967E-2</v>
      </c>
      <c r="U97">
        <v>8.1050433179533313E-3</v>
      </c>
      <c r="V97">
        <v>3.6339319360094754E-2</v>
      </c>
      <c r="W97">
        <v>6.365746915725919E-3</v>
      </c>
      <c r="X97">
        <v>6.365746915725919E-3</v>
      </c>
      <c r="Y97">
        <v>4.4712295531083836E-2</v>
      </c>
      <c r="Z97">
        <v>4.0414395429267294E-2</v>
      </c>
      <c r="AA97">
        <v>3.6816438074832855E-2</v>
      </c>
    </row>
    <row r="98" spans="2:27">
      <c r="B98">
        <v>4.4340569065024052E-2</v>
      </c>
      <c r="C98">
        <v>3.7809840683882406E-2</v>
      </c>
      <c r="D98">
        <v>1.9734757509314377E-2</v>
      </c>
      <c r="E98">
        <v>3.7476811848832906E-2</v>
      </c>
      <c r="F98">
        <v>0</v>
      </c>
      <c r="G98">
        <v>0</v>
      </c>
      <c r="H98">
        <v>0</v>
      </c>
      <c r="I98">
        <v>4.5853667393861333E-2</v>
      </c>
      <c r="J98">
        <v>0</v>
      </c>
      <c r="K98">
        <v>4.5855374236428499E-2</v>
      </c>
      <c r="L98">
        <v>3.3781770199663385E-3</v>
      </c>
      <c r="M98">
        <v>3.3781770199663385E-3</v>
      </c>
      <c r="N98">
        <v>5.6184074366720765E-2</v>
      </c>
      <c r="O98">
        <v>4.7758524691453294E-2</v>
      </c>
      <c r="P98">
        <v>5.149003450484471E-3</v>
      </c>
      <c r="Q98">
        <v>2.8129937076047256E-2</v>
      </c>
      <c r="R98">
        <v>3.3262710740668437E-2</v>
      </c>
      <c r="S98">
        <v>4.08235595041299E-2</v>
      </c>
      <c r="T98">
        <v>3.4975260322165434E-2</v>
      </c>
      <c r="U98">
        <v>5.6537721796519405E-2</v>
      </c>
      <c r="V98">
        <v>4.8133037097997419E-2</v>
      </c>
      <c r="W98">
        <v>7.0278884092103991E-2</v>
      </c>
      <c r="X98">
        <v>7.0278884092103991E-2</v>
      </c>
      <c r="Y98">
        <v>3.7274402189508997E-2</v>
      </c>
      <c r="Z98">
        <v>4.6700952378995152E-2</v>
      </c>
      <c r="AA98">
        <v>1.4671989180368784E-2</v>
      </c>
    </row>
    <row r="99" spans="2:27">
      <c r="B99">
        <v>3.914142389481632E-2</v>
      </c>
      <c r="C99">
        <v>3.2788274412612228E-2</v>
      </c>
      <c r="D99">
        <v>1.8236944685183189E-2</v>
      </c>
      <c r="E99">
        <v>4.0681631713711502E-2</v>
      </c>
      <c r="F99">
        <v>5.9511111710820026E-2</v>
      </c>
      <c r="G99">
        <v>5.9511111710820026E-2</v>
      </c>
      <c r="H99">
        <v>6.3399503495017953E-2</v>
      </c>
      <c r="I99">
        <v>4.506695315670245E-3</v>
      </c>
      <c r="J99">
        <v>5.8707801970488117E-2</v>
      </c>
      <c r="K99">
        <v>4.0334120963044659E-2</v>
      </c>
      <c r="L99">
        <v>0</v>
      </c>
      <c r="M99">
        <v>0</v>
      </c>
      <c r="N99">
        <v>4.9612690022186504E-2</v>
      </c>
      <c r="O99">
        <v>4.7012269429696413E-2</v>
      </c>
      <c r="P99">
        <v>0</v>
      </c>
      <c r="Q99">
        <v>0</v>
      </c>
      <c r="R99">
        <v>3.5288375677455068E-2</v>
      </c>
      <c r="S99">
        <v>1.6061420016331731E-2</v>
      </c>
      <c r="T99">
        <v>1.5947346018440143E-2</v>
      </c>
      <c r="U99">
        <v>4.8488583183822757E-2</v>
      </c>
      <c r="V99">
        <v>4.3423451819700219E-2</v>
      </c>
      <c r="W99">
        <v>6.0801207632378923E-2</v>
      </c>
      <c r="X99">
        <v>6.0801207632378923E-2</v>
      </c>
      <c r="Y99">
        <v>4.0995739101784084E-2</v>
      </c>
      <c r="Z99">
        <v>1.5739344346357525E-2</v>
      </c>
      <c r="AA99">
        <v>5.1008418479976218E-3</v>
      </c>
    </row>
    <row r="100" spans="2:27">
      <c r="B100">
        <v>3.8496929221959894E-2</v>
      </c>
      <c r="C100">
        <v>2.0111372916437043E-2</v>
      </c>
      <c r="D100">
        <v>4.0881898948019205E-2</v>
      </c>
      <c r="E100">
        <v>3.7936522345867911E-2</v>
      </c>
      <c r="F100">
        <v>5.4457480884660799E-2</v>
      </c>
      <c r="G100">
        <v>5.4457480884660799E-2</v>
      </c>
      <c r="H100">
        <v>5.2134726630125014E-2</v>
      </c>
      <c r="I100">
        <v>0</v>
      </c>
      <c r="J100">
        <v>4.86126209375045E-2</v>
      </c>
      <c r="K100">
        <v>4.6296344823225352E-2</v>
      </c>
      <c r="L100">
        <v>4.9517741906476793E-2</v>
      </c>
      <c r="M100">
        <v>4.9517741906476793E-2</v>
      </c>
      <c r="N100">
        <v>4.9195806176351914E-2</v>
      </c>
      <c r="O100">
        <v>5.1610863760341514E-3</v>
      </c>
      <c r="P100">
        <v>6.4681770362566018E-2</v>
      </c>
      <c r="Q100">
        <v>6.2952254050264486E-2</v>
      </c>
      <c r="R100">
        <v>4.2967004017212526E-2</v>
      </c>
      <c r="S100">
        <v>6.7935892058421637E-3</v>
      </c>
      <c r="T100">
        <v>4.5805264124474093E-3</v>
      </c>
      <c r="U100">
        <v>4.6938371402525193E-2</v>
      </c>
      <c r="V100">
        <v>3.9877816154385876E-2</v>
      </c>
      <c r="W100">
        <v>4.571322367977243E-2</v>
      </c>
      <c r="X100">
        <v>4.571322367977243E-2</v>
      </c>
      <c r="Y100">
        <v>1.8457038438593577E-2</v>
      </c>
      <c r="Z100">
        <v>6.2093525665057568E-3</v>
      </c>
      <c r="AA100">
        <v>5.0114625306117974E-2</v>
      </c>
    </row>
    <row r="101" spans="2:27">
      <c r="B101">
        <v>3.8689613196319028E-2</v>
      </c>
      <c r="C101">
        <v>1.8871982271653379E-2</v>
      </c>
      <c r="D101">
        <v>3.7393274225133964E-2</v>
      </c>
      <c r="E101">
        <v>3.2168079691113169E-2</v>
      </c>
      <c r="F101">
        <v>4.9317355211499034E-2</v>
      </c>
      <c r="G101">
        <v>4.9317355211499034E-2</v>
      </c>
      <c r="H101">
        <v>5.0140767080914889E-2</v>
      </c>
      <c r="I101">
        <v>6.0884877583373666E-2</v>
      </c>
      <c r="J101">
        <v>4.7365439870839472E-2</v>
      </c>
      <c r="K101">
        <v>3.7583187467993304E-3</v>
      </c>
      <c r="L101">
        <v>1.6260656373498925E-2</v>
      </c>
      <c r="M101">
        <v>1.6260656373498925E-2</v>
      </c>
      <c r="N101">
        <v>4.816451715232737E-2</v>
      </c>
      <c r="O101">
        <v>0</v>
      </c>
      <c r="P101">
        <v>6.3583875120667419E-2</v>
      </c>
      <c r="Q101">
        <v>6.1453889814381026E-2</v>
      </c>
      <c r="R101">
        <v>4.8772587150435379E-2</v>
      </c>
      <c r="S101">
        <v>4.4678745933990759E-2</v>
      </c>
      <c r="T101">
        <v>5.0637532251618607E-2</v>
      </c>
      <c r="U101">
        <v>4.4444351678669947E-2</v>
      </c>
      <c r="V101">
        <v>1.6700822654477823E-2</v>
      </c>
      <c r="W101">
        <v>5.1761370805547852E-2</v>
      </c>
      <c r="X101">
        <v>5.1761370805547852E-2</v>
      </c>
      <c r="Y101">
        <v>5.3003422118102148E-3</v>
      </c>
      <c r="Z101">
        <v>5.0627141986753631E-2</v>
      </c>
      <c r="AA101">
        <v>5.4594344244772754E-2</v>
      </c>
    </row>
    <row r="102" spans="2:27">
      <c r="B102">
        <v>3.4932275696315872E-2</v>
      </c>
      <c r="C102">
        <v>4.2159963966778846E-2</v>
      </c>
      <c r="D102">
        <v>4.0028292824814869E-2</v>
      </c>
      <c r="E102">
        <v>2.4444077533397127E-2</v>
      </c>
      <c r="F102">
        <v>4.4468987181746675E-2</v>
      </c>
      <c r="G102">
        <v>4.4468987181746675E-2</v>
      </c>
      <c r="H102">
        <v>4.5997446561588627E-2</v>
      </c>
      <c r="I102">
        <v>5.3732794313838352E-2</v>
      </c>
      <c r="J102">
        <v>4.2193933878784867E-2</v>
      </c>
      <c r="K102">
        <v>0</v>
      </c>
      <c r="L102">
        <v>4.52172813591653E-2</v>
      </c>
      <c r="M102">
        <v>4.52172813591653E-2</v>
      </c>
      <c r="N102">
        <v>4.5992825865839637E-2</v>
      </c>
      <c r="O102">
        <v>5.9996887990318069E-2</v>
      </c>
      <c r="P102">
        <v>7.0211258553444386E-2</v>
      </c>
      <c r="Q102">
        <v>6.0091740509032432E-2</v>
      </c>
      <c r="R102">
        <v>2.7650415346365399E-2</v>
      </c>
      <c r="S102">
        <v>4.5862144315058015E-2</v>
      </c>
      <c r="T102">
        <v>5.1267679179033042E-2</v>
      </c>
      <c r="U102">
        <v>3.6844258563874563E-2</v>
      </c>
      <c r="V102">
        <v>4.486475082441807E-3</v>
      </c>
      <c r="W102">
        <v>5.334898559328724E-2</v>
      </c>
      <c r="X102">
        <v>5.334898559328724E-2</v>
      </c>
      <c r="Y102">
        <v>3.5005581097781721E-2</v>
      </c>
      <c r="Z102">
        <v>4.5943987290793735E-2</v>
      </c>
      <c r="AA102">
        <v>3.7135492241440707E-2</v>
      </c>
    </row>
    <row r="103" spans="2:27">
      <c r="B103">
        <v>2.0369686013500785E-2</v>
      </c>
      <c r="C103">
        <v>4.1345193561442076E-2</v>
      </c>
      <c r="D103">
        <v>2.7475486958524861E-2</v>
      </c>
      <c r="E103">
        <v>1.8969509933791533E-2</v>
      </c>
      <c r="F103">
        <v>4.2590008218878567E-2</v>
      </c>
      <c r="G103">
        <v>4.2590008218878567E-2</v>
      </c>
      <c r="H103">
        <v>4.2954729669495338E-2</v>
      </c>
      <c r="I103">
        <v>5.1080581012162944E-2</v>
      </c>
      <c r="J103">
        <v>4.0001563610003107E-2</v>
      </c>
      <c r="K103">
        <v>5.8111096393866177E-2</v>
      </c>
      <c r="L103">
        <v>4.5858729748000447E-2</v>
      </c>
      <c r="M103">
        <v>4.5858729748000447E-2</v>
      </c>
      <c r="N103">
        <v>3.467198919984562E-3</v>
      </c>
      <c r="O103">
        <v>5.4218182527808224E-2</v>
      </c>
      <c r="P103">
        <v>6.3447646197759527E-2</v>
      </c>
      <c r="Q103">
        <v>5.7468141083617037E-2</v>
      </c>
      <c r="R103">
        <v>2.7300072473165356E-2</v>
      </c>
      <c r="S103">
        <v>4.2933899118625433E-2</v>
      </c>
      <c r="T103">
        <v>3.9306245159879377E-2</v>
      </c>
      <c r="U103">
        <v>1.1540135421213002E-2</v>
      </c>
      <c r="V103">
        <v>3.6784588478156917E-2</v>
      </c>
      <c r="W103">
        <v>1.2536662982856597E-2</v>
      </c>
      <c r="X103">
        <v>1.2536662982856597E-2</v>
      </c>
      <c r="Y103">
        <v>4.1174023805419485E-2</v>
      </c>
      <c r="Z103">
        <v>4.0251357669344151E-2</v>
      </c>
      <c r="AA103">
        <v>3.9824902967911219E-2</v>
      </c>
    </row>
    <row r="104" spans="2:27">
      <c r="B104">
        <v>1.8084055421102752E-2</v>
      </c>
      <c r="C104">
        <v>4.1447071778843943E-2</v>
      </c>
      <c r="D104">
        <v>3.2880640805698295E-2</v>
      </c>
      <c r="E104">
        <v>3.7960831557228694E-2</v>
      </c>
      <c r="F104">
        <v>3.9628555972710403E-3</v>
      </c>
      <c r="G104">
        <v>3.9628555972710403E-3</v>
      </c>
      <c r="H104">
        <v>4.2549209077494708E-3</v>
      </c>
      <c r="I104">
        <v>4.6922575409897249E-2</v>
      </c>
      <c r="J104">
        <v>4.0888098742770688E-3</v>
      </c>
      <c r="K104">
        <v>4.9839132619603412E-2</v>
      </c>
      <c r="L104">
        <v>4.6604857131383334E-2</v>
      </c>
      <c r="M104">
        <v>4.6604857131383334E-2</v>
      </c>
      <c r="N104">
        <v>0</v>
      </c>
      <c r="O104">
        <v>4.8372280338559039E-2</v>
      </c>
      <c r="P104">
        <v>5.4061096526954316E-2</v>
      </c>
      <c r="Q104">
        <v>5.0238890643069627E-2</v>
      </c>
      <c r="R104">
        <v>3.3604751692333533E-2</v>
      </c>
      <c r="S104">
        <v>4.8470222559821093E-2</v>
      </c>
      <c r="T104">
        <v>3.3688178690078639E-2</v>
      </c>
      <c r="U104">
        <v>5.0981445561147929E-3</v>
      </c>
      <c r="V104">
        <v>5.2134386530652811E-2</v>
      </c>
      <c r="W104">
        <v>4.4044048301557026E-3</v>
      </c>
      <c r="X104">
        <v>4.4044048301557026E-3</v>
      </c>
      <c r="Y104">
        <v>4.3138284905611488E-2</v>
      </c>
      <c r="Z104">
        <v>4.9085763569716861E-2</v>
      </c>
      <c r="AA104">
        <v>3.8102080965850924E-2</v>
      </c>
    </row>
    <row r="105" spans="2:27">
      <c r="B105">
        <v>4.3814010273025381E-2</v>
      </c>
      <c r="C105">
        <v>2.9052816407432302E-2</v>
      </c>
      <c r="D105">
        <v>2.1315874886221171E-2</v>
      </c>
      <c r="E105">
        <v>4.1823998146220454E-2</v>
      </c>
      <c r="F105">
        <v>0</v>
      </c>
      <c r="G105">
        <v>0</v>
      </c>
      <c r="H105">
        <v>0</v>
      </c>
      <c r="I105">
        <v>4.296940017269997E-2</v>
      </c>
      <c r="J105">
        <v>0</v>
      </c>
      <c r="K105">
        <v>4.7270445877841176E-2</v>
      </c>
      <c r="L105">
        <v>3.2541743772010658E-3</v>
      </c>
      <c r="M105">
        <v>3.2541743772010658E-3</v>
      </c>
      <c r="N105">
        <v>5.8390804391178164E-2</v>
      </c>
      <c r="O105">
        <v>5.0604773007219973E-2</v>
      </c>
      <c r="P105">
        <v>4.6189730468570653E-3</v>
      </c>
      <c r="Q105">
        <v>9.294468840770554E-3</v>
      </c>
      <c r="R105">
        <v>2.6640793770058246E-2</v>
      </c>
      <c r="S105">
        <v>4.1396287621265036E-2</v>
      </c>
      <c r="T105">
        <v>3.5972961625881004E-2</v>
      </c>
      <c r="U105">
        <v>3.79313156854768E-2</v>
      </c>
      <c r="V105">
        <v>4.1462462373698383E-2</v>
      </c>
      <c r="W105">
        <v>4.2827545698284571E-2</v>
      </c>
      <c r="X105">
        <v>4.2827545698284571E-2</v>
      </c>
      <c r="Y105">
        <v>3.3787905351847933E-2</v>
      </c>
      <c r="Z105">
        <v>4.3656954759955457E-2</v>
      </c>
      <c r="AA105">
        <v>2.0015064281013708E-2</v>
      </c>
    </row>
    <row r="106" spans="2:27">
      <c r="B106">
        <v>4.1290846850167373E-2</v>
      </c>
      <c r="C106">
        <v>3.4545822607556786E-2</v>
      </c>
      <c r="D106">
        <v>1.7863060499319624E-2</v>
      </c>
      <c r="E106">
        <v>3.7652637377579359E-2</v>
      </c>
      <c r="F106">
        <v>5.0921252946932796E-3</v>
      </c>
      <c r="G106">
        <v>5.0921252946932796E-3</v>
      </c>
      <c r="H106">
        <v>6.3695335926785959E-2</v>
      </c>
      <c r="I106">
        <v>4.3921710018846125E-3</v>
      </c>
      <c r="J106">
        <v>5.9063435075247049E-2</v>
      </c>
      <c r="K106">
        <v>4.5417306185893472E-2</v>
      </c>
      <c r="L106">
        <v>0</v>
      </c>
      <c r="M106">
        <v>0</v>
      </c>
      <c r="N106">
        <v>1.2976843736060076E-2</v>
      </c>
      <c r="O106">
        <v>4.0209763950093062E-2</v>
      </c>
      <c r="P106">
        <v>0</v>
      </c>
      <c r="Q106">
        <v>0</v>
      </c>
      <c r="R106">
        <v>3.0914020851432102E-2</v>
      </c>
      <c r="S106">
        <v>1.8089324925562221E-2</v>
      </c>
      <c r="T106">
        <v>1.2641059263171651E-2</v>
      </c>
      <c r="U106">
        <v>5.3759630197769852E-2</v>
      </c>
      <c r="V106">
        <v>4.2836629215165019E-2</v>
      </c>
      <c r="W106">
        <v>4.5760854526379874E-2</v>
      </c>
      <c r="X106">
        <v>4.5760854526379874E-2</v>
      </c>
      <c r="Y106">
        <v>3.8538239011050475E-2</v>
      </c>
      <c r="Z106">
        <v>1.9274115091896148E-2</v>
      </c>
      <c r="AA106">
        <v>7.8920915453060091E-3</v>
      </c>
    </row>
    <row r="107" spans="2:27">
      <c r="B107">
        <v>4.2491799552423028E-2</v>
      </c>
      <c r="C107">
        <v>2.1966799098025003E-2</v>
      </c>
      <c r="D107">
        <v>4.0304153802858685E-2</v>
      </c>
      <c r="E107">
        <v>3.7712577898742924E-2</v>
      </c>
      <c r="F107">
        <v>5.0202244478019187E-2</v>
      </c>
      <c r="G107">
        <v>5.0202244478019187E-2</v>
      </c>
      <c r="H107">
        <v>5.2714624189251984E-2</v>
      </c>
      <c r="I107">
        <v>0</v>
      </c>
      <c r="J107">
        <v>4.8188145111763399E-2</v>
      </c>
      <c r="K107">
        <v>4.0580243244367736E-2</v>
      </c>
      <c r="L107">
        <v>5.2300537723316574E-2</v>
      </c>
      <c r="M107">
        <v>5.2300537723316574E-2</v>
      </c>
      <c r="N107">
        <v>4.8286663174374661E-2</v>
      </c>
      <c r="O107">
        <v>3.5792321686137678E-3</v>
      </c>
      <c r="P107">
        <v>6.7159001127909596E-2</v>
      </c>
      <c r="Q107">
        <v>3.2218107107959873E-2</v>
      </c>
      <c r="R107">
        <v>4.6095560779107862E-2</v>
      </c>
      <c r="S107">
        <v>7.1254984732649152E-3</v>
      </c>
      <c r="T107">
        <v>4.7522070707164826E-3</v>
      </c>
      <c r="U107">
        <v>4.2755018187245961E-2</v>
      </c>
      <c r="V107">
        <v>3.5730394914138298E-2</v>
      </c>
      <c r="W107">
        <v>3.7572341430578207E-2</v>
      </c>
      <c r="X107">
        <v>3.7572341430578207E-2</v>
      </c>
      <c r="Y107">
        <v>1.7563011501362885E-2</v>
      </c>
      <c r="Z107">
        <v>7.506889735707691E-3</v>
      </c>
      <c r="AA107">
        <v>4.0911244693589317E-2</v>
      </c>
    </row>
    <row r="108" spans="2:27">
      <c r="B108">
        <v>3.8550083421783107E-2</v>
      </c>
      <c r="C108">
        <v>1.8580220760163309E-2</v>
      </c>
      <c r="D108">
        <v>3.9896507753620664E-2</v>
      </c>
      <c r="E108">
        <v>3.1184888642583033E-2</v>
      </c>
      <c r="F108">
        <v>5.0434822741820123E-2</v>
      </c>
      <c r="G108">
        <v>5.0434822741820123E-2</v>
      </c>
      <c r="H108">
        <v>5.0445529136577613E-2</v>
      </c>
      <c r="I108">
        <v>6.3445529331456474E-2</v>
      </c>
      <c r="J108">
        <v>4.6088858461221592E-2</v>
      </c>
      <c r="K108">
        <v>3.8675957738764448E-3</v>
      </c>
      <c r="L108">
        <v>4.7192567958824934E-2</v>
      </c>
      <c r="M108">
        <v>4.7192567958824934E-2</v>
      </c>
      <c r="N108">
        <v>4.8971653544525463E-2</v>
      </c>
      <c r="O108">
        <v>0</v>
      </c>
      <c r="P108">
        <v>5.9938960496417788E-2</v>
      </c>
      <c r="Q108">
        <v>2.889104202334505E-2</v>
      </c>
      <c r="R108">
        <v>3.5338148831614499E-2</v>
      </c>
      <c r="S108">
        <v>4.7406064683985109E-2</v>
      </c>
      <c r="T108">
        <v>4.2993800370594817E-2</v>
      </c>
      <c r="U108">
        <v>5.1329446265400848E-2</v>
      </c>
      <c r="V108">
        <v>1.0258982634858914E-2</v>
      </c>
      <c r="W108">
        <v>3.5769346734859903E-2</v>
      </c>
      <c r="X108">
        <v>3.5769346734859903E-2</v>
      </c>
      <c r="Y108">
        <v>4.4030040674217412E-3</v>
      </c>
      <c r="Z108">
        <v>4.1112662397815386E-2</v>
      </c>
      <c r="AA108">
        <v>3.7356465183222692E-2</v>
      </c>
    </row>
    <row r="109" spans="2:27">
      <c r="B109">
        <v>3.3123371833582251E-2</v>
      </c>
      <c r="C109">
        <v>4.1941142833161291E-2</v>
      </c>
      <c r="D109">
        <v>3.8099997275320471E-2</v>
      </c>
      <c r="E109">
        <v>2.2675499156176608E-2</v>
      </c>
      <c r="F109">
        <v>3.9323283362416854E-2</v>
      </c>
      <c r="G109">
        <v>3.9323283362416854E-2</v>
      </c>
      <c r="H109">
        <v>4.1494929890312521E-3</v>
      </c>
      <c r="I109">
        <v>4.8646901344339862E-3</v>
      </c>
      <c r="J109">
        <v>4.1705051654107039E-2</v>
      </c>
      <c r="K109">
        <v>0</v>
      </c>
      <c r="L109">
        <v>4.8329184732540727E-2</v>
      </c>
      <c r="M109">
        <v>4.8329184732540727E-2</v>
      </c>
      <c r="N109">
        <v>4.7878662032685738E-2</v>
      </c>
      <c r="O109">
        <v>8.1346232934087197E-3</v>
      </c>
      <c r="P109">
        <v>6.2316396675354074E-2</v>
      </c>
      <c r="Q109">
        <v>2.6532388337076378E-2</v>
      </c>
      <c r="R109">
        <v>2.7356484536590002E-2</v>
      </c>
      <c r="S109">
        <v>4.3997645214381674E-2</v>
      </c>
      <c r="T109">
        <v>4.3949334841575996E-2</v>
      </c>
      <c r="U109">
        <v>3.0985627298711668E-2</v>
      </c>
      <c r="V109">
        <v>6.2564851980015752E-3</v>
      </c>
      <c r="W109">
        <v>2.5078904882901008E-2</v>
      </c>
      <c r="X109">
        <v>2.5078904882901008E-2</v>
      </c>
      <c r="Y109">
        <v>4.0805405437560643E-2</v>
      </c>
      <c r="Z109">
        <v>4.7718571913360125E-2</v>
      </c>
      <c r="AA109">
        <v>3.6680336735538922E-2</v>
      </c>
    </row>
    <row r="110" spans="2:27">
      <c r="B110">
        <v>1.9360088430608692E-2</v>
      </c>
      <c r="C110">
        <v>4.2573094181706732E-2</v>
      </c>
      <c r="D110">
        <v>3.6920532268535776E-2</v>
      </c>
      <c r="E110">
        <v>1.926754752513259E-2</v>
      </c>
      <c r="F110">
        <v>3.8059718766298802E-2</v>
      </c>
      <c r="G110">
        <v>3.8059718766298802E-2</v>
      </c>
      <c r="H110">
        <v>4.1428659136221041E-3</v>
      </c>
      <c r="I110">
        <v>4.4185598035390251E-3</v>
      </c>
      <c r="J110">
        <v>3.8392232411809668E-2</v>
      </c>
      <c r="K110">
        <v>5.7798248507282702E-3</v>
      </c>
      <c r="L110">
        <v>4.7894401888389199E-2</v>
      </c>
      <c r="M110">
        <v>4.7894401888389199E-2</v>
      </c>
      <c r="N110">
        <v>3.5914155372318321E-3</v>
      </c>
      <c r="O110">
        <v>4.6046321465609455E-2</v>
      </c>
      <c r="P110">
        <v>5.6990969894566409E-2</v>
      </c>
      <c r="Q110">
        <v>2.5317234041519712E-2</v>
      </c>
      <c r="R110">
        <v>1.9423533995251048E-2</v>
      </c>
      <c r="S110">
        <v>4.9649160575792953E-2</v>
      </c>
      <c r="T110">
        <v>3.9306432253195848E-2</v>
      </c>
      <c r="U110">
        <v>1.690667298818857E-2</v>
      </c>
      <c r="V110">
        <v>4.2878875630945133E-2</v>
      </c>
      <c r="W110">
        <v>1.7101882284090434E-2</v>
      </c>
      <c r="X110">
        <v>1.7101882284090434E-2</v>
      </c>
      <c r="Y110">
        <v>4.3861494055485901E-2</v>
      </c>
      <c r="Z110">
        <v>4.5740834756383769E-2</v>
      </c>
      <c r="AA110">
        <v>3.0537921354309612E-2</v>
      </c>
    </row>
    <row r="111" spans="2:27">
      <c r="B111">
        <v>1.9143817280078003E-2</v>
      </c>
      <c r="C111">
        <v>3.9309416550552048E-2</v>
      </c>
      <c r="D111">
        <v>3.2194933567095435E-2</v>
      </c>
      <c r="E111">
        <v>3.8495134702822807E-2</v>
      </c>
      <c r="F111">
        <v>4.090479168205945E-3</v>
      </c>
      <c r="G111">
        <v>4.090479168205945E-3</v>
      </c>
      <c r="H111">
        <v>4.1712229860685641E-3</v>
      </c>
      <c r="I111">
        <v>4.5303923279636601E-2</v>
      </c>
      <c r="J111">
        <v>4.7553990996965171E-3</v>
      </c>
      <c r="K111">
        <v>4.7040030572262755E-2</v>
      </c>
      <c r="L111">
        <v>4.1843088091142053E-2</v>
      </c>
      <c r="M111">
        <v>4.1843088091142053E-2</v>
      </c>
      <c r="N111">
        <v>0</v>
      </c>
      <c r="O111">
        <v>4.6044106795119485E-2</v>
      </c>
      <c r="P111">
        <v>5.870893059931738E-2</v>
      </c>
      <c r="Q111">
        <v>2.4316221288682601E-2</v>
      </c>
      <c r="R111">
        <v>3.2466994906452745E-2</v>
      </c>
      <c r="S111">
        <v>4.4395263075335284E-2</v>
      </c>
      <c r="T111">
        <v>3.644448510028233E-2</v>
      </c>
      <c r="U111">
        <v>7.05253159967127E-3</v>
      </c>
      <c r="V111">
        <v>4.0976475326440664E-2</v>
      </c>
      <c r="W111">
        <v>8.0785806689383319E-3</v>
      </c>
      <c r="X111">
        <v>8.0785806689383319E-3</v>
      </c>
      <c r="Y111">
        <v>3.2973623237063501E-2</v>
      </c>
      <c r="Z111">
        <v>4.8214706707813776E-2</v>
      </c>
      <c r="AA111">
        <v>2.6854910015474701E-2</v>
      </c>
    </row>
    <row r="112" spans="2:27">
      <c r="B112">
        <v>4.3407048430628925E-2</v>
      </c>
      <c r="C112">
        <v>3.8067983234742787E-2</v>
      </c>
      <c r="D112">
        <v>1.970994822993585E-2</v>
      </c>
      <c r="E112">
        <v>3.8749049410529569E-2</v>
      </c>
      <c r="F112">
        <v>0</v>
      </c>
      <c r="G112">
        <v>0</v>
      </c>
      <c r="H112">
        <v>0</v>
      </c>
      <c r="I112">
        <v>4.1669650592723539E-2</v>
      </c>
      <c r="J112">
        <v>0</v>
      </c>
      <c r="K112">
        <v>4.217349155559362E-2</v>
      </c>
      <c r="L112">
        <v>3.8409585377812859E-3</v>
      </c>
      <c r="M112">
        <v>3.8409585377812859E-3</v>
      </c>
      <c r="N112">
        <v>5.1965669583388628E-2</v>
      </c>
      <c r="O112">
        <v>4.5620199049592636E-2</v>
      </c>
      <c r="P112">
        <v>4.3628461156558123E-3</v>
      </c>
      <c r="Q112">
        <v>4.5335029667911871E-3</v>
      </c>
      <c r="R112">
        <v>3.4361777798726421E-2</v>
      </c>
      <c r="S112">
        <v>4.8191341283517812E-2</v>
      </c>
      <c r="T112">
        <v>3.1579966178808011E-2</v>
      </c>
      <c r="U112">
        <v>4.4215586882574015E-2</v>
      </c>
      <c r="V112">
        <v>3.9973691327822018E-2</v>
      </c>
      <c r="W112">
        <v>4.7407076896973731E-2</v>
      </c>
      <c r="X112">
        <v>4.7407076896973731E-2</v>
      </c>
      <c r="Y112">
        <v>2.2513035263668293E-2</v>
      </c>
      <c r="Z112">
        <v>3.7277311471559174E-2</v>
      </c>
      <c r="AA112">
        <v>1.367267786250332E-2</v>
      </c>
    </row>
    <row r="113" spans="2:27">
      <c r="B113">
        <v>4.2998425519487994E-2</v>
      </c>
      <c r="C113">
        <v>3.3548062922843229E-2</v>
      </c>
      <c r="D113">
        <v>1.8652860494214048E-2</v>
      </c>
      <c r="E113">
        <v>3.9050250529376482E-2</v>
      </c>
      <c r="F113">
        <v>5.0215278581404017E-2</v>
      </c>
      <c r="G113">
        <v>5.0215278581404017E-2</v>
      </c>
      <c r="H113">
        <v>5.0606695922399851E-2</v>
      </c>
      <c r="I113">
        <v>4.5052664552755247E-3</v>
      </c>
      <c r="J113">
        <v>4.7350152718379911E-2</v>
      </c>
      <c r="K113">
        <v>4.5708676885669923E-2</v>
      </c>
      <c r="L113">
        <v>0</v>
      </c>
      <c r="M113">
        <v>0</v>
      </c>
      <c r="N113">
        <v>4.7640232153387571E-2</v>
      </c>
      <c r="O113">
        <v>4.1358189092857094E-2</v>
      </c>
      <c r="P113">
        <v>0</v>
      </c>
      <c r="Q113">
        <v>0</v>
      </c>
      <c r="R113">
        <v>3.1789124916489955E-2</v>
      </c>
      <c r="S113">
        <v>1.4308650201472968E-2</v>
      </c>
      <c r="T113">
        <v>1.4240280643937448E-2</v>
      </c>
      <c r="U113">
        <v>3.8827198656243095E-2</v>
      </c>
      <c r="V113">
        <v>3.6869332051448697E-2</v>
      </c>
      <c r="W113">
        <v>3.9894901044612262E-2</v>
      </c>
      <c r="X113">
        <v>3.9894901044612262E-2</v>
      </c>
      <c r="Y113">
        <v>3.9406769313701205E-2</v>
      </c>
      <c r="Z113">
        <v>1.6302921137934082E-2</v>
      </c>
      <c r="AA113">
        <v>4.2433190737966846E-3</v>
      </c>
    </row>
    <row r="114" spans="2:27">
      <c r="B114">
        <v>3.8990266639069064E-2</v>
      </c>
      <c r="C114">
        <v>2.0614635990369598E-2</v>
      </c>
      <c r="D114">
        <v>3.9699399166998606E-2</v>
      </c>
      <c r="E114">
        <v>3.9289846112583071E-2</v>
      </c>
      <c r="F114">
        <v>4.5527242912959252E-2</v>
      </c>
      <c r="G114">
        <v>4.5527242912959252E-2</v>
      </c>
      <c r="H114">
        <v>4.76590732428568E-2</v>
      </c>
      <c r="I114">
        <v>0</v>
      </c>
      <c r="J114">
        <v>4.4500212594201671E-2</v>
      </c>
      <c r="K114">
        <v>4.0036976034464954E-2</v>
      </c>
      <c r="L114">
        <v>5.2641769249386447E-2</v>
      </c>
      <c r="M114">
        <v>5.2641769249386447E-2</v>
      </c>
      <c r="N114">
        <v>4.782089971908246E-2</v>
      </c>
      <c r="O114">
        <v>3.9912760434439691E-3</v>
      </c>
      <c r="P114">
        <v>6.9407133820140299E-2</v>
      </c>
      <c r="Q114">
        <v>2.0068726147422614E-2</v>
      </c>
      <c r="R114">
        <v>3.7797537122930054E-2</v>
      </c>
      <c r="S114">
        <v>6.5964540103487486E-3</v>
      </c>
      <c r="T114">
        <v>5.2489141618482713E-3</v>
      </c>
      <c r="U114">
        <v>4.1219836012839767E-2</v>
      </c>
      <c r="V114">
        <v>3.2854619729297881E-2</v>
      </c>
      <c r="W114">
        <v>3.8941711230806933E-2</v>
      </c>
      <c r="X114">
        <v>3.8941711230806933E-2</v>
      </c>
      <c r="Y114">
        <v>1.6179334063424283E-2</v>
      </c>
      <c r="Z114">
        <v>6.1215060118512705E-3</v>
      </c>
      <c r="AA114">
        <v>4.8766149752096796E-2</v>
      </c>
    </row>
    <row r="115" spans="2:27">
      <c r="B115">
        <v>3.8189631504231963E-2</v>
      </c>
      <c r="C115">
        <v>1.9689220904479415E-2</v>
      </c>
      <c r="D115">
        <v>4.0517650170354635E-2</v>
      </c>
      <c r="E115">
        <v>3.2707044877242221E-2</v>
      </c>
      <c r="F115">
        <v>4.1109340985161433E-2</v>
      </c>
      <c r="G115">
        <v>4.1109340985161433E-2</v>
      </c>
      <c r="H115">
        <v>4.3992664901045336E-2</v>
      </c>
      <c r="I115">
        <v>5.504238814772279E-2</v>
      </c>
      <c r="J115">
        <v>4.3361013224037015E-2</v>
      </c>
      <c r="K115">
        <v>4.5649127572723481E-3</v>
      </c>
      <c r="L115">
        <v>4.5080546901681541E-2</v>
      </c>
      <c r="M115">
        <v>4.5080546901681541E-2</v>
      </c>
      <c r="N115">
        <v>4.7360047617334616E-2</v>
      </c>
      <c r="O115">
        <v>0</v>
      </c>
      <c r="P115">
        <v>6.1372468964192711E-2</v>
      </c>
      <c r="Q115">
        <v>1.6323292380647128E-2</v>
      </c>
      <c r="R115">
        <v>4.1738691644929105E-2</v>
      </c>
      <c r="S115">
        <v>5.5164130294736304E-2</v>
      </c>
      <c r="T115">
        <v>4.557333724624716E-2</v>
      </c>
      <c r="U115">
        <v>3.8018701065165222E-2</v>
      </c>
      <c r="V115">
        <v>1.6395555945437557E-2</v>
      </c>
      <c r="W115">
        <v>3.468157144078881E-2</v>
      </c>
      <c r="X115">
        <v>3.468157144078881E-2</v>
      </c>
      <c r="Y115">
        <v>8.1663799981969813E-3</v>
      </c>
      <c r="Z115">
        <v>4.6448976146162044E-2</v>
      </c>
      <c r="AA115">
        <v>4.5079360463782081E-2</v>
      </c>
    </row>
    <row r="116" spans="2:27">
      <c r="B116">
        <v>3.1277924458470177E-2</v>
      </c>
      <c r="C116">
        <v>4.0393819531268207E-2</v>
      </c>
      <c r="D116">
        <v>3.8275710703579408E-2</v>
      </c>
      <c r="E116">
        <v>2.2516585417329867E-2</v>
      </c>
      <c r="F116">
        <v>4.3184941095595342E-2</v>
      </c>
      <c r="G116">
        <v>4.3184941095595342E-2</v>
      </c>
      <c r="H116">
        <v>4.4203924667005644E-2</v>
      </c>
      <c r="I116">
        <v>4.78292839466537E-2</v>
      </c>
      <c r="J116">
        <v>4.0498955990103405E-2</v>
      </c>
      <c r="K116">
        <v>0</v>
      </c>
      <c r="L116">
        <v>4.5307891753694776E-2</v>
      </c>
      <c r="M116">
        <v>4.5307891753694776E-2</v>
      </c>
      <c r="N116">
        <v>3.8072517248086232E-2</v>
      </c>
      <c r="O116">
        <v>5.1773179065735538E-2</v>
      </c>
      <c r="P116">
        <v>5.7365478369297888E-2</v>
      </c>
      <c r="Q116" t="s">
        <v>801</v>
      </c>
      <c r="R116">
        <v>2.4360089913351979E-2</v>
      </c>
      <c r="S116">
        <v>4.695040042426344E-2</v>
      </c>
      <c r="T116">
        <v>4.0347115994820396E-2</v>
      </c>
      <c r="U116">
        <v>4.2916297472510426E-2</v>
      </c>
      <c r="V116">
        <v>6.1118960424505981E-3</v>
      </c>
      <c r="W116">
        <v>3.6287238842273341E-2</v>
      </c>
      <c r="X116">
        <v>3.6287238842273341E-2</v>
      </c>
      <c r="Y116">
        <v>3.4047509727903699E-2</v>
      </c>
      <c r="Z116">
        <v>4.5643856660577443E-2</v>
      </c>
      <c r="AA116">
        <v>4.4833186992239371E-2</v>
      </c>
    </row>
    <row r="117" spans="2:27">
      <c r="B117">
        <v>2.0027505852138871E-2</v>
      </c>
      <c r="C117">
        <v>4.3197385513906165E-2</v>
      </c>
      <c r="D117">
        <v>3.5274015506845217E-2</v>
      </c>
      <c r="E117">
        <v>1.9215218498719953E-2</v>
      </c>
      <c r="F117">
        <v>4.3879962238688223E-2</v>
      </c>
      <c r="G117">
        <v>4.3879962238688223E-2</v>
      </c>
      <c r="H117">
        <v>4.1174734195902535E-2</v>
      </c>
      <c r="I117">
        <v>4.1997475091599214E-2</v>
      </c>
      <c r="J117">
        <v>3.8171105735214129E-2</v>
      </c>
      <c r="K117">
        <v>5.2036728056441613E-2</v>
      </c>
      <c r="L117">
        <v>4.4715644821161388E-2</v>
      </c>
      <c r="M117">
        <v>4.4715644821161388E-2</v>
      </c>
      <c r="N117">
        <v>4.1396813662991951E-3</v>
      </c>
      <c r="O117">
        <v>4.6489507007725278E-2</v>
      </c>
      <c r="P117" t="s">
        <v>801</v>
      </c>
      <c r="Q117" t="s">
        <v>801</v>
      </c>
      <c r="R117">
        <v>1.7227004860851006E-2</v>
      </c>
      <c r="S117">
        <v>4.3518060652331922E-2</v>
      </c>
      <c r="T117">
        <v>3.6256014072657473E-2</v>
      </c>
      <c r="U117">
        <v>1.6042094373495356E-2</v>
      </c>
      <c r="V117">
        <v>4.233175558771609E-2</v>
      </c>
      <c r="W117">
        <v>1.4988678692173176E-2</v>
      </c>
      <c r="X117">
        <v>1.4988678692173176E-2</v>
      </c>
      <c r="Y117">
        <v>4.0760139034669386E-2</v>
      </c>
      <c r="Z117">
        <v>4.8063144066257529E-2</v>
      </c>
      <c r="AA117">
        <v>3.6550644789301076E-2</v>
      </c>
    </row>
    <row r="118" spans="2:27">
      <c r="B118">
        <v>1.9029203536709206E-2</v>
      </c>
      <c r="C118">
        <v>3.9971241962846911E-2</v>
      </c>
      <c r="D118">
        <v>3.1298385388453032E-2</v>
      </c>
      <c r="E118">
        <v>3.7450338118652331E-2</v>
      </c>
      <c r="F118">
        <v>4.0173397419252842E-3</v>
      </c>
      <c r="G118">
        <v>4.0173397419252842E-3</v>
      </c>
      <c r="H118">
        <v>4.0144429133086587E-3</v>
      </c>
      <c r="I118">
        <v>2.7575987647999768E-2</v>
      </c>
      <c r="J118">
        <v>3.5795717975836737E-3</v>
      </c>
      <c r="K118">
        <v>4.8087704670327525E-2</v>
      </c>
      <c r="L118">
        <v>4.6037616244164685E-2</v>
      </c>
      <c r="M118">
        <v>4.6037616244164685E-2</v>
      </c>
      <c r="N118">
        <v>0</v>
      </c>
      <c r="O118">
        <v>4.3680053519944424E-2</v>
      </c>
      <c r="P118" t="s">
        <v>801</v>
      </c>
      <c r="Q118" t="s">
        <v>801</v>
      </c>
      <c r="R118">
        <v>4.1952671879350104E-2</v>
      </c>
      <c r="S118">
        <v>4.0873680529149768E-2</v>
      </c>
      <c r="T118">
        <v>4.5461592074617273E-2</v>
      </c>
      <c r="U118">
        <v>6.3024290284142892E-3</v>
      </c>
      <c r="V118">
        <v>4.0663028368512932E-2</v>
      </c>
      <c r="W118">
        <v>6.522546726696072E-3</v>
      </c>
      <c r="X118">
        <v>6.522546726696072E-3</v>
      </c>
      <c r="Y118">
        <v>3.1960691989225368E-2</v>
      </c>
      <c r="Z118">
        <v>3.9992149797209137E-2</v>
      </c>
      <c r="AA118">
        <v>3.4667248185799353E-2</v>
      </c>
    </row>
    <row r="119" spans="2:27">
      <c r="B119">
        <v>4.2460239246277995E-2</v>
      </c>
      <c r="C119">
        <v>3.6711139005987041E-2</v>
      </c>
      <c r="D119">
        <v>2.0544554498727535E-2</v>
      </c>
      <c r="E119">
        <v>4.1180636552398182E-2</v>
      </c>
      <c r="F119">
        <v>0</v>
      </c>
      <c r="G119">
        <v>0</v>
      </c>
      <c r="H119">
        <v>0</v>
      </c>
      <c r="I119">
        <v>4.1003135111465999E-2</v>
      </c>
      <c r="J119">
        <v>0</v>
      </c>
      <c r="K119">
        <v>4.2185514179033302E-2</v>
      </c>
      <c r="L119">
        <v>3.4235083012090898E-3</v>
      </c>
      <c r="M119">
        <v>3.4235083012090898E-3</v>
      </c>
      <c r="N119">
        <v>5.200635778941911E-2</v>
      </c>
      <c r="O119">
        <v>4.366688283424916E-2</v>
      </c>
      <c r="P119" t="s">
        <v>801</v>
      </c>
      <c r="Q119" t="s">
        <v>801</v>
      </c>
      <c r="R119">
        <v>3.5660464833552098E-2</v>
      </c>
      <c r="S119">
        <v>4.1181412247576751E-2</v>
      </c>
      <c r="T119">
        <v>3.4664849888259026E-2</v>
      </c>
      <c r="U119">
        <v>3.5576933459835008E-2</v>
      </c>
      <c r="V119">
        <v>4.1428906190471952E-2</v>
      </c>
      <c r="W119">
        <v>3.3731266204470055E-2</v>
      </c>
      <c r="X119">
        <v>3.3731266204470055E-2</v>
      </c>
      <c r="Y119">
        <v>3.5565194851514839E-2</v>
      </c>
      <c r="Z119">
        <v>4.3857115116101512E-2</v>
      </c>
      <c r="AA119">
        <v>1.676061260203543E-2</v>
      </c>
    </row>
    <row r="120" spans="2:27">
      <c r="B120">
        <v>4.2727671314138523E-2</v>
      </c>
      <c r="C120">
        <v>3.2526982743920713E-2</v>
      </c>
      <c r="D120">
        <v>1.8624843024928991E-2</v>
      </c>
      <c r="E120">
        <v>3.6728554342974402E-2</v>
      </c>
      <c r="F120">
        <v>5.3225575568832055E-2</v>
      </c>
      <c r="G120">
        <v>5.3225575568832055E-2</v>
      </c>
      <c r="H120">
        <v>5.4579394847827749E-2</v>
      </c>
      <c r="I120">
        <v>4.0290406373595352E-3</v>
      </c>
      <c r="J120">
        <v>5.0183798619514698E-2</v>
      </c>
      <c r="K120">
        <v>4.5345922053044968E-2</v>
      </c>
      <c r="L120">
        <v>0</v>
      </c>
      <c r="M120">
        <v>0</v>
      </c>
      <c r="N120">
        <v>4.6277562513646571E-2</v>
      </c>
      <c r="O120">
        <v>3.9992088082064059E-2</v>
      </c>
      <c r="P120" t="s">
        <v>801</v>
      </c>
      <c r="Q120" t="s">
        <v>801</v>
      </c>
      <c r="R120">
        <v>3.1132230034703806E-2</v>
      </c>
      <c r="S120">
        <v>1.9391608691566385E-2</v>
      </c>
      <c r="T120">
        <v>1.4615984052630914E-2</v>
      </c>
      <c r="U120">
        <v>4.1930662529756385E-2</v>
      </c>
      <c r="V120">
        <v>3.3763244035267939E-2</v>
      </c>
      <c r="W120">
        <v>4.3664076973009502E-2</v>
      </c>
      <c r="X120">
        <v>4.3664076973009502E-2</v>
      </c>
      <c r="Y120">
        <v>2.8398406890954339E-2</v>
      </c>
      <c r="Z120">
        <v>1.8099120915328205E-2</v>
      </c>
      <c r="AA120">
        <v>4.6208441746224587E-3</v>
      </c>
    </row>
    <row r="121" spans="2:27">
      <c r="B121">
        <v>4.0372275834472525E-2</v>
      </c>
      <c r="C121">
        <v>2.1096414542265015E-2</v>
      </c>
      <c r="D121">
        <v>3.9030231447981428E-2</v>
      </c>
      <c r="E121">
        <v>3.7731059559435023E-2</v>
      </c>
      <c r="F121">
        <v>4.9182793732779125E-2</v>
      </c>
      <c r="G121">
        <v>4.9182793732779125E-2</v>
      </c>
      <c r="H121">
        <v>4.9299024696554131E-2</v>
      </c>
      <c r="I121">
        <v>0</v>
      </c>
      <c r="J121">
        <v>4.7662582366908506E-2</v>
      </c>
      <c r="K121">
        <v>3.8224969212315454E-2</v>
      </c>
      <c r="L121">
        <v>4.8359702710393707E-2</v>
      </c>
      <c r="M121">
        <v>4.8359702710393707E-2</v>
      </c>
      <c r="N121">
        <v>4.2731086671458272E-2</v>
      </c>
      <c r="O121">
        <v>3.4355510042653019E-3</v>
      </c>
      <c r="P121" t="s">
        <v>801</v>
      </c>
      <c r="Q121" t="s">
        <v>801</v>
      </c>
      <c r="R121">
        <v>4.763687961368511E-2</v>
      </c>
      <c r="S121">
        <v>8.343305100495739E-3</v>
      </c>
      <c r="T121">
        <v>5.6737005320768984E-3</v>
      </c>
      <c r="U121">
        <v>4.2720415919507745E-2</v>
      </c>
      <c r="V121">
        <v>4.161886591602993E-2</v>
      </c>
      <c r="W121">
        <v>3.0203396094804408E-2</v>
      </c>
      <c r="X121">
        <v>3.0203396094804408E-2</v>
      </c>
      <c r="Y121">
        <v>1.4045519400176258E-2</v>
      </c>
      <c r="Z121">
        <v>9.2130721984347956E-3</v>
      </c>
      <c r="AA121">
        <v>3.2189347802515852E-2</v>
      </c>
    </row>
    <row r="122" spans="2:27">
      <c r="B122">
        <v>3.6531884897245598E-2</v>
      </c>
      <c r="C122">
        <v>1.9295216412904333E-2</v>
      </c>
      <c r="D122">
        <v>4.1118535469063945E-2</v>
      </c>
      <c r="E122">
        <v>3.348477313933948E-2</v>
      </c>
      <c r="F122">
        <v>4.7256041171347837E-2</v>
      </c>
      <c r="G122">
        <v>4.7256041171347837E-2</v>
      </c>
      <c r="H122">
        <v>4.2914173016162113E-2</v>
      </c>
      <c r="I122">
        <v>5.5530270428171248E-2</v>
      </c>
      <c r="J122">
        <v>4.1940804281489982E-2</v>
      </c>
      <c r="K122">
        <v>4.2330902754909687E-3</v>
      </c>
      <c r="L122">
        <v>4.4814685960390808E-2</v>
      </c>
      <c r="M122">
        <v>4.4814685960390808E-2</v>
      </c>
      <c r="N122">
        <v>4.5031816230172064E-2</v>
      </c>
      <c r="O122">
        <v>0</v>
      </c>
      <c r="P122" t="s">
        <v>801</v>
      </c>
      <c r="Q122" t="s">
        <v>801</v>
      </c>
      <c r="R122">
        <v>3.4497623408607472E-2</v>
      </c>
      <c r="S122">
        <v>4.2925950604418908E-2</v>
      </c>
      <c r="T122">
        <v>3.5659349757942764E-2</v>
      </c>
      <c r="U122">
        <v>3.9601011364251412E-2</v>
      </c>
      <c r="V122">
        <v>1.5557114990417332E-2</v>
      </c>
      <c r="W122">
        <v>3.5438880181328833E-2</v>
      </c>
      <c r="X122">
        <v>3.5438880181328833E-2</v>
      </c>
      <c r="Y122">
        <v>6.306393539994193E-3</v>
      </c>
      <c r="Z122">
        <v>3.8408390828434565E-2</v>
      </c>
      <c r="AA122">
        <v>3.8092338947260718E-2</v>
      </c>
    </row>
    <row r="123" spans="2:27">
      <c r="B123">
        <v>3.3407414588887532E-2</v>
      </c>
      <c r="C123">
        <v>3.6699989426638963E-2</v>
      </c>
      <c r="D123">
        <v>3.4827448478031715E-2</v>
      </c>
      <c r="E123">
        <v>1.9861541439718751E-2</v>
      </c>
      <c r="F123">
        <v>4.3653367161811063E-2</v>
      </c>
      <c r="G123">
        <v>4.3653367161811063E-2</v>
      </c>
      <c r="H123">
        <v>4.6482235324887752E-2</v>
      </c>
      <c r="I123">
        <v>5.0165512151540921E-2</v>
      </c>
      <c r="J123">
        <v>2.5992270845845086E-2</v>
      </c>
      <c r="K123">
        <v>0</v>
      </c>
      <c r="L123">
        <v>4.559877825076223E-2</v>
      </c>
      <c r="M123">
        <v>4.559877825076223E-2</v>
      </c>
      <c r="N123">
        <v>4.5263170754312035E-2</v>
      </c>
      <c r="O123">
        <v>5.0013013527834743E-2</v>
      </c>
      <c r="P123" t="s">
        <v>801</v>
      </c>
      <c r="Q123" t="s">
        <v>801</v>
      </c>
      <c r="R123">
        <v>2.600991085678106E-2</v>
      </c>
      <c r="T123">
        <v>3.6337669144264978E-2</v>
      </c>
      <c r="U123">
        <v>3.6815643190352625E-2</v>
      </c>
      <c r="V123">
        <v>6.5024083956101847E-3</v>
      </c>
      <c r="W123">
        <v>3.5259101280733229E-2</v>
      </c>
      <c r="X123">
        <v>3.5259101280733229E-2</v>
      </c>
      <c r="Y123">
        <v>3.9403929358873227E-2</v>
      </c>
      <c r="Z123">
        <v>0</v>
      </c>
      <c r="AA123">
        <v>3.9731643654664889E-2</v>
      </c>
    </row>
    <row r="124" spans="2:27">
      <c r="B124">
        <v>1.9708580653199609E-2</v>
      </c>
      <c r="C124">
        <v>3.5229266288205933E-2</v>
      </c>
      <c r="D124">
        <v>3.6506342487351594E-2</v>
      </c>
      <c r="E124">
        <v>1.9530619812461569E-2</v>
      </c>
      <c r="F124">
        <v>3.9633511468257776E-2</v>
      </c>
      <c r="G124">
        <v>3.9633511468257776E-2</v>
      </c>
      <c r="H124">
        <v>4.1156288402324701E-2</v>
      </c>
      <c r="I124">
        <v>4.3748865308180424E-2</v>
      </c>
      <c r="J124">
        <v>3.9073714749937156E-2</v>
      </c>
      <c r="K124">
        <v>5.5247100082387444E-2</v>
      </c>
      <c r="L124">
        <v>4.544850185704933E-2</v>
      </c>
      <c r="M124">
        <v>4.544850185704933E-2</v>
      </c>
      <c r="N124">
        <v>4.0503550982966549E-3</v>
      </c>
      <c r="O124">
        <v>5.1253226164603934E-2</v>
      </c>
      <c r="P124" t="s">
        <v>801</v>
      </c>
      <c r="Q124" t="s">
        <v>801</v>
      </c>
      <c r="R124">
        <v>2.0965038206644283E-2</v>
      </c>
      <c r="T124">
        <v>3.8687910232333075E-2</v>
      </c>
      <c r="U124">
        <v>1.8753909768224487E-2</v>
      </c>
      <c r="V124">
        <v>4.2373686539247647E-2</v>
      </c>
      <c r="W124">
        <v>1.688393753378932E-2</v>
      </c>
      <c r="X124">
        <v>1.688393753378932E-2</v>
      </c>
      <c r="Y124">
        <v>3.8847666958500171E-2</v>
      </c>
      <c r="Z124">
        <v>0</v>
      </c>
      <c r="AA124">
        <v>4.1163592059242401E-2</v>
      </c>
    </row>
    <row r="125" spans="2:27">
      <c r="B125">
        <v>1.5866528647228206E-2</v>
      </c>
      <c r="C125">
        <v>0</v>
      </c>
      <c r="D125">
        <v>3.4332400930799617E-2</v>
      </c>
      <c r="E125">
        <v>4.441842370391675E-2</v>
      </c>
      <c r="F125">
        <v>4.2169277990402633E-3</v>
      </c>
      <c r="G125">
        <v>4.2169277990402633E-3</v>
      </c>
      <c r="H125">
        <v>0</v>
      </c>
      <c r="I125">
        <v>0</v>
      </c>
      <c r="J125">
        <v>4.0795215409729002E-3</v>
      </c>
      <c r="K125">
        <v>4.7165196790269884E-2</v>
      </c>
      <c r="N125">
        <v>0</v>
      </c>
      <c r="R125">
        <v>3.7205508129964517E-2</v>
      </c>
      <c r="T125">
        <v>3.6712104446627508E-2</v>
      </c>
      <c r="U125">
        <v>0</v>
      </c>
      <c r="V125">
        <v>4.2587186359309387E-2</v>
      </c>
      <c r="W125">
        <v>5.9600287133898628E-3</v>
      </c>
      <c r="X125">
        <v>5.9600287133898628E-3</v>
      </c>
      <c r="Y125">
        <v>3.8898868988896253E-2</v>
      </c>
      <c r="Z125">
        <v>0</v>
      </c>
      <c r="AA125">
        <v>3.6155204060708435E-2</v>
      </c>
    </row>
    <row r="126" spans="2:27">
      <c r="B126">
        <v>0.98892085884205616</v>
      </c>
      <c r="C126">
        <v>1.0124616093680607</v>
      </c>
      <c r="D126">
        <v>1.0000581126088723</v>
      </c>
      <c r="E126">
        <v>0.95100140836629643</v>
      </c>
      <c r="F126">
        <v>1.0234620079574208</v>
      </c>
      <c r="G126">
        <v>1.0234620079574208</v>
      </c>
      <c r="H126">
        <v>1.0215511514620004</v>
      </c>
      <c r="I126">
        <v>0.988071515131282</v>
      </c>
      <c r="J126">
        <v>0.98727650115870791</v>
      </c>
      <c r="K126">
        <v>0</v>
      </c>
      <c r="L126">
        <v>0.98478146628550367</v>
      </c>
      <c r="M126">
        <v>0.98478146628550367</v>
      </c>
      <c r="N126">
        <v>1.0143655253164059</v>
      </c>
      <c r="O126">
        <v>1.002548114571034</v>
      </c>
      <c r="P126">
        <v>1</v>
      </c>
      <c r="Q126">
        <v>1</v>
      </c>
      <c r="R126">
        <v>0.802205871352209</v>
      </c>
      <c r="S126">
        <v>0.82885446030381582</v>
      </c>
      <c r="T126">
        <v>1.0331491971550555</v>
      </c>
      <c r="U126">
        <v>1.0734151370537952</v>
      </c>
      <c r="V126">
        <v>0.87853302785614129</v>
      </c>
      <c r="W126">
        <v>1.1119961248994485</v>
      </c>
      <c r="X126">
        <v>1.1119961248994485</v>
      </c>
      <c r="Y126">
        <v>0.86677156405551581</v>
      </c>
      <c r="Z126">
        <v>1.1244097888852713</v>
      </c>
      <c r="AA126">
        <v>0.61418699633049356</v>
      </c>
    </row>
    <row r="127" spans="2:27">
      <c r="B127">
        <v>0.95815914397908419</v>
      </c>
      <c r="C127">
        <v>0.99906738903236336</v>
      </c>
      <c r="D127">
        <v>0.95857992924357671</v>
      </c>
      <c r="E127">
        <v>1.0213764694587268</v>
      </c>
      <c r="F127">
        <v>0.95987827883310373</v>
      </c>
      <c r="G127">
        <v>0.95987827883310373</v>
      </c>
      <c r="H127">
        <v>1.0201163027044879</v>
      </c>
      <c r="I127">
        <v>0.99565800367849766</v>
      </c>
      <c r="J127">
        <v>1.03006465358227</v>
      </c>
      <c r="K127">
        <v>0.96165250551543402</v>
      </c>
      <c r="L127">
        <v>0.98478146628550367</v>
      </c>
      <c r="M127">
        <v>0.98478146628550367</v>
      </c>
      <c r="N127">
        <v>0.98423585624760179</v>
      </c>
      <c r="O127">
        <v>0.97276945770258738</v>
      </c>
      <c r="P127">
        <v>1</v>
      </c>
      <c r="Q127">
        <v>1</v>
      </c>
      <c r="R127">
        <v>0.63855405242296692</v>
      </c>
      <c r="S127">
        <v>1.0109208885740775</v>
      </c>
      <c r="T127">
        <v>0.95419584012762626</v>
      </c>
      <c r="U127">
        <v>0.87499681288601261</v>
      </c>
      <c r="V127">
        <v>0.96555627226520657</v>
      </c>
      <c r="W127">
        <v>1.136226944130754</v>
      </c>
      <c r="X127">
        <v>1.136226944130754</v>
      </c>
      <c r="Y127">
        <v>0.93869139431237714</v>
      </c>
      <c r="Z127">
        <v>0.56331173620642172</v>
      </c>
      <c r="AA127">
        <v>1.1666154373348503</v>
      </c>
    </row>
    <row r="128" spans="2:27">
      <c r="B128">
        <v>0.97526739866572376</v>
      </c>
      <c r="C128">
        <v>1.0606484030266436</v>
      </c>
      <c r="D128">
        <v>0.94228732593686093</v>
      </c>
      <c r="E128">
        <v>1.0232439232767157</v>
      </c>
      <c r="F128">
        <v>0.85219223416701639</v>
      </c>
      <c r="G128">
        <v>0.85219223416701639</v>
      </c>
      <c r="H128">
        <v>0.82959128568770768</v>
      </c>
      <c r="I128">
        <v>0.98760822327564102</v>
      </c>
      <c r="J128">
        <v>0.88575008241557307</v>
      </c>
      <c r="K128">
        <v>0.96973100182815897</v>
      </c>
      <c r="L128">
        <v>0.98478146628550367</v>
      </c>
      <c r="M128">
        <v>0.98478146628550367</v>
      </c>
      <c r="N128">
        <v>0.98423585624760179</v>
      </c>
      <c r="O128">
        <v>1.002548114571034</v>
      </c>
      <c r="P128">
        <v>1</v>
      </c>
      <c r="Q128">
        <v>1</v>
      </c>
      <c r="R128">
        <v>1.0872139950163595</v>
      </c>
      <c r="S128">
        <v>1.0279443138193867</v>
      </c>
      <c r="T128">
        <v>0.99026082338012145</v>
      </c>
      <c r="U128">
        <v>0.88997494660185328</v>
      </c>
      <c r="V128">
        <v>0.86246327355153019</v>
      </c>
      <c r="W128">
        <v>0.72713769639229642</v>
      </c>
      <c r="X128">
        <v>0.72713769639229642</v>
      </c>
      <c r="Y128">
        <v>1.0905756931687778</v>
      </c>
      <c r="Z128">
        <v>1.0096178735396786</v>
      </c>
      <c r="AA128">
        <v>1.3313308861394892</v>
      </c>
    </row>
    <row r="129" spans="2:27">
      <c r="B129">
        <v>1.0269746026578603</v>
      </c>
      <c r="C129">
        <v>1.0139642419860788</v>
      </c>
      <c r="D129">
        <v>0.87256377738402457</v>
      </c>
      <c r="E129">
        <v>0.98713322111096957</v>
      </c>
      <c r="F129">
        <v>0</v>
      </c>
      <c r="G129">
        <v>0</v>
      </c>
      <c r="H129">
        <v>0</v>
      </c>
      <c r="I129">
        <v>1.0334117603891422</v>
      </c>
      <c r="J129">
        <v>0</v>
      </c>
      <c r="K129">
        <v>0.96145371620991704</v>
      </c>
      <c r="L129">
        <v>0.98478146628550367</v>
      </c>
      <c r="M129">
        <v>0.98478146628550367</v>
      </c>
      <c r="N129">
        <v>1.0143655253164059</v>
      </c>
      <c r="O129">
        <v>1.002548114571034</v>
      </c>
      <c r="P129">
        <v>1</v>
      </c>
      <c r="Q129">
        <v>1</v>
      </c>
      <c r="R129">
        <v>0.90108166053763639</v>
      </c>
      <c r="S129">
        <v>0.99930623061746116</v>
      </c>
      <c r="T129">
        <v>1.1247554569662781</v>
      </c>
      <c r="U129">
        <v>0.97813157229533831</v>
      </c>
      <c r="V129">
        <v>0.9139565326422624</v>
      </c>
      <c r="W129">
        <v>0.86112397802574381</v>
      </c>
      <c r="X129">
        <v>0.86112397802574381</v>
      </c>
      <c r="Y129">
        <v>1.1908504649751088</v>
      </c>
      <c r="Z129">
        <v>1.191697262531785</v>
      </c>
      <c r="AA129">
        <v>1.1432760422598958</v>
      </c>
    </row>
    <row r="130" spans="2:27">
      <c r="B130">
        <v>1.0084684078354293</v>
      </c>
      <c r="C130">
        <v>0.99951286087540825</v>
      </c>
      <c r="D130">
        <v>0.94644274445252285</v>
      </c>
      <c r="E130">
        <v>1.1542700810612059</v>
      </c>
      <c r="F130">
        <v>1.0528413651695998</v>
      </c>
      <c r="G130">
        <v>1.0528413651695998</v>
      </c>
      <c r="H130">
        <v>0.95850700657259158</v>
      </c>
      <c r="I130">
        <v>0.89677127710381599</v>
      </c>
      <c r="J130">
        <v>0.96401590600363851</v>
      </c>
      <c r="K130">
        <v>0.98145239664586481</v>
      </c>
      <c r="L130">
        <v>0.98478146628550367</v>
      </c>
      <c r="M130">
        <v>0.98478146628550367</v>
      </c>
      <c r="N130">
        <v>0.98423585624760179</v>
      </c>
      <c r="O130">
        <v>1.002548114571034</v>
      </c>
      <c r="P130">
        <v>0</v>
      </c>
      <c r="Q130">
        <v>0</v>
      </c>
      <c r="R130">
        <v>1.1771827240883665</v>
      </c>
      <c r="S130">
        <v>0.94851267521965799</v>
      </c>
      <c r="T130">
        <v>0.79572731302751909</v>
      </c>
      <c r="U130">
        <v>1.028768426233353</v>
      </c>
      <c r="V130">
        <v>0.99170332915919723</v>
      </c>
      <c r="W130">
        <v>1.0110499716143888</v>
      </c>
      <c r="X130">
        <v>1.0110499716143888</v>
      </c>
      <c r="Y130">
        <v>1.1019850997408891</v>
      </c>
      <c r="Z130">
        <v>0.97725573278795563</v>
      </c>
      <c r="AA130">
        <v>0.97612040945241463</v>
      </c>
    </row>
    <row r="131" spans="2:27">
      <c r="B131">
        <v>0.97988951903854704</v>
      </c>
      <c r="C131">
        <v>0.94880275607296771</v>
      </c>
      <c r="D131">
        <v>0.95548897433187252</v>
      </c>
      <c r="E131">
        <v>1.0353500734234753</v>
      </c>
      <c r="F131">
        <v>1.0278577169327767</v>
      </c>
      <c r="G131">
        <v>1.0278577169327767</v>
      </c>
      <c r="H131">
        <v>0.98278295218996803</v>
      </c>
      <c r="I131">
        <v>0</v>
      </c>
      <c r="J131">
        <v>1.00225435167161</v>
      </c>
      <c r="K131">
        <v>1.0135142501980614</v>
      </c>
      <c r="L131">
        <v>0.98478146628550367</v>
      </c>
      <c r="M131">
        <v>0.98478146628550367</v>
      </c>
      <c r="N131">
        <v>0.98423585624760179</v>
      </c>
      <c r="O131">
        <v>0.97276945770258738</v>
      </c>
      <c r="P131">
        <v>1</v>
      </c>
      <c r="Q131">
        <v>1</v>
      </c>
      <c r="R131">
        <v>1.0466744976033571</v>
      </c>
      <c r="S131">
        <v>0.92661017002569002</v>
      </c>
      <c r="T131">
        <v>0.51397874632336948</v>
      </c>
      <c r="U131">
        <v>1.0043147819509537</v>
      </c>
      <c r="V131">
        <v>1.0596148286007514</v>
      </c>
      <c r="W131">
        <v>1.136020362000782</v>
      </c>
      <c r="X131">
        <v>1.136020362000782</v>
      </c>
      <c r="Y131">
        <v>1.0839233007488287</v>
      </c>
      <c r="Z131">
        <v>0.8542946518837351</v>
      </c>
      <c r="AA131">
        <v>1.018777314102536</v>
      </c>
    </row>
    <row r="132" spans="2:27">
      <c r="B132">
        <v>1.004540827693605</v>
      </c>
      <c r="C132">
        <v>0.95813001896168815</v>
      </c>
      <c r="D132">
        <v>0.92820985257901778</v>
      </c>
      <c r="E132">
        <v>1.003158632983117</v>
      </c>
      <c r="F132">
        <v>1.0645357006881602</v>
      </c>
      <c r="G132">
        <v>1.0645357006881602</v>
      </c>
      <c r="H132">
        <v>0.99086118809825685</v>
      </c>
      <c r="I132">
        <v>0.97466975506680797</v>
      </c>
      <c r="J132">
        <v>0.98085874605779522</v>
      </c>
      <c r="K132">
        <v>0.83108780772082824</v>
      </c>
      <c r="L132">
        <v>0.98478146628550367</v>
      </c>
      <c r="M132">
        <v>0.98478146628550367</v>
      </c>
      <c r="N132">
        <v>0.98423585624760179</v>
      </c>
      <c r="O132">
        <v>0.97276945770258738</v>
      </c>
      <c r="P132">
        <v>1</v>
      </c>
      <c r="Q132">
        <v>1</v>
      </c>
      <c r="R132">
        <v>0.93677079685205922</v>
      </c>
      <c r="S132">
        <v>1.0362096804432235</v>
      </c>
      <c r="T132">
        <v>0.98302350466050037</v>
      </c>
      <c r="U132">
        <v>0.97901775088452192</v>
      </c>
      <c r="V132">
        <v>0.86374745977329237</v>
      </c>
      <c r="W132">
        <v>0.7990143270469886</v>
      </c>
      <c r="X132">
        <v>0.7990143270469886</v>
      </c>
      <c r="Y132">
        <v>0.67055360768678163</v>
      </c>
      <c r="Z132">
        <v>0.77686340474525639</v>
      </c>
      <c r="AA132">
        <v>0.82758029071331007</v>
      </c>
    </row>
    <row r="133" spans="2:27">
      <c r="B133">
        <v>0.99896797772990387</v>
      </c>
      <c r="C133">
        <v>1.0528947244594475</v>
      </c>
      <c r="D133">
        <v>1.0521684850922106</v>
      </c>
      <c r="E133">
        <v>0.99832354660139333</v>
      </c>
      <c r="F133">
        <v>1.0272159547335507</v>
      </c>
      <c r="G133">
        <v>1.0272159547335507</v>
      </c>
      <c r="H133">
        <v>1.0306205791112582</v>
      </c>
      <c r="I133">
        <v>0.99431024476900198</v>
      </c>
      <c r="J133">
        <v>1.0252282027005386</v>
      </c>
      <c r="K133">
        <v>0</v>
      </c>
      <c r="L133">
        <v>0.98478146628550367</v>
      </c>
      <c r="M133">
        <v>0.98478146628550367</v>
      </c>
      <c r="N133">
        <v>0.98423585624760179</v>
      </c>
      <c r="O133">
        <v>1.002548114571034</v>
      </c>
      <c r="P133">
        <v>1</v>
      </c>
      <c r="Q133">
        <v>1</v>
      </c>
      <c r="R133">
        <v>0.85577228212151291</v>
      </c>
      <c r="S133">
        <v>1.0119815759325275</v>
      </c>
      <c r="T133">
        <v>0.9736721159921039</v>
      </c>
      <c r="U133">
        <v>1.1288012821179112</v>
      </c>
      <c r="V133">
        <v>0.72985447830406858</v>
      </c>
      <c r="W133">
        <v>0.96382788798233721</v>
      </c>
      <c r="X133">
        <v>0.96382788798233721</v>
      </c>
      <c r="Y133">
        <v>1.0470273941574741</v>
      </c>
      <c r="Z133">
        <v>1.1977565630836562</v>
      </c>
      <c r="AA133">
        <v>1.2835888616910185</v>
      </c>
    </row>
    <row r="134" spans="2:27">
      <c r="B134">
        <v>0.96857585455895945</v>
      </c>
      <c r="C134">
        <v>1.0041094662447241</v>
      </c>
      <c r="D134">
        <v>0.95910762059470178</v>
      </c>
      <c r="E134">
        <v>1.0318509425166</v>
      </c>
      <c r="F134">
        <v>1.0495545082699456</v>
      </c>
      <c r="G134">
        <v>1.0495545082699456</v>
      </c>
      <c r="H134">
        <v>1.0202098179090409</v>
      </c>
      <c r="I134">
        <v>1.02728151631661</v>
      </c>
      <c r="J134">
        <v>1.0099724626343567</v>
      </c>
      <c r="K134">
        <v>0.99193301084084395</v>
      </c>
      <c r="L134">
        <v>0.98478146628550367</v>
      </c>
      <c r="M134">
        <v>0.98478146628550367</v>
      </c>
      <c r="N134">
        <v>0.98423585624760179</v>
      </c>
      <c r="O134">
        <v>1.002548114571034</v>
      </c>
      <c r="P134">
        <v>1</v>
      </c>
      <c r="Q134">
        <v>1</v>
      </c>
      <c r="R134">
        <v>0.73695292702560466</v>
      </c>
      <c r="S134">
        <v>1.167619959521256</v>
      </c>
      <c r="T134">
        <v>0.99971362649383799</v>
      </c>
      <c r="U134">
        <v>1.0890127287487916</v>
      </c>
      <c r="V134">
        <v>1.1350369243610718</v>
      </c>
      <c r="W134">
        <v>1.0567221762032373</v>
      </c>
      <c r="X134">
        <v>1.0567221762032373</v>
      </c>
      <c r="Y134">
        <v>0.99872055598628129</v>
      </c>
      <c r="Z134">
        <v>1.0961299070953541</v>
      </c>
      <c r="AA134">
        <v>0.82464420290344298</v>
      </c>
    </row>
    <row r="135" spans="2:27">
      <c r="B135">
        <v>1.0179023512938483</v>
      </c>
      <c r="C135">
        <v>1.0860908845438841</v>
      </c>
      <c r="D135">
        <v>1.0036901669031599</v>
      </c>
      <c r="E135">
        <v>1.0090347865842693</v>
      </c>
      <c r="F135">
        <v>0.81962019673985675</v>
      </c>
      <c r="G135">
        <v>0.81962019673985675</v>
      </c>
      <c r="H135">
        <v>0.90960378674136577</v>
      </c>
      <c r="I135">
        <v>0.98197369093050801</v>
      </c>
      <c r="J135">
        <v>0.90585529902272188</v>
      </c>
      <c r="K135">
        <v>0.97794463931308795</v>
      </c>
      <c r="L135">
        <v>1.0066394949622619</v>
      </c>
      <c r="M135">
        <v>1.0066394949622619</v>
      </c>
      <c r="N135">
        <v>0.98423585624760179</v>
      </c>
      <c r="O135">
        <v>1.002548114571034</v>
      </c>
      <c r="P135">
        <v>1</v>
      </c>
      <c r="Q135">
        <v>1</v>
      </c>
      <c r="R135">
        <v>1.1478920794679126</v>
      </c>
      <c r="S135">
        <v>1.0175099443360653</v>
      </c>
      <c r="T135">
        <v>1.1822608184080532</v>
      </c>
      <c r="U135">
        <v>0.70229968723595593</v>
      </c>
      <c r="V135">
        <v>0.95239697834800485</v>
      </c>
      <c r="W135">
        <v>0.75074525796450498</v>
      </c>
      <c r="X135">
        <v>0.75074525796450498</v>
      </c>
      <c r="Y135">
        <v>1.1343557490401213</v>
      </c>
      <c r="Z135">
        <v>0.82391268605216794</v>
      </c>
      <c r="AA135">
        <v>0.85548378766291866</v>
      </c>
    </row>
    <row r="136" spans="2:27">
      <c r="B136">
        <v>1.0784947536587783</v>
      </c>
      <c r="C136">
        <v>0.98023164956460762</v>
      </c>
      <c r="D136">
        <v>0.9557698249833656</v>
      </c>
      <c r="E136">
        <v>0.99440206817844456</v>
      </c>
      <c r="F136">
        <v>0</v>
      </c>
      <c r="G136">
        <v>0</v>
      </c>
      <c r="H136">
        <v>0</v>
      </c>
      <c r="I136">
        <v>1.0103118105302662</v>
      </c>
      <c r="J136">
        <v>0</v>
      </c>
      <c r="K136">
        <v>0.97943957848416896</v>
      </c>
      <c r="L136">
        <v>0.98478146628550367</v>
      </c>
      <c r="M136">
        <v>0.98478146628550367</v>
      </c>
      <c r="N136">
        <v>0.98423585624760179</v>
      </c>
      <c r="O136">
        <v>1.002548114571034</v>
      </c>
      <c r="P136">
        <v>1</v>
      </c>
      <c r="Q136">
        <v>1</v>
      </c>
      <c r="R136">
        <v>1.0572708361566976</v>
      </c>
      <c r="S136">
        <v>1.252827192605011</v>
      </c>
      <c r="T136">
        <v>1.0805779881380986</v>
      </c>
      <c r="U136">
        <v>1.149819521998424</v>
      </c>
      <c r="V136">
        <v>0.9709933392248572</v>
      </c>
      <c r="W136">
        <v>1.0818646972859376</v>
      </c>
      <c r="X136">
        <v>1.0818646972859376</v>
      </c>
      <c r="Y136">
        <v>1.033240406827471</v>
      </c>
      <c r="Z136">
        <v>0.87057855477693846</v>
      </c>
      <c r="AA136">
        <v>0.56148580261596304</v>
      </c>
    </row>
    <row r="137" spans="2:27">
      <c r="B137">
        <v>1.02254377350109</v>
      </c>
      <c r="C137">
        <v>0.99182132648662602</v>
      </c>
      <c r="D137">
        <v>0.99031428486097628</v>
      </c>
      <c r="E137">
        <v>1.178184000879932</v>
      </c>
      <c r="F137">
        <v>1.0404361377471443</v>
      </c>
      <c r="G137">
        <v>1.0404361377471443</v>
      </c>
      <c r="H137">
        <v>0.9635200615309657</v>
      </c>
      <c r="I137">
        <v>0.90615966384562019</v>
      </c>
      <c r="J137">
        <v>0.98187254590514761</v>
      </c>
      <c r="K137">
        <v>0.95030369402609838</v>
      </c>
      <c r="L137">
        <v>0.98478146628550367</v>
      </c>
      <c r="M137">
        <v>0.98478146628550367</v>
      </c>
      <c r="N137">
        <v>0.98667543467331864</v>
      </c>
      <c r="O137">
        <v>1.002548114571034</v>
      </c>
      <c r="P137">
        <v>0</v>
      </c>
      <c r="Q137">
        <v>0</v>
      </c>
      <c r="R137">
        <v>1.1751047891911797</v>
      </c>
      <c r="S137">
        <v>0.88256545592002422</v>
      </c>
      <c r="T137">
        <v>0.93622307745019784</v>
      </c>
      <c r="U137">
        <v>0.96480089316326412</v>
      </c>
      <c r="V137">
        <v>1.1092644409437495</v>
      </c>
      <c r="W137">
        <v>1.0108928877360643</v>
      </c>
      <c r="X137">
        <v>1.0108928877360643</v>
      </c>
      <c r="Y137">
        <v>0.92893401168649181</v>
      </c>
      <c r="Z137">
        <v>0.77922226030309805</v>
      </c>
      <c r="AA137">
        <v>0.78905234939307678</v>
      </c>
    </row>
    <row r="138" spans="2:27">
      <c r="B138">
        <v>1.0070940312376437</v>
      </c>
      <c r="C138">
        <v>0.95341593367743571</v>
      </c>
      <c r="D138">
        <v>1.0093803884766122</v>
      </c>
      <c r="E138">
        <v>0.98965658780995014</v>
      </c>
      <c r="F138">
        <v>1.0264311215469155</v>
      </c>
      <c r="G138">
        <v>1.0264311215469155</v>
      </c>
      <c r="H138">
        <v>1.0119835863294757</v>
      </c>
      <c r="I138">
        <v>0</v>
      </c>
      <c r="J138">
        <v>0.99170276874402796</v>
      </c>
      <c r="K138">
        <v>0.98436101065422565</v>
      </c>
      <c r="L138">
        <v>0.98478146628550367</v>
      </c>
      <c r="M138">
        <v>0.98478146628550367</v>
      </c>
      <c r="N138">
        <v>0.98423585624760179</v>
      </c>
      <c r="O138">
        <v>0.97276945770258738</v>
      </c>
      <c r="P138">
        <v>1</v>
      </c>
      <c r="Q138">
        <v>1</v>
      </c>
      <c r="R138">
        <v>1.0690447654488739</v>
      </c>
      <c r="S138">
        <v>0.82414463224470669</v>
      </c>
      <c r="T138">
        <v>0.72379364318294315</v>
      </c>
      <c r="U138">
        <v>0.98363945102460337</v>
      </c>
      <c r="V138">
        <v>1.1142889044387825</v>
      </c>
      <c r="W138">
        <v>1.1872130196712816</v>
      </c>
      <c r="X138">
        <v>1.1872130196712816</v>
      </c>
      <c r="Y138">
        <v>1.1103656757420994</v>
      </c>
      <c r="Z138">
        <v>0.86413812320512229</v>
      </c>
      <c r="AA138">
        <v>0.9205282842803969</v>
      </c>
    </row>
    <row r="139" spans="2:27">
      <c r="B139">
        <v>0.99908960580174966</v>
      </c>
      <c r="C139">
        <v>1.0022573595409798</v>
      </c>
      <c r="D139">
        <v>0.95771234121517557</v>
      </c>
      <c r="E139">
        <v>1.1171099935330631</v>
      </c>
      <c r="F139">
        <v>1.0415526627657643</v>
      </c>
      <c r="G139">
        <v>1.0415526627657643</v>
      </c>
      <c r="H139">
        <v>1.0263708939598184</v>
      </c>
      <c r="I139">
        <v>0.98220245230837289</v>
      </c>
      <c r="J139">
        <v>1.01767793710299</v>
      </c>
      <c r="K139">
        <v>0.87192565498043972</v>
      </c>
      <c r="L139">
        <v>0.98478146628550367</v>
      </c>
      <c r="M139">
        <v>0.98478146628550367</v>
      </c>
      <c r="N139">
        <v>0.98423585624760179</v>
      </c>
      <c r="O139">
        <v>0.97276945770258738</v>
      </c>
      <c r="P139">
        <v>1</v>
      </c>
      <c r="Q139">
        <v>1</v>
      </c>
      <c r="R139">
        <v>1.1337512330003241</v>
      </c>
      <c r="S139">
        <v>1.0822405376103248</v>
      </c>
      <c r="T139">
        <v>1.1905333089805852</v>
      </c>
      <c r="U139">
        <v>1.1021302599113221</v>
      </c>
      <c r="V139">
        <v>1.0496381169103217</v>
      </c>
      <c r="W139">
        <v>1.0252214912004387</v>
      </c>
      <c r="X139">
        <v>1.0252214912004387</v>
      </c>
      <c r="Y139">
        <v>1.0544575666074987</v>
      </c>
      <c r="Z139">
        <v>1.1109873325794373</v>
      </c>
      <c r="AA139">
        <v>0.97907053245428599</v>
      </c>
    </row>
    <row r="140" spans="2:27">
      <c r="B140">
        <v>0.94291255605596036</v>
      </c>
      <c r="C140">
        <v>1.0092176802214738</v>
      </c>
      <c r="D140">
        <v>1.1802789038522019</v>
      </c>
      <c r="E140">
        <v>0.99062380879926659</v>
      </c>
      <c r="F140">
        <v>0.99653741466589252</v>
      </c>
      <c r="G140">
        <v>0.99653741466589252</v>
      </c>
      <c r="H140">
        <v>1.0008977324357875</v>
      </c>
      <c r="I140">
        <v>1.0436108500948433</v>
      </c>
      <c r="J140">
        <v>1.0042299624326791</v>
      </c>
      <c r="K140">
        <v>0</v>
      </c>
      <c r="L140">
        <v>1.0149278377024069</v>
      </c>
      <c r="M140">
        <v>1.0149278377024069</v>
      </c>
      <c r="N140">
        <v>1.0143655253164059</v>
      </c>
      <c r="O140">
        <v>0.97276945770258738</v>
      </c>
      <c r="P140">
        <v>1</v>
      </c>
      <c r="Q140">
        <v>1</v>
      </c>
      <c r="R140">
        <v>0.73996533621351812</v>
      </c>
      <c r="S140">
        <v>0.94566914766673016</v>
      </c>
      <c r="T140">
        <v>1.0742825209272795</v>
      </c>
      <c r="U140">
        <v>1.0930832517305853</v>
      </c>
      <c r="V140">
        <v>0.96649067102168118</v>
      </c>
      <c r="W140">
        <v>0.88892466890401067</v>
      </c>
      <c r="X140">
        <v>0.88892466890401067</v>
      </c>
      <c r="Y140">
        <v>0.98020559393850204</v>
      </c>
      <c r="Z140">
        <v>1.0653713290401716</v>
      </c>
      <c r="AA140">
        <v>0.99188342883320302</v>
      </c>
    </row>
    <row r="141" spans="2:27">
      <c r="B141">
        <v>0.96490640509809433</v>
      </c>
      <c r="C141">
        <v>0.96967197660720106</v>
      </c>
      <c r="D141">
        <v>0.97541857866640613</v>
      </c>
      <c r="E141">
        <v>0.9710103081564857</v>
      </c>
      <c r="F141">
        <v>1.0219811855305176</v>
      </c>
      <c r="G141">
        <v>1.0219811855305176</v>
      </c>
      <c r="H141">
        <v>1.0210049705433935</v>
      </c>
      <c r="I141">
        <v>0.99704212140893422</v>
      </c>
      <c r="J141">
        <v>1.0080888047067349</v>
      </c>
      <c r="K141">
        <v>1.0700403980157507</v>
      </c>
      <c r="L141">
        <v>1.0149278377024069</v>
      </c>
      <c r="M141">
        <v>1.0149278377024069</v>
      </c>
      <c r="N141">
        <v>0.98423585624760179</v>
      </c>
      <c r="O141">
        <v>1.002548114571034</v>
      </c>
      <c r="P141">
        <v>1</v>
      </c>
      <c r="Q141">
        <v>1</v>
      </c>
      <c r="R141">
        <v>0.69783793169334651</v>
      </c>
      <c r="S141">
        <v>0.94565172098799699</v>
      </c>
      <c r="T141">
        <v>1.1189895410276225</v>
      </c>
      <c r="U141">
        <v>0.84483380445591572</v>
      </c>
      <c r="V141">
        <v>1.1457021498463547</v>
      </c>
      <c r="W141">
        <v>0.93483510047436202</v>
      </c>
      <c r="X141">
        <v>0.93483510047436202</v>
      </c>
      <c r="Y141">
        <v>1.0501870878034751</v>
      </c>
      <c r="Z141">
        <v>1.1870726735324335</v>
      </c>
      <c r="AA141">
        <v>0.87654810335134115</v>
      </c>
    </row>
    <row r="142" spans="2:27">
      <c r="B142">
        <v>0.94907538321972484</v>
      </c>
      <c r="C142">
        <v>1.2202703018244014</v>
      </c>
      <c r="D142">
        <v>0.91553469138012988</v>
      </c>
      <c r="E142">
        <v>0.95904534424881938</v>
      </c>
      <c r="F142">
        <v>0.85283605692256892</v>
      </c>
      <c r="G142">
        <v>0.85283605692256892</v>
      </c>
      <c r="H142">
        <v>0.87063289942723898</v>
      </c>
      <c r="I142">
        <v>1.0313867947301945</v>
      </c>
      <c r="J142">
        <v>0.85557965647661927</v>
      </c>
      <c r="K142">
        <v>1.0661620571023158</v>
      </c>
      <c r="L142">
        <v>1.0149278377024069</v>
      </c>
      <c r="M142">
        <v>1.0149278377024069</v>
      </c>
      <c r="N142">
        <v>0.98423585624760179</v>
      </c>
      <c r="O142">
        <v>1.002548114571034</v>
      </c>
      <c r="P142">
        <v>1</v>
      </c>
      <c r="Q142">
        <v>1</v>
      </c>
      <c r="R142">
        <v>0.89700716997601848</v>
      </c>
      <c r="S142">
        <v>1.1162048383966432</v>
      </c>
      <c r="T142">
        <v>1.1528278870855191</v>
      </c>
      <c r="U142">
        <v>0.79567417341117375</v>
      </c>
      <c r="V142">
        <v>1.0116369357461548</v>
      </c>
      <c r="W142">
        <v>0.99191857730908339</v>
      </c>
      <c r="X142">
        <v>0.99191857730908339</v>
      </c>
      <c r="Y142">
        <v>0.96846143155649067</v>
      </c>
      <c r="Z142">
        <v>1.252696187836436</v>
      </c>
      <c r="AA142">
        <v>0.90918072052666676</v>
      </c>
    </row>
    <row r="143" spans="2:27">
      <c r="B143">
        <v>1.0349353434028767</v>
      </c>
      <c r="C143">
        <v>0.96798980305084237</v>
      </c>
      <c r="D143">
        <v>0.95584984517979577</v>
      </c>
      <c r="E143">
        <v>1.0033852974845567</v>
      </c>
      <c r="F143">
        <v>0</v>
      </c>
      <c r="G143">
        <v>0</v>
      </c>
      <c r="H143">
        <v>0</v>
      </c>
      <c r="I143">
        <v>1.0501853315975034</v>
      </c>
      <c r="J143">
        <v>0</v>
      </c>
      <c r="K143">
        <v>1.0420194896287187</v>
      </c>
      <c r="L143">
        <v>0.98478146628550367</v>
      </c>
      <c r="M143">
        <v>0.98478146628550367</v>
      </c>
      <c r="N143">
        <v>0.99843823498416429</v>
      </c>
      <c r="O143">
        <v>1.002548114571034</v>
      </c>
      <c r="P143">
        <v>1</v>
      </c>
      <c r="Q143">
        <v>1</v>
      </c>
      <c r="R143">
        <v>1.1572378553641276</v>
      </c>
      <c r="S143">
        <v>1.0594448548980242</v>
      </c>
      <c r="T143">
        <v>1.0597400720551109</v>
      </c>
      <c r="U143">
        <v>1.1606236502221789</v>
      </c>
      <c r="V143">
        <v>1.0801389588414931</v>
      </c>
      <c r="W143">
        <v>1.0649416819606876</v>
      </c>
      <c r="X143">
        <v>1.0649416819606876</v>
      </c>
      <c r="Y143">
        <v>0.98065976475053662</v>
      </c>
      <c r="Z143">
        <v>1.130632496942628</v>
      </c>
      <c r="AA143">
        <v>0.8234940507176356</v>
      </c>
    </row>
    <row r="144" spans="2:27">
      <c r="B144">
        <v>0.99343034676677433</v>
      </c>
      <c r="C144">
        <v>0.9282279251074611</v>
      </c>
      <c r="D144">
        <v>0.92710004306458371</v>
      </c>
      <c r="E144">
        <v>1.3135547773525926</v>
      </c>
      <c r="F144">
        <v>1.0277849360545435</v>
      </c>
      <c r="G144">
        <v>1.0277849360545435</v>
      </c>
      <c r="H144">
        <v>0.98339242403473448</v>
      </c>
      <c r="I144">
        <v>0.83590506150495325</v>
      </c>
      <c r="J144">
        <v>0.95900881780196501</v>
      </c>
      <c r="K144">
        <v>1.0320377940149175</v>
      </c>
      <c r="L144">
        <v>0.98478146628550367</v>
      </c>
      <c r="M144">
        <v>0.98478146628550367</v>
      </c>
      <c r="N144">
        <v>1.0143655253164059</v>
      </c>
      <c r="O144">
        <v>1.002548114571034</v>
      </c>
      <c r="P144">
        <v>0</v>
      </c>
      <c r="Q144">
        <v>0</v>
      </c>
      <c r="R144">
        <v>1.3350186973091025</v>
      </c>
      <c r="S144">
        <v>1.039987375855024</v>
      </c>
      <c r="T144">
        <v>0.94985537791616836</v>
      </c>
      <c r="U144">
        <v>1.0271951928927814</v>
      </c>
      <c r="V144">
        <v>1.1332584771587046</v>
      </c>
      <c r="W144">
        <v>1.1269344117065481</v>
      </c>
      <c r="X144">
        <v>1.1269344117065481</v>
      </c>
      <c r="Y144">
        <v>0.88533206806219711</v>
      </c>
      <c r="Z144">
        <v>0.84254349161571973</v>
      </c>
      <c r="AA144">
        <v>0.78899141846699217</v>
      </c>
    </row>
    <row r="145" spans="2:27">
      <c r="B145">
        <v>1.0106663329203449</v>
      </c>
      <c r="C145">
        <v>0.95138808903445382</v>
      </c>
      <c r="D145">
        <v>1.0094783105993343</v>
      </c>
      <c r="E145">
        <v>0.95970198943331808</v>
      </c>
      <c r="F145">
        <v>1.0125786661932841</v>
      </c>
      <c r="G145">
        <v>1.0125786661932841</v>
      </c>
      <c r="H145">
        <v>1.0038115002004953</v>
      </c>
      <c r="I145">
        <v>0</v>
      </c>
      <c r="J145">
        <v>1.0115379060013943</v>
      </c>
      <c r="K145">
        <v>1.0595524746355232</v>
      </c>
      <c r="L145">
        <v>0.98478146628550367</v>
      </c>
      <c r="M145">
        <v>0.98478146628550367</v>
      </c>
      <c r="N145">
        <v>1.0143655253164059</v>
      </c>
      <c r="O145">
        <v>1.002548114571034</v>
      </c>
      <c r="P145">
        <v>1</v>
      </c>
      <c r="Q145">
        <v>1</v>
      </c>
      <c r="R145">
        <v>1.1446057413375468</v>
      </c>
      <c r="S145">
        <v>0.83630780185854836</v>
      </c>
      <c r="T145">
        <v>1.2175880909129684</v>
      </c>
      <c r="U145">
        <v>1.0942065713378624</v>
      </c>
      <c r="V145">
        <v>1.0150498681989677</v>
      </c>
      <c r="W145">
        <v>0.99931747105779101</v>
      </c>
      <c r="X145">
        <v>0.99931747105779101</v>
      </c>
      <c r="Y145">
        <v>1.075097170782114</v>
      </c>
      <c r="Z145">
        <v>0.80832135109090497</v>
      </c>
      <c r="AA145">
        <v>1.0884463990469679</v>
      </c>
    </row>
    <row r="146" spans="2:27">
      <c r="B146">
        <v>0.98381963613747614</v>
      </c>
      <c r="C146">
        <v>0.93281064108200473</v>
      </c>
      <c r="D146">
        <v>0.99273109759085354</v>
      </c>
      <c r="E146">
        <v>0.92240028010221808</v>
      </c>
      <c r="F146">
        <v>1.0041087610117669</v>
      </c>
      <c r="G146">
        <v>1.0041087610117669</v>
      </c>
      <c r="H146">
        <v>0.9634851023847496</v>
      </c>
      <c r="I146">
        <v>0.96816742794574095</v>
      </c>
      <c r="J146">
        <v>1.0328589871683349</v>
      </c>
      <c r="K146">
        <v>0.8003998859957413</v>
      </c>
      <c r="L146">
        <v>1.0149278377024069</v>
      </c>
      <c r="M146">
        <v>1.0149278377024069</v>
      </c>
      <c r="N146">
        <v>1.0143655253164059</v>
      </c>
      <c r="O146">
        <v>0.97276945770258738</v>
      </c>
      <c r="P146">
        <v>1</v>
      </c>
      <c r="Q146">
        <v>1</v>
      </c>
      <c r="R146">
        <v>1.0120889425519708</v>
      </c>
      <c r="S146">
        <v>0.96055356689970228</v>
      </c>
      <c r="T146">
        <v>1.1713991870877283</v>
      </c>
      <c r="U146">
        <v>1.1480179124928334</v>
      </c>
      <c r="V146">
        <v>0.83397224056456754</v>
      </c>
      <c r="W146">
        <v>1.0913633680136954</v>
      </c>
      <c r="X146">
        <v>1.0913633680136954</v>
      </c>
      <c r="Y146">
        <v>0.86415633473633591</v>
      </c>
      <c r="Z146">
        <v>0.97039103021569484</v>
      </c>
      <c r="AA146">
        <v>1.2653972343144266</v>
      </c>
    </row>
    <row r="147" spans="2:27">
      <c r="B147">
        <v>0.960366115205185</v>
      </c>
      <c r="C147">
        <v>1.0207958782827697</v>
      </c>
      <c r="D147">
        <v>1.0707239147085894</v>
      </c>
      <c r="E147">
        <v>0.87225211454776597</v>
      </c>
      <c r="F147">
        <v>0.93030643878591435</v>
      </c>
      <c r="G147">
        <v>0.93030643878591435</v>
      </c>
      <c r="H147">
        <v>1.0188518733169667</v>
      </c>
      <c r="I147">
        <v>1.0102365366186683</v>
      </c>
      <c r="J147">
        <v>1.0168151327240966</v>
      </c>
      <c r="K147">
        <v>0</v>
      </c>
      <c r="L147">
        <v>1.0149278377024069</v>
      </c>
      <c r="M147">
        <v>1.0149278377024069</v>
      </c>
      <c r="N147">
        <v>1.0143655253164059</v>
      </c>
      <c r="O147">
        <v>1.002548114571034</v>
      </c>
      <c r="P147">
        <v>1</v>
      </c>
      <c r="Q147" t="s">
        <v>801</v>
      </c>
      <c r="R147">
        <v>0.71940844954095906</v>
      </c>
      <c r="S147">
        <v>1.0551161697884155</v>
      </c>
      <c r="T147">
        <v>1.0997512467289108</v>
      </c>
      <c r="U147">
        <v>1.0044437885427759</v>
      </c>
      <c r="V147">
        <v>0.80251047140478804</v>
      </c>
      <c r="W147">
        <v>1.121824032124916</v>
      </c>
      <c r="X147">
        <v>1.121824032124916</v>
      </c>
      <c r="Y147">
        <v>1.1280592943138255</v>
      </c>
      <c r="Z147">
        <v>0.86704327018703797</v>
      </c>
      <c r="AA147">
        <v>1.337357862486044</v>
      </c>
    </row>
    <row r="148" spans="2:27">
      <c r="B148">
        <v>0.94692517509276852</v>
      </c>
      <c r="C148">
        <v>0.96870626160881323</v>
      </c>
      <c r="D148">
        <v>0.99244176777877957</v>
      </c>
      <c r="E148">
        <v>0.81330749939353986</v>
      </c>
      <c r="F148">
        <v>0.93907803961366365</v>
      </c>
      <c r="G148">
        <v>0.93907803961366365</v>
      </c>
      <c r="H148">
        <v>1.0333197907958476</v>
      </c>
      <c r="I148">
        <v>1.0268817824287075</v>
      </c>
      <c r="J148">
        <v>1.0397637970682412</v>
      </c>
      <c r="K148">
        <v>1.0046165358621395</v>
      </c>
      <c r="L148">
        <v>1.0149278377024069</v>
      </c>
      <c r="M148">
        <v>1.0149278377024069</v>
      </c>
      <c r="N148">
        <v>0.98423585624760179</v>
      </c>
      <c r="O148">
        <v>1.002548114571034</v>
      </c>
      <c r="P148" t="s">
        <v>801</v>
      </c>
      <c r="Q148" t="s">
        <v>801</v>
      </c>
      <c r="R148">
        <v>0.61935142959598521</v>
      </c>
      <c r="S148">
        <v>0.89601273478749321</v>
      </c>
      <c r="T148">
        <v>1.1515248394194864</v>
      </c>
      <c r="U148">
        <v>1.2572477863043943</v>
      </c>
      <c r="V148">
        <v>0.95791933735485979</v>
      </c>
      <c r="W148">
        <v>1.1966814932580245</v>
      </c>
      <c r="X148">
        <v>1.1966814932580245</v>
      </c>
      <c r="Y148">
        <v>1.1353642153888845</v>
      </c>
      <c r="Z148">
        <v>1.2486286026189362</v>
      </c>
      <c r="AA148">
        <v>1.3770614908174594</v>
      </c>
    </row>
    <row r="149" spans="2:27">
      <c r="B149">
        <v>0.9604246299297875</v>
      </c>
      <c r="C149">
        <v>1.0531023609541861</v>
      </c>
      <c r="D149">
        <v>0.99095164217742426</v>
      </c>
      <c r="E149">
        <v>1.0058206550790865</v>
      </c>
      <c r="F149">
        <v>0.81592118432495531</v>
      </c>
      <c r="G149">
        <v>0.81592118432495531</v>
      </c>
      <c r="H149">
        <v>0.82717192615858559</v>
      </c>
      <c r="I149">
        <v>1.0019902434036956</v>
      </c>
      <c r="J149">
        <v>0.86290614244438602</v>
      </c>
      <c r="K149">
        <v>1.0437783546819677</v>
      </c>
      <c r="L149">
        <v>1.0149278377024069</v>
      </c>
      <c r="M149">
        <v>1.0149278377024069</v>
      </c>
      <c r="N149">
        <v>0.98423585624760179</v>
      </c>
      <c r="O149">
        <v>1.002548114571034</v>
      </c>
      <c r="P149" t="s">
        <v>801</v>
      </c>
      <c r="Q149" t="s">
        <v>801</v>
      </c>
      <c r="R149">
        <v>1.0885304689746511</v>
      </c>
      <c r="S149">
        <v>0.95095360181006094</v>
      </c>
      <c r="T149">
        <v>0.91674822628722763</v>
      </c>
      <c r="U149">
        <v>0.81296228063136178</v>
      </c>
      <c r="V149">
        <v>1.0129993414731315</v>
      </c>
      <c r="W149">
        <v>0.76867442412069908</v>
      </c>
      <c r="X149">
        <v>0.76867442412069908</v>
      </c>
      <c r="Y149">
        <v>1.0394936273530575</v>
      </c>
      <c r="Z149">
        <v>0.91993195781824011</v>
      </c>
      <c r="AA149">
        <v>0.94145559802917345</v>
      </c>
    </row>
    <row r="150" spans="2:27">
      <c r="B150">
        <v>1.0456709412494962</v>
      </c>
      <c r="C150">
        <v>0.96430534719287164</v>
      </c>
      <c r="D150">
        <v>0.88377388069354001</v>
      </c>
      <c r="E150">
        <v>0.98207941119849451</v>
      </c>
      <c r="F150">
        <v>0</v>
      </c>
      <c r="G150">
        <v>0</v>
      </c>
      <c r="H150">
        <v>0</v>
      </c>
      <c r="I150">
        <v>1.0401131547684082</v>
      </c>
      <c r="J150">
        <v>0</v>
      </c>
      <c r="K150">
        <v>1.0363384167390519</v>
      </c>
      <c r="L150">
        <v>0.98478146628550367</v>
      </c>
      <c r="M150">
        <v>0.98478146628550367</v>
      </c>
      <c r="N150">
        <v>0.98676546357878658</v>
      </c>
      <c r="O150">
        <v>1.002548114571034</v>
      </c>
      <c r="P150" t="s">
        <v>801</v>
      </c>
      <c r="Q150" t="s">
        <v>801</v>
      </c>
      <c r="R150">
        <v>1.0907997747805629</v>
      </c>
      <c r="S150">
        <v>0.88829011513023459</v>
      </c>
      <c r="T150">
        <v>0.89846806798054291</v>
      </c>
      <c r="U150">
        <v>0.85175752017788786</v>
      </c>
      <c r="V150">
        <v>1.050993064493944</v>
      </c>
      <c r="W150">
        <v>1.1451045413370455</v>
      </c>
      <c r="X150">
        <v>1.1451045413370455</v>
      </c>
      <c r="Y150">
        <v>1.0341266484918183</v>
      </c>
      <c r="Z150">
        <v>0.8029762999382134</v>
      </c>
      <c r="AA150">
        <v>0.8586433693642056</v>
      </c>
    </row>
    <row r="151" spans="2:27">
      <c r="B151">
        <v>0.99022119524896057</v>
      </c>
      <c r="C151">
        <v>0.95412382297454879</v>
      </c>
      <c r="D151">
        <v>0.87131843868527126</v>
      </c>
      <c r="E151">
        <v>1.1031211224334203</v>
      </c>
      <c r="F151">
        <v>0.96318608628128655</v>
      </c>
      <c r="G151">
        <v>0.96318608628128655</v>
      </c>
      <c r="H151">
        <v>1.0008459084821297</v>
      </c>
      <c r="I151">
        <v>0.88242518416261162</v>
      </c>
      <c r="J151">
        <v>0.97710205939339279</v>
      </c>
      <c r="K151">
        <v>1.0382247828571731</v>
      </c>
      <c r="L151">
        <v>0.98478146628550367</v>
      </c>
      <c r="M151">
        <v>0.98478146628550367</v>
      </c>
      <c r="N151">
        <v>1.0000923687861791</v>
      </c>
      <c r="O151">
        <v>1.002548114571034</v>
      </c>
      <c r="P151" t="s">
        <v>801</v>
      </c>
      <c r="Q151" t="s">
        <v>801</v>
      </c>
      <c r="R151">
        <v>1.2800888019340135</v>
      </c>
      <c r="S151">
        <v>0.86430032992814176</v>
      </c>
      <c r="T151">
        <v>1.1464656567126161</v>
      </c>
      <c r="U151">
        <v>1.0261925348842882</v>
      </c>
      <c r="V151">
        <v>1.0016829774857738</v>
      </c>
      <c r="W151">
        <v>1.0512932008284261</v>
      </c>
      <c r="X151">
        <v>1.0512932008284261</v>
      </c>
      <c r="Y151">
        <v>1.0351010336997784</v>
      </c>
      <c r="Z151">
        <v>0.8010768204610641</v>
      </c>
      <c r="AA151">
        <v>0.87427456691016658</v>
      </c>
    </row>
    <row r="152" spans="2:27">
      <c r="B152">
        <v>1.0071525246096342</v>
      </c>
      <c r="C152">
        <v>0.94006563207031102</v>
      </c>
      <c r="D152">
        <v>1.048057090383647</v>
      </c>
      <c r="E152">
        <v>0.96185274590606229</v>
      </c>
      <c r="F152">
        <v>0.97996637036138523</v>
      </c>
      <c r="G152">
        <v>0.97996637036138523</v>
      </c>
      <c r="H152">
        <v>1.0042306560084133</v>
      </c>
      <c r="I152">
        <v>0</v>
      </c>
      <c r="J152">
        <v>1.0137908501250879</v>
      </c>
      <c r="K152">
        <v>1.0176132455234301</v>
      </c>
      <c r="L152">
        <v>0.99843880974135513</v>
      </c>
      <c r="M152">
        <v>0.99843880974135513</v>
      </c>
      <c r="N152">
        <v>1.0143655253164059</v>
      </c>
      <c r="O152">
        <v>0.97276945770258738</v>
      </c>
      <c r="P152" t="s">
        <v>801</v>
      </c>
      <c r="Q152" t="s">
        <v>801</v>
      </c>
      <c r="R152">
        <v>0.94964083988722392</v>
      </c>
      <c r="S152">
        <v>0.62235857184386245</v>
      </c>
      <c r="T152">
        <v>0.73225994422587093</v>
      </c>
      <c r="U152">
        <v>1.0646810840275884</v>
      </c>
      <c r="V152">
        <v>0.99153020680991522</v>
      </c>
      <c r="W152">
        <v>1.1368650189942253</v>
      </c>
      <c r="X152">
        <v>1.1368650189942253</v>
      </c>
      <c r="Y152">
        <v>1.0262620738868666</v>
      </c>
      <c r="Z152">
        <v>0.71902790558969032</v>
      </c>
      <c r="AA152">
        <v>0.86445582758173189</v>
      </c>
    </row>
    <row r="153" spans="2:27">
      <c r="B153">
        <v>0.98913375978419371</v>
      </c>
      <c r="C153">
        <v>0.94258142937469036</v>
      </c>
      <c r="D153">
        <v>0.9716075564715303</v>
      </c>
      <c r="E153">
        <v>1.0144066153212348</v>
      </c>
      <c r="F153">
        <v>0.93063697565957793</v>
      </c>
      <c r="G153">
        <v>0.93063697565957793</v>
      </c>
      <c r="H153">
        <v>1.0311107066528635</v>
      </c>
      <c r="I153">
        <v>0.99880466824107483</v>
      </c>
      <c r="J153">
        <v>1.0388044695115668</v>
      </c>
      <c r="K153">
        <v>0.85153293896833204</v>
      </c>
      <c r="L153">
        <v>1.0109259985683781</v>
      </c>
      <c r="M153">
        <v>1.0109259985683781</v>
      </c>
      <c r="N153">
        <v>1.0143655253164059</v>
      </c>
      <c r="O153">
        <v>0.97276945770258738</v>
      </c>
      <c r="P153" t="s">
        <v>801</v>
      </c>
      <c r="Q153" t="s">
        <v>801</v>
      </c>
      <c r="R153">
        <v>0.96342042936831707</v>
      </c>
      <c r="S153">
        <v>0.99904361759069316</v>
      </c>
      <c r="T153">
        <v>1.2256076625205496</v>
      </c>
      <c r="U153">
        <v>0.9175279696934322</v>
      </c>
      <c r="V153">
        <v>1.2410840425169449</v>
      </c>
      <c r="W153">
        <v>1.0494546740213149</v>
      </c>
      <c r="X153">
        <v>1.0494546740213149</v>
      </c>
      <c r="Y153">
        <v>0.80589407951515424</v>
      </c>
      <c r="Z153">
        <v>1.1738309317704179</v>
      </c>
      <c r="AA153">
        <v>0.88834178253308926</v>
      </c>
    </row>
    <row r="154" spans="2:27">
      <c r="B154">
        <v>1.0144472603307186</v>
      </c>
      <c r="C154">
        <v>0.9480198566438599</v>
      </c>
      <c r="D154">
        <v>1.3011170221371073</v>
      </c>
      <c r="E154">
        <v>0.75117292415242853</v>
      </c>
      <c r="F154">
        <v>0.99099511799957696</v>
      </c>
      <c r="G154">
        <v>0.99099511799957696</v>
      </c>
      <c r="H154">
        <v>0.99617272016412761</v>
      </c>
      <c r="I154">
        <v>0.99933764813240222</v>
      </c>
      <c r="J154">
        <v>0.99068588973648708</v>
      </c>
      <c r="K154">
        <v>0</v>
      </c>
      <c r="L154">
        <v>1.0149278377024069</v>
      </c>
      <c r="M154">
        <v>1.0149278377024069</v>
      </c>
      <c r="N154">
        <v>1.0143655253164059</v>
      </c>
      <c r="O154">
        <v>0.97276945770258738</v>
      </c>
      <c r="P154" t="s">
        <v>801</v>
      </c>
      <c r="Q154" t="s">
        <v>801</v>
      </c>
      <c r="R154">
        <v>0.71796788311893533</v>
      </c>
      <c r="T154">
        <v>0</v>
      </c>
      <c r="U154">
        <v>0.49777149438499485</v>
      </c>
      <c r="V154">
        <v>0.5925675373553384</v>
      </c>
      <c r="W154">
        <v>0.35439666286370575</v>
      </c>
      <c r="X154">
        <v>0.35439666286370575</v>
      </c>
      <c r="Y154">
        <v>0.49653346846807833</v>
      </c>
      <c r="Z154">
        <v>0</v>
      </c>
      <c r="AA154">
        <v>0.65087950757713686</v>
      </c>
    </row>
    <row r="155" spans="2:27">
      <c r="B155">
        <v>0.98913375978419371</v>
      </c>
      <c r="C155">
        <v>0.94345737136915619</v>
      </c>
      <c r="D155">
        <v>1.161981547173742</v>
      </c>
      <c r="E155">
        <v>0.74895165803932551</v>
      </c>
      <c r="F155">
        <v>0.96672147778674011</v>
      </c>
      <c r="G155">
        <v>0.96672147778674011</v>
      </c>
      <c r="H155">
        <v>1.0082886679454368</v>
      </c>
      <c r="I155">
        <v>0.97543763810707595</v>
      </c>
      <c r="J155">
        <v>1.0102538219177797</v>
      </c>
      <c r="K155">
        <v>0.96741786223431347</v>
      </c>
      <c r="L155">
        <v>1.0149278377024069</v>
      </c>
      <c r="M155">
        <v>1.0149278377024069</v>
      </c>
      <c r="N155">
        <v>0.98423585624760179</v>
      </c>
      <c r="O155">
        <v>1.002548114571034</v>
      </c>
      <c r="P155" t="s">
        <v>801</v>
      </c>
      <c r="Q155" t="s">
        <v>801</v>
      </c>
      <c r="R155">
        <v>0.66492877675282525</v>
      </c>
      <c r="T155">
        <v>0.71517729290034238</v>
      </c>
      <c r="U155">
        <v>0.7084294846218967</v>
      </c>
      <c r="V155">
        <v>0.75680320881288887</v>
      </c>
      <c r="W155">
        <v>0.77794597279044209</v>
      </c>
      <c r="X155">
        <v>0.77794597279044209</v>
      </c>
      <c r="Y155">
        <v>0.9852349029922266</v>
      </c>
      <c r="Z155">
        <v>0</v>
      </c>
      <c r="AA155">
        <v>1.275117254309664</v>
      </c>
    </row>
    <row r="156" spans="2:27">
      <c r="B156">
        <v>1.0142479307140078</v>
      </c>
      <c r="C156">
        <v>0</v>
      </c>
      <c r="D156">
        <v>0.91746674004644424</v>
      </c>
      <c r="E156">
        <v>0.7751901711974184</v>
      </c>
      <c r="F156">
        <v>0.8193013298929821</v>
      </c>
      <c r="G156">
        <v>0.8193013298929821</v>
      </c>
      <c r="H156">
        <v>0</v>
      </c>
      <c r="I156">
        <v>0</v>
      </c>
      <c r="J156">
        <v>0.89982088399374016</v>
      </c>
      <c r="K156">
        <v>0.99723091663964358</v>
      </c>
      <c r="N156">
        <v>0.98423585624760179</v>
      </c>
      <c r="R156">
        <v>1.108669316935212</v>
      </c>
      <c r="T156">
        <v>1.0573770282322332</v>
      </c>
      <c r="U156">
        <v>0</v>
      </c>
      <c r="V156">
        <v>1.0079868890202688</v>
      </c>
      <c r="W156">
        <v>0.70288038234882089</v>
      </c>
      <c r="X156">
        <v>0.70288038234882089</v>
      </c>
      <c r="Y156">
        <v>1.0518498180164066</v>
      </c>
      <c r="Z156">
        <v>0</v>
      </c>
      <c r="AA156">
        <v>1.0498784219108739</v>
      </c>
    </row>
    <row r="157" spans="2:27">
      <c r="B157" t="s">
        <v>811</v>
      </c>
      <c r="C157" t="s">
        <v>814</v>
      </c>
      <c r="D157" t="s">
        <v>809</v>
      </c>
      <c r="E157" t="s">
        <v>812</v>
      </c>
      <c r="F157" t="s">
        <v>810</v>
      </c>
      <c r="G157" t="s">
        <v>810</v>
      </c>
      <c r="H157" t="s">
        <v>810</v>
      </c>
      <c r="I157" t="s">
        <v>808</v>
      </c>
      <c r="J157" t="s">
        <v>810</v>
      </c>
      <c r="K157" t="s">
        <v>813</v>
      </c>
      <c r="L157" t="s">
        <v>809</v>
      </c>
      <c r="M157" t="s">
        <v>809</v>
      </c>
      <c r="N157" t="s">
        <v>811</v>
      </c>
      <c r="O157" t="s">
        <v>814</v>
      </c>
      <c r="P157" t="s">
        <v>809</v>
      </c>
      <c r="Q157" t="s">
        <v>809</v>
      </c>
      <c r="R157" t="s">
        <v>812</v>
      </c>
      <c r="S157" t="s">
        <v>808</v>
      </c>
      <c r="T157" t="s">
        <v>808</v>
      </c>
      <c r="U157" t="s">
        <v>811</v>
      </c>
      <c r="V157" t="s">
        <v>813</v>
      </c>
      <c r="W157" t="s">
        <v>813</v>
      </c>
      <c r="X157" t="s">
        <v>811</v>
      </c>
      <c r="Y157" t="s">
        <v>814</v>
      </c>
      <c r="Z157" t="s">
        <v>809</v>
      </c>
      <c r="AA157" t="s">
        <v>809</v>
      </c>
    </row>
    <row r="158" spans="2:27">
      <c r="B158" t="s">
        <v>812</v>
      </c>
      <c r="C158" t="s">
        <v>808</v>
      </c>
      <c r="D158" t="s">
        <v>810</v>
      </c>
      <c r="E158" t="s">
        <v>813</v>
      </c>
      <c r="F158" t="s">
        <v>811</v>
      </c>
      <c r="G158" t="s">
        <v>811</v>
      </c>
      <c r="H158" t="s">
        <v>811</v>
      </c>
      <c r="I158" t="s">
        <v>809</v>
      </c>
      <c r="J158" t="s">
        <v>811</v>
      </c>
      <c r="K158" t="s">
        <v>814</v>
      </c>
      <c r="L158" t="s">
        <v>810</v>
      </c>
      <c r="M158" t="s">
        <v>810</v>
      </c>
      <c r="N158" t="s">
        <v>812</v>
      </c>
      <c r="O158" t="s">
        <v>808</v>
      </c>
      <c r="P158" t="s">
        <v>810</v>
      </c>
      <c r="Q158" t="s">
        <v>810</v>
      </c>
      <c r="R158" t="s">
        <v>813</v>
      </c>
      <c r="S158" t="s">
        <v>809</v>
      </c>
      <c r="T158" t="s">
        <v>809</v>
      </c>
      <c r="U158" t="s">
        <v>812</v>
      </c>
      <c r="V158" t="s">
        <v>814</v>
      </c>
      <c r="W158" t="s">
        <v>814</v>
      </c>
      <c r="X158" t="s">
        <v>812</v>
      </c>
      <c r="Y158" t="s">
        <v>808</v>
      </c>
      <c r="Z158" t="s">
        <v>810</v>
      </c>
      <c r="AA158" t="s">
        <v>810</v>
      </c>
    </row>
    <row r="159" spans="2:27">
      <c r="B159" t="s">
        <v>813</v>
      </c>
      <c r="C159" t="s">
        <v>809</v>
      </c>
      <c r="D159" t="s">
        <v>811</v>
      </c>
      <c r="E159" t="s">
        <v>814</v>
      </c>
      <c r="F159" t="s">
        <v>812</v>
      </c>
      <c r="G159" t="s">
        <v>812</v>
      </c>
      <c r="H159" t="s">
        <v>812</v>
      </c>
      <c r="I159" t="s">
        <v>810</v>
      </c>
      <c r="J159" t="s">
        <v>812</v>
      </c>
      <c r="K159" t="s">
        <v>808</v>
      </c>
      <c r="L159" t="s">
        <v>811</v>
      </c>
      <c r="M159" t="s">
        <v>811</v>
      </c>
      <c r="N159" t="s">
        <v>813</v>
      </c>
      <c r="O159" t="s">
        <v>809</v>
      </c>
      <c r="P159" t="s">
        <v>811</v>
      </c>
      <c r="Q159" t="s">
        <v>811</v>
      </c>
      <c r="R159" t="s">
        <v>814</v>
      </c>
      <c r="S159" t="s">
        <v>810</v>
      </c>
      <c r="T159" t="s">
        <v>810</v>
      </c>
      <c r="U159" t="s">
        <v>813</v>
      </c>
      <c r="V159" t="s">
        <v>808</v>
      </c>
      <c r="W159" t="s">
        <v>808</v>
      </c>
      <c r="X159" t="s">
        <v>813</v>
      </c>
      <c r="Y159" t="s">
        <v>809</v>
      </c>
      <c r="Z159" t="s">
        <v>811</v>
      </c>
      <c r="AA159" t="s">
        <v>811</v>
      </c>
    </row>
    <row r="160" spans="2:27">
      <c r="B160" t="s">
        <v>814</v>
      </c>
      <c r="C160" t="s">
        <v>810</v>
      </c>
      <c r="D160" t="s">
        <v>812</v>
      </c>
      <c r="E160" t="s">
        <v>808</v>
      </c>
      <c r="F160" t="s">
        <v>813</v>
      </c>
      <c r="G160" t="s">
        <v>813</v>
      </c>
      <c r="H160" t="s">
        <v>813</v>
      </c>
      <c r="I160" t="s">
        <v>811</v>
      </c>
      <c r="J160" t="s">
        <v>813</v>
      </c>
      <c r="K160" t="s">
        <v>809</v>
      </c>
      <c r="L160" t="s">
        <v>812</v>
      </c>
      <c r="M160" t="s">
        <v>812</v>
      </c>
      <c r="N160" t="s">
        <v>814</v>
      </c>
      <c r="O160" t="s">
        <v>810</v>
      </c>
      <c r="P160" t="s">
        <v>812</v>
      </c>
      <c r="Q160" t="s">
        <v>812</v>
      </c>
      <c r="R160" t="s">
        <v>808</v>
      </c>
      <c r="S160" t="s">
        <v>811</v>
      </c>
      <c r="T160" t="s">
        <v>811</v>
      </c>
      <c r="U160" t="s">
        <v>814</v>
      </c>
      <c r="V160" t="s">
        <v>809</v>
      </c>
      <c r="W160" t="s">
        <v>809</v>
      </c>
      <c r="X160" t="s">
        <v>814</v>
      </c>
      <c r="Y160" t="s">
        <v>810</v>
      </c>
      <c r="Z160" t="s">
        <v>812</v>
      </c>
      <c r="AA160" t="s">
        <v>812</v>
      </c>
    </row>
    <row r="161" spans="2:27">
      <c r="B161" t="s">
        <v>808</v>
      </c>
      <c r="C161" t="s">
        <v>811</v>
      </c>
      <c r="D161" t="s">
        <v>813</v>
      </c>
      <c r="E161" t="s">
        <v>809</v>
      </c>
      <c r="F161" t="s">
        <v>814</v>
      </c>
      <c r="G161" t="s">
        <v>814</v>
      </c>
      <c r="H161" t="s">
        <v>814</v>
      </c>
      <c r="I161" t="s">
        <v>812</v>
      </c>
      <c r="J161" t="s">
        <v>814</v>
      </c>
      <c r="K161" t="s">
        <v>810</v>
      </c>
      <c r="L161" t="s">
        <v>813</v>
      </c>
      <c r="M161" t="s">
        <v>813</v>
      </c>
      <c r="N161" t="s">
        <v>808</v>
      </c>
      <c r="O161" t="s">
        <v>811</v>
      </c>
      <c r="P161" t="s">
        <v>813</v>
      </c>
      <c r="Q161" t="s">
        <v>813</v>
      </c>
      <c r="R161" t="s">
        <v>809</v>
      </c>
      <c r="S161" t="s">
        <v>812</v>
      </c>
      <c r="T161" t="s">
        <v>812</v>
      </c>
      <c r="U161" t="s">
        <v>808</v>
      </c>
      <c r="V161" t="s">
        <v>810</v>
      </c>
      <c r="W161" t="s">
        <v>810</v>
      </c>
      <c r="X161" t="s">
        <v>808</v>
      </c>
      <c r="Y161" t="s">
        <v>811</v>
      </c>
      <c r="Z161" t="s">
        <v>813</v>
      </c>
      <c r="AA161" t="s">
        <v>813</v>
      </c>
    </row>
    <row r="162" spans="2:27">
      <c r="B162" t="s">
        <v>809</v>
      </c>
      <c r="C162" t="s">
        <v>812</v>
      </c>
      <c r="D162" t="s">
        <v>814</v>
      </c>
      <c r="E162" t="s">
        <v>810</v>
      </c>
      <c r="F162" t="s">
        <v>808</v>
      </c>
      <c r="G162" t="s">
        <v>808</v>
      </c>
      <c r="H162" t="s">
        <v>808</v>
      </c>
      <c r="I162" t="s">
        <v>813</v>
      </c>
      <c r="J162" t="s">
        <v>808</v>
      </c>
      <c r="K162" t="s">
        <v>811</v>
      </c>
      <c r="L162" t="s">
        <v>814</v>
      </c>
      <c r="M162" t="s">
        <v>814</v>
      </c>
      <c r="N162" t="s">
        <v>809</v>
      </c>
      <c r="O162" t="s">
        <v>812</v>
      </c>
      <c r="P162" t="s">
        <v>814</v>
      </c>
      <c r="Q162" t="s">
        <v>814</v>
      </c>
      <c r="R162" t="s">
        <v>810</v>
      </c>
      <c r="S162" t="s">
        <v>813</v>
      </c>
      <c r="T162" t="s">
        <v>813</v>
      </c>
      <c r="U162" t="s">
        <v>809</v>
      </c>
      <c r="V162" t="s">
        <v>811</v>
      </c>
      <c r="W162" t="s">
        <v>811</v>
      </c>
      <c r="X162" t="s">
        <v>809</v>
      </c>
      <c r="Y162" t="s">
        <v>812</v>
      </c>
      <c r="Z162" t="s">
        <v>814</v>
      </c>
      <c r="AA162" t="s">
        <v>814</v>
      </c>
    </row>
    <row r="163" spans="2:27">
      <c r="B163" t="s">
        <v>810</v>
      </c>
      <c r="C163" t="s">
        <v>813</v>
      </c>
      <c r="D163" t="s">
        <v>808</v>
      </c>
      <c r="E163" t="s">
        <v>811</v>
      </c>
      <c r="F163" t="s">
        <v>809</v>
      </c>
      <c r="G163" t="s">
        <v>809</v>
      </c>
      <c r="H163" t="s">
        <v>809</v>
      </c>
      <c r="I163" t="s">
        <v>814</v>
      </c>
      <c r="J163" t="s">
        <v>809</v>
      </c>
      <c r="K163" t="s">
        <v>812</v>
      </c>
      <c r="L163" t="s">
        <v>808</v>
      </c>
      <c r="M163" t="s">
        <v>808</v>
      </c>
      <c r="N163" t="s">
        <v>810</v>
      </c>
      <c r="O163" t="s">
        <v>813</v>
      </c>
      <c r="P163" t="s">
        <v>808</v>
      </c>
      <c r="Q163" t="s">
        <v>808</v>
      </c>
      <c r="R163" t="s">
        <v>811</v>
      </c>
      <c r="S163" t="s">
        <v>814</v>
      </c>
      <c r="T163" t="s">
        <v>814</v>
      </c>
      <c r="U163" t="s">
        <v>810</v>
      </c>
      <c r="V163" t="s">
        <v>812</v>
      </c>
      <c r="W163" t="s">
        <v>812</v>
      </c>
      <c r="X163" t="s">
        <v>810</v>
      </c>
      <c r="Y163" t="s">
        <v>813</v>
      </c>
      <c r="Z163" t="s">
        <v>808</v>
      </c>
      <c r="AA163" t="s">
        <v>808</v>
      </c>
    </row>
    <row r="164" spans="2:27">
      <c r="B164" t="s">
        <v>811</v>
      </c>
      <c r="C164" t="s">
        <v>814</v>
      </c>
      <c r="D164" t="s">
        <v>809</v>
      </c>
      <c r="E164" t="s">
        <v>812</v>
      </c>
      <c r="F164" t="s">
        <v>810</v>
      </c>
      <c r="G164" t="s">
        <v>810</v>
      </c>
      <c r="H164" t="s">
        <v>810</v>
      </c>
      <c r="I164" t="s">
        <v>808</v>
      </c>
      <c r="J164" t="s">
        <v>810</v>
      </c>
      <c r="K164" t="s">
        <v>813</v>
      </c>
      <c r="L164" t="s">
        <v>809</v>
      </c>
      <c r="M164" t="s">
        <v>809</v>
      </c>
      <c r="N164" t="s">
        <v>811</v>
      </c>
      <c r="O164" t="s">
        <v>814</v>
      </c>
      <c r="P164" t="s">
        <v>809</v>
      </c>
      <c r="Q164" t="s">
        <v>809</v>
      </c>
      <c r="R164" t="s">
        <v>812</v>
      </c>
      <c r="S164" t="s">
        <v>808</v>
      </c>
      <c r="T164" t="s">
        <v>808</v>
      </c>
      <c r="U164" t="s">
        <v>811</v>
      </c>
      <c r="V164" t="s">
        <v>813</v>
      </c>
      <c r="W164" t="s">
        <v>813</v>
      </c>
      <c r="X164" t="s">
        <v>811</v>
      </c>
      <c r="Y164" t="s">
        <v>814</v>
      </c>
      <c r="Z164" t="s">
        <v>809</v>
      </c>
      <c r="AA164" t="s">
        <v>809</v>
      </c>
    </row>
    <row r="165" spans="2:27">
      <c r="B165" t="s">
        <v>812</v>
      </c>
      <c r="C165" t="s">
        <v>808</v>
      </c>
      <c r="D165" t="s">
        <v>810</v>
      </c>
      <c r="E165" t="s">
        <v>813</v>
      </c>
      <c r="F165" t="s">
        <v>811</v>
      </c>
      <c r="G165" t="s">
        <v>811</v>
      </c>
      <c r="H165" t="s">
        <v>811</v>
      </c>
      <c r="I165" t="s">
        <v>809</v>
      </c>
      <c r="J165" t="s">
        <v>811</v>
      </c>
      <c r="K165" t="s">
        <v>814</v>
      </c>
      <c r="L165" t="s">
        <v>810</v>
      </c>
      <c r="M165" t="s">
        <v>810</v>
      </c>
      <c r="N165" t="s">
        <v>812</v>
      </c>
      <c r="O165" t="s">
        <v>808</v>
      </c>
      <c r="P165" t="s">
        <v>810</v>
      </c>
      <c r="Q165" t="s">
        <v>810</v>
      </c>
      <c r="R165" t="s">
        <v>813</v>
      </c>
      <c r="S165" t="s">
        <v>809</v>
      </c>
      <c r="T165" t="s">
        <v>809</v>
      </c>
      <c r="U165" t="s">
        <v>812</v>
      </c>
      <c r="V165" t="s">
        <v>814</v>
      </c>
      <c r="W165" t="s">
        <v>814</v>
      </c>
      <c r="X165" t="s">
        <v>812</v>
      </c>
      <c r="Y165" t="s">
        <v>808</v>
      </c>
      <c r="Z165" t="s">
        <v>810</v>
      </c>
      <c r="AA165" t="s">
        <v>810</v>
      </c>
    </row>
    <row r="166" spans="2:27">
      <c r="B166" t="s">
        <v>813</v>
      </c>
      <c r="C166" t="s">
        <v>809</v>
      </c>
      <c r="D166" t="s">
        <v>811</v>
      </c>
      <c r="E166" t="s">
        <v>814</v>
      </c>
      <c r="F166" t="s">
        <v>812</v>
      </c>
      <c r="G166" t="s">
        <v>812</v>
      </c>
      <c r="H166" t="s">
        <v>812</v>
      </c>
      <c r="I166" t="s">
        <v>810</v>
      </c>
      <c r="J166" t="s">
        <v>812</v>
      </c>
      <c r="K166" t="s">
        <v>808</v>
      </c>
      <c r="L166" t="s">
        <v>811</v>
      </c>
      <c r="M166" t="s">
        <v>811</v>
      </c>
      <c r="N166" t="s">
        <v>813</v>
      </c>
      <c r="O166" t="s">
        <v>809</v>
      </c>
      <c r="P166" t="s">
        <v>811</v>
      </c>
      <c r="Q166" t="s">
        <v>811</v>
      </c>
      <c r="R166" t="s">
        <v>814</v>
      </c>
      <c r="S166" t="s">
        <v>810</v>
      </c>
      <c r="T166" t="s">
        <v>810</v>
      </c>
      <c r="U166" t="s">
        <v>813</v>
      </c>
      <c r="V166" t="s">
        <v>808</v>
      </c>
      <c r="W166" t="s">
        <v>808</v>
      </c>
      <c r="X166" t="s">
        <v>813</v>
      </c>
      <c r="Y166" t="s">
        <v>809</v>
      </c>
      <c r="Z166" t="s">
        <v>811</v>
      </c>
      <c r="AA166" t="s">
        <v>811</v>
      </c>
    </row>
    <row r="167" spans="2:27">
      <c r="B167" t="s">
        <v>814</v>
      </c>
      <c r="C167" t="s">
        <v>810</v>
      </c>
      <c r="D167" t="s">
        <v>812</v>
      </c>
      <c r="E167" t="s">
        <v>808</v>
      </c>
      <c r="F167" t="s">
        <v>813</v>
      </c>
      <c r="G167" t="s">
        <v>813</v>
      </c>
      <c r="H167" t="s">
        <v>813</v>
      </c>
      <c r="I167" t="s">
        <v>811</v>
      </c>
      <c r="J167" t="s">
        <v>813</v>
      </c>
      <c r="K167" t="s">
        <v>809</v>
      </c>
      <c r="L167" t="s">
        <v>812</v>
      </c>
      <c r="M167" t="s">
        <v>812</v>
      </c>
      <c r="N167" t="s">
        <v>814</v>
      </c>
      <c r="O167" t="s">
        <v>810</v>
      </c>
      <c r="P167" t="s">
        <v>812</v>
      </c>
      <c r="Q167" t="s">
        <v>812</v>
      </c>
      <c r="R167" t="s">
        <v>808</v>
      </c>
      <c r="S167" t="s">
        <v>811</v>
      </c>
      <c r="T167" t="s">
        <v>811</v>
      </c>
      <c r="U167" t="s">
        <v>814</v>
      </c>
      <c r="V167" t="s">
        <v>809</v>
      </c>
      <c r="W167" t="s">
        <v>809</v>
      </c>
      <c r="X167" t="s">
        <v>814</v>
      </c>
      <c r="Y167" t="s">
        <v>810</v>
      </c>
      <c r="Z167" t="s">
        <v>812</v>
      </c>
      <c r="AA167" t="s">
        <v>812</v>
      </c>
    </row>
    <row r="168" spans="2:27">
      <c r="B168" t="s">
        <v>808</v>
      </c>
      <c r="C168" t="s">
        <v>811</v>
      </c>
      <c r="D168" t="s">
        <v>813</v>
      </c>
      <c r="E168" t="s">
        <v>809</v>
      </c>
      <c r="F168" t="s">
        <v>814</v>
      </c>
      <c r="G168" t="s">
        <v>814</v>
      </c>
      <c r="H168" t="s">
        <v>814</v>
      </c>
      <c r="I168" t="s">
        <v>812</v>
      </c>
      <c r="J168" t="s">
        <v>814</v>
      </c>
      <c r="K168" t="s">
        <v>810</v>
      </c>
      <c r="L168" t="s">
        <v>813</v>
      </c>
      <c r="M168" t="s">
        <v>813</v>
      </c>
      <c r="N168" t="s">
        <v>808</v>
      </c>
      <c r="O168" t="s">
        <v>811</v>
      </c>
      <c r="P168" t="s">
        <v>813</v>
      </c>
      <c r="Q168" t="s">
        <v>813</v>
      </c>
      <c r="R168" t="s">
        <v>809</v>
      </c>
      <c r="S168" t="s">
        <v>812</v>
      </c>
      <c r="T168" t="s">
        <v>812</v>
      </c>
      <c r="U168" t="s">
        <v>808</v>
      </c>
      <c r="V168" t="s">
        <v>810</v>
      </c>
      <c r="W168" t="s">
        <v>810</v>
      </c>
      <c r="X168" t="s">
        <v>808</v>
      </c>
      <c r="Y168" t="s">
        <v>811</v>
      </c>
      <c r="Z168" t="s">
        <v>813</v>
      </c>
      <c r="AA168" t="s">
        <v>813</v>
      </c>
    </row>
    <row r="169" spans="2:27">
      <c r="B169" t="s">
        <v>809</v>
      </c>
      <c r="C169" t="s">
        <v>812</v>
      </c>
      <c r="D169" t="s">
        <v>814</v>
      </c>
      <c r="E169" t="s">
        <v>810</v>
      </c>
      <c r="F169" t="s">
        <v>808</v>
      </c>
      <c r="G169" t="s">
        <v>808</v>
      </c>
      <c r="H169" t="s">
        <v>808</v>
      </c>
      <c r="I169" t="s">
        <v>813</v>
      </c>
      <c r="J169" t="s">
        <v>808</v>
      </c>
      <c r="K169" t="s">
        <v>811</v>
      </c>
      <c r="L169" t="s">
        <v>814</v>
      </c>
      <c r="M169" t="s">
        <v>814</v>
      </c>
      <c r="N169" t="s">
        <v>809</v>
      </c>
      <c r="O169" t="s">
        <v>812</v>
      </c>
      <c r="P169" t="s">
        <v>814</v>
      </c>
      <c r="Q169" t="s">
        <v>814</v>
      </c>
      <c r="R169" t="s">
        <v>810</v>
      </c>
      <c r="S169" t="s">
        <v>813</v>
      </c>
      <c r="T169" t="s">
        <v>813</v>
      </c>
      <c r="U169" t="s">
        <v>809</v>
      </c>
      <c r="V169" t="s">
        <v>811</v>
      </c>
      <c r="W169" t="s">
        <v>811</v>
      </c>
      <c r="X169" t="s">
        <v>809</v>
      </c>
      <c r="Y169" t="s">
        <v>812</v>
      </c>
      <c r="Z169" t="s">
        <v>814</v>
      </c>
      <c r="AA169" t="s">
        <v>814</v>
      </c>
    </row>
    <row r="170" spans="2:27">
      <c r="B170" t="s">
        <v>810</v>
      </c>
      <c r="C170" t="s">
        <v>813</v>
      </c>
      <c r="D170" t="s">
        <v>808</v>
      </c>
      <c r="E170" t="s">
        <v>811</v>
      </c>
      <c r="F170" t="s">
        <v>809</v>
      </c>
      <c r="G170" t="s">
        <v>809</v>
      </c>
      <c r="H170" t="s">
        <v>809</v>
      </c>
      <c r="I170" t="s">
        <v>814</v>
      </c>
      <c r="J170" t="s">
        <v>809</v>
      </c>
      <c r="K170" t="s">
        <v>812</v>
      </c>
      <c r="L170" t="s">
        <v>808</v>
      </c>
      <c r="M170" t="s">
        <v>808</v>
      </c>
      <c r="N170" t="s">
        <v>810</v>
      </c>
      <c r="O170" t="s">
        <v>813</v>
      </c>
      <c r="P170" t="s">
        <v>808</v>
      </c>
      <c r="Q170" t="s">
        <v>808</v>
      </c>
      <c r="R170" t="s">
        <v>811</v>
      </c>
      <c r="S170" t="s">
        <v>814</v>
      </c>
      <c r="T170" t="s">
        <v>814</v>
      </c>
      <c r="U170" t="s">
        <v>810</v>
      </c>
      <c r="V170" t="s">
        <v>812</v>
      </c>
      <c r="W170" t="s">
        <v>812</v>
      </c>
      <c r="X170" t="s">
        <v>810</v>
      </c>
      <c r="Y170" t="s">
        <v>813</v>
      </c>
      <c r="Z170" t="s">
        <v>808</v>
      </c>
      <c r="AA170" t="s">
        <v>808</v>
      </c>
    </row>
    <row r="171" spans="2:27">
      <c r="B171" t="s">
        <v>811</v>
      </c>
      <c r="C171" t="s">
        <v>814</v>
      </c>
      <c r="D171" t="s">
        <v>809</v>
      </c>
      <c r="E171" t="s">
        <v>812</v>
      </c>
      <c r="F171" t="s">
        <v>810</v>
      </c>
      <c r="G171" t="s">
        <v>810</v>
      </c>
      <c r="H171" t="s">
        <v>810</v>
      </c>
      <c r="I171" t="s">
        <v>808</v>
      </c>
      <c r="J171" t="s">
        <v>810</v>
      </c>
      <c r="K171" t="s">
        <v>813</v>
      </c>
      <c r="L171" t="s">
        <v>809</v>
      </c>
      <c r="M171" t="s">
        <v>809</v>
      </c>
      <c r="N171" t="s">
        <v>811</v>
      </c>
      <c r="O171" t="s">
        <v>814</v>
      </c>
      <c r="P171" t="s">
        <v>809</v>
      </c>
      <c r="Q171" t="s">
        <v>809</v>
      </c>
      <c r="R171" t="s">
        <v>812</v>
      </c>
      <c r="S171" t="s">
        <v>808</v>
      </c>
      <c r="T171" t="s">
        <v>808</v>
      </c>
      <c r="U171" t="s">
        <v>811</v>
      </c>
      <c r="V171" t="s">
        <v>813</v>
      </c>
      <c r="W171" t="s">
        <v>813</v>
      </c>
      <c r="X171" t="s">
        <v>811</v>
      </c>
      <c r="Y171" t="s">
        <v>814</v>
      </c>
      <c r="Z171" t="s">
        <v>809</v>
      </c>
      <c r="AA171" t="s">
        <v>809</v>
      </c>
    </row>
    <row r="172" spans="2:27">
      <c r="B172" t="s">
        <v>812</v>
      </c>
      <c r="C172" t="s">
        <v>808</v>
      </c>
      <c r="D172" t="s">
        <v>810</v>
      </c>
      <c r="E172" t="s">
        <v>813</v>
      </c>
      <c r="F172" t="s">
        <v>811</v>
      </c>
      <c r="G172" t="s">
        <v>811</v>
      </c>
      <c r="H172" t="s">
        <v>811</v>
      </c>
      <c r="I172" t="s">
        <v>809</v>
      </c>
      <c r="J172" t="s">
        <v>811</v>
      </c>
      <c r="K172" t="s">
        <v>814</v>
      </c>
      <c r="L172" t="s">
        <v>810</v>
      </c>
      <c r="M172" t="s">
        <v>810</v>
      </c>
      <c r="N172" t="s">
        <v>812</v>
      </c>
      <c r="O172" t="s">
        <v>808</v>
      </c>
      <c r="P172" t="s">
        <v>810</v>
      </c>
      <c r="Q172" t="s">
        <v>810</v>
      </c>
      <c r="R172" t="s">
        <v>813</v>
      </c>
      <c r="S172" t="s">
        <v>809</v>
      </c>
      <c r="T172" t="s">
        <v>809</v>
      </c>
      <c r="U172" t="s">
        <v>812</v>
      </c>
      <c r="V172" t="s">
        <v>814</v>
      </c>
      <c r="W172" t="s">
        <v>814</v>
      </c>
      <c r="X172" t="s">
        <v>812</v>
      </c>
      <c r="Y172" t="s">
        <v>808</v>
      </c>
      <c r="Z172" t="s">
        <v>810</v>
      </c>
      <c r="AA172" t="s">
        <v>810</v>
      </c>
    </row>
    <row r="173" spans="2:27">
      <c r="B173" t="s">
        <v>813</v>
      </c>
      <c r="C173" t="s">
        <v>809</v>
      </c>
      <c r="D173" t="s">
        <v>811</v>
      </c>
      <c r="E173" t="s">
        <v>814</v>
      </c>
      <c r="F173" t="s">
        <v>812</v>
      </c>
      <c r="G173" t="s">
        <v>812</v>
      </c>
      <c r="H173" t="s">
        <v>812</v>
      </c>
      <c r="I173" t="s">
        <v>810</v>
      </c>
      <c r="J173" t="s">
        <v>812</v>
      </c>
      <c r="K173" t="s">
        <v>808</v>
      </c>
      <c r="L173" t="s">
        <v>811</v>
      </c>
      <c r="M173" t="s">
        <v>811</v>
      </c>
      <c r="N173" t="s">
        <v>813</v>
      </c>
      <c r="O173" t="s">
        <v>809</v>
      </c>
      <c r="P173" t="s">
        <v>811</v>
      </c>
      <c r="Q173" t="s">
        <v>811</v>
      </c>
      <c r="R173" t="s">
        <v>814</v>
      </c>
      <c r="S173" t="s">
        <v>810</v>
      </c>
      <c r="T173" t="s">
        <v>810</v>
      </c>
      <c r="U173" t="s">
        <v>813</v>
      </c>
      <c r="V173" t="s">
        <v>808</v>
      </c>
      <c r="W173" t="s">
        <v>808</v>
      </c>
      <c r="X173" t="s">
        <v>813</v>
      </c>
      <c r="Y173" t="s">
        <v>809</v>
      </c>
      <c r="Z173" t="s">
        <v>811</v>
      </c>
      <c r="AA173" t="s">
        <v>811</v>
      </c>
    </row>
    <row r="174" spans="2:27">
      <c r="B174" t="s">
        <v>814</v>
      </c>
      <c r="C174" t="s">
        <v>810</v>
      </c>
      <c r="D174" t="s">
        <v>812</v>
      </c>
      <c r="E174" t="s">
        <v>808</v>
      </c>
      <c r="F174" t="s">
        <v>813</v>
      </c>
      <c r="G174" t="s">
        <v>813</v>
      </c>
      <c r="H174" t="s">
        <v>813</v>
      </c>
      <c r="I174" t="s">
        <v>811</v>
      </c>
      <c r="J174" t="s">
        <v>813</v>
      </c>
      <c r="K174" t="s">
        <v>809</v>
      </c>
      <c r="L174" t="s">
        <v>812</v>
      </c>
      <c r="M174" t="s">
        <v>812</v>
      </c>
      <c r="N174" t="s">
        <v>814</v>
      </c>
      <c r="O174" t="s">
        <v>810</v>
      </c>
      <c r="P174" t="s">
        <v>812</v>
      </c>
      <c r="Q174" t="s">
        <v>812</v>
      </c>
      <c r="R174" t="s">
        <v>808</v>
      </c>
      <c r="S174" t="s">
        <v>811</v>
      </c>
      <c r="T174" t="s">
        <v>811</v>
      </c>
      <c r="U174" t="s">
        <v>814</v>
      </c>
      <c r="V174" t="s">
        <v>809</v>
      </c>
      <c r="W174" t="s">
        <v>809</v>
      </c>
      <c r="X174" t="s">
        <v>814</v>
      </c>
      <c r="Y174" t="s">
        <v>810</v>
      </c>
      <c r="Z174" t="s">
        <v>812</v>
      </c>
      <c r="AA174" t="s">
        <v>812</v>
      </c>
    </row>
    <row r="175" spans="2:27">
      <c r="B175" t="s">
        <v>808</v>
      </c>
      <c r="C175" t="s">
        <v>811</v>
      </c>
      <c r="D175" t="s">
        <v>813</v>
      </c>
      <c r="E175" t="s">
        <v>809</v>
      </c>
      <c r="F175" t="s">
        <v>814</v>
      </c>
      <c r="G175" t="s">
        <v>814</v>
      </c>
      <c r="H175" t="s">
        <v>814</v>
      </c>
      <c r="I175" t="s">
        <v>812</v>
      </c>
      <c r="J175" t="s">
        <v>814</v>
      </c>
      <c r="K175" t="s">
        <v>810</v>
      </c>
      <c r="L175" t="s">
        <v>813</v>
      </c>
      <c r="M175" t="s">
        <v>813</v>
      </c>
      <c r="N175" t="s">
        <v>808</v>
      </c>
      <c r="O175" t="s">
        <v>811</v>
      </c>
      <c r="P175" t="s">
        <v>813</v>
      </c>
      <c r="Q175" t="s">
        <v>813</v>
      </c>
      <c r="R175" t="s">
        <v>809</v>
      </c>
      <c r="S175" t="s">
        <v>812</v>
      </c>
      <c r="T175" t="s">
        <v>812</v>
      </c>
      <c r="U175" t="s">
        <v>808</v>
      </c>
      <c r="V175" t="s">
        <v>810</v>
      </c>
      <c r="W175" t="s">
        <v>810</v>
      </c>
      <c r="X175" t="s">
        <v>808</v>
      </c>
      <c r="Y175" t="s">
        <v>811</v>
      </c>
      <c r="Z175" t="s">
        <v>813</v>
      </c>
      <c r="AA175" t="s">
        <v>813</v>
      </c>
    </row>
    <row r="176" spans="2:27">
      <c r="B176" t="s">
        <v>809</v>
      </c>
      <c r="C176" t="s">
        <v>812</v>
      </c>
      <c r="D176" t="s">
        <v>814</v>
      </c>
      <c r="E176" t="s">
        <v>810</v>
      </c>
      <c r="F176" t="s">
        <v>808</v>
      </c>
      <c r="G176" t="s">
        <v>808</v>
      </c>
      <c r="H176" t="s">
        <v>808</v>
      </c>
      <c r="I176" t="s">
        <v>813</v>
      </c>
      <c r="J176" t="s">
        <v>808</v>
      </c>
      <c r="K176" t="s">
        <v>811</v>
      </c>
      <c r="L176" t="s">
        <v>814</v>
      </c>
      <c r="M176" t="s">
        <v>814</v>
      </c>
      <c r="N176" t="s">
        <v>809</v>
      </c>
      <c r="O176" t="s">
        <v>812</v>
      </c>
      <c r="P176" t="s">
        <v>814</v>
      </c>
      <c r="Q176" t="s">
        <v>814</v>
      </c>
      <c r="R176" t="s">
        <v>810</v>
      </c>
      <c r="S176" t="s">
        <v>813</v>
      </c>
      <c r="T176" t="s">
        <v>813</v>
      </c>
      <c r="U176" t="s">
        <v>809</v>
      </c>
      <c r="V176" t="s">
        <v>811</v>
      </c>
      <c r="W176" t="s">
        <v>811</v>
      </c>
      <c r="X176" t="s">
        <v>809</v>
      </c>
      <c r="Y176" t="s">
        <v>812</v>
      </c>
      <c r="Z176" t="s">
        <v>814</v>
      </c>
      <c r="AA176" t="s">
        <v>814</v>
      </c>
    </row>
    <row r="177" spans="2:27">
      <c r="B177" t="s">
        <v>810</v>
      </c>
      <c r="C177" t="s">
        <v>813</v>
      </c>
      <c r="D177" t="s">
        <v>808</v>
      </c>
      <c r="E177" t="s">
        <v>811</v>
      </c>
      <c r="F177" t="s">
        <v>809</v>
      </c>
      <c r="G177" t="s">
        <v>809</v>
      </c>
      <c r="H177" t="s">
        <v>809</v>
      </c>
      <c r="I177" t="s">
        <v>814</v>
      </c>
      <c r="J177" t="s">
        <v>809</v>
      </c>
      <c r="K177" t="s">
        <v>812</v>
      </c>
      <c r="L177" t="s">
        <v>808</v>
      </c>
      <c r="M177" t="s">
        <v>808</v>
      </c>
      <c r="N177" t="s">
        <v>810</v>
      </c>
      <c r="O177" t="s">
        <v>813</v>
      </c>
      <c r="P177" t="s">
        <v>808</v>
      </c>
      <c r="Q177" t="s">
        <v>808</v>
      </c>
      <c r="R177" t="s">
        <v>811</v>
      </c>
      <c r="S177" t="s">
        <v>814</v>
      </c>
      <c r="T177" t="s">
        <v>814</v>
      </c>
      <c r="U177" t="s">
        <v>810</v>
      </c>
      <c r="V177" t="s">
        <v>812</v>
      </c>
      <c r="W177" t="s">
        <v>812</v>
      </c>
      <c r="X177" t="s">
        <v>810</v>
      </c>
      <c r="Y177" t="s">
        <v>813</v>
      </c>
      <c r="Z177" t="s">
        <v>808</v>
      </c>
      <c r="AA177" t="s">
        <v>808</v>
      </c>
    </row>
    <row r="178" spans="2:27">
      <c r="B178" t="s">
        <v>811</v>
      </c>
      <c r="C178" t="s">
        <v>814</v>
      </c>
      <c r="D178" t="s">
        <v>809</v>
      </c>
      <c r="E178" t="s">
        <v>812</v>
      </c>
      <c r="F178" t="s">
        <v>810</v>
      </c>
      <c r="G178" t="s">
        <v>810</v>
      </c>
      <c r="H178" t="s">
        <v>810</v>
      </c>
      <c r="I178" t="s">
        <v>808</v>
      </c>
      <c r="J178" t="s">
        <v>810</v>
      </c>
      <c r="K178" t="s">
        <v>813</v>
      </c>
      <c r="L178" t="s">
        <v>809</v>
      </c>
      <c r="M178" t="s">
        <v>809</v>
      </c>
      <c r="N178" t="s">
        <v>811</v>
      </c>
      <c r="O178" t="s">
        <v>814</v>
      </c>
      <c r="P178" t="s">
        <v>809</v>
      </c>
      <c r="Q178" t="s">
        <v>801</v>
      </c>
      <c r="R178" t="s">
        <v>812</v>
      </c>
      <c r="S178" t="s">
        <v>808</v>
      </c>
      <c r="T178" t="s">
        <v>808</v>
      </c>
      <c r="U178" t="s">
        <v>811</v>
      </c>
      <c r="V178" t="s">
        <v>813</v>
      </c>
      <c r="W178" t="s">
        <v>813</v>
      </c>
      <c r="X178" t="s">
        <v>811</v>
      </c>
      <c r="Y178" t="s">
        <v>814</v>
      </c>
      <c r="Z178" t="s">
        <v>809</v>
      </c>
      <c r="AA178" t="s">
        <v>809</v>
      </c>
    </row>
    <row r="179" spans="2:27">
      <c r="B179" t="s">
        <v>812</v>
      </c>
      <c r="C179" t="s">
        <v>808</v>
      </c>
      <c r="D179" t="s">
        <v>810</v>
      </c>
      <c r="E179" t="s">
        <v>813</v>
      </c>
      <c r="F179" t="s">
        <v>811</v>
      </c>
      <c r="G179" t="s">
        <v>811</v>
      </c>
      <c r="H179" t="s">
        <v>811</v>
      </c>
      <c r="I179" t="s">
        <v>809</v>
      </c>
      <c r="J179" t="s">
        <v>811</v>
      </c>
      <c r="K179" t="s">
        <v>814</v>
      </c>
      <c r="L179" t="s">
        <v>810</v>
      </c>
      <c r="M179" t="s">
        <v>810</v>
      </c>
      <c r="N179" t="s">
        <v>812</v>
      </c>
      <c r="O179" t="s">
        <v>808</v>
      </c>
      <c r="P179" t="s">
        <v>801</v>
      </c>
      <c r="Q179" t="s">
        <v>801</v>
      </c>
      <c r="R179" t="s">
        <v>813</v>
      </c>
      <c r="S179" t="s">
        <v>809</v>
      </c>
      <c r="T179" t="s">
        <v>809</v>
      </c>
      <c r="U179" t="s">
        <v>812</v>
      </c>
      <c r="V179" t="s">
        <v>814</v>
      </c>
      <c r="W179" t="s">
        <v>814</v>
      </c>
      <c r="X179" t="s">
        <v>812</v>
      </c>
      <c r="Y179" t="s">
        <v>808</v>
      </c>
      <c r="Z179" t="s">
        <v>810</v>
      </c>
      <c r="AA179" t="s">
        <v>810</v>
      </c>
    </row>
    <row r="180" spans="2:27">
      <c r="B180" t="s">
        <v>813</v>
      </c>
      <c r="C180" t="s">
        <v>809</v>
      </c>
      <c r="D180" t="s">
        <v>811</v>
      </c>
      <c r="E180" t="s">
        <v>814</v>
      </c>
      <c r="F180" t="s">
        <v>812</v>
      </c>
      <c r="G180" t="s">
        <v>812</v>
      </c>
      <c r="H180" t="s">
        <v>812</v>
      </c>
      <c r="I180" t="s">
        <v>810</v>
      </c>
      <c r="J180" t="s">
        <v>812</v>
      </c>
      <c r="K180" t="s">
        <v>808</v>
      </c>
      <c r="L180" t="s">
        <v>811</v>
      </c>
      <c r="M180" t="s">
        <v>811</v>
      </c>
      <c r="N180" t="s">
        <v>813</v>
      </c>
      <c r="O180" t="s">
        <v>809</v>
      </c>
      <c r="P180" t="s">
        <v>801</v>
      </c>
      <c r="Q180" t="s">
        <v>801</v>
      </c>
      <c r="R180" t="s">
        <v>814</v>
      </c>
      <c r="S180" t="s">
        <v>810</v>
      </c>
      <c r="T180" t="s">
        <v>810</v>
      </c>
      <c r="U180" t="s">
        <v>813</v>
      </c>
      <c r="V180" t="s">
        <v>808</v>
      </c>
      <c r="W180" t="s">
        <v>808</v>
      </c>
      <c r="X180" t="s">
        <v>813</v>
      </c>
      <c r="Y180" t="s">
        <v>809</v>
      </c>
      <c r="Z180" t="s">
        <v>811</v>
      </c>
      <c r="AA180" t="s">
        <v>811</v>
      </c>
    </row>
    <row r="181" spans="2:27">
      <c r="B181" t="s">
        <v>814</v>
      </c>
      <c r="C181" t="s">
        <v>810</v>
      </c>
      <c r="D181" t="s">
        <v>812</v>
      </c>
      <c r="E181" t="s">
        <v>808</v>
      </c>
      <c r="F181" t="s">
        <v>813</v>
      </c>
      <c r="G181" t="s">
        <v>813</v>
      </c>
      <c r="H181" t="s">
        <v>813</v>
      </c>
      <c r="I181" t="s">
        <v>811</v>
      </c>
      <c r="J181" t="s">
        <v>813</v>
      </c>
      <c r="K181" t="s">
        <v>809</v>
      </c>
      <c r="L181" t="s">
        <v>812</v>
      </c>
      <c r="M181" t="s">
        <v>812</v>
      </c>
      <c r="N181" t="s">
        <v>814</v>
      </c>
      <c r="O181" t="s">
        <v>810</v>
      </c>
      <c r="P181" t="s">
        <v>801</v>
      </c>
      <c r="Q181" t="s">
        <v>801</v>
      </c>
      <c r="R181" t="s">
        <v>808</v>
      </c>
      <c r="S181" t="s">
        <v>811</v>
      </c>
      <c r="T181" t="s">
        <v>811</v>
      </c>
      <c r="U181" t="s">
        <v>814</v>
      </c>
      <c r="V181" t="s">
        <v>809</v>
      </c>
      <c r="W181" t="s">
        <v>809</v>
      </c>
      <c r="X181" t="s">
        <v>814</v>
      </c>
      <c r="Y181" t="s">
        <v>810</v>
      </c>
      <c r="Z181" t="s">
        <v>812</v>
      </c>
      <c r="AA181" t="s">
        <v>812</v>
      </c>
    </row>
    <row r="182" spans="2:27">
      <c r="B182" t="s">
        <v>808</v>
      </c>
      <c r="C182" t="s">
        <v>811</v>
      </c>
      <c r="D182" t="s">
        <v>813</v>
      </c>
      <c r="E182" t="s">
        <v>809</v>
      </c>
      <c r="F182" t="s">
        <v>814</v>
      </c>
      <c r="G182" t="s">
        <v>814</v>
      </c>
      <c r="H182" t="s">
        <v>814</v>
      </c>
      <c r="I182" t="s">
        <v>812</v>
      </c>
      <c r="J182" t="s">
        <v>814</v>
      </c>
      <c r="K182" t="s">
        <v>810</v>
      </c>
      <c r="L182" t="s">
        <v>813</v>
      </c>
      <c r="M182" t="s">
        <v>813</v>
      </c>
      <c r="N182" t="s">
        <v>808</v>
      </c>
      <c r="O182" t="s">
        <v>811</v>
      </c>
      <c r="P182" t="s">
        <v>801</v>
      </c>
      <c r="Q182" t="s">
        <v>801</v>
      </c>
      <c r="R182" t="s">
        <v>809</v>
      </c>
      <c r="S182" t="s">
        <v>812</v>
      </c>
      <c r="T182" t="s">
        <v>812</v>
      </c>
      <c r="U182" t="s">
        <v>808</v>
      </c>
      <c r="V182" t="s">
        <v>810</v>
      </c>
      <c r="W182" t="s">
        <v>810</v>
      </c>
      <c r="X182" t="s">
        <v>808</v>
      </c>
      <c r="Y182" t="s">
        <v>811</v>
      </c>
      <c r="Z182" t="s">
        <v>813</v>
      </c>
      <c r="AA182" t="s">
        <v>813</v>
      </c>
    </row>
    <row r="183" spans="2:27">
      <c r="B183" t="s">
        <v>809</v>
      </c>
      <c r="C183" t="s">
        <v>812</v>
      </c>
      <c r="D183" t="s">
        <v>814</v>
      </c>
      <c r="E183" t="s">
        <v>810</v>
      </c>
      <c r="F183" t="s">
        <v>808</v>
      </c>
      <c r="G183" t="s">
        <v>808</v>
      </c>
      <c r="H183" t="s">
        <v>808</v>
      </c>
      <c r="I183" t="s">
        <v>813</v>
      </c>
      <c r="J183" t="s">
        <v>808</v>
      </c>
      <c r="K183" t="s">
        <v>811</v>
      </c>
      <c r="L183" t="s">
        <v>814</v>
      </c>
      <c r="M183" t="s">
        <v>814</v>
      </c>
      <c r="N183" t="s">
        <v>809</v>
      </c>
      <c r="O183" t="s">
        <v>812</v>
      </c>
      <c r="P183" t="s">
        <v>801</v>
      </c>
      <c r="Q183" t="s">
        <v>801</v>
      </c>
      <c r="R183" t="s">
        <v>810</v>
      </c>
      <c r="S183" t="s">
        <v>813</v>
      </c>
      <c r="T183" t="s">
        <v>813</v>
      </c>
      <c r="U183" t="s">
        <v>809</v>
      </c>
      <c r="V183" t="s">
        <v>811</v>
      </c>
      <c r="W183" t="s">
        <v>811</v>
      </c>
      <c r="X183" t="s">
        <v>809</v>
      </c>
      <c r="Y183" t="s">
        <v>812</v>
      </c>
      <c r="Z183" t="s">
        <v>814</v>
      </c>
      <c r="AA183" t="s">
        <v>814</v>
      </c>
    </row>
    <row r="184" spans="2:27">
      <c r="B184" t="s">
        <v>810</v>
      </c>
      <c r="C184" t="s">
        <v>813</v>
      </c>
      <c r="D184" t="s">
        <v>808</v>
      </c>
      <c r="E184" t="s">
        <v>811</v>
      </c>
      <c r="F184" t="s">
        <v>809</v>
      </c>
      <c r="G184" t="s">
        <v>809</v>
      </c>
      <c r="H184" t="s">
        <v>809</v>
      </c>
      <c r="I184" t="s">
        <v>814</v>
      </c>
      <c r="J184" t="s">
        <v>809</v>
      </c>
      <c r="K184" t="s">
        <v>812</v>
      </c>
      <c r="L184" t="s">
        <v>808</v>
      </c>
      <c r="M184" t="s">
        <v>808</v>
      </c>
      <c r="N184" t="s">
        <v>810</v>
      </c>
      <c r="O184" t="s">
        <v>813</v>
      </c>
      <c r="P184" t="s">
        <v>801</v>
      </c>
      <c r="Q184" t="s">
        <v>801</v>
      </c>
      <c r="R184" t="s">
        <v>811</v>
      </c>
      <c r="S184" t="s">
        <v>814</v>
      </c>
      <c r="T184" t="s">
        <v>814</v>
      </c>
      <c r="U184" t="s">
        <v>810</v>
      </c>
      <c r="V184" t="s">
        <v>812</v>
      </c>
      <c r="W184" t="s">
        <v>812</v>
      </c>
      <c r="X184" t="s">
        <v>810</v>
      </c>
      <c r="Y184" t="s">
        <v>813</v>
      </c>
      <c r="Z184" t="s">
        <v>808</v>
      </c>
      <c r="AA184" t="s">
        <v>808</v>
      </c>
    </row>
    <row r="185" spans="2:27">
      <c r="B185" t="s">
        <v>811</v>
      </c>
      <c r="C185" t="s">
        <v>814</v>
      </c>
      <c r="D185" t="s">
        <v>809</v>
      </c>
      <c r="E185" t="s">
        <v>812</v>
      </c>
      <c r="F185" t="s">
        <v>810</v>
      </c>
      <c r="G185" t="s">
        <v>810</v>
      </c>
      <c r="H185" t="s">
        <v>810</v>
      </c>
      <c r="I185" t="s">
        <v>808</v>
      </c>
      <c r="J185" t="s">
        <v>810</v>
      </c>
      <c r="K185" t="s">
        <v>813</v>
      </c>
      <c r="L185" t="s">
        <v>809</v>
      </c>
      <c r="M185" t="s">
        <v>809</v>
      </c>
      <c r="N185" t="s">
        <v>811</v>
      </c>
      <c r="O185" t="s">
        <v>814</v>
      </c>
      <c r="P185" t="s">
        <v>801</v>
      </c>
      <c r="Q185" t="s">
        <v>801</v>
      </c>
      <c r="R185" t="s">
        <v>812</v>
      </c>
      <c r="T185" t="s">
        <v>808</v>
      </c>
      <c r="U185" t="s">
        <v>811</v>
      </c>
      <c r="V185" t="s">
        <v>813</v>
      </c>
      <c r="W185" t="s">
        <v>813</v>
      </c>
      <c r="X185" t="s">
        <v>811</v>
      </c>
      <c r="Y185" t="s">
        <v>814</v>
      </c>
      <c r="Z185" t="s">
        <v>809</v>
      </c>
      <c r="AA185" t="s">
        <v>809</v>
      </c>
    </row>
    <row r="186" spans="2:27">
      <c r="B186" t="s">
        <v>812</v>
      </c>
      <c r="C186" t="s">
        <v>808</v>
      </c>
      <c r="D186" t="s">
        <v>810</v>
      </c>
      <c r="E186" t="s">
        <v>813</v>
      </c>
      <c r="F186" t="s">
        <v>811</v>
      </c>
      <c r="G186" t="s">
        <v>811</v>
      </c>
      <c r="H186" t="s">
        <v>811</v>
      </c>
      <c r="I186" t="s">
        <v>809</v>
      </c>
      <c r="J186" t="s">
        <v>811</v>
      </c>
      <c r="K186" t="s">
        <v>814</v>
      </c>
      <c r="L186" t="s">
        <v>810</v>
      </c>
      <c r="M186" t="s">
        <v>810</v>
      </c>
      <c r="N186" t="s">
        <v>812</v>
      </c>
      <c r="O186" t="s">
        <v>808</v>
      </c>
      <c r="P186" t="s">
        <v>801</v>
      </c>
      <c r="Q186" t="s">
        <v>801</v>
      </c>
      <c r="R186" t="s">
        <v>813</v>
      </c>
      <c r="T186" t="s">
        <v>809</v>
      </c>
      <c r="U186" t="s">
        <v>812</v>
      </c>
      <c r="V186" t="s">
        <v>814</v>
      </c>
      <c r="W186" t="s">
        <v>814</v>
      </c>
      <c r="X186" t="s">
        <v>812</v>
      </c>
      <c r="Y186" t="s">
        <v>808</v>
      </c>
      <c r="Z186" t="s">
        <v>810</v>
      </c>
      <c r="AA186" t="s">
        <v>810</v>
      </c>
    </row>
    <row r="187" spans="2:27">
      <c r="B187" t="s">
        <v>813</v>
      </c>
      <c r="C187" t="s">
        <v>809</v>
      </c>
      <c r="D187" t="s">
        <v>811</v>
      </c>
      <c r="E187" t="s">
        <v>814</v>
      </c>
      <c r="F187" t="s">
        <v>812</v>
      </c>
      <c r="G187" t="s">
        <v>812</v>
      </c>
      <c r="H187" t="s">
        <v>812</v>
      </c>
      <c r="I187" t="s">
        <v>810</v>
      </c>
      <c r="J187" t="s">
        <v>812</v>
      </c>
      <c r="K187" t="s">
        <v>808</v>
      </c>
      <c r="N187" t="s">
        <v>813</v>
      </c>
      <c r="R187" t="s">
        <v>814</v>
      </c>
      <c r="T187" t="s">
        <v>810</v>
      </c>
      <c r="U187" t="s">
        <v>813</v>
      </c>
      <c r="V187" t="s">
        <v>808</v>
      </c>
      <c r="W187" t="s">
        <v>808</v>
      </c>
      <c r="X187" t="s">
        <v>813</v>
      </c>
      <c r="Y187" t="s">
        <v>809</v>
      </c>
      <c r="Z187" t="s">
        <v>811</v>
      </c>
      <c r="AA187" t="s">
        <v>811</v>
      </c>
    </row>
    <row r="188" spans="2:27">
      <c r="B188" t="s">
        <v>840</v>
      </c>
      <c r="C188" t="s">
        <v>852</v>
      </c>
      <c r="D188" t="s">
        <v>852</v>
      </c>
      <c r="E188" t="s">
        <v>840</v>
      </c>
      <c r="F188" t="s">
        <v>852</v>
      </c>
      <c r="G188" t="s">
        <v>852</v>
      </c>
      <c r="H188" t="s">
        <v>852</v>
      </c>
      <c r="I188" t="s">
        <v>852</v>
      </c>
      <c r="J188" t="s">
        <v>852</v>
      </c>
      <c r="K188" t="s">
        <v>841</v>
      </c>
      <c r="L188" t="s">
        <v>852</v>
      </c>
      <c r="M188" t="s">
        <v>866</v>
      </c>
      <c r="N188" t="s">
        <v>852</v>
      </c>
      <c r="O188" t="s">
        <v>852</v>
      </c>
      <c r="P188" t="s">
        <v>870</v>
      </c>
      <c r="Q188" t="s">
        <v>874</v>
      </c>
      <c r="R188" t="s">
        <v>880</v>
      </c>
      <c r="S188" t="s">
        <v>879</v>
      </c>
      <c r="T188" t="s">
        <v>879</v>
      </c>
      <c r="U188" t="s">
        <v>879</v>
      </c>
      <c r="V188" t="s">
        <v>880</v>
      </c>
      <c r="W188" t="s">
        <v>880</v>
      </c>
      <c r="X188" t="s">
        <v>879</v>
      </c>
      <c r="Y188" t="s">
        <v>879</v>
      </c>
      <c r="Z188" t="s">
        <v>879</v>
      </c>
      <c r="AA188" t="s">
        <v>879</v>
      </c>
    </row>
    <row r="189" spans="2:27">
      <c r="B189" t="s">
        <v>840</v>
      </c>
      <c r="C189" t="s">
        <v>852</v>
      </c>
      <c r="D189" t="s">
        <v>852</v>
      </c>
      <c r="E189" t="s">
        <v>841</v>
      </c>
      <c r="F189" t="s">
        <v>852</v>
      </c>
      <c r="G189" t="s">
        <v>852</v>
      </c>
      <c r="H189" t="s">
        <v>858</v>
      </c>
      <c r="I189" t="s">
        <v>852</v>
      </c>
      <c r="J189" t="s">
        <v>852</v>
      </c>
      <c r="K189" t="s">
        <v>852</v>
      </c>
      <c r="L189" t="s">
        <v>852</v>
      </c>
      <c r="M189" t="s">
        <v>866</v>
      </c>
      <c r="N189" t="s">
        <v>840</v>
      </c>
      <c r="O189" t="s">
        <v>852</v>
      </c>
      <c r="P189" t="s">
        <v>870</v>
      </c>
      <c r="Q189" t="s">
        <v>874</v>
      </c>
      <c r="R189" t="s">
        <v>880</v>
      </c>
      <c r="S189" t="s">
        <v>879</v>
      </c>
      <c r="T189" t="s">
        <v>879</v>
      </c>
      <c r="U189" t="s">
        <v>880</v>
      </c>
      <c r="V189" t="s">
        <v>879</v>
      </c>
      <c r="W189" t="s">
        <v>879</v>
      </c>
      <c r="X189" t="s">
        <v>880</v>
      </c>
      <c r="Y189" t="s">
        <v>880</v>
      </c>
      <c r="Z189" t="s">
        <v>879</v>
      </c>
      <c r="AA189" t="s">
        <v>879</v>
      </c>
    </row>
    <row r="190" spans="2:27">
      <c r="B190" t="s">
        <v>841</v>
      </c>
      <c r="C190" t="s">
        <v>852</v>
      </c>
      <c r="D190" t="s">
        <v>852</v>
      </c>
      <c r="E190" t="s">
        <v>852</v>
      </c>
      <c r="F190" t="s">
        <v>840</v>
      </c>
      <c r="G190" t="s">
        <v>840</v>
      </c>
      <c r="H190" t="s">
        <v>840</v>
      </c>
      <c r="I190" t="s">
        <v>852</v>
      </c>
      <c r="J190" t="s">
        <v>840</v>
      </c>
      <c r="K190" t="s">
        <v>852</v>
      </c>
      <c r="L190" t="s">
        <v>852</v>
      </c>
      <c r="M190" t="s">
        <v>866</v>
      </c>
      <c r="N190" t="s">
        <v>841</v>
      </c>
      <c r="O190" t="s">
        <v>852</v>
      </c>
      <c r="P190" t="s">
        <v>870</v>
      </c>
      <c r="Q190" t="s">
        <v>874</v>
      </c>
      <c r="R190" t="s">
        <v>879</v>
      </c>
      <c r="S190" t="s">
        <v>879</v>
      </c>
      <c r="T190" t="s">
        <v>879</v>
      </c>
      <c r="U190" t="s">
        <v>880</v>
      </c>
      <c r="V190" t="s">
        <v>879</v>
      </c>
      <c r="W190" t="s">
        <v>879</v>
      </c>
      <c r="X190" t="s">
        <v>880</v>
      </c>
      <c r="Y190" t="s">
        <v>880</v>
      </c>
      <c r="Z190" t="s">
        <v>879</v>
      </c>
      <c r="AA190" t="s">
        <v>879</v>
      </c>
    </row>
    <row r="191" spans="2:27">
      <c r="B191" t="s">
        <v>816</v>
      </c>
      <c r="C191" t="s">
        <v>852</v>
      </c>
      <c r="D191" t="s">
        <v>840</v>
      </c>
      <c r="E191" t="s">
        <v>852</v>
      </c>
      <c r="F191" t="s">
        <v>841</v>
      </c>
      <c r="G191" t="s">
        <v>841</v>
      </c>
      <c r="H191" t="s">
        <v>841</v>
      </c>
      <c r="I191" t="s">
        <v>852</v>
      </c>
      <c r="J191" t="s">
        <v>841</v>
      </c>
      <c r="K191" t="s">
        <v>852</v>
      </c>
      <c r="L191" t="s">
        <v>840</v>
      </c>
      <c r="M191" t="s">
        <v>840</v>
      </c>
      <c r="N191" t="s">
        <v>852</v>
      </c>
      <c r="O191" t="s">
        <v>852</v>
      </c>
      <c r="P191" t="s">
        <v>840</v>
      </c>
      <c r="Q191" t="s">
        <v>840</v>
      </c>
      <c r="R191" t="s">
        <v>879</v>
      </c>
      <c r="S191" t="s">
        <v>879</v>
      </c>
      <c r="T191" t="s">
        <v>879</v>
      </c>
      <c r="U191" t="s">
        <v>879</v>
      </c>
      <c r="V191" t="s">
        <v>879</v>
      </c>
      <c r="W191" t="s">
        <v>879</v>
      </c>
      <c r="X191" t="s">
        <v>879</v>
      </c>
      <c r="Y191" t="s">
        <v>879</v>
      </c>
      <c r="Z191" t="s">
        <v>880</v>
      </c>
      <c r="AA191" t="s">
        <v>880</v>
      </c>
    </row>
    <row r="192" spans="2:27">
      <c r="B192" t="s">
        <v>816</v>
      </c>
      <c r="C192" t="s">
        <v>852</v>
      </c>
      <c r="D192" t="s">
        <v>841</v>
      </c>
      <c r="E192" t="s">
        <v>852</v>
      </c>
      <c r="F192" t="s">
        <v>852</v>
      </c>
      <c r="G192" t="s">
        <v>852</v>
      </c>
      <c r="H192" t="s">
        <v>852</v>
      </c>
      <c r="I192" t="s">
        <v>840</v>
      </c>
      <c r="J192" t="s">
        <v>852</v>
      </c>
      <c r="K192" t="s">
        <v>852</v>
      </c>
      <c r="L192" t="s">
        <v>841</v>
      </c>
      <c r="M192" t="s">
        <v>841</v>
      </c>
      <c r="N192" t="s">
        <v>852</v>
      </c>
      <c r="O192" t="s">
        <v>852</v>
      </c>
      <c r="P192" t="s">
        <v>841</v>
      </c>
      <c r="Q192" t="s">
        <v>841</v>
      </c>
      <c r="R192" t="s">
        <v>879</v>
      </c>
      <c r="S192" t="s">
        <v>880</v>
      </c>
      <c r="T192" t="s">
        <v>880</v>
      </c>
      <c r="U192" t="s">
        <v>879</v>
      </c>
      <c r="V192" t="s">
        <v>879</v>
      </c>
      <c r="W192" t="s">
        <v>879</v>
      </c>
      <c r="X192" t="s">
        <v>879</v>
      </c>
      <c r="Y192" t="s">
        <v>879</v>
      </c>
      <c r="Z192" t="s">
        <v>880</v>
      </c>
      <c r="AA192" t="s">
        <v>880</v>
      </c>
    </row>
    <row r="193" spans="2:27">
      <c r="B193" t="s">
        <v>816</v>
      </c>
      <c r="C193" t="s">
        <v>840</v>
      </c>
      <c r="D193" t="s">
        <v>852</v>
      </c>
      <c r="E193" t="s">
        <v>852</v>
      </c>
      <c r="F193" t="s">
        <v>852</v>
      </c>
      <c r="G193" t="s">
        <v>852</v>
      </c>
      <c r="H193" t="s">
        <v>852</v>
      </c>
      <c r="I193" t="s">
        <v>841</v>
      </c>
      <c r="J193" t="s">
        <v>852</v>
      </c>
      <c r="K193" t="s">
        <v>852</v>
      </c>
      <c r="L193" t="s">
        <v>852</v>
      </c>
      <c r="M193" t="s">
        <v>866</v>
      </c>
      <c r="N193" t="s">
        <v>852</v>
      </c>
      <c r="O193" t="s">
        <v>840</v>
      </c>
      <c r="P193" t="s">
        <v>871</v>
      </c>
      <c r="Q193" t="s">
        <v>870</v>
      </c>
      <c r="R193" t="s">
        <v>879</v>
      </c>
      <c r="S193" t="s">
        <v>880</v>
      </c>
      <c r="T193" t="s">
        <v>880</v>
      </c>
      <c r="U193" t="s">
        <v>879</v>
      </c>
      <c r="V193" t="s">
        <v>879</v>
      </c>
      <c r="W193" t="s">
        <v>879</v>
      </c>
      <c r="X193" t="s">
        <v>879</v>
      </c>
      <c r="Y193" t="s">
        <v>879</v>
      </c>
      <c r="Z193" t="s">
        <v>879</v>
      </c>
      <c r="AA193" t="s">
        <v>879</v>
      </c>
    </row>
    <row r="194" spans="2:27">
      <c r="B194" t="s">
        <v>816</v>
      </c>
      <c r="C194" t="s">
        <v>841</v>
      </c>
      <c r="D194" t="s">
        <v>852</v>
      </c>
      <c r="E194" t="s">
        <v>852</v>
      </c>
      <c r="F194" t="s">
        <v>852</v>
      </c>
      <c r="G194" t="s">
        <v>852</v>
      </c>
      <c r="H194" t="s">
        <v>852</v>
      </c>
      <c r="I194" t="s">
        <v>852</v>
      </c>
      <c r="J194" t="s">
        <v>852</v>
      </c>
      <c r="K194" t="s">
        <v>840</v>
      </c>
      <c r="L194" t="s">
        <v>852</v>
      </c>
      <c r="M194" t="s">
        <v>866</v>
      </c>
      <c r="N194" t="s">
        <v>852</v>
      </c>
      <c r="O194" t="s">
        <v>841</v>
      </c>
      <c r="P194" t="s">
        <v>871</v>
      </c>
      <c r="Q194" t="s">
        <v>870</v>
      </c>
      <c r="R194" t="s">
        <v>879</v>
      </c>
      <c r="S194" t="s">
        <v>879</v>
      </c>
      <c r="T194" t="s">
        <v>879</v>
      </c>
      <c r="U194" t="s">
        <v>879</v>
      </c>
      <c r="V194" t="s">
        <v>880</v>
      </c>
      <c r="W194" t="s">
        <v>880</v>
      </c>
      <c r="X194" t="s">
        <v>879</v>
      </c>
      <c r="Y194" t="s">
        <v>879</v>
      </c>
      <c r="Z194" t="s">
        <v>879</v>
      </c>
      <c r="AA194" t="s">
        <v>879</v>
      </c>
    </row>
    <row r="195" spans="2:27">
      <c r="B195" t="s">
        <v>816</v>
      </c>
      <c r="C195" t="s">
        <v>852</v>
      </c>
      <c r="D195" t="s">
        <v>852</v>
      </c>
      <c r="E195" t="s">
        <v>840</v>
      </c>
      <c r="F195" t="s">
        <v>852</v>
      </c>
      <c r="G195" t="s">
        <v>852</v>
      </c>
      <c r="H195" t="s">
        <v>852</v>
      </c>
      <c r="I195" t="s">
        <v>852</v>
      </c>
      <c r="J195" t="s">
        <v>852</v>
      </c>
      <c r="K195" t="s">
        <v>841</v>
      </c>
      <c r="L195" t="s">
        <v>852</v>
      </c>
      <c r="M195" t="s">
        <v>866</v>
      </c>
      <c r="N195" t="s">
        <v>852</v>
      </c>
      <c r="O195" t="s">
        <v>852</v>
      </c>
      <c r="P195" t="s">
        <v>871</v>
      </c>
      <c r="Q195" t="s">
        <v>870</v>
      </c>
      <c r="R195" t="s">
        <v>880</v>
      </c>
      <c r="S195" t="s">
        <v>879</v>
      </c>
      <c r="T195" t="s">
        <v>879</v>
      </c>
      <c r="U195" t="s">
        <v>879</v>
      </c>
      <c r="V195" t="s">
        <v>880</v>
      </c>
      <c r="W195" t="s">
        <v>880</v>
      </c>
      <c r="X195" t="s">
        <v>879</v>
      </c>
      <c r="Y195" t="s">
        <v>879</v>
      </c>
      <c r="Z195" t="s">
        <v>879</v>
      </c>
      <c r="AA195" t="s">
        <v>879</v>
      </c>
    </row>
    <row r="196" spans="2:27">
      <c r="B196" t="s">
        <v>840</v>
      </c>
      <c r="C196" t="s">
        <v>852</v>
      </c>
      <c r="D196" t="s">
        <v>852</v>
      </c>
      <c r="E196" t="s">
        <v>841</v>
      </c>
      <c r="F196" t="s">
        <v>852</v>
      </c>
      <c r="G196" t="s">
        <v>852</v>
      </c>
      <c r="H196" t="s">
        <v>852</v>
      </c>
      <c r="I196" t="s">
        <v>852</v>
      </c>
      <c r="J196" t="s">
        <v>852</v>
      </c>
      <c r="K196" t="s">
        <v>852</v>
      </c>
      <c r="L196" t="s">
        <v>852</v>
      </c>
      <c r="M196" t="s">
        <v>866</v>
      </c>
      <c r="N196" t="s">
        <v>840</v>
      </c>
      <c r="O196" t="s">
        <v>852</v>
      </c>
      <c r="P196" t="s">
        <v>871</v>
      </c>
      <c r="Q196" t="s">
        <v>870</v>
      </c>
      <c r="R196" t="s">
        <v>880</v>
      </c>
      <c r="S196" t="s">
        <v>879</v>
      </c>
      <c r="T196" t="s">
        <v>879</v>
      </c>
      <c r="U196" t="s">
        <v>880</v>
      </c>
      <c r="V196" t="s">
        <v>879</v>
      </c>
      <c r="W196" t="s">
        <v>879</v>
      </c>
      <c r="X196" t="s">
        <v>880</v>
      </c>
      <c r="Y196" t="s">
        <v>880</v>
      </c>
      <c r="Z196" t="s">
        <v>879</v>
      </c>
      <c r="AA196" t="s">
        <v>879</v>
      </c>
    </row>
    <row r="197" spans="2:27">
      <c r="B197" t="s">
        <v>841</v>
      </c>
      <c r="C197" t="s">
        <v>852</v>
      </c>
      <c r="D197" t="s">
        <v>852</v>
      </c>
      <c r="E197" t="s">
        <v>852</v>
      </c>
      <c r="F197" t="s">
        <v>852</v>
      </c>
      <c r="G197" t="s">
        <v>852</v>
      </c>
      <c r="H197" t="s">
        <v>840</v>
      </c>
      <c r="I197" t="s">
        <v>852</v>
      </c>
      <c r="J197" t="s">
        <v>840</v>
      </c>
      <c r="K197" t="s">
        <v>852</v>
      </c>
      <c r="L197" t="s">
        <v>852</v>
      </c>
      <c r="M197" t="s">
        <v>866</v>
      </c>
      <c r="N197" t="s">
        <v>841</v>
      </c>
      <c r="O197" t="s">
        <v>852</v>
      </c>
      <c r="P197" t="s">
        <v>871</v>
      </c>
      <c r="Q197" t="s">
        <v>870</v>
      </c>
      <c r="R197" t="s">
        <v>879</v>
      </c>
      <c r="S197" t="s">
        <v>879</v>
      </c>
      <c r="T197" t="s">
        <v>879</v>
      </c>
      <c r="U197" t="s">
        <v>880</v>
      </c>
      <c r="V197" t="s">
        <v>879</v>
      </c>
      <c r="W197" t="s">
        <v>879</v>
      </c>
      <c r="X197" t="s">
        <v>880</v>
      </c>
      <c r="Y197" t="s">
        <v>880</v>
      </c>
      <c r="Z197" t="s">
        <v>879</v>
      </c>
      <c r="AA197" t="s">
        <v>879</v>
      </c>
    </row>
    <row r="198" spans="2:27">
      <c r="B198" t="s">
        <v>816</v>
      </c>
      <c r="C198" t="s">
        <v>852</v>
      </c>
      <c r="D198" t="s">
        <v>840</v>
      </c>
      <c r="E198" t="s">
        <v>852</v>
      </c>
      <c r="F198" t="s">
        <v>852</v>
      </c>
      <c r="G198" t="s">
        <v>852</v>
      </c>
      <c r="H198" t="s">
        <v>841</v>
      </c>
      <c r="I198" t="s">
        <v>852</v>
      </c>
      <c r="J198" t="s">
        <v>841</v>
      </c>
      <c r="K198" t="s">
        <v>852</v>
      </c>
      <c r="L198" t="s">
        <v>840</v>
      </c>
      <c r="M198" t="s">
        <v>840</v>
      </c>
      <c r="N198" t="s">
        <v>852</v>
      </c>
      <c r="O198" t="s">
        <v>852</v>
      </c>
      <c r="P198" t="s">
        <v>840</v>
      </c>
      <c r="Q198" t="s">
        <v>875</v>
      </c>
      <c r="R198" t="s">
        <v>879</v>
      </c>
      <c r="S198" t="s">
        <v>879</v>
      </c>
      <c r="T198" t="s">
        <v>879</v>
      </c>
      <c r="U198" t="s">
        <v>879</v>
      </c>
      <c r="V198" t="s">
        <v>879</v>
      </c>
      <c r="W198" t="s">
        <v>879</v>
      </c>
      <c r="X198" t="s">
        <v>879</v>
      </c>
      <c r="Y198" t="s">
        <v>879</v>
      </c>
      <c r="Z198" t="s">
        <v>880</v>
      </c>
      <c r="AA198" t="s">
        <v>880</v>
      </c>
    </row>
    <row r="199" spans="2:27">
      <c r="B199" t="s">
        <v>816</v>
      </c>
      <c r="C199" t="s">
        <v>852</v>
      </c>
      <c r="D199" t="s">
        <v>841</v>
      </c>
      <c r="E199" t="s">
        <v>852</v>
      </c>
      <c r="F199" t="s">
        <v>852</v>
      </c>
      <c r="G199" t="s">
        <v>852</v>
      </c>
      <c r="H199" t="s">
        <v>852</v>
      </c>
      <c r="I199" t="s">
        <v>840</v>
      </c>
      <c r="J199" t="s">
        <v>852</v>
      </c>
      <c r="K199" t="s">
        <v>852</v>
      </c>
      <c r="L199" t="s">
        <v>841</v>
      </c>
      <c r="M199" t="s">
        <v>841</v>
      </c>
      <c r="N199" t="s">
        <v>852</v>
      </c>
      <c r="O199" t="s">
        <v>852</v>
      </c>
      <c r="P199" t="s">
        <v>841</v>
      </c>
      <c r="Q199" t="s">
        <v>841</v>
      </c>
      <c r="R199" t="s">
        <v>879</v>
      </c>
      <c r="S199" t="s">
        <v>880</v>
      </c>
      <c r="T199" t="s">
        <v>880</v>
      </c>
      <c r="U199" t="s">
        <v>879</v>
      </c>
      <c r="V199" t="s">
        <v>879</v>
      </c>
      <c r="W199" t="s">
        <v>879</v>
      </c>
      <c r="X199" t="s">
        <v>879</v>
      </c>
      <c r="Y199" t="s">
        <v>879</v>
      </c>
      <c r="Z199" t="s">
        <v>880</v>
      </c>
      <c r="AA199" t="s">
        <v>880</v>
      </c>
    </row>
    <row r="200" spans="2:27">
      <c r="B200" t="s">
        <v>816</v>
      </c>
      <c r="C200" t="s">
        <v>840</v>
      </c>
      <c r="D200" t="s">
        <v>852</v>
      </c>
      <c r="E200" t="s">
        <v>852</v>
      </c>
      <c r="F200" t="s">
        <v>852</v>
      </c>
      <c r="G200" t="s">
        <v>852</v>
      </c>
      <c r="H200" t="s">
        <v>852</v>
      </c>
      <c r="I200" t="s">
        <v>841</v>
      </c>
      <c r="J200" t="s">
        <v>852</v>
      </c>
      <c r="K200" t="s">
        <v>852</v>
      </c>
      <c r="L200" t="s">
        <v>852</v>
      </c>
      <c r="M200" t="s">
        <v>866</v>
      </c>
      <c r="N200" t="s">
        <v>852</v>
      </c>
      <c r="O200" t="s">
        <v>840</v>
      </c>
      <c r="P200" t="s">
        <v>872</v>
      </c>
      <c r="Q200" t="s">
        <v>871</v>
      </c>
      <c r="R200" t="s">
        <v>879</v>
      </c>
      <c r="S200" t="s">
        <v>880</v>
      </c>
      <c r="T200" t="s">
        <v>880</v>
      </c>
      <c r="U200" t="s">
        <v>879</v>
      </c>
      <c r="V200" t="s">
        <v>879</v>
      </c>
      <c r="W200" t="s">
        <v>879</v>
      </c>
      <c r="X200" t="s">
        <v>879</v>
      </c>
      <c r="Y200" t="s">
        <v>879</v>
      </c>
      <c r="Z200" t="s">
        <v>879</v>
      </c>
      <c r="AA200" t="s">
        <v>879</v>
      </c>
    </row>
    <row r="201" spans="2:27">
      <c r="B201" t="s">
        <v>816</v>
      </c>
      <c r="C201" t="s">
        <v>841</v>
      </c>
      <c r="D201" t="s">
        <v>852</v>
      </c>
      <c r="E201" t="s">
        <v>852</v>
      </c>
      <c r="F201" t="s">
        <v>852</v>
      </c>
      <c r="G201" t="s">
        <v>852</v>
      </c>
      <c r="H201" t="s">
        <v>852</v>
      </c>
      <c r="I201" t="s">
        <v>852</v>
      </c>
      <c r="J201" t="s">
        <v>852</v>
      </c>
      <c r="K201" t="s">
        <v>840</v>
      </c>
      <c r="L201" t="s">
        <v>852</v>
      </c>
      <c r="M201" t="s">
        <v>866</v>
      </c>
      <c r="N201" t="s">
        <v>852</v>
      </c>
      <c r="O201" t="s">
        <v>841</v>
      </c>
      <c r="P201" t="s">
        <v>872</v>
      </c>
      <c r="Q201" t="s">
        <v>871</v>
      </c>
      <c r="R201" t="s">
        <v>879</v>
      </c>
      <c r="S201" t="s">
        <v>879</v>
      </c>
      <c r="T201" t="s">
        <v>879</v>
      </c>
      <c r="U201" t="s">
        <v>879</v>
      </c>
      <c r="V201" t="s">
        <v>880</v>
      </c>
      <c r="W201" t="s">
        <v>880</v>
      </c>
      <c r="X201" t="s">
        <v>879</v>
      </c>
      <c r="Y201" t="s">
        <v>879</v>
      </c>
      <c r="Z201" t="s">
        <v>879</v>
      </c>
      <c r="AA201" t="s">
        <v>879</v>
      </c>
    </row>
    <row r="202" spans="2:27">
      <c r="B202" t="s">
        <v>816</v>
      </c>
      <c r="C202" t="s">
        <v>852</v>
      </c>
      <c r="D202" t="s">
        <v>852</v>
      </c>
      <c r="E202" t="s">
        <v>840</v>
      </c>
      <c r="F202" t="s">
        <v>852</v>
      </c>
      <c r="G202" t="s">
        <v>852</v>
      </c>
      <c r="H202" t="s">
        <v>852</v>
      </c>
      <c r="I202" t="s">
        <v>852</v>
      </c>
      <c r="J202" t="s">
        <v>852</v>
      </c>
      <c r="K202" t="s">
        <v>841</v>
      </c>
      <c r="L202" t="s">
        <v>852</v>
      </c>
      <c r="M202" t="s">
        <v>866</v>
      </c>
      <c r="N202" t="s">
        <v>852</v>
      </c>
      <c r="O202" t="s">
        <v>852</v>
      </c>
      <c r="P202" t="s">
        <v>872</v>
      </c>
      <c r="Q202" t="s">
        <v>871</v>
      </c>
      <c r="R202" t="s">
        <v>880</v>
      </c>
      <c r="S202" t="s">
        <v>879</v>
      </c>
      <c r="T202" t="s">
        <v>879</v>
      </c>
      <c r="U202" t="s">
        <v>879</v>
      </c>
      <c r="V202" t="s">
        <v>880</v>
      </c>
      <c r="W202" t="s">
        <v>880</v>
      </c>
      <c r="X202" t="s">
        <v>879</v>
      </c>
      <c r="Y202" t="s">
        <v>879</v>
      </c>
      <c r="Z202" t="s">
        <v>879</v>
      </c>
      <c r="AA202" t="s">
        <v>879</v>
      </c>
    </row>
    <row r="203" spans="2:27">
      <c r="B203" t="s">
        <v>840</v>
      </c>
      <c r="C203" t="s">
        <v>852</v>
      </c>
      <c r="D203" t="s">
        <v>852</v>
      </c>
      <c r="E203" t="s">
        <v>841</v>
      </c>
      <c r="F203" t="s">
        <v>852</v>
      </c>
      <c r="G203" t="s">
        <v>852</v>
      </c>
      <c r="H203" t="s">
        <v>852</v>
      </c>
      <c r="I203" t="s">
        <v>852</v>
      </c>
      <c r="J203" t="s">
        <v>852</v>
      </c>
      <c r="K203" t="s">
        <v>852</v>
      </c>
      <c r="L203" t="s">
        <v>852</v>
      </c>
      <c r="M203" t="s">
        <v>866</v>
      </c>
      <c r="N203" t="s">
        <v>840</v>
      </c>
      <c r="O203" t="s">
        <v>852</v>
      </c>
      <c r="P203" t="s">
        <v>872</v>
      </c>
      <c r="Q203" t="s">
        <v>871</v>
      </c>
      <c r="R203" t="s">
        <v>880</v>
      </c>
      <c r="S203" t="s">
        <v>879</v>
      </c>
      <c r="T203" t="s">
        <v>879</v>
      </c>
      <c r="U203" t="s">
        <v>880</v>
      </c>
      <c r="V203" t="s">
        <v>879</v>
      </c>
      <c r="W203" t="s">
        <v>879</v>
      </c>
      <c r="X203" t="s">
        <v>880</v>
      </c>
      <c r="Y203" t="s">
        <v>880</v>
      </c>
      <c r="Z203" t="s">
        <v>879</v>
      </c>
      <c r="AA203" t="s">
        <v>879</v>
      </c>
    </row>
    <row r="204" spans="2:27">
      <c r="B204" t="s">
        <v>841</v>
      </c>
      <c r="C204" t="s">
        <v>852</v>
      </c>
      <c r="D204" t="s">
        <v>852</v>
      </c>
      <c r="E204" t="s">
        <v>852</v>
      </c>
      <c r="F204" t="s">
        <v>852</v>
      </c>
      <c r="G204" t="s">
        <v>852</v>
      </c>
      <c r="H204" t="s">
        <v>840</v>
      </c>
      <c r="I204" t="s">
        <v>852</v>
      </c>
      <c r="J204" t="s">
        <v>840</v>
      </c>
      <c r="K204" t="s">
        <v>852</v>
      </c>
      <c r="L204" t="s">
        <v>852</v>
      </c>
      <c r="M204" t="s">
        <v>866</v>
      </c>
      <c r="N204" t="s">
        <v>841</v>
      </c>
      <c r="O204" t="s">
        <v>852</v>
      </c>
      <c r="P204" t="s">
        <v>872</v>
      </c>
      <c r="Q204" t="s">
        <v>871</v>
      </c>
      <c r="R204" t="s">
        <v>879</v>
      </c>
      <c r="S204" t="s">
        <v>879</v>
      </c>
      <c r="T204" t="s">
        <v>879</v>
      </c>
      <c r="U204" t="s">
        <v>880</v>
      </c>
      <c r="V204" t="s">
        <v>879</v>
      </c>
      <c r="W204" t="s">
        <v>879</v>
      </c>
      <c r="X204" t="s">
        <v>880</v>
      </c>
      <c r="Y204" t="s">
        <v>880</v>
      </c>
      <c r="Z204" t="s">
        <v>879</v>
      </c>
      <c r="AA204" t="s">
        <v>879</v>
      </c>
    </row>
    <row r="205" spans="2:27">
      <c r="B205" t="s">
        <v>816</v>
      </c>
      <c r="C205" t="s">
        <v>852</v>
      </c>
      <c r="D205" t="s">
        <v>840</v>
      </c>
      <c r="E205" t="s">
        <v>852</v>
      </c>
      <c r="F205" t="s">
        <v>852</v>
      </c>
      <c r="G205" t="s">
        <v>852</v>
      </c>
      <c r="H205" t="s">
        <v>841</v>
      </c>
      <c r="I205" t="s">
        <v>852</v>
      </c>
      <c r="J205" t="s">
        <v>841</v>
      </c>
      <c r="K205" t="s">
        <v>852</v>
      </c>
      <c r="L205" t="s">
        <v>840</v>
      </c>
      <c r="M205" t="s">
        <v>840</v>
      </c>
      <c r="N205" t="s">
        <v>852</v>
      </c>
      <c r="O205" t="s">
        <v>852</v>
      </c>
      <c r="P205" t="s">
        <v>840</v>
      </c>
      <c r="Q205" t="s">
        <v>876</v>
      </c>
      <c r="R205" t="s">
        <v>879</v>
      </c>
      <c r="S205" t="s">
        <v>879</v>
      </c>
      <c r="T205" t="s">
        <v>879</v>
      </c>
      <c r="U205" t="s">
        <v>879</v>
      </c>
      <c r="V205" t="s">
        <v>879</v>
      </c>
      <c r="W205" t="s">
        <v>879</v>
      </c>
      <c r="X205" t="s">
        <v>879</v>
      </c>
      <c r="Y205" t="s">
        <v>879</v>
      </c>
      <c r="Z205" t="s">
        <v>880</v>
      </c>
      <c r="AA205" t="s">
        <v>880</v>
      </c>
    </row>
    <row r="206" spans="2:27">
      <c r="B206" t="s">
        <v>816</v>
      </c>
      <c r="C206" t="s">
        <v>852</v>
      </c>
      <c r="D206" t="s">
        <v>841</v>
      </c>
      <c r="E206" t="s">
        <v>852</v>
      </c>
      <c r="F206" t="s">
        <v>852</v>
      </c>
      <c r="G206" t="s">
        <v>852</v>
      </c>
      <c r="H206" t="s">
        <v>852</v>
      </c>
      <c r="I206" t="s">
        <v>840</v>
      </c>
      <c r="J206" t="s">
        <v>852</v>
      </c>
      <c r="K206" t="s">
        <v>852</v>
      </c>
      <c r="L206" t="s">
        <v>841</v>
      </c>
      <c r="M206" t="s">
        <v>841</v>
      </c>
      <c r="N206" t="s">
        <v>852</v>
      </c>
      <c r="O206" t="s">
        <v>852</v>
      </c>
      <c r="P206" t="s">
        <v>841</v>
      </c>
      <c r="Q206" t="s">
        <v>841</v>
      </c>
      <c r="R206" t="s">
        <v>879</v>
      </c>
      <c r="S206" t="s">
        <v>880</v>
      </c>
      <c r="T206" t="s">
        <v>880</v>
      </c>
      <c r="U206" t="s">
        <v>879</v>
      </c>
      <c r="V206" t="s">
        <v>879</v>
      </c>
      <c r="W206" t="s">
        <v>879</v>
      </c>
      <c r="X206" t="s">
        <v>879</v>
      </c>
      <c r="Y206" t="s">
        <v>879</v>
      </c>
      <c r="Z206" t="s">
        <v>880</v>
      </c>
      <c r="AA206" t="s">
        <v>880</v>
      </c>
    </row>
    <row r="207" spans="2:27">
      <c r="B207" t="s">
        <v>816</v>
      </c>
      <c r="C207" t="s">
        <v>840</v>
      </c>
      <c r="D207" t="s">
        <v>852</v>
      </c>
      <c r="E207" t="s">
        <v>852</v>
      </c>
      <c r="F207" t="s">
        <v>852</v>
      </c>
      <c r="G207" t="s">
        <v>852</v>
      </c>
      <c r="H207" t="s">
        <v>852</v>
      </c>
      <c r="I207" t="s">
        <v>841</v>
      </c>
      <c r="J207" t="s">
        <v>852</v>
      </c>
      <c r="K207" t="s">
        <v>852</v>
      </c>
      <c r="L207" t="s">
        <v>852</v>
      </c>
      <c r="M207" t="s">
        <v>866</v>
      </c>
      <c r="N207" t="s">
        <v>852</v>
      </c>
      <c r="O207" t="s">
        <v>840</v>
      </c>
      <c r="P207" t="s">
        <v>872</v>
      </c>
      <c r="Q207" t="s">
        <v>872</v>
      </c>
      <c r="R207" t="s">
        <v>879</v>
      </c>
      <c r="S207" t="s">
        <v>880</v>
      </c>
      <c r="T207" t="s">
        <v>880</v>
      </c>
      <c r="U207" t="s">
        <v>879</v>
      </c>
      <c r="V207" t="s">
        <v>879</v>
      </c>
      <c r="W207" t="s">
        <v>879</v>
      </c>
      <c r="X207" t="s">
        <v>879</v>
      </c>
      <c r="Y207" t="s">
        <v>879</v>
      </c>
      <c r="Z207" t="s">
        <v>879</v>
      </c>
      <c r="AA207" t="s">
        <v>879</v>
      </c>
    </row>
    <row r="208" spans="2:27">
      <c r="B208" t="s">
        <v>816</v>
      </c>
      <c r="C208" t="s">
        <v>841</v>
      </c>
      <c r="D208" t="s">
        <v>852</v>
      </c>
      <c r="E208" t="s">
        <v>852</v>
      </c>
      <c r="F208" t="s">
        <v>852</v>
      </c>
      <c r="G208" t="s">
        <v>852</v>
      </c>
      <c r="H208" t="s">
        <v>852</v>
      </c>
      <c r="I208" t="s">
        <v>852</v>
      </c>
      <c r="J208" t="s">
        <v>852</v>
      </c>
      <c r="K208" t="s">
        <v>840</v>
      </c>
      <c r="L208" t="s">
        <v>852</v>
      </c>
      <c r="M208" t="s">
        <v>866</v>
      </c>
      <c r="N208" t="s">
        <v>852</v>
      </c>
      <c r="O208" t="s">
        <v>841</v>
      </c>
      <c r="P208" t="s">
        <v>872</v>
      </c>
      <c r="Q208" t="s">
        <v>872</v>
      </c>
      <c r="R208" t="s">
        <v>879</v>
      </c>
      <c r="S208" t="s">
        <v>879</v>
      </c>
      <c r="T208" t="s">
        <v>879</v>
      </c>
      <c r="U208" t="s">
        <v>879</v>
      </c>
      <c r="V208" t="s">
        <v>880</v>
      </c>
      <c r="W208" t="s">
        <v>880</v>
      </c>
      <c r="X208" t="s">
        <v>879</v>
      </c>
      <c r="Y208" t="s">
        <v>879</v>
      </c>
      <c r="Z208" t="s">
        <v>879</v>
      </c>
      <c r="AA208" t="s">
        <v>879</v>
      </c>
    </row>
    <row r="209" spans="2:27">
      <c r="B209" t="s">
        <v>816</v>
      </c>
      <c r="C209" t="s">
        <v>852</v>
      </c>
      <c r="D209" t="s">
        <v>852</v>
      </c>
      <c r="E209" t="s">
        <v>840</v>
      </c>
      <c r="F209" t="s">
        <v>852</v>
      </c>
      <c r="G209" t="s">
        <v>852</v>
      </c>
      <c r="H209" t="s">
        <v>852</v>
      </c>
      <c r="I209" t="s">
        <v>852</v>
      </c>
      <c r="J209" t="s">
        <v>852</v>
      </c>
      <c r="K209" t="s">
        <v>841</v>
      </c>
      <c r="L209" t="s">
        <v>852</v>
      </c>
      <c r="M209" t="s">
        <v>866</v>
      </c>
      <c r="N209" t="s">
        <v>852</v>
      </c>
      <c r="O209" t="s">
        <v>852</v>
      </c>
      <c r="P209" t="s">
        <v>872</v>
      </c>
      <c r="R209" t="s">
        <v>880</v>
      </c>
      <c r="S209" t="s">
        <v>879</v>
      </c>
      <c r="T209" t="s">
        <v>879</v>
      </c>
      <c r="U209" t="s">
        <v>879</v>
      </c>
      <c r="V209" t="s">
        <v>880</v>
      </c>
      <c r="W209" t="s">
        <v>880</v>
      </c>
      <c r="X209" t="s">
        <v>879</v>
      </c>
      <c r="Y209" t="s">
        <v>879</v>
      </c>
      <c r="Z209" t="s">
        <v>879</v>
      </c>
      <c r="AA209" t="s">
        <v>879</v>
      </c>
    </row>
    <row r="210" spans="2:27">
      <c r="B210" t="s">
        <v>840</v>
      </c>
      <c r="C210" t="s">
        <v>852</v>
      </c>
      <c r="D210" t="s">
        <v>852</v>
      </c>
      <c r="E210" t="s">
        <v>841</v>
      </c>
      <c r="F210" t="s">
        <v>852</v>
      </c>
      <c r="G210" t="s">
        <v>852</v>
      </c>
      <c r="H210" t="s">
        <v>852</v>
      </c>
      <c r="I210" t="s">
        <v>852</v>
      </c>
      <c r="J210" t="s">
        <v>852</v>
      </c>
      <c r="K210" t="s">
        <v>852</v>
      </c>
      <c r="L210" t="s">
        <v>852</v>
      </c>
      <c r="M210" t="s">
        <v>866</v>
      </c>
      <c r="N210" t="s">
        <v>840</v>
      </c>
      <c r="O210" t="s">
        <v>852</v>
      </c>
      <c r="R210" t="s">
        <v>880</v>
      </c>
      <c r="S210" t="s">
        <v>879</v>
      </c>
      <c r="T210" t="s">
        <v>879</v>
      </c>
      <c r="U210" t="s">
        <v>880</v>
      </c>
      <c r="V210" t="s">
        <v>879</v>
      </c>
      <c r="W210" t="s">
        <v>879</v>
      </c>
      <c r="X210" t="s">
        <v>880</v>
      </c>
      <c r="Y210" t="s">
        <v>880</v>
      </c>
      <c r="Z210" t="s">
        <v>879</v>
      </c>
      <c r="AA210" t="s">
        <v>879</v>
      </c>
    </row>
    <row r="211" spans="2:27">
      <c r="B211" t="s">
        <v>841</v>
      </c>
      <c r="C211" t="s">
        <v>852</v>
      </c>
      <c r="D211" t="s">
        <v>852</v>
      </c>
      <c r="E211" t="s">
        <v>852</v>
      </c>
      <c r="F211" t="s">
        <v>852</v>
      </c>
      <c r="G211" t="s">
        <v>852</v>
      </c>
      <c r="H211" t="s">
        <v>840</v>
      </c>
      <c r="I211" t="s">
        <v>852</v>
      </c>
      <c r="J211" t="s">
        <v>840</v>
      </c>
      <c r="K211" t="s">
        <v>852</v>
      </c>
      <c r="L211" t="s">
        <v>852</v>
      </c>
      <c r="M211" t="s">
        <v>866</v>
      </c>
      <c r="N211" t="s">
        <v>841</v>
      </c>
      <c r="O211" t="s">
        <v>852</v>
      </c>
      <c r="R211" t="s">
        <v>879</v>
      </c>
      <c r="S211" t="s">
        <v>879</v>
      </c>
      <c r="T211" t="s">
        <v>879</v>
      </c>
      <c r="U211" t="s">
        <v>880</v>
      </c>
      <c r="V211" t="s">
        <v>879</v>
      </c>
      <c r="W211" t="s">
        <v>879</v>
      </c>
      <c r="X211" t="s">
        <v>880</v>
      </c>
      <c r="Y211" t="s">
        <v>880</v>
      </c>
      <c r="Z211" t="s">
        <v>879</v>
      </c>
      <c r="AA211" t="s">
        <v>879</v>
      </c>
    </row>
    <row r="212" spans="2:27">
      <c r="B212" t="s">
        <v>816</v>
      </c>
      <c r="C212" t="s">
        <v>852</v>
      </c>
      <c r="D212" t="s">
        <v>840</v>
      </c>
      <c r="E212" t="s">
        <v>852</v>
      </c>
      <c r="F212" t="s">
        <v>852</v>
      </c>
      <c r="G212" t="s">
        <v>852</v>
      </c>
      <c r="H212" t="s">
        <v>841</v>
      </c>
      <c r="I212" t="s">
        <v>852</v>
      </c>
      <c r="J212" t="s">
        <v>841</v>
      </c>
      <c r="K212" t="s">
        <v>852</v>
      </c>
      <c r="L212" t="s">
        <v>840</v>
      </c>
      <c r="M212" t="s">
        <v>840</v>
      </c>
      <c r="N212" t="s">
        <v>852</v>
      </c>
      <c r="O212" t="s">
        <v>852</v>
      </c>
      <c r="R212" t="s">
        <v>879</v>
      </c>
      <c r="S212" t="s">
        <v>879</v>
      </c>
      <c r="T212" t="s">
        <v>879</v>
      </c>
      <c r="U212" t="s">
        <v>879</v>
      </c>
      <c r="V212" t="s">
        <v>879</v>
      </c>
      <c r="W212" t="s">
        <v>879</v>
      </c>
      <c r="X212" t="s">
        <v>879</v>
      </c>
      <c r="Y212" t="s">
        <v>879</v>
      </c>
      <c r="Z212" t="s">
        <v>880</v>
      </c>
      <c r="AA212" t="s">
        <v>880</v>
      </c>
    </row>
    <row r="213" spans="2:27">
      <c r="B213" t="s">
        <v>816</v>
      </c>
      <c r="C213" t="s">
        <v>852</v>
      </c>
      <c r="D213" t="s">
        <v>841</v>
      </c>
      <c r="E213" t="s">
        <v>852</v>
      </c>
      <c r="F213" t="s">
        <v>852</v>
      </c>
      <c r="G213" t="s">
        <v>852</v>
      </c>
      <c r="H213" t="s">
        <v>852</v>
      </c>
      <c r="I213" t="s">
        <v>840</v>
      </c>
      <c r="J213" t="s">
        <v>852</v>
      </c>
      <c r="K213" t="s">
        <v>852</v>
      </c>
      <c r="L213" t="s">
        <v>841</v>
      </c>
      <c r="M213" t="s">
        <v>841</v>
      </c>
      <c r="N213" t="s">
        <v>852</v>
      </c>
      <c r="O213" t="s">
        <v>852</v>
      </c>
      <c r="R213" t="s">
        <v>879</v>
      </c>
      <c r="S213" t="s">
        <v>880</v>
      </c>
      <c r="T213" t="s">
        <v>880</v>
      </c>
      <c r="U213" t="s">
        <v>879</v>
      </c>
      <c r="V213" t="s">
        <v>879</v>
      </c>
      <c r="W213" t="s">
        <v>879</v>
      </c>
      <c r="X213" t="s">
        <v>879</v>
      </c>
      <c r="Y213" t="s">
        <v>879</v>
      </c>
      <c r="Z213" t="s">
        <v>880</v>
      </c>
      <c r="AA213" t="s">
        <v>880</v>
      </c>
    </row>
    <row r="214" spans="2:27">
      <c r="B214" t="s">
        <v>816</v>
      </c>
      <c r="C214" t="s">
        <v>840</v>
      </c>
      <c r="D214" t="s">
        <v>852</v>
      </c>
      <c r="E214" t="s">
        <v>852</v>
      </c>
      <c r="F214" t="s">
        <v>852</v>
      </c>
      <c r="G214" t="s">
        <v>852</v>
      </c>
      <c r="H214" t="s">
        <v>852</v>
      </c>
      <c r="I214" t="s">
        <v>841</v>
      </c>
      <c r="J214" t="s">
        <v>852</v>
      </c>
      <c r="K214" t="s">
        <v>852</v>
      </c>
      <c r="L214" t="s">
        <v>852</v>
      </c>
      <c r="M214" t="s">
        <v>866</v>
      </c>
      <c r="N214" t="s">
        <v>852</v>
      </c>
      <c r="O214" t="s">
        <v>840</v>
      </c>
      <c r="R214" t="s">
        <v>879</v>
      </c>
      <c r="S214" t="s">
        <v>880</v>
      </c>
      <c r="T214" t="s">
        <v>880</v>
      </c>
      <c r="U214" t="s">
        <v>879</v>
      </c>
      <c r="V214" t="s">
        <v>879</v>
      </c>
      <c r="W214" t="s">
        <v>879</v>
      </c>
      <c r="X214" t="s">
        <v>879</v>
      </c>
      <c r="Y214" t="s">
        <v>879</v>
      </c>
      <c r="Z214" t="s">
        <v>879</v>
      </c>
      <c r="AA214" t="s">
        <v>879</v>
      </c>
    </row>
    <row r="215" spans="2:27">
      <c r="B215" t="s">
        <v>816</v>
      </c>
      <c r="C215" t="s">
        <v>841</v>
      </c>
      <c r="D215" t="s">
        <v>852</v>
      </c>
      <c r="E215" t="s">
        <v>852</v>
      </c>
      <c r="F215" t="s">
        <v>852</v>
      </c>
      <c r="G215" t="s">
        <v>852</v>
      </c>
      <c r="H215" t="s">
        <v>852</v>
      </c>
      <c r="I215" t="s">
        <v>852</v>
      </c>
      <c r="J215" t="s">
        <v>852</v>
      </c>
      <c r="K215" t="s">
        <v>840</v>
      </c>
      <c r="L215" t="s">
        <v>852</v>
      </c>
      <c r="M215" t="s">
        <v>866</v>
      </c>
      <c r="N215" t="s">
        <v>852</v>
      </c>
      <c r="O215" t="s">
        <v>841</v>
      </c>
      <c r="R215" t="s">
        <v>879</v>
      </c>
      <c r="S215" t="s">
        <v>879</v>
      </c>
      <c r="T215" t="s">
        <v>879</v>
      </c>
      <c r="U215" t="s">
        <v>879</v>
      </c>
      <c r="V215" t="s">
        <v>880</v>
      </c>
      <c r="W215" t="s">
        <v>880</v>
      </c>
      <c r="X215" t="s">
        <v>879</v>
      </c>
      <c r="Y215" t="s">
        <v>879</v>
      </c>
      <c r="Z215" t="s">
        <v>879</v>
      </c>
      <c r="AA215" t="s">
        <v>879</v>
      </c>
    </row>
    <row r="216" spans="2:27">
      <c r="B216" t="s">
        <v>816</v>
      </c>
      <c r="C216" t="s">
        <v>852</v>
      </c>
      <c r="D216" t="s">
        <v>852</v>
      </c>
      <c r="E216" t="s">
        <v>840</v>
      </c>
      <c r="F216" t="s">
        <v>852</v>
      </c>
      <c r="G216" t="s">
        <v>852</v>
      </c>
      <c r="H216" t="s">
        <v>852</v>
      </c>
      <c r="I216" t="s">
        <v>852</v>
      </c>
      <c r="J216" t="s">
        <v>852</v>
      </c>
      <c r="K216" t="s">
        <v>841</v>
      </c>
      <c r="L216" t="s">
        <v>852</v>
      </c>
      <c r="M216" t="s">
        <v>866</v>
      </c>
      <c r="N216" t="s">
        <v>852</v>
      </c>
      <c r="O216" t="s">
        <v>852</v>
      </c>
      <c r="R216" t="s">
        <v>880</v>
      </c>
      <c r="T216" t="s">
        <v>879</v>
      </c>
      <c r="U216" t="s">
        <v>879</v>
      </c>
      <c r="V216" t="s">
        <v>880</v>
      </c>
      <c r="W216" t="s">
        <v>880</v>
      </c>
      <c r="X216" t="s">
        <v>879</v>
      </c>
      <c r="Y216" t="s">
        <v>879</v>
      </c>
      <c r="Z216" t="s">
        <v>879</v>
      </c>
      <c r="AA216" t="s">
        <v>879</v>
      </c>
    </row>
    <row r="217" spans="2:27">
      <c r="B217" t="s">
        <v>840</v>
      </c>
      <c r="C217" t="s">
        <v>852</v>
      </c>
      <c r="D217" t="s">
        <v>852</v>
      </c>
      <c r="E217" t="s">
        <v>841</v>
      </c>
      <c r="F217" t="s">
        <v>852</v>
      </c>
      <c r="G217" t="s">
        <v>852</v>
      </c>
      <c r="H217" t="s">
        <v>852</v>
      </c>
      <c r="I217" t="s">
        <v>852</v>
      </c>
      <c r="J217" t="s">
        <v>852</v>
      </c>
      <c r="K217" t="s">
        <v>852</v>
      </c>
      <c r="L217" t="s">
        <v>852</v>
      </c>
      <c r="M217" t="s">
        <v>866</v>
      </c>
      <c r="N217" t="s">
        <v>840</v>
      </c>
      <c r="O217" t="s">
        <v>852</v>
      </c>
      <c r="R217" t="s">
        <v>880</v>
      </c>
      <c r="T217" t="s">
        <v>879</v>
      </c>
      <c r="U217" t="s">
        <v>880</v>
      </c>
      <c r="V217" t="s">
        <v>879</v>
      </c>
      <c r="W217" t="s">
        <v>879</v>
      </c>
      <c r="X217" t="s">
        <v>880</v>
      </c>
      <c r="Y217" t="s">
        <v>880</v>
      </c>
      <c r="Z217" t="s">
        <v>879</v>
      </c>
      <c r="AA217" t="s">
        <v>879</v>
      </c>
    </row>
    <row r="218" spans="2:27">
      <c r="B218" t="s">
        <v>841</v>
      </c>
      <c r="C218" t="s">
        <v>852</v>
      </c>
      <c r="D218" t="s">
        <v>852</v>
      </c>
      <c r="E218" t="s">
        <v>852</v>
      </c>
      <c r="F218" t="s">
        <v>852</v>
      </c>
      <c r="G218" t="s">
        <v>852</v>
      </c>
      <c r="H218" t="s">
        <v>840</v>
      </c>
      <c r="I218" t="s">
        <v>852</v>
      </c>
      <c r="J218" t="s">
        <v>840</v>
      </c>
      <c r="K218" t="s">
        <v>852</v>
      </c>
      <c r="N218" t="s">
        <v>841</v>
      </c>
      <c r="R218" t="s">
        <v>879</v>
      </c>
      <c r="T218" t="s">
        <v>879</v>
      </c>
      <c r="U218" t="s">
        <v>880</v>
      </c>
      <c r="V218" t="s">
        <v>879</v>
      </c>
      <c r="W218" t="s">
        <v>879</v>
      </c>
      <c r="X218" t="s">
        <v>880</v>
      </c>
      <c r="Y218" t="s">
        <v>880</v>
      </c>
      <c r="Z218" t="s">
        <v>879</v>
      </c>
      <c r="AA218" t="s">
        <v>879</v>
      </c>
    </row>
    <row r="715" spans="2:4">
      <c r="B715">
        <v>2.5000000000000001E-2</v>
      </c>
      <c r="D715">
        <v>2.5000000000000001E-2</v>
      </c>
    </row>
    <row r="716" spans="2:4">
      <c r="B716">
        <v>2.5000000000000001E-2</v>
      </c>
      <c r="D716">
        <v>2.5000000000000001E-2</v>
      </c>
    </row>
    <row r="717" spans="2:4">
      <c r="B717">
        <v>2.5000000000000001E-2</v>
      </c>
      <c r="D717">
        <v>2.5000000000000001E-2</v>
      </c>
    </row>
    <row r="718" spans="2:4">
      <c r="B718">
        <v>2.5000000000000001E-2</v>
      </c>
      <c r="D718">
        <v>2.5000000000000001E-2</v>
      </c>
    </row>
    <row r="719" spans="2:4">
      <c r="B719">
        <v>2.5000000000000001E-2</v>
      </c>
      <c r="D719">
        <v>2.5000000000000001E-2</v>
      </c>
    </row>
    <row r="720" spans="2:4">
      <c r="B720">
        <v>2.5000000000000001E-2</v>
      </c>
      <c r="D720">
        <v>2.5000000000000001E-2</v>
      </c>
    </row>
    <row r="721" spans="2:4">
      <c r="B721">
        <v>2.5000000000000001E-2</v>
      </c>
      <c r="D721">
        <v>2.5000000000000001E-2</v>
      </c>
    </row>
    <row r="722" spans="2:4">
      <c r="B722">
        <v>2.5000000000000001E-2</v>
      </c>
      <c r="D722">
        <v>2.5000000000000001E-2</v>
      </c>
    </row>
    <row r="723" spans="2:4">
      <c r="B723">
        <v>2.5000000000000001E-2</v>
      </c>
      <c r="D723">
        <v>2.5000000000000001E-2</v>
      </c>
    </row>
    <row r="724" spans="2:4">
      <c r="B724">
        <v>2.5000000000000001E-2</v>
      </c>
      <c r="D724">
        <v>2.5000000000000001E-2</v>
      </c>
    </row>
    <row r="725" spans="2:4">
      <c r="B725">
        <v>2.5000000000000001E-2</v>
      </c>
      <c r="D725">
        <v>2.5000000000000001E-2</v>
      </c>
    </row>
    <row r="726" spans="2:4">
      <c r="B726">
        <v>2.5000000000000001E-2</v>
      </c>
      <c r="D726">
        <v>2.5000000000000001E-2</v>
      </c>
    </row>
    <row r="727" spans="2:4">
      <c r="B727">
        <v>2.5000000000000001E-2</v>
      </c>
      <c r="D727">
        <v>2.5000000000000001E-2</v>
      </c>
    </row>
    <row r="728" spans="2:4">
      <c r="B728">
        <v>2.5000000000000001E-2</v>
      </c>
      <c r="D728">
        <v>2.5000000000000001E-2</v>
      </c>
    </row>
    <row r="729" spans="2:4">
      <c r="B729">
        <v>2.5000000000000001E-2</v>
      </c>
      <c r="D729">
        <v>2.5000000000000001E-2</v>
      </c>
    </row>
    <row r="730" spans="2:4">
      <c r="B730">
        <v>2.5000000000000001E-2</v>
      </c>
      <c r="D730">
        <v>2.5000000000000001E-2</v>
      </c>
    </row>
    <row r="731" spans="2:4">
      <c r="B731">
        <v>2.5000000000000001E-2</v>
      </c>
      <c r="D731">
        <v>2.5000000000000001E-2</v>
      </c>
    </row>
    <row r="732" spans="2:4">
      <c r="B732">
        <v>2.5000000000000001E-2</v>
      </c>
      <c r="D732">
        <v>2.5000000000000001E-2</v>
      </c>
    </row>
    <row r="733" spans="2:4">
      <c r="B733">
        <v>2.5000000000000001E-2</v>
      </c>
      <c r="D733">
        <v>2.5000000000000001E-2</v>
      </c>
    </row>
    <row r="734" spans="2:4">
      <c r="B734">
        <v>2.5000000000000001E-2</v>
      </c>
      <c r="D734">
        <v>2.5000000000000001E-2</v>
      </c>
    </row>
    <row r="735" spans="2:4">
      <c r="B735">
        <v>2.5000000000000001E-2</v>
      </c>
      <c r="D735">
        <v>2.5000000000000001E-2</v>
      </c>
    </row>
    <row r="736" spans="2:4">
      <c r="B736">
        <v>2.5000000000000001E-2</v>
      </c>
      <c r="D736">
        <v>2.5000000000000001E-2</v>
      </c>
    </row>
    <row r="737" spans="2:4">
      <c r="B737">
        <v>2.5000000000000001E-2</v>
      </c>
      <c r="D737">
        <v>2.5000000000000001E-2</v>
      </c>
    </row>
    <row r="738" spans="2:4">
      <c r="B738">
        <v>2.5000000000000001E-2</v>
      </c>
      <c r="D738">
        <v>2.5000000000000001E-2</v>
      </c>
    </row>
    <row r="739" spans="2:4">
      <c r="B739">
        <v>2.5000000000000001E-2</v>
      </c>
      <c r="D739">
        <v>2.5000000000000001E-2</v>
      </c>
    </row>
    <row r="740" spans="2:4">
      <c r="B740">
        <v>2.5000000000000001E-2</v>
      </c>
      <c r="D740">
        <v>2.5000000000000001E-2</v>
      </c>
    </row>
    <row r="741" spans="2:4">
      <c r="B741">
        <v>2.5000000000000001E-2</v>
      </c>
      <c r="D741">
        <v>2.5000000000000001E-2</v>
      </c>
    </row>
    <row r="742" spans="2:4">
      <c r="B742">
        <v>2.5000000000000001E-2</v>
      </c>
      <c r="D742">
        <v>2.5000000000000001E-2</v>
      </c>
    </row>
    <row r="743" spans="2:4">
      <c r="B743">
        <v>2.5000000000000001E-2</v>
      </c>
      <c r="D743">
        <v>2.5000000000000001E-2</v>
      </c>
    </row>
    <row r="744" spans="2:4">
      <c r="B744">
        <v>2.5000000000000001E-2</v>
      </c>
      <c r="D744">
        <v>2.5000000000000001E-2</v>
      </c>
    </row>
    <row r="745" spans="2:4">
      <c r="B745">
        <v>2.5000000000000001E-2</v>
      </c>
      <c r="D745">
        <v>2.5000000000000001E-2</v>
      </c>
    </row>
    <row r="746" spans="2:4">
      <c r="B746">
        <v>2.5000000000000001E-2</v>
      </c>
      <c r="D746">
        <v>2.5000000000000001E-2</v>
      </c>
    </row>
    <row r="747" spans="2:4">
      <c r="B747">
        <v>2.5000000000000001E-2</v>
      </c>
      <c r="D747">
        <v>2.5000000000000001E-2</v>
      </c>
    </row>
    <row r="748" spans="2:4">
      <c r="B748">
        <v>2.5000000000000001E-2</v>
      </c>
      <c r="D748">
        <v>2.5000000000000001E-2</v>
      </c>
    </row>
    <row r="749" spans="2:4">
      <c r="B749">
        <v>2.5000000000000001E-2</v>
      </c>
      <c r="D749">
        <v>2.5000000000000001E-2</v>
      </c>
    </row>
    <row r="750" spans="2:4">
      <c r="B750">
        <v>2.5000000000000001E-2</v>
      </c>
      <c r="D750">
        <v>2.5000000000000001E-2</v>
      </c>
    </row>
    <row r="751" spans="2:4">
      <c r="B751">
        <v>2.5000000000000001E-2</v>
      </c>
      <c r="D751">
        <v>2.5000000000000001E-2</v>
      </c>
    </row>
    <row r="752" spans="2:4">
      <c r="B752">
        <v>2.5000000000000001E-2</v>
      </c>
      <c r="D752">
        <v>2.5000000000000001E-2</v>
      </c>
    </row>
    <row r="753" spans="2:4">
      <c r="B753">
        <v>2.5000000000000001E-2</v>
      </c>
      <c r="D753">
        <v>2.5000000000000001E-2</v>
      </c>
    </row>
    <row r="754" spans="2:4">
      <c r="B754">
        <v>2.5000000000000001E-2</v>
      </c>
      <c r="D754">
        <v>2.5000000000000001E-2</v>
      </c>
    </row>
    <row r="755" spans="2:4">
      <c r="B755">
        <v>2.5000000000000001E-2</v>
      </c>
      <c r="D755">
        <v>2.5000000000000001E-2</v>
      </c>
    </row>
    <row r="756" spans="2:4">
      <c r="B756">
        <v>2.5000000000000001E-2</v>
      </c>
      <c r="D756">
        <v>2.5000000000000001E-2</v>
      </c>
    </row>
    <row r="757" spans="2:4">
      <c r="B757">
        <v>2.5000000000000001E-2</v>
      </c>
      <c r="D757">
        <v>2.5000000000000001E-2</v>
      </c>
    </row>
    <row r="758" spans="2:4">
      <c r="B758">
        <v>2.5000000000000001E-2</v>
      </c>
      <c r="D758">
        <v>2.5000000000000001E-2</v>
      </c>
    </row>
    <row r="759" spans="2:4">
      <c r="B759">
        <v>2.5000000000000001E-2</v>
      </c>
      <c r="D759">
        <v>2.5000000000000001E-2</v>
      </c>
    </row>
    <row r="760" spans="2:4">
      <c r="B760">
        <v>2.5000000000000001E-2</v>
      </c>
      <c r="D760">
        <v>2.5000000000000001E-2</v>
      </c>
    </row>
    <row r="761" spans="2:4">
      <c r="B761">
        <v>2.5000000000000001E-2</v>
      </c>
      <c r="D761">
        <v>2.5000000000000001E-2</v>
      </c>
    </row>
    <row r="762" spans="2:4">
      <c r="B762">
        <v>2.5000000000000001E-2</v>
      </c>
      <c r="D762">
        <v>2.5000000000000001E-2</v>
      </c>
    </row>
    <row r="763" spans="2:4">
      <c r="B763">
        <v>2.5000000000000001E-2</v>
      </c>
      <c r="D763">
        <v>2.5000000000000001E-2</v>
      </c>
    </row>
    <row r="764" spans="2:4">
      <c r="B764">
        <v>2.5000000000000001E-2</v>
      </c>
      <c r="D764">
        <v>2.5000000000000001E-2</v>
      </c>
    </row>
    <row r="765" spans="2:4">
      <c r="B765">
        <v>2.5000000000000001E-2</v>
      </c>
      <c r="D765">
        <v>2.5000000000000001E-2</v>
      </c>
    </row>
    <row r="766" spans="2:4">
      <c r="B766">
        <v>2.5000000000000001E-2</v>
      </c>
      <c r="D766">
        <v>2.5000000000000001E-2</v>
      </c>
    </row>
    <row r="767" spans="2:4">
      <c r="B767">
        <v>2.5000000000000001E-2</v>
      </c>
      <c r="D767">
        <v>2.5000000000000001E-2</v>
      </c>
    </row>
    <row r="768" spans="2:4">
      <c r="B768">
        <v>2.5000000000000001E-2</v>
      </c>
      <c r="D768">
        <v>2.5000000000000001E-2</v>
      </c>
    </row>
    <row r="769" spans="2:27">
      <c r="B769">
        <v>2.5000000000000001E-2</v>
      </c>
      <c r="D769">
        <v>2.5000000000000001E-2</v>
      </c>
    </row>
    <row r="770" spans="2:27">
      <c r="B770">
        <v>2.5000000000000001E-2</v>
      </c>
      <c r="D770">
        <v>2.5000000000000001E-2</v>
      </c>
    </row>
    <row r="771" spans="2:27">
      <c r="B771">
        <v>2.5000000000000001E-2</v>
      </c>
      <c r="D771">
        <v>2.5000000000000001E-2</v>
      </c>
    </row>
    <row r="772" spans="2:27">
      <c r="B772">
        <v>2.5000000000000001E-2</v>
      </c>
      <c r="D772">
        <v>2.5000000000000001E-2</v>
      </c>
    </row>
    <row r="773" spans="2:27">
      <c r="B773">
        <v>2.5000000000000001E-2</v>
      </c>
      <c r="D773">
        <v>2.5000000000000001E-2</v>
      </c>
    </row>
    <row r="774" spans="2:27">
      <c r="B774">
        <v>2.5000000000000001E-2</v>
      </c>
      <c r="D774">
        <v>2.5000000000000001E-2</v>
      </c>
    </row>
    <row r="775" spans="2:27">
      <c r="B775">
        <v>2.5000000000000001E-2</v>
      </c>
      <c r="D775">
        <v>2.5000000000000001E-2</v>
      </c>
    </row>
    <row r="776" spans="2:27">
      <c r="B776">
        <v>2.5000000000000001E-2</v>
      </c>
      <c r="D776">
        <v>2.5000000000000001E-2</v>
      </c>
    </row>
    <row r="777" spans="2:27">
      <c r="B777">
        <v>0.10526315789473684</v>
      </c>
      <c r="C777">
        <v>0.10526315789473684</v>
      </c>
      <c r="D777">
        <v>0.10526315789473684</v>
      </c>
      <c r="E777">
        <v>0.10526315789473684</v>
      </c>
      <c r="F777">
        <v>0.10526315789473684</v>
      </c>
      <c r="G777">
        <v>0.10526315789473684</v>
      </c>
      <c r="H777">
        <v>0.10526315789473684</v>
      </c>
      <c r="I777">
        <v>0.10526315789473684</v>
      </c>
      <c r="J777">
        <v>0.10526315789473684</v>
      </c>
      <c r="K777">
        <v>0.10526315789473684</v>
      </c>
      <c r="L777">
        <v>0.10526315789473684</v>
      </c>
      <c r="M777">
        <v>0.10526315789473684</v>
      </c>
      <c r="N777">
        <v>0.10526315789473684</v>
      </c>
      <c r="O777">
        <v>0.10526315789473684</v>
      </c>
      <c r="P777">
        <v>0.10526315789473684</v>
      </c>
      <c r="Q777">
        <v>0.10526315789473684</v>
      </c>
      <c r="R777">
        <v>0.10526315789473684</v>
      </c>
      <c r="S777">
        <v>0.10526315789473684</v>
      </c>
      <c r="T777">
        <v>0.10526315789473684</v>
      </c>
      <c r="U777">
        <v>0.10526315789473684</v>
      </c>
      <c r="V777">
        <v>0.10526315789473684</v>
      </c>
      <c r="W777">
        <v>0.10526315789473684</v>
      </c>
      <c r="X777">
        <v>0.10526315789473684</v>
      </c>
      <c r="Y777">
        <v>0.10526315789473684</v>
      </c>
      <c r="Z777">
        <v>0.10526315789473684</v>
      </c>
      <c r="AA777">
        <v>0.10526315789473684</v>
      </c>
    </row>
    <row r="778" spans="2:27">
      <c r="B778">
        <v>0.10526315789473684</v>
      </c>
      <c r="C778">
        <v>0.10526315789473684</v>
      </c>
      <c r="D778">
        <v>0.10526315789473684</v>
      </c>
      <c r="E778">
        <v>0.10526315789473684</v>
      </c>
      <c r="F778">
        <v>0.10526315789473684</v>
      </c>
      <c r="G778">
        <v>0.10526315789473684</v>
      </c>
      <c r="H778">
        <v>0.10526315789473684</v>
      </c>
      <c r="I778">
        <v>0.10526315789473684</v>
      </c>
      <c r="J778">
        <v>0.10526315789473684</v>
      </c>
      <c r="K778">
        <v>0.10526315789473684</v>
      </c>
      <c r="L778">
        <v>0.10526315789473684</v>
      </c>
      <c r="M778">
        <v>0.10526315789473684</v>
      </c>
      <c r="N778">
        <v>0.10526315789473684</v>
      </c>
      <c r="O778">
        <v>0.10526315789473684</v>
      </c>
      <c r="P778">
        <v>0.10526315789473684</v>
      </c>
      <c r="Q778">
        <v>0.10526315789473684</v>
      </c>
      <c r="R778">
        <v>0.10526315789473684</v>
      </c>
      <c r="S778">
        <v>0.10526315789473684</v>
      </c>
      <c r="T778">
        <v>0.10526315789473684</v>
      </c>
      <c r="U778">
        <v>0.10526315789473684</v>
      </c>
      <c r="V778">
        <v>0.10526315789473684</v>
      </c>
      <c r="W778">
        <v>0.10526315789473684</v>
      </c>
      <c r="X778">
        <v>0.10526315789473684</v>
      </c>
      <c r="Y778">
        <v>0.10526315789473684</v>
      </c>
      <c r="Z778">
        <v>0.10526315789473684</v>
      </c>
      <c r="AA778">
        <v>0.10526315789473684</v>
      </c>
    </row>
    <row r="779" spans="2:27">
      <c r="B779">
        <v>0.10526315789473684</v>
      </c>
      <c r="C779">
        <v>0.10526315789473684</v>
      </c>
      <c r="D779">
        <v>0.10526315789473684</v>
      </c>
      <c r="E779">
        <v>0.10526315789473684</v>
      </c>
      <c r="F779">
        <v>0.10526315789473684</v>
      </c>
      <c r="G779">
        <v>0.10526315789473684</v>
      </c>
      <c r="H779">
        <v>0.10526315789473684</v>
      </c>
      <c r="I779">
        <v>0.10526315789473684</v>
      </c>
      <c r="J779">
        <v>0.10526315789473684</v>
      </c>
      <c r="K779">
        <v>0.10526315789473684</v>
      </c>
      <c r="L779">
        <v>0.10526315789473684</v>
      </c>
      <c r="M779">
        <v>0.10526315789473684</v>
      </c>
      <c r="N779">
        <v>0.10526315789473684</v>
      </c>
      <c r="O779">
        <v>0.10526315789473684</v>
      </c>
      <c r="P779">
        <v>0.10526315789473684</v>
      </c>
      <c r="Q779">
        <v>0.10526315789473684</v>
      </c>
      <c r="R779">
        <v>0.10526315789473684</v>
      </c>
      <c r="S779">
        <v>0.10526315789473684</v>
      </c>
      <c r="T779">
        <v>0.10526315789473684</v>
      </c>
      <c r="U779">
        <v>0.10526315789473684</v>
      </c>
      <c r="V779">
        <v>0.10526315789473684</v>
      </c>
      <c r="W779">
        <v>0.10526315789473684</v>
      </c>
      <c r="X779">
        <v>0.10526315789473684</v>
      </c>
      <c r="Y779">
        <v>0.10526315789473684</v>
      </c>
      <c r="Z779">
        <v>0.10526315789473684</v>
      </c>
      <c r="AA779">
        <v>0.10526315789473684</v>
      </c>
    </row>
    <row r="780" spans="2:27">
      <c r="B780">
        <v>0.10526315789473684</v>
      </c>
      <c r="C780">
        <v>0.10526315789473684</v>
      </c>
      <c r="D780">
        <v>0.10526315789473684</v>
      </c>
      <c r="E780">
        <v>0.10526315789473684</v>
      </c>
      <c r="F780">
        <v>0.10526315789473684</v>
      </c>
      <c r="G780">
        <v>0.10526315789473684</v>
      </c>
      <c r="H780">
        <v>0.10526315789473684</v>
      </c>
      <c r="I780">
        <v>0.10526315789473684</v>
      </c>
      <c r="J780">
        <v>0.10526315789473684</v>
      </c>
      <c r="K780">
        <v>0.10526315789473684</v>
      </c>
      <c r="L780">
        <v>0.10526315789473684</v>
      </c>
      <c r="M780">
        <v>0.10526315789473684</v>
      </c>
      <c r="N780">
        <v>0.10526315789473684</v>
      </c>
      <c r="O780">
        <v>0.10526315789473684</v>
      </c>
      <c r="P780">
        <v>0.10526315789473684</v>
      </c>
      <c r="Q780">
        <v>0.10526315789473684</v>
      </c>
      <c r="R780">
        <v>0.10526315789473684</v>
      </c>
      <c r="S780">
        <v>0.10526315789473684</v>
      </c>
      <c r="T780">
        <v>0.10526315789473684</v>
      </c>
      <c r="U780">
        <v>0.10526315789473684</v>
      </c>
      <c r="V780">
        <v>0.10526315789473684</v>
      </c>
      <c r="W780">
        <v>0.10526315789473684</v>
      </c>
      <c r="X780">
        <v>0.10526315789473684</v>
      </c>
      <c r="Y780">
        <v>0.10526315789473684</v>
      </c>
      <c r="Z780">
        <v>0.10526315789473684</v>
      </c>
      <c r="AA780">
        <v>0.10526315789473684</v>
      </c>
    </row>
    <row r="781" spans="2:27">
      <c r="B781">
        <v>0.10526315789473684</v>
      </c>
      <c r="C781">
        <v>0.10526315789473684</v>
      </c>
      <c r="D781">
        <v>0.10526315789473684</v>
      </c>
      <c r="E781">
        <v>0.10526315789473684</v>
      </c>
      <c r="F781">
        <v>0.10526315789473684</v>
      </c>
      <c r="G781">
        <v>0.10526315789473684</v>
      </c>
      <c r="H781">
        <v>0.10526315789473684</v>
      </c>
      <c r="I781">
        <v>0.10526315789473684</v>
      </c>
      <c r="J781">
        <v>0.10526315789473684</v>
      </c>
      <c r="K781">
        <v>0.10526315789473684</v>
      </c>
      <c r="L781">
        <v>0.10526315789473684</v>
      </c>
      <c r="M781">
        <v>0.10526315789473684</v>
      </c>
      <c r="N781">
        <v>0.10526315789473684</v>
      </c>
      <c r="O781">
        <v>0.10526315789473684</v>
      </c>
      <c r="P781">
        <v>0.10526315789473684</v>
      </c>
      <c r="Q781">
        <v>0.10526315789473684</v>
      </c>
      <c r="R781">
        <v>0.10526315789473684</v>
      </c>
      <c r="S781">
        <v>0.10526315789473684</v>
      </c>
      <c r="T781">
        <v>0.10526315789473684</v>
      </c>
      <c r="U781">
        <v>0.10526315789473684</v>
      </c>
      <c r="V781">
        <v>0.10526315789473684</v>
      </c>
      <c r="W781">
        <v>0.10526315789473684</v>
      </c>
      <c r="X781">
        <v>0.10526315789473684</v>
      </c>
      <c r="Y781">
        <v>0.10526315789473684</v>
      </c>
      <c r="Z781">
        <v>0.10526315789473684</v>
      </c>
      <c r="AA781">
        <v>0.10526315789473684</v>
      </c>
    </row>
    <row r="782" spans="2:27">
      <c r="B782">
        <v>0.10526315789473684</v>
      </c>
      <c r="C782">
        <v>0.10526315789473684</v>
      </c>
      <c r="D782">
        <v>0.10526315789473684</v>
      </c>
      <c r="E782">
        <v>0.10526315789473684</v>
      </c>
      <c r="F782">
        <v>0.10526315789473684</v>
      </c>
      <c r="G782">
        <v>0.10526315789473684</v>
      </c>
      <c r="H782">
        <v>0.10526315789473684</v>
      </c>
      <c r="I782">
        <v>0.10526315789473684</v>
      </c>
      <c r="J782">
        <v>0.10526315789473684</v>
      </c>
      <c r="K782">
        <v>0.10526315789473684</v>
      </c>
      <c r="L782">
        <v>0.10526315789473684</v>
      </c>
      <c r="M782">
        <v>0.10526315789473684</v>
      </c>
      <c r="N782">
        <v>0.10526315789473684</v>
      </c>
      <c r="O782">
        <v>0.10526315789473684</v>
      </c>
      <c r="P782">
        <v>0.10526315789473684</v>
      </c>
      <c r="Q782">
        <v>0.10526315789473684</v>
      </c>
      <c r="R782">
        <v>0.10526315789473684</v>
      </c>
      <c r="S782">
        <v>0.10526315789473684</v>
      </c>
      <c r="T782">
        <v>0.10526315789473684</v>
      </c>
      <c r="U782">
        <v>0.10526315789473684</v>
      </c>
      <c r="V782">
        <v>0.10526315789473684</v>
      </c>
      <c r="W782">
        <v>0.10526315789473684</v>
      </c>
      <c r="X782">
        <v>0.10526315789473684</v>
      </c>
      <c r="Y782">
        <v>0.10526315789473684</v>
      </c>
      <c r="Z782">
        <v>0.10526315789473684</v>
      </c>
      <c r="AA782">
        <v>0.10526315789473684</v>
      </c>
    </row>
    <row r="783" spans="2:27">
      <c r="B783">
        <v>0.10526315789473684</v>
      </c>
      <c r="C783">
        <v>0.10526315789473684</v>
      </c>
      <c r="D783">
        <v>0.10526315789473684</v>
      </c>
      <c r="E783">
        <v>0.10526315789473684</v>
      </c>
      <c r="F783">
        <v>0.10526315789473684</v>
      </c>
      <c r="G783">
        <v>0.10526315789473684</v>
      </c>
      <c r="H783">
        <v>0.10526315789473684</v>
      </c>
      <c r="I783">
        <v>0.10526315789473684</v>
      </c>
      <c r="J783">
        <v>0.10526315789473684</v>
      </c>
      <c r="K783">
        <v>0.10526315789473684</v>
      </c>
      <c r="L783">
        <v>0.10526315789473684</v>
      </c>
      <c r="M783">
        <v>0.10526315789473684</v>
      </c>
      <c r="N783">
        <v>0.10526315789473684</v>
      </c>
      <c r="O783">
        <v>0.10526315789473684</v>
      </c>
      <c r="P783">
        <v>0.10526315789473684</v>
      </c>
      <c r="Q783">
        <v>0.10526315789473684</v>
      </c>
      <c r="R783">
        <v>0.10526315789473684</v>
      </c>
      <c r="S783">
        <v>0.10526315789473684</v>
      </c>
      <c r="T783">
        <v>0.10526315789473684</v>
      </c>
      <c r="U783">
        <v>0.10526315789473684</v>
      </c>
      <c r="V783">
        <v>0.10526315789473684</v>
      </c>
      <c r="W783">
        <v>0.10526315789473684</v>
      </c>
      <c r="X783">
        <v>0.10526315789473684</v>
      </c>
      <c r="Y783">
        <v>0.10526315789473684</v>
      </c>
      <c r="Z783">
        <v>0.10526315789473684</v>
      </c>
      <c r="AA783">
        <v>0.10526315789473684</v>
      </c>
    </row>
    <row r="784" spans="2:27">
      <c r="B784">
        <v>0.10526315789473684</v>
      </c>
      <c r="C784">
        <v>0.10526315789473684</v>
      </c>
      <c r="D784">
        <v>0.10526315789473684</v>
      </c>
      <c r="E784">
        <v>0.10526315789473684</v>
      </c>
      <c r="F784">
        <v>0.10526315789473684</v>
      </c>
      <c r="G784">
        <v>0.10526315789473684</v>
      </c>
      <c r="H784">
        <v>0.10526315789473684</v>
      </c>
      <c r="I784">
        <v>0.10526315789473684</v>
      </c>
      <c r="J784">
        <v>0.10526315789473684</v>
      </c>
      <c r="K784">
        <v>0.10526315789473684</v>
      </c>
      <c r="L784">
        <v>0.10526315789473684</v>
      </c>
      <c r="M784">
        <v>0.10526315789473684</v>
      </c>
      <c r="N784">
        <v>0.10526315789473684</v>
      </c>
      <c r="O784">
        <v>0.10526315789473684</v>
      </c>
      <c r="P784">
        <v>0.10526315789473684</v>
      </c>
      <c r="Q784">
        <v>0.10526315789473684</v>
      </c>
      <c r="R784">
        <v>0.10526315789473684</v>
      </c>
      <c r="S784">
        <v>0.10526315789473684</v>
      </c>
      <c r="T784">
        <v>0.10526315789473684</v>
      </c>
      <c r="U784">
        <v>0.10526315789473684</v>
      </c>
      <c r="V784">
        <v>0.10526315789473684</v>
      </c>
      <c r="W784">
        <v>0.10526315789473684</v>
      </c>
      <c r="X784">
        <v>0.10526315789473684</v>
      </c>
      <c r="Y784">
        <v>0.10526315789473684</v>
      </c>
      <c r="Z784">
        <v>0.10526315789473684</v>
      </c>
      <c r="AA784">
        <v>0.10526315789473684</v>
      </c>
    </row>
    <row r="785" spans="2:27">
      <c r="B785">
        <v>0.10526315789473684</v>
      </c>
      <c r="C785">
        <v>0.10526315789473684</v>
      </c>
      <c r="D785">
        <v>0.10526315789473684</v>
      </c>
      <c r="E785">
        <v>0.10526315789473684</v>
      </c>
      <c r="F785">
        <v>0.10526315789473684</v>
      </c>
      <c r="G785">
        <v>0.10526315789473684</v>
      </c>
      <c r="H785">
        <v>0.10526315789473684</v>
      </c>
      <c r="I785">
        <v>0.10526315789473684</v>
      </c>
      <c r="J785">
        <v>0.10526315789473684</v>
      </c>
      <c r="K785">
        <v>0.10526315789473684</v>
      </c>
      <c r="L785">
        <v>0.10526315789473684</v>
      </c>
      <c r="M785">
        <v>0.10526315789473684</v>
      </c>
      <c r="N785">
        <v>0.10526315789473684</v>
      </c>
      <c r="O785">
        <v>0.10526315789473684</v>
      </c>
      <c r="P785">
        <v>0.10526315789473684</v>
      </c>
      <c r="Q785">
        <v>0.10526315789473684</v>
      </c>
      <c r="R785">
        <v>0.10526315789473684</v>
      </c>
      <c r="S785">
        <v>0.10526315789473684</v>
      </c>
      <c r="T785">
        <v>0.10526315789473684</v>
      </c>
      <c r="U785">
        <v>0.10526315789473684</v>
      </c>
      <c r="V785">
        <v>0.10526315789473684</v>
      </c>
      <c r="W785">
        <v>0.10526315789473684</v>
      </c>
      <c r="X785">
        <v>0.10526315789473684</v>
      </c>
      <c r="Y785">
        <v>0.10526315789473684</v>
      </c>
      <c r="Z785">
        <v>0.10526315789473684</v>
      </c>
      <c r="AA785">
        <v>0.10526315789473684</v>
      </c>
    </row>
    <row r="786" spans="2:27">
      <c r="B786">
        <v>0.10526315789473684</v>
      </c>
      <c r="C786">
        <v>0.10526315789473684</v>
      </c>
      <c r="D786">
        <v>0.10526315789473684</v>
      </c>
      <c r="E786">
        <v>0.10526315789473684</v>
      </c>
      <c r="F786">
        <v>0.10526315789473684</v>
      </c>
      <c r="G786">
        <v>0.10526315789473684</v>
      </c>
      <c r="H786">
        <v>0.10526315789473684</v>
      </c>
      <c r="I786">
        <v>0.10526315789473684</v>
      </c>
      <c r="J786">
        <v>0.10526315789473684</v>
      </c>
      <c r="K786">
        <v>0.10526315789473684</v>
      </c>
      <c r="L786">
        <v>0.10526315789473684</v>
      </c>
      <c r="M786">
        <v>0.10526315789473684</v>
      </c>
      <c r="N786">
        <v>0.10526315789473684</v>
      </c>
      <c r="O786">
        <v>0.10526315789473684</v>
      </c>
      <c r="P786">
        <v>0.10526315789473684</v>
      </c>
      <c r="Q786">
        <v>0.10526315789473684</v>
      </c>
      <c r="R786">
        <v>0.10526315789473684</v>
      </c>
      <c r="S786">
        <v>0.10526315789473684</v>
      </c>
      <c r="T786">
        <v>0.10526315789473684</v>
      </c>
      <c r="U786">
        <v>0.10526315789473684</v>
      </c>
      <c r="V786">
        <v>0.10526315789473684</v>
      </c>
      <c r="W786">
        <v>0.10526315789473684</v>
      </c>
      <c r="X786">
        <v>0.10526315789473684</v>
      </c>
      <c r="Y786">
        <v>0.10526315789473684</v>
      </c>
      <c r="Z786">
        <v>0.10526315789473684</v>
      </c>
      <c r="AA786">
        <v>0.10526315789473684</v>
      </c>
    </row>
    <row r="787" spans="2:27">
      <c r="B787">
        <v>0.10526315789473684</v>
      </c>
      <c r="C787">
        <v>0.10526315789473684</v>
      </c>
      <c r="D787">
        <v>0.10526315789473684</v>
      </c>
      <c r="E787">
        <v>0.10526315789473684</v>
      </c>
      <c r="F787">
        <v>0.10526315789473684</v>
      </c>
      <c r="G787">
        <v>0.10526315789473684</v>
      </c>
      <c r="H787">
        <v>0.10526315789473684</v>
      </c>
      <c r="I787">
        <v>0.10526315789473684</v>
      </c>
      <c r="J787">
        <v>0.10526315789473684</v>
      </c>
      <c r="K787">
        <v>0.10526315789473684</v>
      </c>
      <c r="L787">
        <v>0.10526315789473684</v>
      </c>
      <c r="M787">
        <v>0.10526315789473684</v>
      </c>
      <c r="N787">
        <v>0.10526315789473684</v>
      </c>
      <c r="O787">
        <v>0.10526315789473684</v>
      </c>
      <c r="P787">
        <v>0.10526315789473684</v>
      </c>
      <c r="Q787">
        <v>0.10526315789473684</v>
      </c>
      <c r="R787">
        <v>0.10526315789473684</v>
      </c>
      <c r="S787">
        <v>0.10526315789473684</v>
      </c>
      <c r="T787">
        <v>0.10526315789473684</v>
      </c>
      <c r="U787">
        <v>0.10526315789473684</v>
      </c>
      <c r="V787">
        <v>0.10526315789473684</v>
      </c>
      <c r="W787">
        <v>0.10526315789473684</v>
      </c>
      <c r="X787">
        <v>0.10526315789473684</v>
      </c>
      <c r="Y787">
        <v>0.10526315789473684</v>
      </c>
      <c r="Z787">
        <v>0.10526315789473684</v>
      </c>
      <c r="AA787">
        <v>0.10526315789473684</v>
      </c>
    </row>
    <row r="788" spans="2:27">
      <c r="B788">
        <v>0.10526315789473684</v>
      </c>
      <c r="C788">
        <v>0.10526315789473684</v>
      </c>
      <c r="D788">
        <v>0.10526315789473684</v>
      </c>
      <c r="E788">
        <v>0.10526315789473684</v>
      </c>
      <c r="F788">
        <v>0.10526315789473684</v>
      </c>
      <c r="G788">
        <v>0.10526315789473684</v>
      </c>
      <c r="H788">
        <v>0.10526315789473684</v>
      </c>
      <c r="I788">
        <v>0.10526315789473684</v>
      </c>
      <c r="J788">
        <v>0.10526315789473684</v>
      </c>
      <c r="K788">
        <v>0.10526315789473684</v>
      </c>
      <c r="L788">
        <v>0.10526315789473684</v>
      </c>
      <c r="M788">
        <v>0.10526315789473684</v>
      </c>
      <c r="N788">
        <v>0.10526315789473684</v>
      </c>
      <c r="O788">
        <v>0.10526315789473684</v>
      </c>
      <c r="P788">
        <v>0.10526315789473684</v>
      </c>
      <c r="Q788">
        <v>0.10526315789473684</v>
      </c>
      <c r="R788">
        <v>0.10526315789473684</v>
      </c>
      <c r="S788">
        <v>0.10526315789473684</v>
      </c>
      <c r="T788">
        <v>0.10526315789473684</v>
      </c>
      <c r="U788">
        <v>0.10526315789473684</v>
      </c>
      <c r="V788">
        <v>0.10526315789473684</v>
      </c>
      <c r="W788">
        <v>0.10526315789473684</v>
      </c>
      <c r="X788">
        <v>0.10526315789473684</v>
      </c>
      <c r="Y788">
        <v>0.10526315789473684</v>
      </c>
      <c r="Z788">
        <v>0.10526315789473684</v>
      </c>
      <c r="AA788">
        <v>0.10526315789473684</v>
      </c>
    </row>
    <row r="789" spans="2:27">
      <c r="B789">
        <v>0.10526315789473684</v>
      </c>
      <c r="C789">
        <v>0.10526315789473684</v>
      </c>
      <c r="D789">
        <v>0.10526315789473684</v>
      </c>
      <c r="E789">
        <v>0.10526315789473684</v>
      </c>
      <c r="F789">
        <v>0.10526315789473684</v>
      </c>
      <c r="G789">
        <v>0.10526315789473684</v>
      </c>
      <c r="H789">
        <v>0.10526315789473684</v>
      </c>
      <c r="I789">
        <v>0.10526315789473684</v>
      </c>
      <c r="J789">
        <v>0.10526315789473684</v>
      </c>
      <c r="K789">
        <v>0.10526315789473684</v>
      </c>
      <c r="L789">
        <v>0.10526315789473684</v>
      </c>
      <c r="M789">
        <v>0.10526315789473684</v>
      </c>
      <c r="N789">
        <v>0.10526315789473684</v>
      </c>
      <c r="O789">
        <v>0.10526315789473684</v>
      </c>
      <c r="P789">
        <v>0.10526315789473684</v>
      </c>
      <c r="Q789">
        <v>0.10526315789473684</v>
      </c>
      <c r="R789">
        <v>0.10526315789473684</v>
      </c>
      <c r="S789">
        <v>0.10526315789473684</v>
      </c>
      <c r="T789">
        <v>0.10526315789473684</v>
      </c>
      <c r="U789">
        <v>0.10526315789473684</v>
      </c>
      <c r="V789">
        <v>0.10526315789473684</v>
      </c>
      <c r="W789">
        <v>0.10526315789473684</v>
      </c>
      <c r="X789">
        <v>0.10526315789473684</v>
      </c>
      <c r="Y789">
        <v>0.10526315789473684</v>
      </c>
      <c r="Z789">
        <v>0.10526315789473684</v>
      </c>
      <c r="AA789">
        <v>0.10526315789473684</v>
      </c>
    </row>
    <row r="790" spans="2:27">
      <c r="B790">
        <v>0.10526315789473684</v>
      </c>
      <c r="C790">
        <v>0.10526315789473684</v>
      </c>
      <c r="D790">
        <v>0.10526315789473684</v>
      </c>
      <c r="E790">
        <v>0.10526315789473684</v>
      </c>
      <c r="F790">
        <v>0.10526315789473684</v>
      </c>
      <c r="G790">
        <v>0.10526315789473684</v>
      </c>
      <c r="H790">
        <v>0.10526315789473684</v>
      </c>
      <c r="I790">
        <v>0.10526315789473684</v>
      </c>
      <c r="J790">
        <v>0.10526315789473684</v>
      </c>
      <c r="K790">
        <v>0.10526315789473684</v>
      </c>
      <c r="L790">
        <v>0.10526315789473684</v>
      </c>
      <c r="M790">
        <v>0.10526315789473684</v>
      </c>
      <c r="N790">
        <v>0.10526315789473684</v>
      </c>
      <c r="O790">
        <v>0.10526315789473684</v>
      </c>
      <c r="P790">
        <v>0.10526315789473684</v>
      </c>
      <c r="Q790">
        <v>0.10526315789473684</v>
      </c>
      <c r="R790">
        <v>0.10526315789473684</v>
      </c>
      <c r="S790">
        <v>0.10526315789473684</v>
      </c>
      <c r="T790">
        <v>0.10526315789473684</v>
      </c>
      <c r="U790">
        <v>0.10526315789473684</v>
      </c>
      <c r="V790">
        <v>0.10526315789473684</v>
      </c>
      <c r="W790">
        <v>0.10526315789473684</v>
      </c>
      <c r="X790">
        <v>0.10526315789473684</v>
      </c>
      <c r="Y790">
        <v>0.10526315789473684</v>
      </c>
      <c r="Z790">
        <v>0.10526315789473684</v>
      </c>
      <c r="AA790">
        <v>0.10526315789473684</v>
      </c>
    </row>
    <row r="791" spans="2:27">
      <c r="B791">
        <v>0.10526315789473684</v>
      </c>
      <c r="C791">
        <v>0.10526315789473684</v>
      </c>
      <c r="D791">
        <v>0.10526315789473684</v>
      </c>
      <c r="E791">
        <v>0.10526315789473684</v>
      </c>
      <c r="F791">
        <v>0.10526315789473684</v>
      </c>
      <c r="G791">
        <v>0.10526315789473684</v>
      </c>
      <c r="H791">
        <v>0.10526315789473684</v>
      </c>
      <c r="I791">
        <v>0.10526315789473684</v>
      </c>
      <c r="J791">
        <v>0.10526315789473684</v>
      </c>
      <c r="K791">
        <v>0.10526315789473684</v>
      </c>
      <c r="L791">
        <v>0.10526315789473684</v>
      </c>
      <c r="M791">
        <v>0.10526315789473684</v>
      </c>
      <c r="N791">
        <v>0.10526315789473684</v>
      </c>
      <c r="O791">
        <v>0.10526315789473684</v>
      </c>
      <c r="P791">
        <v>0.10526315789473684</v>
      </c>
      <c r="Q791">
        <v>0.10526315789473684</v>
      </c>
      <c r="R791">
        <v>0.10526315789473684</v>
      </c>
      <c r="S791">
        <v>0.10526315789473684</v>
      </c>
      <c r="T791">
        <v>0.10526315789473684</v>
      </c>
      <c r="U791">
        <v>0.10526315789473684</v>
      </c>
      <c r="V791">
        <v>0.10526315789473684</v>
      </c>
      <c r="W791">
        <v>0.10526315789473684</v>
      </c>
      <c r="X791">
        <v>0.10526315789473684</v>
      </c>
      <c r="Y791">
        <v>0.10526315789473684</v>
      </c>
      <c r="Z791">
        <v>0.10526315789473684</v>
      </c>
      <c r="AA791">
        <v>0.10526315789473684</v>
      </c>
    </row>
    <row r="792" spans="2:27">
      <c r="B792">
        <v>0.10526315789473684</v>
      </c>
      <c r="C792">
        <v>0.10526315789473684</v>
      </c>
      <c r="D792">
        <v>0.10526315789473684</v>
      </c>
      <c r="E792">
        <v>0.10526315789473684</v>
      </c>
      <c r="F792">
        <v>0.10526315789473684</v>
      </c>
      <c r="G792">
        <v>0.10526315789473684</v>
      </c>
      <c r="H792">
        <v>0.10526315789473684</v>
      </c>
      <c r="I792">
        <v>0.10526315789473684</v>
      </c>
      <c r="J792">
        <v>0.10526315789473684</v>
      </c>
      <c r="K792">
        <v>0.10526315789473684</v>
      </c>
      <c r="L792">
        <v>0.10526315789473684</v>
      </c>
      <c r="M792">
        <v>0.10526315789473684</v>
      </c>
      <c r="N792">
        <v>0.10526315789473684</v>
      </c>
      <c r="O792">
        <v>0.10526315789473684</v>
      </c>
      <c r="P792">
        <v>0.10526315789473684</v>
      </c>
      <c r="Q792">
        <v>0.10526315789473684</v>
      </c>
      <c r="R792">
        <v>0.10526315789473684</v>
      </c>
      <c r="S792">
        <v>0.10526315789473684</v>
      </c>
      <c r="T792">
        <v>0.10526315789473684</v>
      </c>
      <c r="U792">
        <v>0.10526315789473684</v>
      </c>
      <c r="V792">
        <v>0.10526315789473684</v>
      </c>
      <c r="W792">
        <v>0.10526315789473684</v>
      </c>
      <c r="X792">
        <v>0.10526315789473684</v>
      </c>
      <c r="Y792">
        <v>0.10526315789473684</v>
      </c>
      <c r="Z792">
        <v>0.10526315789473684</v>
      </c>
      <c r="AA792">
        <v>0.10526315789473684</v>
      </c>
    </row>
    <row r="793" spans="2:27">
      <c r="B793">
        <v>0.10526315789473684</v>
      </c>
      <c r="C793">
        <v>0.10526315789473684</v>
      </c>
      <c r="D793">
        <v>0.10526315789473684</v>
      </c>
      <c r="E793">
        <v>0.10526315789473684</v>
      </c>
      <c r="F793">
        <v>0.10526315789473684</v>
      </c>
      <c r="G793">
        <v>0.10526315789473684</v>
      </c>
      <c r="H793">
        <v>0.10526315789473684</v>
      </c>
      <c r="I793">
        <v>0.10526315789473684</v>
      </c>
      <c r="J793">
        <v>0.10526315789473684</v>
      </c>
      <c r="K793">
        <v>0.10526315789473684</v>
      </c>
      <c r="L793">
        <v>0.10526315789473684</v>
      </c>
      <c r="M793">
        <v>0.10526315789473684</v>
      </c>
      <c r="N793">
        <v>0.10526315789473684</v>
      </c>
      <c r="O793">
        <v>0.10526315789473684</v>
      </c>
      <c r="P793">
        <v>0.10526315789473684</v>
      </c>
      <c r="Q793">
        <v>0.10526315789473684</v>
      </c>
      <c r="R793">
        <v>0.10526315789473684</v>
      </c>
      <c r="S793">
        <v>0.10526315789473684</v>
      </c>
      <c r="T793">
        <v>0.10526315789473684</v>
      </c>
      <c r="U793">
        <v>0.10526315789473684</v>
      </c>
      <c r="V793">
        <v>0.10526315789473684</v>
      </c>
      <c r="W793">
        <v>0.10526315789473684</v>
      </c>
      <c r="X793">
        <v>0.10526315789473684</v>
      </c>
      <c r="Y793">
        <v>0.10526315789473684</v>
      </c>
      <c r="Z793">
        <v>0.10526315789473684</v>
      </c>
      <c r="AA793">
        <v>0.10526315789473684</v>
      </c>
    </row>
    <row r="794" spans="2:27">
      <c r="B794">
        <v>0.10526315789473684</v>
      </c>
      <c r="C794">
        <v>0.10526315789473684</v>
      </c>
      <c r="D794">
        <v>0.10526315789473684</v>
      </c>
      <c r="E794">
        <v>0.10526315789473684</v>
      </c>
      <c r="F794">
        <v>0.10526315789473684</v>
      </c>
      <c r="G794">
        <v>0.10526315789473684</v>
      </c>
      <c r="H794">
        <v>0.10526315789473684</v>
      </c>
      <c r="I794">
        <v>0.10526315789473684</v>
      </c>
      <c r="J794">
        <v>0.10526315789473684</v>
      </c>
      <c r="K794">
        <v>0.10526315789473684</v>
      </c>
      <c r="L794">
        <v>0.10526315789473684</v>
      </c>
      <c r="M794">
        <v>0.10526315789473684</v>
      </c>
      <c r="N794">
        <v>0.10526315789473684</v>
      </c>
      <c r="O794">
        <v>0.10526315789473684</v>
      </c>
      <c r="P794">
        <v>0.10526315789473684</v>
      </c>
      <c r="Q794">
        <v>0.10526315789473684</v>
      </c>
      <c r="R794">
        <v>0.10526315789473684</v>
      </c>
      <c r="S794">
        <v>0.10526315789473684</v>
      </c>
      <c r="T794">
        <v>0.10526315789473684</v>
      </c>
      <c r="U794">
        <v>0.10526315789473684</v>
      </c>
      <c r="V794">
        <v>0.10526315789473684</v>
      </c>
      <c r="W794">
        <v>0.10526315789473684</v>
      </c>
      <c r="X794">
        <v>0.10526315789473684</v>
      </c>
      <c r="Y794">
        <v>0.10526315789473684</v>
      </c>
      <c r="Z794">
        <v>0.10526315789473684</v>
      </c>
      <c r="AA794">
        <v>0.10526315789473684</v>
      </c>
    </row>
    <row r="795" spans="2:27">
      <c r="B795">
        <v>0.10526315789473684</v>
      </c>
      <c r="C795">
        <v>0.10526315789473684</v>
      </c>
      <c r="D795">
        <v>0.10526315789473684</v>
      </c>
      <c r="E795">
        <v>0.10526315789473684</v>
      </c>
      <c r="F795">
        <v>0.10526315789473684</v>
      </c>
      <c r="G795">
        <v>0.10526315789473684</v>
      </c>
      <c r="H795">
        <v>0.10526315789473684</v>
      </c>
      <c r="I795">
        <v>0.10526315789473684</v>
      </c>
      <c r="J795">
        <v>0.10526315789473684</v>
      </c>
      <c r="K795">
        <v>0.10526315789473684</v>
      </c>
      <c r="L795">
        <v>0.10526315789473684</v>
      </c>
      <c r="M795">
        <v>0.10526315789473684</v>
      </c>
      <c r="N795">
        <v>0.10526315789473684</v>
      </c>
      <c r="O795">
        <v>0.10526315789473684</v>
      </c>
      <c r="P795">
        <v>0.10526315789473684</v>
      </c>
      <c r="Q795">
        <v>0.10526315789473684</v>
      </c>
      <c r="R795">
        <v>0.10526315789473684</v>
      </c>
      <c r="S795">
        <v>0.10526315789473684</v>
      </c>
      <c r="T795">
        <v>0.10526315789473684</v>
      </c>
      <c r="U795">
        <v>0.10526315789473684</v>
      </c>
      <c r="V795">
        <v>0.10526315789473684</v>
      </c>
      <c r="W795">
        <v>0.10526315789473684</v>
      </c>
      <c r="X795">
        <v>0.10526315789473684</v>
      </c>
      <c r="Y795">
        <v>0.10526315789473684</v>
      </c>
      <c r="Z795">
        <v>0.10526315789473684</v>
      </c>
      <c r="AA795">
        <v>0.10526315789473684</v>
      </c>
    </row>
    <row r="796" spans="2:27">
      <c r="B796">
        <v>0.10526315789473684</v>
      </c>
      <c r="C796">
        <v>0.10526315789473684</v>
      </c>
      <c r="D796">
        <v>0.10526315789473684</v>
      </c>
      <c r="E796">
        <v>0.10526315789473684</v>
      </c>
      <c r="F796">
        <v>0.10526315789473684</v>
      </c>
      <c r="G796">
        <v>0.10526315789473684</v>
      </c>
      <c r="H796">
        <v>0.10526315789473684</v>
      </c>
      <c r="I796">
        <v>0.10526315789473684</v>
      </c>
      <c r="J796">
        <v>0.10526315789473684</v>
      </c>
      <c r="K796">
        <v>0.10526315789473684</v>
      </c>
      <c r="L796">
        <v>0.10526315789473684</v>
      </c>
      <c r="M796">
        <v>0.10526315789473684</v>
      </c>
      <c r="N796">
        <v>0.10526315789473684</v>
      </c>
      <c r="O796">
        <v>0.10526315789473684</v>
      </c>
      <c r="P796">
        <v>0.10526315789473684</v>
      </c>
      <c r="Q796">
        <v>0.10526315789473684</v>
      </c>
      <c r="R796">
        <v>0.10526315789473684</v>
      </c>
      <c r="S796">
        <v>0.10526315789473684</v>
      </c>
      <c r="T796">
        <v>0.10526315789473684</v>
      </c>
      <c r="U796">
        <v>0.10526315789473684</v>
      </c>
      <c r="V796">
        <v>0.10526315789473684</v>
      </c>
      <c r="W796">
        <v>0.10526315789473684</v>
      </c>
      <c r="X796">
        <v>0.10526315789473684</v>
      </c>
      <c r="Y796">
        <v>0.10526315789473684</v>
      </c>
      <c r="Z796">
        <v>0.10526315789473684</v>
      </c>
      <c r="AA796">
        <v>0.10526315789473684</v>
      </c>
    </row>
    <row r="797" spans="2:27">
      <c r="B797">
        <v>0.10526315789473684</v>
      </c>
      <c r="C797">
        <v>0.10526315789473684</v>
      </c>
      <c r="D797">
        <v>0.10526315789473684</v>
      </c>
      <c r="E797">
        <v>0.10526315789473684</v>
      </c>
      <c r="F797">
        <v>0.10526315789473684</v>
      </c>
      <c r="G797">
        <v>0.10526315789473684</v>
      </c>
      <c r="H797">
        <v>0.10526315789473684</v>
      </c>
      <c r="I797">
        <v>0.10526315789473684</v>
      </c>
      <c r="J797">
        <v>0.10526315789473684</v>
      </c>
      <c r="K797">
        <v>0.10526315789473684</v>
      </c>
      <c r="L797">
        <v>0.10526315789473684</v>
      </c>
      <c r="M797">
        <v>0.10526315789473684</v>
      </c>
      <c r="N797">
        <v>0.10526315789473684</v>
      </c>
      <c r="O797">
        <v>0.10526315789473684</v>
      </c>
      <c r="P797">
        <v>0.10526315789473684</v>
      </c>
      <c r="Q797">
        <v>0.10526315789473684</v>
      </c>
      <c r="R797">
        <v>0.10526315789473684</v>
      </c>
      <c r="S797">
        <v>0.10526315789473684</v>
      </c>
      <c r="T797">
        <v>0.10526315789473684</v>
      </c>
      <c r="U797">
        <v>0.10526315789473684</v>
      </c>
      <c r="V797">
        <v>0.10526315789473684</v>
      </c>
      <c r="W797">
        <v>0.10526315789473684</v>
      </c>
      <c r="X797">
        <v>0.10526315789473684</v>
      </c>
      <c r="Y797">
        <v>0.10526315789473684</v>
      </c>
      <c r="Z797">
        <v>0.10526315789473684</v>
      </c>
      <c r="AA797">
        <v>0.10526315789473684</v>
      </c>
    </row>
    <row r="798" spans="2:27">
      <c r="B798">
        <v>0.10526315789473684</v>
      </c>
      <c r="C798">
        <v>0.10526315789473684</v>
      </c>
      <c r="D798">
        <v>0.10526315789473684</v>
      </c>
      <c r="E798">
        <v>0.10526315789473684</v>
      </c>
      <c r="F798">
        <v>0.10526315789473684</v>
      </c>
      <c r="G798">
        <v>0.10526315789473684</v>
      </c>
      <c r="H798">
        <v>0.10526315789473684</v>
      </c>
      <c r="I798">
        <v>0.10526315789473684</v>
      </c>
      <c r="J798">
        <v>0.10526315789473684</v>
      </c>
      <c r="K798">
        <v>0.10526315789473684</v>
      </c>
      <c r="L798">
        <v>0.10526315789473684</v>
      </c>
      <c r="M798">
        <v>0.10526315789473684</v>
      </c>
      <c r="N798">
        <v>0.10526315789473684</v>
      </c>
      <c r="O798">
        <v>0.10526315789473684</v>
      </c>
      <c r="P798">
        <v>0.10526315789473684</v>
      </c>
      <c r="Q798">
        <v>0.10526315789473684</v>
      </c>
      <c r="R798">
        <v>0.10526315789473684</v>
      </c>
      <c r="S798">
        <v>0.10526315789473684</v>
      </c>
      <c r="T798">
        <v>0.10526315789473684</v>
      </c>
      <c r="U798">
        <v>0.10526315789473684</v>
      </c>
      <c r="V798">
        <v>0.10526315789473684</v>
      </c>
      <c r="W798">
        <v>0.10526315789473684</v>
      </c>
      <c r="X798">
        <v>0.10526315789473684</v>
      </c>
      <c r="Y798">
        <v>0.10526315789473684</v>
      </c>
      <c r="Z798">
        <v>0.10526315789473684</v>
      </c>
      <c r="AA798">
        <v>0.10526315789473684</v>
      </c>
    </row>
    <row r="799" spans="2:27">
      <c r="B799">
        <v>0.10526315789473684</v>
      </c>
      <c r="C799">
        <v>0.10526315789473684</v>
      </c>
      <c r="D799">
        <v>0.10526315789473684</v>
      </c>
      <c r="E799">
        <v>0.10526315789473684</v>
      </c>
      <c r="F799">
        <v>0.10526315789473684</v>
      </c>
      <c r="G799">
        <v>0.10526315789473684</v>
      </c>
      <c r="H799">
        <v>0.10526315789473684</v>
      </c>
      <c r="I799">
        <v>0.10526315789473684</v>
      </c>
      <c r="J799">
        <v>0.10526315789473684</v>
      </c>
      <c r="K799">
        <v>0.10526315789473684</v>
      </c>
      <c r="L799">
        <v>0.10526315789473684</v>
      </c>
      <c r="M799">
        <v>0.10526315789473684</v>
      </c>
      <c r="N799">
        <v>0.10526315789473684</v>
      </c>
      <c r="O799">
        <v>0.10526315789473684</v>
      </c>
      <c r="P799">
        <v>0.10526315789473684</v>
      </c>
      <c r="Q799">
        <v>0.10526315789473684</v>
      </c>
      <c r="R799">
        <v>0.10526315789473684</v>
      </c>
      <c r="S799">
        <v>0.10526315789473684</v>
      </c>
      <c r="T799">
        <v>0.10526315789473684</v>
      </c>
      <c r="U799">
        <v>0.10526315789473684</v>
      </c>
      <c r="V799">
        <v>0.10526315789473684</v>
      </c>
      <c r="W799">
        <v>0.10526315789473684</v>
      </c>
      <c r="X799">
        <v>0.10526315789473684</v>
      </c>
      <c r="Y799">
        <v>0.10526315789473684</v>
      </c>
      <c r="Z799">
        <v>0.10526315789473684</v>
      </c>
      <c r="AA799">
        <v>0.10526315789473684</v>
      </c>
    </row>
    <row r="800" spans="2:27">
      <c r="B800">
        <v>0.10526315789473684</v>
      </c>
      <c r="C800">
        <v>0.10526315789473684</v>
      </c>
      <c r="D800">
        <v>0.10526315789473684</v>
      </c>
      <c r="E800">
        <v>0.10526315789473684</v>
      </c>
      <c r="F800">
        <v>0.10526315789473684</v>
      </c>
      <c r="G800">
        <v>0.10526315789473684</v>
      </c>
      <c r="H800">
        <v>0.10526315789473684</v>
      </c>
      <c r="I800">
        <v>0.10526315789473684</v>
      </c>
      <c r="J800">
        <v>0.10526315789473684</v>
      </c>
      <c r="K800">
        <v>0.10526315789473684</v>
      </c>
      <c r="L800">
        <v>0.10526315789473684</v>
      </c>
      <c r="M800">
        <v>0.10526315789473684</v>
      </c>
      <c r="N800">
        <v>0.10526315789473684</v>
      </c>
      <c r="O800">
        <v>0.10526315789473684</v>
      </c>
      <c r="P800">
        <v>0.10526315789473684</v>
      </c>
      <c r="Q800">
        <v>0.10526315789473684</v>
      </c>
      <c r="R800">
        <v>0.10526315789473684</v>
      </c>
      <c r="S800">
        <v>0.10526315789473684</v>
      </c>
      <c r="T800">
        <v>0.10526315789473684</v>
      </c>
      <c r="U800">
        <v>0.10526315789473684</v>
      </c>
      <c r="V800">
        <v>0.10526315789473684</v>
      </c>
      <c r="W800">
        <v>0.10526315789473684</v>
      </c>
      <c r="X800">
        <v>0.10526315789473684</v>
      </c>
      <c r="Y800">
        <v>0.10526315789473684</v>
      </c>
      <c r="Z800">
        <v>0.10526315789473684</v>
      </c>
      <c r="AA800">
        <v>0.10526315789473684</v>
      </c>
    </row>
    <row r="801" spans="2:27">
      <c r="B801">
        <v>0.10526315789473684</v>
      </c>
      <c r="C801">
        <v>0.10526315789473684</v>
      </c>
      <c r="D801">
        <v>0.10526315789473684</v>
      </c>
      <c r="E801">
        <v>0.10526315789473684</v>
      </c>
      <c r="F801">
        <v>0.10526315789473684</v>
      </c>
      <c r="G801">
        <v>0.10526315789473684</v>
      </c>
      <c r="H801">
        <v>0.10526315789473684</v>
      </c>
      <c r="I801">
        <v>0.10526315789473684</v>
      </c>
      <c r="J801">
        <v>0.10526315789473684</v>
      </c>
      <c r="K801">
        <v>0.10526315789473684</v>
      </c>
      <c r="L801">
        <v>0.10526315789473684</v>
      </c>
      <c r="M801">
        <v>0.10526315789473684</v>
      </c>
      <c r="N801">
        <v>0.10526315789473684</v>
      </c>
      <c r="O801">
        <v>0.10526315789473684</v>
      </c>
      <c r="P801">
        <v>0.10526315789473684</v>
      </c>
      <c r="Q801">
        <v>0.10526315789473684</v>
      </c>
      <c r="R801">
        <v>0.10526315789473684</v>
      </c>
      <c r="S801">
        <v>0.10526315789473684</v>
      </c>
      <c r="T801">
        <v>0.10526315789473684</v>
      </c>
      <c r="U801">
        <v>0.10526315789473684</v>
      </c>
      <c r="V801">
        <v>0.10526315789473684</v>
      </c>
      <c r="W801">
        <v>0.10526315789473684</v>
      </c>
      <c r="X801">
        <v>0.10526315789473684</v>
      </c>
      <c r="Y801">
        <v>0.10526315789473684</v>
      </c>
      <c r="Z801">
        <v>0.10526315789473684</v>
      </c>
      <c r="AA801">
        <v>0.10526315789473684</v>
      </c>
    </row>
    <row r="802" spans="2:27">
      <c r="B802">
        <v>0.10526315789473684</v>
      </c>
      <c r="C802">
        <v>0.10526315789473684</v>
      </c>
      <c r="D802">
        <v>0.10526315789473684</v>
      </c>
      <c r="E802">
        <v>0.10526315789473684</v>
      </c>
      <c r="F802">
        <v>0.10526315789473684</v>
      </c>
      <c r="G802">
        <v>0.10526315789473684</v>
      </c>
      <c r="H802">
        <v>0.10526315789473684</v>
      </c>
      <c r="I802">
        <v>0.10526315789473684</v>
      </c>
      <c r="J802">
        <v>0.10526315789473684</v>
      </c>
      <c r="K802">
        <v>0.10526315789473684</v>
      </c>
      <c r="L802">
        <v>0.10526315789473684</v>
      </c>
      <c r="M802">
        <v>0.10526315789473684</v>
      </c>
      <c r="N802">
        <v>0.10526315789473684</v>
      </c>
      <c r="O802">
        <v>0.10526315789473684</v>
      </c>
      <c r="P802">
        <v>0.10526315789473684</v>
      </c>
      <c r="Q802">
        <v>0.10526315789473684</v>
      </c>
      <c r="R802">
        <v>0.10526315789473684</v>
      </c>
      <c r="S802">
        <v>0.10526315789473684</v>
      </c>
      <c r="T802">
        <v>0.10526315789473684</v>
      </c>
      <c r="U802">
        <v>0.10526315789473684</v>
      </c>
      <c r="V802">
        <v>0.10526315789473684</v>
      </c>
      <c r="W802">
        <v>0.10526315789473684</v>
      </c>
      <c r="X802">
        <v>0.10526315789473684</v>
      </c>
      <c r="Y802">
        <v>0.10526315789473684</v>
      </c>
      <c r="Z802">
        <v>0.10526315789473684</v>
      </c>
      <c r="AA802">
        <v>0.10526315789473684</v>
      </c>
    </row>
    <row r="803" spans="2:27">
      <c r="B803">
        <v>0.10526315789473684</v>
      </c>
      <c r="C803">
        <v>0.10526315789473684</v>
      </c>
      <c r="D803">
        <v>0.10526315789473684</v>
      </c>
      <c r="E803">
        <v>0.10526315789473684</v>
      </c>
      <c r="F803">
        <v>0.10526315789473684</v>
      </c>
      <c r="G803">
        <v>0.10526315789473684</v>
      </c>
      <c r="H803">
        <v>0.10526315789473684</v>
      </c>
      <c r="I803">
        <v>0.10526315789473684</v>
      </c>
      <c r="J803">
        <v>0.10526315789473684</v>
      </c>
      <c r="K803">
        <v>0.10526315789473684</v>
      </c>
      <c r="L803">
        <v>0.10526315789473684</v>
      </c>
      <c r="M803">
        <v>0.10526315789473684</v>
      </c>
      <c r="N803">
        <v>0.10526315789473684</v>
      </c>
      <c r="O803">
        <v>0.10526315789473684</v>
      </c>
      <c r="P803">
        <v>0.10526315789473684</v>
      </c>
      <c r="Q803">
        <v>0.10526315789473684</v>
      </c>
      <c r="R803">
        <v>0.10526315789473684</v>
      </c>
      <c r="S803">
        <v>0.10526315789473684</v>
      </c>
      <c r="T803">
        <v>0.10526315789473684</v>
      </c>
      <c r="U803">
        <v>0.10526315789473684</v>
      </c>
      <c r="V803">
        <v>0.10526315789473684</v>
      </c>
      <c r="W803">
        <v>0.10526315789473684</v>
      </c>
      <c r="X803">
        <v>0.10526315789473684</v>
      </c>
      <c r="Y803">
        <v>0.10526315789473684</v>
      </c>
      <c r="Z803">
        <v>0.10526315789473684</v>
      </c>
      <c r="AA803">
        <v>0.10526315789473684</v>
      </c>
    </row>
    <row r="804" spans="2:27">
      <c r="B804">
        <v>0.10526315789473684</v>
      </c>
      <c r="C804">
        <v>0.10526315789473684</v>
      </c>
      <c r="D804">
        <v>0.10526315789473684</v>
      </c>
      <c r="E804">
        <v>0.10526315789473684</v>
      </c>
      <c r="F804">
        <v>0.10526315789473684</v>
      </c>
      <c r="G804">
        <v>0.10526315789473684</v>
      </c>
      <c r="H804">
        <v>0.10526315789473684</v>
      </c>
      <c r="I804">
        <v>0.10526315789473684</v>
      </c>
      <c r="J804">
        <v>0.10526315789473684</v>
      </c>
      <c r="K804">
        <v>0.10526315789473684</v>
      </c>
      <c r="L804">
        <v>0.10526315789473684</v>
      </c>
      <c r="M804">
        <v>0.10526315789473684</v>
      </c>
      <c r="N804">
        <v>0.10526315789473684</v>
      </c>
      <c r="O804">
        <v>0.10526315789473684</v>
      </c>
      <c r="P804">
        <v>0.10526315789473684</v>
      </c>
      <c r="Q804">
        <v>0.10526315789473684</v>
      </c>
      <c r="R804">
        <v>0.10526315789473684</v>
      </c>
      <c r="S804">
        <v>0.10526315789473684</v>
      </c>
      <c r="T804">
        <v>0.10526315789473684</v>
      </c>
      <c r="U804">
        <v>0.10526315789473684</v>
      </c>
      <c r="V804">
        <v>0.10526315789473684</v>
      </c>
      <c r="W804">
        <v>0.10526315789473684</v>
      </c>
      <c r="X804">
        <v>0.10526315789473684</v>
      </c>
      <c r="Y804">
        <v>0.10526315789473684</v>
      </c>
      <c r="Z804">
        <v>0.10526315789473684</v>
      </c>
      <c r="AA804">
        <v>0.10526315789473684</v>
      </c>
    </row>
    <row r="805" spans="2:27">
      <c r="B805">
        <v>0.10526315789473684</v>
      </c>
      <c r="C805">
        <v>0.10526315789473684</v>
      </c>
      <c r="D805">
        <v>0.10526315789473684</v>
      </c>
      <c r="E805">
        <v>0.10526315789473684</v>
      </c>
      <c r="F805">
        <v>0.10526315789473684</v>
      </c>
      <c r="G805">
        <v>0.10526315789473684</v>
      </c>
      <c r="H805">
        <v>0.10526315789473684</v>
      </c>
      <c r="I805">
        <v>0.10526315789473684</v>
      </c>
      <c r="J805">
        <v>0.10526315789473684</v>
      </c>
      <c r="K805">
        <v>0.10526315789473684</v>
      </c>
      <c r="L805">
        <v>0.10526315789473684</v>
      </c>
      <c r="M805">
        <v>0.10526315789473684</v>
      </c>
      <c r="N805">
        <v>0.10526315789473684</v>
      </c>
      <c r="O805">
        <v>0.10526315789473684</v>
      </c>
      <c r="P805">
        <v>0.10526315789473684</v>
      </c>
      <c r="Q805">
        <v>0.10526315789473684</v>
      </c>
      <c r="R805">
        <v>0.10526315789473684</v>
      </c>
      <c r="S805">
        <v>0.10526315789473684</v>
      </c>
      <c r="T805">
        <v>0.10526315789473684</v>
      </c>
      <c r="U805">
        <v>0.10526315789473684</v>
      </c>
      <c r="V805">
        <v>0.10526315789473684</v>
      </c>
      <c r="W805">
        <v>0.10526315789473684</v>
      </c>
      <c r="X805">
        <v>0.10526315789473684</v>
      </c>
      <c r="Y805">
        <v>0.10526315789473684</v>
      </c>
      <c r="Z805">
        <v>0.10526315789473684</v>
      </c>
      <c r="AA805">
        <v>0.10526315789473684</v>
      </c>
    </row>
    <row r="806" spans="2:27">
      <c r="B806">
        <v>0.10526315789473684</v>
      </c>
      <c r="C806">
        <v>0.10526315789473684</v>
      </c>
      <c r="D806">
        <v>0.10526315789473684</v>
      </c>
      <c r="E806">
        <v>0.10526315789473684</v>
      </c>
      <c r="F806">
        <v>0.10526315789473684</v>
      </c>
      <c r="G806">
        <v>0.10526315789473684</v>
      </c>
      <c r="H806">
        <v>0.10526315789473684</v>
      </c>
      <c r="I806">
        <v>0.10526315789473684</v>
      </c>
      <c r="J806">
        <v>0.10526315789473684</v>
      </c>
      <c r="K806">
        <v>0.10526315789473684</v>
      </c>
      <c r="L806">
        <v>0.10526315789473684</v>
      </c>
      <c r="M806">
        <v>0.10526315789473684</v>
      </c>
      <c r="N806">
        <v>0.10526315789473684</v>
      </c>
      <c r="O806">
        <v>0.10526315789473684</v>
      </c>
      <c r="P806">
        <v>0.10526315789473684</v>
      </c>
      <c r="Q806">
        <v>0.10526315789473684</v>
      </c>
      <c r="R806">
        <v>0.10526315789473684</v>
      </c>
      <c r="S806">
        <v>0.10526315789473684</v>
      </c>
      <c r="T806">
        <v>0.10526315789473684</v>
      </c>
      <c r="U806">
        <v>0.10526315789473684</v>
      </c>
      <c r="V806">
        <v>0.10526315789473684</v>
      </c>
      <c r="W806">
        <v>0.10526315789473684</v>
      </c>
      <c r="X806">
        <v>0.10526315789473684</v>
      </c>
      <c r="Y806">
        <v>0.10526315789473684</v>
      </c>
      <c r="Z806">
        <v>0.10526315789473684</v>
      </c>
      <c r="AA806">
        <v>0.10526315789473684</v>
      </c>
    </row>
    <row r="807" spans="2:27">
      <c r="B807">
        <v>0.10526315789473684</v>
      </c>
      <c r="C807">
        <v>0.10526315789473684</v>
      </c>
      <c r="D807">
        <v>0.10526315789473684</v>
      </c>
      <c r="E807">
        <v>0.10526315789473684</v>
      </c>
      <c r="F807">
        <v>0.10526315789473684</v>
      </c>
      <c r="G807">
        <v>0.10526315789473684</v>
      </c>
      <c r="H807">
        <v>0.10526315789473684</v>
      </c>
      <c r="I807">
        <v>0.10526315789473684</v>
      </c>
      <c r="J807">
        <v>0.10526315789473684</v>
      </c>
      <c r="K807">
        <v>0.10526315789473684</v>
      </c>
      <c r="L807">
        <v>0.10526315789473684</v>
      </c>
      <c r="M807">
        <v>0.10526315789473684</v>
      </c>
      <c r="N807">
        <v>0.10526315789473684</v>
      </c>
      <c r="O807">
        <v>0.10526315789473684</v>
      </c>
      <c r="P807">
        <v>0.10526315789473684</v>
      </c>
      <c r="Q807">
        <v>0.10526315789473684</v>
      </c>
      <c r="R807">
        <v>0.10526315789473684</v>
      </c>
      <c r="S807">
        <v>0.10526315789473684</v>
      </c>
      <c r="T807">
        <v>0.10526315789473684</v>
      </c>
      <c r="U807">
        <v>0.10526315789473684</v>
      </c>
      <c r="V807">
        <v>0.10526315789473684</v>
      </c>
      <c r="W807">
        <v>0.10526315789473684</v>
      </c>
      <c r="X807">
        <v>0.10526315789473684</v>
      </c>
      <c r="Y807">
        <v>0.10526315789473684</v>
      </c>
      <c r="Z807">
        <v>0.10526315789473684</v>
      </c>
      <c r="AA807">
        <v>0.10526315789473684</v>
      </c>
    </row>
    <row r="808" spans="2:27">
      <c r="B808">
        <v>0.01</v>
      </c>
      <c r="D808">
        <v>0.01</v>
      </c>
    </row>
    <row r="809" spans="2:27">
      <c r="B809">
        <v>0.01</v>
      </c>
      <c r="C809">
        <v>0.01</v>
      </c>
      <c r="D809">
        <v>0.01</v>
      </c>
    </row>
    <row r="810" spans="2:27">
      <c r="B810">
        <v>0.01</v>
      </c>
      <c r="C810">
        <v>0.01</v>
      </c>
      <c r="D810">
        <v>0.01</v>
      </c>
    </row>
    <row r="811" spans="2:27">
      <c r="B811">
        <v>0.01</v>
      </c>
      <c r="C811">
        <v>0.01</v>
      </c>
      <c r="D811">
        <v>0.01</v>
      </c>
    </row>
    <row r="812" spans="2:27">
      <c r="B812">
        <v>0.01</v>
      </c>
      <c r="C812">
        <v>0.01</v>
      </c>
      <c r="D812">
        <v>0.01</v>
      </c>
    </row>
    <row r="813" spans="2:27">
      <c r="B813">
        <v>0.01</v>
      </c>
      <c r="D813">
        <v>0.01</v>
      </c>
    </row>
    <row r="814" spans="2:27">
      <c r="B814">
        <v>0.01</v>
      </c>
      <c r="D814">
        <v>0.01</v>
      </c>
    </row>
    <row r="815" spans="2:27">
      <c r="B815">
        <v>0.01</v>
      </c>
      <c r="D815">
        <v>0.01</v>
      </c>
    </row>
    <row r="816" spans="2:27">
      <c r="B816">
        <v>0.01</v>
      </c>
      <c r="C816">
        <v>0.01</v>
      </c>
      <c r="D816">
        <v>0.01</v>
      </c>
    </row>
    <row r="817" spans="2:4">
      <c r="B817">
        <v>0.01</v>
      </c>
      <c r="D817">
        <v>0.01</v>
      </c>
    </row>
    <row r="818" spans="2:4">
      <c r="B818">
        <v>0.01</v>
      </c>
      <c r="C818">
        <v>0.01</v>
      </c>
      <c r="D818">
        <v>0.01</v>
      </c>
    </row>
    <row r="819" spans="2:4">
      <c r="B819">
        <v>0.01</v>
      </c>
      <c r="C819">
        <v>0.01</v>
      </c>
      <c r="D819">
        <v>0.01</v>
      </c>
    </row>
    <row r="820" spans="2:4">
      <c r="B820">
        <v>0.01</v>
      </c>
      <c r="D820">
        <v>0.01</v>
      </c>
    </row>
    <row r="821" spans="2:4">
      <c r="B821">
        <v>0.01</v>
      </c>
      <c r="D821">
        <v>0.01</v>
      </c>
    </row>
    <row r="822" spans="2:4">
      <c r="B822">
        <v>0.01</v>
      </c>
      <c r="C822">
        <v>0.01</v>
      </c>
      <c r="D822">
        <v>0.01</v>
      </c>
    </row>
    <row r="823" spans="2:4">
      <c r="B823">
        <v>0.01</v>
      </c>
      <c r="C823">
        <v>0.01</v>
      </c>
      <c r="D823">
        <v>0.01</v>
      </c>
    </row>
    <row r="824" spans="2:4">
      <c r="B824">
        <v>0.01</v>
      </c>
      <c r="D824">
        <v>0.01</v>
      </c>
    </row>
    <row r="825" spans="2:4">
      <c r="B825">
        <v>0.01</v>
      </c>
      <c r="C825">
        <v>0.01</v>
      </c>
      <c r="D825">
        <v>0.01</v>
      </c>
    </row>
    <row r="826" spans="2:4">
      <c r="B826">
        <v>0.01</v>
      </c>
      <c r="C826">
        <v>0.01</v>
      </c>
      <c r="D826">
        <v>0.01</v>
      </c>
    </row>
    <row r="827" spans="2:4">
      <c r="B827">
        <v>0.01</v>
      </c>
      <c r="D827">
        <v>0.01</v>
      </c>
    </row>
    <row r="828" spans="2:4">
      <c r="B828">
        <v>0.01</v>
      </c>
      <c r="D828">
        <v>0.01</v>
      </c>
    </row>
    <row r="829" spans="2:4">
      <c r="B829">
        <v>0.01</v>
      </c>
      <c r="C829">
        <v>0.01</v>
      </c>
      <c r="D829">
        <v>0.01</v>
      </c>
    </row>
    <row r="830" spans="2:4">
      <c r="B830">
        <v>0.01</v>
      </c>
      <c r="C830">
        <v>0.01</v>
      </c>
      <c r="D830">
        <v>0.01</v>
      </c>
    </row>
    <row r="831" spans="2:4">
      <c r="B831">
        <v>0.01</v>
      </c>
      <c r="C831">
        <v>0.01</v>
      </c>
      <c r="D831">
        <v>0.01</v>
      </c>
    </row>
    <row r="832" spans="2:4">
      <c r="B832">
        <v>0.01</v>
      </c>
      <c r="C832">
        <v>0.01</v>
      </c>
      <c r="D832">
        <v>0.01</v>
      </c>
    </row>
    <row r="833" spans="2:4">
      <c r="B833">
        <v>0.01</v>
      </c>
      <c r="C833">
        <v>0.01</v>
      </c>
      <c r="D833">
        <v>0.01</v>
      </c>
    </row>
    <row r="834" spans="2:4">
      <c r="B834">
        <v>0.01</v>
      </c>
      <c r="D834">
        <v>0.01</v>
      </c>
    </row>
    <row r="835" spans="2:4">
      <c r="B835">
        <v>0.01</v>
      </c>
      <c r="D835">
        <v>0.01</v>
      </c>
    </row>
    <row r="836" spans="2:4">
      <c r="B836">
        <v>0.01</v>
      </c>
      <c r="C836">
        <v>0.01</v>
      </c>
      <c r="D836">
        <v>0.01</v>
      </c>
    </row>
    <row r="837" spans="2:4">
      <c r="B837">
        <v>0.01</v>
      </c>
      <c r="C837">
        <v>0.01</v>
      </c>
      <c r="D837">
        <v>0.01</v>
      </c>
    </row>
    <row r="838" spans="2:4">
      <c r="B838">
        <v>0.01</v>
      </c>
      <c r="C838">
        <v>0.01</v>
      </c>
      <c r="D838">
        <v>0.01</v>
      </c>
    </row>
    <row r="994" spans="13:13">
      <c r="M994">
        <v>0.16260162601626019</v>
      </c>
    </row>
    <row r="995" spans="13:13">
      <c r="M995">
        <v>0.16260162601626019</v>
      </c>
    </row>
    <row r="996" spans="13:13">
      <c r="M996">
        <v>0.16260162601626019</v>
      </c>
    </row>
    <row r="997" spans="13:13">
      <c r="M997">
        <v>0.16260162601626019</v>
      </c>
    </row>
    <row r="998" spans="13:13">
      <c r="M998">
        <v>0.16260162601626019</v>
      </c>
    </row>
    <row r="999" spans="13:13">
      <c r="M999">
        <v>0.16260162601626019</v>
      </c>
    </row>
    <row r="1000" spans="13:13">
      <c r="M1000">
        <v>0.16260162601626019</v>
      </c>
    </row>
    <row r="1001" spans="13:13">
      <c r="M1001">
        <v>0.16260162601626019</v>
      </c>
    </row>
    <row r="1002" spans="13:13">
      <c r="M1002">
        <v>0.16260162601626019</v>
      </c>
    </row>
    <row r="1003" spans="13:13">
      <c r="M1003">
        <v>0.16260162601626019</v>
      </c>
    </row>
    <row r="1004" spans="13:13">
      <c r="M1004">
        <v>0.16260162601626019</v>
      </c>
    </row>
    <row r="1005" spans="13:13">
      <c r="M1005">
        <v>0.16260162601626019</v>
      </c>
    </row>
    <row r="1006" spans="13:13">
      <c r="M1006">
        <v>0.16260162601626019</v>
      </c>
    </row>
    <row r="1007" spans="13:13">
      <c r="M1007">
        <v>0.16260162601626019</v>
      </c>
    </row>
    <row r="1008" spans="13:13">
      <c r="M1008">
        <v>0.16260162601626019</v>
      </c>
    </row>
    <row r="1009" spans="13:13">
      <c r="M1009">
        <v>0.16260162601626019</v>
      </c>
    </row>
    <row r="1010" spans="13:13">
      <c r="M1010">
        <v>0.16260162601626019</v>
      </c>
    </row>
    <row r="1011" spans="13:13">
      <c r="M1011">
        <v>0.16260162601626019</v>
      </c>
    </row>
    <row r="1012" spans="13:13">
      <c r="M1012">
        <v>0.16260162601626019</v>
      </c>
    </row>
    <row r="1013" spans="13:13">
      <c r="M1013">
        <v>0.16260162601626019</v>
      </c>
    </row>
    <row r="1014" spans="13:13">
      <c r="M1014">
        <v>0.16260162601626019</v>
      </c>
    </row>
    <row r="1015" spans="13:13">
      <c r="M1015">
        <v>0.16260162601626019</v>
      </c>
    </row>
    <row r="1016" spans="13:13">
      <c r="M1016">
        <v>0.16260162601626019</v>
      </c>
    </row>
    <row r="1017" spans="13:13">
      <c r="M1017">
        <v>0.16260162601626019</v>
      </c>
    </row>
    <row r="1018" spans="13:13">
      <c r="M1018">
        <v>0.16260162601626019</v>
      </c>
    </row>
    <row r="1019" spans="13:13">
      <c r="M1019">
        <v>0.16260162601626019</v>
      </c>
    </row>
    <row r="1020" spans="13:13">
      <c r="M1020">
        <v>0.16260162601626019</v>
      </c>
    </row>
    <row r="1021" spans="13:13">
      <c r="M1021">
        <v>0.16260162601626019</v>
      </c>
    </row>
    <row r="1022" spans="13:13">
      <c r="M1022">
        <v>0.16260162601626019</v>
      </c>
    </row>
    <row r="1023" spans="13:13">
      <c r="M1023">
        <v>0.16260162601626019</v>
      </c>
    </row>
    <row r="1024" spans="13:13">
      <c r="M1024">
        <v>0.16260162601626019</v>
      </c>
    </row>
    <row r="1087" spans="2:27">
      <c r="B1087">
        <v>19983.670620472658</v>
      </c>
      <c r="C1087">
        <v>19913.146017754822</v>
      </c>
      <c r="D1087">
        <v>23378</v>
      </c>
      <c r="E1087">
        <v>18000</v>
      </c>
      <c r="F1087">
        <v>25708</v>
      </c>
      <c r="G1087">
        <v>24998</v>
      </c>
      <c r="H1087">
        <v>15434.018474619874</v>
      </c>
      <c r="I1087">
        <v>15355</v>
      </c>
      <c r="J1087">
        <v>17997.893956573575</v>
      </c>
      <c r="K1087">
        <v>18142.665476571849</v>
      </c>
      <c r="L1087">
        <v>25617</v>
      </c>
      <c r="M1087">
        <v>25617</v>
      </c>
      <c r="N1087">
        <v>20373</v>
      </c>
      <c r="O1087">
        <v>18857.634955077243</v>
      </c>
      <c r="P1087">
        <v>13127</v>
      </c>
      <c r="Q1087">
        <v>13855.49429977</v>
      </c>
      <c r="R1087">
        <v>5594.7355725498264</v>
      </c>
      <c r="S1087">
        <v>1712</v>
      </c>
      <c r="T1087">
        <v>2172.2119850739837</v>
      </c>
      <c r="U1087">
        <v>2024.8153109315713</v>
      </c>
      <c r="V1087">
        <v>2088</v>
      </c>
      <c r="W1087">
        <v>1871.8595679041505</v>
      </c>
      <c r="X1087">
        <v>1871.8595679041505</v>
      </c>
      <c r="Y1087">
        <v>1936.0180141055998</v>
      </c>
      <c r="Z1087">
        <v>1745.3918471695424</v>
      </c>
      <c r="AA1087">
        <v>1834.7436370802882</v>
      </c>
    </row>
    <row r="1088" spans="2:27">
      <c r="B1088">
        <v>19983.670620472658</v>
      </c>
      <c r="C1088">
        <v>19913.146017754822</v>
      </c>
      <c r="D1088">
        <v>23378</v>
      </c>
      <c r="E1088">
        <v>18000</v>
      </c>
      <c r="F1088">
        <v>25708</v>
      </c>
      <c r="G1088">
        <v>24998</v>
      </c>
      <c r="H1088">
        <v>15434.018474619874</v>
      </c>
      <c r="I1088">
        <v>15355</v>
      </c>
      <c r="J1088">
        <v>17997.893956573575</v>
      </c>
      <c r="K1088">
        <v>18142.665476571849</v>
      </c>
      <c r="L1088">
        <v>25617</v>
      </c>
      <c r="M1088">
        <v>25617</v>
      </c>
      <c r="N1088">
        <v>20373</v>
      </c>
      <c r="O1088">
        <v>18857.634955077243</v>
      </c>
      <c r="P1088">
        <v>13127</v>
      </c>
      <c r="Q1088">
        <v>13855.49429977</v>
      </c>
      <c r="R1088">
        <v>5594.7355725498264</v>
      </c>
      <c r="S1088">
        <v>1712</v>
      </c>
      <c r="T1088">
        <v>2172.2119850739837</v>
      </c>
      <c r="U1088">
        <v>2024.8153109315713</v>
      </c>
      <c r="V1088">
        <v>2088</v>
      </c>
      <c r="W1088">
        <v>1871.8595679041505</v>
      </c>
      <c r="X1088">
        <v>1871.8595679041505</v>
      </c>
      <c r="Y1088">
        <v>1936.0180141055998</v>
      </c>
      <c r="Z1088">
        <v>1745.3918471695424</v>
      </c>
      <c r="AA1088">
        <v>1834.7436370802882</v>
      </c>
    </row>
    <row r="1089" spans="2:27">
      <c r="B1089">
        <v>19983.670620472658</v>
      </c>
      <c r="C1089">
        <v>19913.146017754822</v>
      </c>
      <c r="D1089">
        <v>23378</v>
      </c>
      <c r="E1089">
        <v>18000</v>
      </c>
      <c r="F1089">
        <v>25708</v>
      </c>
      <c r="G1089">
        <v>24998</v>
      </c>
      <c r="H1089">
        <v>15434.018474619874</v>
      </c>
      <c r="I1089">
        <v>15355</v>
      </c>
      <c r="J1089">
        <v>17997.893956573575</v>
      </c>
      <c r="K1089">
        <v>18142.665476571849</v>
      </c>
      <c r="L1089">
        <v>25617</v>
      </c>
      <c r="M1089">
        <v>25617</v>
      </c>
      <c r="N1089">
        <v>20373</v>
      </c>
      <c r="O1089">
        <v>18857.634955077243</v>
      </c>
      <c r="P1089">
        <v>13127</v>
      </c>
      <c r="Q1089">
        <v>13855.49429977</v>
      </c>
      <c r="R1089">
        <v>5594.7355725498264</v>
      </c>
      <c r="S1089">
        <v>1712</v>
      </c>
      <c r="T1089">
        <v>2172.2119850739837</v>
      </c>
      <c r="U1089">
        <v>2024.8153109315713</v>
      </c>
      <c r="V1089">
        <v>2088</v>
      </c>
      <c r="W1089">
        <v>1871.8595679041505</v>
      </c>
      <c r="X1089">
        <v>1871.8595679041505</v>
      </c>
      <c r="Y1089">
        <v>1936.0180141055998</v>
      </c>
      <c r="Z1089">
        <v>1745.3918471695424</v>
      </c>
      <c r="AA1089">
        <v>1834.7436370802882</v>
      </c>
    </row>
    <row r="1090" spans="2:27">
      <c r="B1090">
        <v>19983.670620472658</v>
      </c>
      <c r="C1090">
        <v>19913.146017754822</v>
      </c>
      <c r="D1090">
        <v>23378</v>
      </c>
      <c r="E1090">
        <v>18000</v>
      </c>
      <c r="F1090">
        <v>25708</v>
      </c>
      <c r="G1090">
        <v>24998</v>
      </c>
      <c r="H1090">
        <v>15434.018474619874</v>
      </c>
      <c r="I1090">
        <v>15355</v>
      </c>
      <c r="J1090">
        <v>17997.893956573575</v>
      </c>
      <c r="K1090">
        <v>18142.665476571849</v>
      </c>
      <c r="L1090">
        <v>25617</v>
      </c>
      <c r="M1090">
        <v>25617</v>
      </c>
      <c r="N1090">
        <v>20373</v>
      </c>
      <c r="O1090">
        <v>18857.634955077243</v>
      </c>
      <c r="P1090">
        <v>13127</v>
      </c>
      <c r="Q1090">
        <v>13855.49429977</v>
      </c>
      <c r="R1090">
        <v>5594.7355725498264</v>
      </c>
      <c r="S1090">
        <v>1712</v>
      </c>
      <c r="T1090">
        <v>2172.2119850739837</v>
      </c>
      <c r="U1090">
        <v>2024.8153109315713</v>
      </c>
      <c r="V1090">
        <v>2088</v>
      </c>
      <c r="W1090">
        <v>1871.8595679041505</v>
      </c>
      <c r="X1090">
        <v>1871.8595679041505</v>
      </c>
      <c r="Y1090">
        <v>1936.0180141055998</v>
      </c>
      <c r="Z1090">
        <v>1745.3918471695424</v>
      </c>
      <c r="AA1090">
        <v>1834.7436370802882</v>
      </c>
    </row>
    <row r="1091" spans="2:27">
      <c r="B1091">
        <v>19983.670620472658</v>
      </c>
      <c r="C1091">
        <v>19913.146017754822</v>
      </c>
      <c r="D1091">
        <v>23378</v>
      </c>
      <c r="E1091">
        <v>18000</v>
      </c>
      <c r="F1091">
        <v>25708</v>
      </c>
      <c r="G1091">
        <v>24998</v>
      </c>
      <c r="H1091">
        <v>15434.018474619874</v>
      </c>
      <c r="I1091">
        <v>15355</v>
      </c>
      <c r="J1091">
        <v>17997.893956573575</v>
      </c>
      <c r="K1091">
        <v>18142.665476571849</v>
      </c>
      <c r="L1091">
        <v>25617</v>
      </c>
      <c r="M1091">
        <v>25617</v>
      </c>
      <c r="N1091">
        <v>20373</v>
      </c>
      <c r="O1091">
        <v>18857.634955077243</v>
      </c>
      <c r="P1091">
        <v>13127</v>
      </c>
      <c r="Q1091">
        <v>13855.49429977</v>
      </c>
      <c r="R1091">
        <v>5594.7355725498264</v>
      </c>
      <c r="S1091">
        <v>1712</v>
      </c>
      <c r="T1091">
        <v>2172.2119850739837</v>
      </c>
      <c r="U1091">
        <v>2024.8153109315713</v>
      </c>
      <c r="V1091">
        <v>2088</v>
      </c>
      <c r="W1091">
        <v>1871.8595679041505</v>
      </c>
      <c r="X1091">
        <v>1871.8595679041505</v>
      </c>
      <c r="Y1091">
        <v>1936.0180141055998</v>
      </c>
      <c r="Z1091">
        <v>1745.3918471695424</v>
      </c>
      <c r="AA1091">
        <v>1834.7436370802882</v>
      </c>
    </row>
    <row r="1092" spans="2:27">
      <c r="B1092">
        <v>19983.670620472658</v>
      </c>
      <c r="C1092">
        <v>19913.146017754822</v>
      </c>
      <c r="D1092">
        <v>23378</v>
      </c>
      <c r="E1092">
        <v>18000</v>
      </c>
      <c r="F1092">
        <v>25708</v>
      </c>
      <c r="G1092">
        <v>24998</v>
      </c>
      <c r="H1092">
        <v>15434.018474619874</v>
      </c>
      <c r="I1092">
        <v>15355</v>
      </c>
      <c r="J1092">
        <v>17997.893956573575</v>
      </c>
      <c r="K1092">
        <v>18142.665476571849</v>
      </c>
      <c r="L1092">
        <v>25617</v>
      </c>
      <c r="M1092">
        <v>25617</v>
      </c>
      <c r="N1092">
        <v>20373</v>
      </c>
      <c r="O1092">
        <v>18857.634955077243</v>
      </c>
      <c r="P1092">
        <v>13127</v>
      </c>
      <c r="Q1092">
        <v>13855.49429977</v>
      </c>
      <c r="R1092">
        <v>5594.7355725498264</v>
      </c>
      <c r="S1092">
        <v>1712</v>
      </c>
      <c r="T1092">
        <v>2172.2119850739837</v>
      </c>
      <c r="U1092">
        <v>2024.8153109315713</v>
      </c>
      <c r="V1092">
        <v>2088</v>
      </c>
      <c r="W1092">
        <v>1871.8595679041505</v>
      </c>
      <c r="X1092">
        <v>1871.8595679041505</v>
      </c>
      <c r="Y1092">
        <v>1936.0180141055998</v>
      </c>
      <c r="Z1092">
        <v>1745.3918471695424</v>
      </c>
      <c r="AA1092">
        <v>1834.7436370802882</v>
      </c>
    </row>
    <row r="1093" spans="2:27">
      <c r="B1093">
        <v>19983.670620472658</v>
      </c>
      <c r="C1093">
        <v>19913.146017754822</v>
      </c>
      <c r="D1093">
        <v>23378</v>
      </c>
      <c r="E1093">
        <v>18000</v>
      </c>
      <c r="F1093">
        <v>25708</v>
      </c>
      <c r="G1093">
        <v>24998</v>
      </c>
      <c r="H1093">
        <v>15434.018474619874</v>
      </c>
      <c r="I1093">
        <v>15355</v>
      </c>
      <c r="J1093">
        <v>17997.893956573575</v>
      </c>
      <c r="K1093">
        <v>18142.665476571849</v>
      </c>
      <c r="L1093">
        <v>25617</v>
      </c>
      <c r="M1093">
        <v>25617</v>
      </c>
      <c r="N1093">
        <v>20373</v>
      </c>
      <c r="O1093">
        <v>18857.634955077243</v>
      </c>
      <c r="P1093">
        <v>13127</v>
      </c>
      <c r="Q1093">
        <v>13855.49429977</v>
      </c>
      <c r="R1093">
        <v>5594.7355725498264</v>
      </c>
      <c r="S1093">
        <v>1712</v>
      </c>
      <c r="T1093">
        <v>2172.2119850739837</v>
      </c>
      <c r="U1093">
        <v>2024.8153109315713</v>
      </c>
      <c r="V1093">
        <v>2088</v>
      </c>
      <c r="W1093">
        <v>1871.8595679041505</v>
      </c>
      <c r="X1093">
        <v>1871.8595679041505</v>
      </c>
      <c r="Y1093">
        <v>1936.0180141055998</v>
      </c>
      <c r="Z1093">
        <v>1745.3918471695424</v>
      </c>
      <c r="AA1093">
        <v>1834.7436370802882</v>
      </c>
    </row>
    <row r="1094" spans="2:27">
      <c r="B1094">
        <v>19983.670620472658</v>
      </c>
      <c r="C1094">
        <v>19913.146017754822</v>
      </c>
      <c r="D1094">
        <v>23378</v>
      </c>
      <c r="E1094">
        <v>18000</v>
      </c>
      <c r="F1094">
        <v>25708</v>
      </c>
      <c r="G1094">
        <v>24998</v>
      </c>
      <c r="H1094">
        <v>15434.018474619874</v>
      </c>
      <c r="I1094">
        <v>15355</v>
      </c>
      <c r="J1094">
        <v>17997.893956573575</v>
      </c>
      <c r="K1094">
        <v>18142.665476571849</v>
      </c>
      <c r="L1094">
        <v>25617</v>
      </c>
      <c r="M1094">
        <v>25617</v>
      </c>
      <c r="N1094">
        <v>20373</v>
      </c>
      <c r="O1094">
        <v>18857.634955077243</v>
      </c>
      <c r="P1094">
        <v>13127</v>
      </c>
      <c r="Q1094">
        <v>13855.49429977</v>
      </c>
      <c r="R1094">
        <v>5594.7355725498264</v>
      </c>
      <c r="S1094">
        <v>1712</v>
      </c>
      <c r="T1094">
        <v>2172.2119850739837</v>
      </c>
      <c r="U1094">
        <v>2024.8153109315713</v>
      </c>
      <c r="V1094">
        <v>2088</v>
      </c>
      <c r="W1094">
        <v>1871.8595679041505</v>
      </c>
      <c r="X1094">
        <v>1871.8595679041505</v>
      </c>
      <c r="Y1094">
        <v>1936.0180141055998</v>
      </c>
      <c r="Z1094">
        <v>1745.3918471695424</v>
      </c>
      <c r="AA1094">
        <v>1834.7436370802882</v>
      </c>
    </row>
    <row r="1095" spans="2:27">
      <c r="B1095">
        <v>19983.670620472658</v>
      </c>
      <c r="C1095">
        <v>19913.146017754822</v>
      </c>
      <c r="D1095">
        <v>23378</v>
      </c>
      <c r="E1095">
        <v>18000</v>
      </c>
      <c r="F1095">
        <v>25708</v>
      </c>
      <c r="G1095">
        <v>24998</v>
      </c>
      <c r="H1095">
        <v>15434.018474619874</v>
      </c>
      <c r="I1095">
        <v>15355</v>
      </c>
      <c r="J1095">
        <v>17997.893956573575</v>
      </c>
      <c r="K1095">
        <v>18142.665476571849</v>
      </c>
      <c r="L1095">
        <v>25617</v>
      </c>
      <c r="M1095">
        <v>25617</v>
      </c>
      <c r="N1095">
        <v>20373</v>
      </c>
      <c r="O1095">
        <v>18857.634955077243</v>
      </c>
      <c r="P1095">
        <v>13127</v>
      </c>
      <c r="Q1095">
        <v>13855.49429977</v>
      </c>
      <c r="R1095">
        <v>5594.7355725498264</v>
      </c>
      <c r="S1095">
        <v>1712</v>
      </c>
      <c r="T1095">
        <v>2172.2119850739837</v>
      </c>
      <c r="U1095">
        <v>2024.8153109315713</v>
      </c>
      <c r="V1095">
        <v>2088</v>
      </c>
      <c r="W1095">
        <v>1871.8595679041505</v>
      </c>
      <c r="X1095">
        <v>1871.8595679041505</v>
      </c>
      <c r="Y1095">
        <v>1936.0180141055998</v>
      </c>
      <c r="Z1095">
        <v>1745.3918471695424</v>
      </c>
      <c r="AA1095">
        <v>1834.7436370802882</v>
      </c>
    </row>
    <row r="1096" spans="2:27">
      <c r="B1096">
        <v>19983.670620472658</v>
      </c>
      <c r="C1096">
        <v>19913.146017754822</v>
      </c>
      <c r="D1096">
        <v>23378</v>
      </c>
      <c r="E1096">
        <v>18000</v>
      </c>
      <c r="F1096">
        <v>25708</v>
      </c>
      <c r="G1096">
        <v>24998</v>
      </c>
      <c r="H1096">
        <v>15434.018474619874</v>
      </c>
      <c r="I1096">
        <v>15355</v>
      </c>
      <c r="J1096">
        <v>17997.893956573575</v>
      </c>
      <c r="K1096">
        <v>18142.665476571849</v>
      </c>
      <c r="L1096">
        <v>25617</v>
      </c>
      <c r="M1096">
        <v>25617</v>
      </c>
      <c r="N1096">
        <v>20373</v>
      </c>
      <c r="O1096">
        <v>18857.634955077243</v>
      </c>
      <c r="P1096">
        <v>13127</v>
      </c>
      <c r="Q1096">
        <v>13855.49429977</v>
      </c>
      <c r="R1096">
        <v>5594.7355725498264</v>
      </c>
      <c r="S1096">
        <v>1712</v>
      </c>
      <c r="T1096">
        <v>2172.2119850739837</v>
      </c>
      <c r="U1096">
        <v>2024.8153109315713</v>
      </c>
      <c r="V1096">
        <v>2088</v>
      </c>
      <c r="W1096">
        <v>1871.8595679041505</v>
      </c>
      <c r="X1096">
        <v>1871.8595679041505</v>
      </c>
      <c r="Y1096">
        <v>1936.0180141055998</v>
      </c>
      <c r="Z1096">
        <v>1745.3918471695424</v>
      </c>
      <c r="AA1096">
        <v>1834.7436370802882</v>
      </c>
    </row>
    <row r="1097" spans="2:27">
      <c r="B1097">
        <v>19983.670620472658</v>
      </c>
      <c r="C1097">
        <v>19913.146017754822</v>
      </c>
      <c r="D1097">
        <v>23378</v>
      </c>
      <c r="E1097">
        <v>18000</v>
      </c>
      <c r="F1097">
        <v>25708</v>
      </c>
      <c r="G1097">
        <v>24998</v>
      </c>
      <c r="H1097">
        <v>15434.018474619874</v>
      </c>
      <c r="I1097">
        <v>15355</v>
      </c>
      <c r="J1097">
        <v>17997.893956573575</v>
      </c>
      <c r="K1097">
        <v>18142.665476571849</v>
      </c>
      <c r="L1097">
        <v>25617</v>
      </c>
      <c r="M1097">
        <v>25617</v>
      </c>
      <c r="N1097">
        <v>20373</v>
      </c>
      <c r="O1097">
        <v>18857.634955077243</v>
      </c>
      <c r="P1097">
        <v>13127</v>
      </c>
      <c r="Q1097">
        <v>13855.49429977</v>
      </c>
      <c r="R1097">
        <v>5594.7355725498264</v>
      </c>
      <c r="S1097">
        <v>1712</v>
      </c>
      <c r="T1097">
        <v>2172.2119850739837</v>
      </c>
      <c r="U1097">
        <v>2024.8153109315713</v>
      </c>
      <c r="V1097">
        <v>2088</v>
      </c>
      <c r="W1097">
        <v>1871.8595679041505</v>
      </c>
      <c r="X1097">
        <v>1871.8595679041505</v>
      </c>
      <c r="Y1097">
        <v>1936.0180141055998</v>
      </c>
      <c r="Z1097">
        <v>1745.3918471695424</v>
      </c>
      <c r="AA1097">
        <v>1834.7436370802882</v>
      </c>
    </row>
    <row r="1098" spans="2:27">
      <c r="B1098">
        <v>19983.670620472658</v>
      </c>
      <c r="C1098">
        <v>19913.146017754822</v>
      </c>
      <c r="D1098">
        <v>23378</v>
      </c>
      <c r="E1098">
        <v>18000</v>
      </c>
      <c r="F1098">
        <v>25708</v>
      </c>
      <c r="G1098">
        <v>24998</v>
      </c>
      <c r="H1098">
        <v>15434.018474619874</v>
      </c>
      <c r="I1098">
        <v>15355</v>
      </c>
      <c r="J1098">
        <v>17997.893956573575</v>
      </c>
      <c r="K1098">
        <v>18142.665476571849</v>
      </c>
      <c r="L1098">
        <v>25617</v>
      </c>
      <c r="M1098">
        <v>25617</v>
      </c>
      <c r="N1098">
        <v>20373</v>
      </c>
      <c r="O1098">
        <v>18857.634955077243</v>
      </c>
      <c r="P1098">
        <v>13127</v>
      </c>
      <c r="Q1098">
        <v>13855.49429977</v>
      </c>
      <c r="R1098">
        <v>5594.7355725498264</v>
      </c>
      <c r="S1098">
        <v>1712</v>
      </c>
      <c r="T1098">
        <v>2172.2119850739837</v>
      </c>
      <c r="U1098">
        <v>2024.8153109315713</v>
      </c>
      <c r="V1098">
        <v>2088</v>
      </c>
      <c r="W1098">
        <v>1871.8595679041505</v>
      </c>
      <c r="X1098">
        <v>1871.8595679041505</v>
      </c>
      <c r="Y1098">
        <v>1936.0180141055998</v>
      </c>
      <c r="Z1098">
        <v>1745.3918471695424</v>
      </c>
      <c r="AA1098">
        <v>1834.7436370802882</v>
      </c>
    </row>
    <row r="1099" spans="2:27">
      <c r="B1099">
        <v>19983.670620472658</v>
      </c>
      <c r="C1099">
        <v>19913.146017754822</v>
      </c>
      <c r="D1099">
        <v>23378</v>
      </c>
      <c r="E1099">
        <v>18000</v>
      </c>
      <c r="F1099">
        <v>25708</v>
      </c>
      <c r="G1099">
        <v>24998</v>
      </c>
      <c r="H1099">
        <v>15434.018474619874</v>
      </c>
      <c r="I1099">
        <v>15355</v>
      </c>
      <c r="J1099">
        <v>17997.893956573575</v>
      </c>
      <c r="K1099">
        <v>18142.665476571849</v>
      </c>
      <c r="L1099">
        <v>25617</v>
      </c>
      <c r="M1099">
        <v>25617</v>
      </c>
      <c r="N1099">
        <v>20373</v>
      </c>
      <c r="O1099">
        <v>18857.634955077243</v>
      </c>
      <c r="P1099">
        <v>13127</v>
      </c>
      <c r="Q1099">
        <v>13855.49429977</v>
      </c>
      <c r="R1099">
        <v>5594.7355725498264</v>
      </c>
      <c r="S1099">
        <v>1712</v>
      </c>
      <c r="T1099">
        <v>2172.2119850739837</v>
      </c>
      <c r="U1099">
        <v>2024.8153109315713</v>
      </c>
      <c r="V1099">
        <v>2088</v>
      </c>
      <c r="W1099">
        <v>1871.8595679041505</v>
      </c>
      <c r="X1099">
        <v>1871.8595679041505</v>
      </c>
      <c r="Y1099">
        <v>1936.0180141055998</v>
      </c>
      <c r="Z1099">
        <v>1745.3918471695424</v>
      </c>
      <c r="AA1099">
        <v>1834.7436370802882</v>
      </c>
    </row>
    <row r="1100" spans="2:27">
      <c r="B1100">
        <v>19983.670620472658</v>
      </c>
      <c r="C1100">
        <v>19913.146017754822</v>
      </c>
      <c r="D1100">
        <v>23378</v>
      </c>
      <c r="E1100">
        <v>18000</v>
      </c>
      <c r="F1100">
        <v>25708</v>
      </c>
      <c r="G1100">
        <v>24998</v>
      </c>
      <c r="H1100">
        <v>15434.018474619874</v>
      </c>
      <c r="I1100">
        <v>15355</v>
      </c>
      <c r="J1100">
        <v>17997.893956573575</v>
      </c>
      <c r="K1100">
        <v>18142.665476571849</v>
      </c>
      <c r="L1100">
        <v>25617</v>
      </c>
      <c r="M1100">
        <v>25617</v>
      </c>
      <c r="N1100">
        <v>20373</v>
      </c>
      <c r="O1100">
        <v>18857.634955077243</v>
      </c>
      <c r="P1100">
        <v>13127</v>
      </c>
      <c r="Q1100">
        <v>13855.49429977</v>
      </c>
      <c r="R1100">
        <v>5594.7355725498264</v>
      </c>
      <c r="S1100">
        <v>1712</v>
      </c>
      <c r="T1100">
        <v>2172.2119850739837</v>
      </c>
      <c r="U1100">
        <v>2024.8153109315713</v>
      </c>
      <c r="V1100">
        <v>2088</v>
      </c>
      <c r="W1100">
        <v>1871.8595679041505</v>
      </c>
      <c r="X1100">
        <v>1871.8595679041505</v>
      </c>
      <c r="Y1100">
        <v>1936.0180141055998</v>
      </c>
      <c r="Z1100">
        <v>1745.3918471695424</v>
      </c>
      <c r="AA1100">
        <v>1834.7436370802882</v>
      </c>
    </row>
    <row r="1101" spans="2:27">
      <c r="B1101">
        <v>19983.670620472658</v>
      </c>
      <c r="C1101">
        <v>19913.146017754822</v>
      </c>
      <c r="D1101">
        <v>23378</v>
      </c>
      <c r="E1101">
        <v>18000</v>
      </c>
      <c r="F1101">
        <v>25708</v>
      </c>
      <c r="G1101">
        <v>24998</v>
      </c>
      <c r="H1101">
        <v>15434.018474619874</v>
      </c>
      <c r="I1101">
        <v>15355</v>
      </c>
      <c r="J1101">
        <v>17997.893956573575</v>
      </c>
      <c r="K1101">
        <v>18142.665476571849</v>
      </c>
      <c r="L1101">
        <v>25617</v>
      </c>
      <c r="M1101">
        <v>25617</v>
      </c>
      <c r="N1101">
        <v>20373</v>
      </c>
      <c r="O1101">
        <v>18857.634955077243</v>
      </c>
      <c r="P1101">
        <v>13127</v>
      </c>
      <c r="Q1101">
        <v>13855.49429977</v>
      </c>
      <c r="R1101">
        <v>5594.7355725498264</v>
      </c>
      <c r="S1101">
        <v>1712</v>
      </c>
      <c r="T1101">
        <v>2172.2119850739837</v>
      </c>
      <c r="U1101">
        <v>2024.8153109315713</v>
      </c>
      <c r="V1101">
        <v>2088</v>
      </c>
      <c r="W1101">
        <v>1871.8595679041505</v>
      </c>
      <c r="X1101">
        <v>1871.8595679041505</v>
      </c>
      <c r="Y1101">
        <v>1936.0180141055998</v>
      </c>
      <c r="Z1101">
        <v>1745.3918471695424</v>
      </c>
      <c r="AA1101">
        <v>1834.7436370802882</v>
      </c>
    </row>
    <row r="1102" spans="2:27">
      <c r="B1102">
        <v>19983.670620472658</v>
      </c>
      <c r="C1102">
        <v>19913.146017754822</v>
      </c>
      <c r="D1102">
        <v>23378</v>
      </c>
      <c r="E1102">
        <v>18000</v>
      </c>
      <c r="F1102">
        <v>25708</v>
      </c>
      <c r="G1102">
        <v>24998</v>
      </c>
      <c r="H1102">
        <v>15434.018474619874</v>
      </c>
      <c r="I1102">
        <v>15355</v>
      </c>
      <c r="J1102">
        <v>17997.893956573575</v>
      </c>
      <c r="K1102">
        <v>18142.665476571849</v>
      </c>
      <c r="L1102">
        <v>25617</v>
      </c>
      <c r="M1102">
        <v>25617</v>
      </c>
      <c r="N1102">
        <v>20373</v>
      </c>
      <c r="O1102">
        <v>18857.634955077243</v>
      </c>
      <c r="P1102">
        <v>13127</v>
      </c>
      <c r="Q1102">
        <v>13855.49429977</v>
      </c>
      <c r="R1102">
        <v>5594.7355725498264</v>
      </c>
      <c r="S1102">
        <v>1712</v>
      </c>
      <c r="T1102">
        <v>2172.2119850739837</v>
      </c>
      <c r="U1102">
        <v>2024.8153109315713</v>
      </c>
      <c r="V1102">
        <v>2088</v>
      </c>
      <c r="W1102">
        <v>1871.8595679041505</v>
      </c>
      <c r="X1102">
        <v>1871.8595679041505</v>
      </c>
      <c r="Y1102">
        <v>1936.0180141055998</v>
      </c>
      <c r="Z1102">
        <v>1745.3918471695424</v>
      </c>
      <c r="AA1102">
        <v>1834.7436370802882</v>
      </c>
    </row>
    <row r="1103" spans="2:27">
      <c r="B1103">
        <v>19983.670620472658</v>
      </c>
      <c r="C1103">
        <v>19913.146017754822</v>
      </c>
      <c r="D1103">
        <v>23378</v>
      </c>
      <c r="E1103">
        <v>18000</v>
      </c>
      <c r="F1103">
        <v>25708</v>
      </c>
      <c r="G1103">
        <v>24998</v>
      </c>
      <c r="H1103">
        <v>15434.018474619874</v>
      </c>
      <c r="I1103">
        <v>15355</v>
      </c>
      <c r="J1103">
        <v>17997.893956573575</v>
      </c>
      <c r="K1103">
        <v>18142.665476571849</v>
      </c>
      <c r="L1103">
        <v>25617</v>
      </c>
      <c r="M1103">
        <v>25617</v>
      </c>
      <c r="N1103">
        <v>20373</v>
      </c>
      <c r="O1103">
        <v>18857.634955077243</v>
      </c>
      <c r="P1103">
        <v>13127</v>
      </c>
      <c r="Q1103">
        <v>13855.49429977</v>
      </c>
      <c r="R1103">
        <v>5594.7355725498264</v>
      </c>
      <c r="S1103">
        <v>1712</v>
      </c>
      <c r="T1103">
        <v>2172.2119850739837</v>
      </c>
      <c r="U1103">
        <v>2024.8153109315713</v>
      </c>
      <c r="V1103">
        <v>2088</v>
      </c>
      <c r="W1103">
        <v>1871.8595679041505</v>
      </c>
      <c r="X1103">
        <v>1871.8595679041505</v>
      </c>
      <c r="Y1103">
        <v>1936.0180141055998</v>
      </c>
      <c r="Z1103">
        <v>1745.3918471695424</v>
      </c>
      <c r="AA1103">
        <v>1834.7436370802882</v>
      </c>
    </row>
    <row r="1104" spans="2:27">
      <c r="B1104">
        <v>19983.670620472658</v>
      </c>
      <c r="C1104">
        <v>19913.146017754822</v>
      </c>
      <c r="D1104">
        <v>23378</v>
      </c>
      <c r="E1104">
        <v>18000</v>
      </c>
      <c r="F1104">
        <v>25708</v>
      </c>
      <c r="G1104">
        <v>24998</v>
      </c>
      <c r="H1104">
        <v>15434.018474619874</v>
      </c>
      <c r="I1104">
        <v>15355</v>
      </c>
      <c r="J1104">
        <v>17997.893956573575</v>
      </c>
      <c r="K1104">
        <v>18142.665476571849</v>
      </c>
      <c r="L1104">
        <v>25617</v>
      </c>
      <c r="M1104">
        <v>25617</v>
      </c>
      <c r="N1104">
        <v>20373</v>
      </c>
      <c r="O1104">
        <v>18857.634955077243</v>
      </c>
      <c r="P1104">
        <v>13127</v>
      </c>
      <c r="Q1104">
        <v>13855.49429977</v>
      </c>
      <c r="R1104">
        <v>5594.7355725498264</v>
      </c>
      <c r="S1104">
        <v>1712</v>
      </c>
      <c r="T1104">
        <v>2172.2119850739837</v>
      </c>
      <c r="U1104">
        <v>2024.8153109315713</v>
      </c>
      <c r="V1104">
        <v>2088</v>
      </c>
      <c r="W1104">
        <v>1871.8595679041505</v>
      </c>
      <c r="X1104">
        <v>1871.8595679041505</v>
      </c>
      <c r="Y1104">
        <v>1936.0180141055998</v>
      </c>
      <c r="Z1104">
        <v>1745.3918471695424</v>
      </c>
      <c r="AA1104">
        <v>1834.7436370802882</v>
      </c>
    </row>
    <row r="1105" spans="2:27">
      <c r="B1105">
        <v>19983.670620472658</v>
      </c>
      <c r="C1105">
        <v>19913.146017754822</v>
      </c>
      <c r="D1105">
        <v>23378</v>
      </c>
      <c r="E1105">
        <v>18000</v>
      </c>
      <c r="F1105">
        <v>25708</v>
      </c>
      <c r="G1105">
        <v>24998</v>
      </c>
      <c r="H1105">
        <v>15434.018474619874</v>
      </c>
      <c r="I1105">
        <v>15355</v>
      </c>
      <c r="J1105">
        <v>17997.893956573575</v>
      </c>
      <c r="K1105">
        <v>18142.665476571849</v>
      </c>
      <c r="L1105">
        <v>25617</v>
      </c>
      <c r="M1105">
        <v>25617</v>
      </c>
      <c r="N1105">
        <v>20373</v>
      </c>
      <c r="O1105">
        <v>18857.634955077243</v>
      </c>
      <c r="P1105">
        <v>13127</v>
      </c>
      <c r="Q1105">
        <v>13855.49429977</v>
      </c>
      <c r="R1105">
        <v>5594.7355725498264</v>
      </c>
      <c r="S1105">
        <v>1712</v>
      </c>
      <c r="T1105">
        <v>2172.2119850739837</v>
      </c>
      <c r="U1105">
        <v>2024.8153109315713</v>
      </c>
      <c r="V1105">
        <v>2088</v>
      </c>
      <c r="W1105">
        <v>1871.8595679041505</v>
      </c>
      <c r="X1105">
        <v>1871.8595679041505</v>
      </c>
      <c r="Y1105">
        <v>1936.0180141055998</v>
      </c>
      <c r="Z1105">
        <v>1745.3918471695424</v>
      </c>
      <c r="AA1105">
        <v>1834.7436370802882</v>
      </c>
    </row>
    <row r="1106" spans="2:27">
      <c r="B1106">
        <v>19983.670620472658</v>
      </c>
      <c r="C1106">
        <v>19913.146017754822</v>
      </c>
      <c r="D1106">
        <v>23378</v>
      </c>
      <c r="E1106">
        <v>18000</v>
      </c>
      <c r="F1106">
        <v>25708</v>
      </c>
      <c r="G1106">
        <v>24998</v>
      </c>
      <c r="H1106">
        <v>15434.018474619874</v>
      </c>
      <c r="I1106">
        <v>15355</v>
      </c>
      <c r="J1106">
        <v>17997.893956573575</v>
      </c>
      <c r="K1106">
        <v>18142.665476571849</v>
      </c>
      <c r="L1106">
        <v>25617</v>
      </c>
      <c r="M1106">
        <v>25617</v>
      </c>
      <c r="N1106">
        <v>20373</v>
      </c>
      <c r="O1106">
        <v>18857.634955077243</v>
      </c>
      <c r="P1106">
        <v>13127</v>
      </c>
      <c r="Q1106">
        <v>13855.49429977</v>
      </c>
      <c r="R1106">
        <v>5594.7355725498264</v>
      </c>
      <c r="S1106">
        <v>1712</v>
      </c>
      <c r="T1106">
        <v>2172.2119850739837</v>
      </c>
      <c r="U1106">
        <v>2024.8153109315713</v>
      </c>
      <c r="V1106">
        <v>2088</v>
      </c>
      <c r="W1106">
        <v>1871.8595679041505</v>
      </c>
      <c r="X1106">
        <v>1871.8595679041505</v>
      </c>
      <c r="Y1106">
        <v>1936.0180141055998</v>
      </c>
      <c r="Z1106">
        <v>1745.3918471695424</v>
      </c>
      <c r="AA1106">
        <v>1834.7436370802882</v>
      </c>
    </row>
    <row r="1107" spans="2:27">
      <c r="B1107">
        <v>19983.670620472658</v>
      </c>
      <c r="C1107">
        <v>19913.146017754822</v>
      </c>
      <c r="D1107">
        <v>23378</v>
      </c>
      <c r="E1107">
        <v>18000</v>
      </c>
      <c r="F1107">
        <v>25708</v>
      </c>
      <c r="G1107">
        <v>24998</v>
      </c>
      <c r="H1107">
        <v>15434.018474619874</v>
      </c>
      <c r="I1107">
        <v>15355</v>
      </c>
      <c r="J1107">
        <v>17997.893956573575</v>
      </c>
      <c r="K1107">
        <v>18142.665476571849</v>
      </c>
      <c r="L1107">
        <v>25617</v>
      </c>
      <c r="M1107">
        <v>25617</v>
      </c>
      <c r="N1107">
        <v>20373</v>
      </c>
      <c r="O1107">
        <v>18857.634955077243</v>
      </c>
      <c r="P1107">
        <v>13127</v>
      </c>
      <c r="Q1107">
        <v>13855.49429977</v>
      </c>
      <c r="R1107">
        <v>5594.7355725498264</v>
      </c>
      <c r="S1107">
        <v>1712</v>
      </c>
      <c r="T1107">
        <v>2172.2119850739837</v>
      </c>
      <c r="U1107">
        <v>2024.8153109315713</v>
      </c>
      <c r="V1107">
        <v>2088</v>
      </c>
      <c r="W1107">
        <v>1871.8595679041505</v>
      </c>
      <c r="X1107">
        <v>1871.8595679041505</v>
      </c>
      <c r="Y1107">
        <v>1936.0180141055998</v>
      </c>
      <c r="Z1107">
        <v>1745.3918471695424</v>
      </c>
      <c r="AA1107">
        <v>1834.7436370802882</v>
      </c>
    </row>
    <row r="1108" spans="2:27">
      <c r="B1108">
        <v>19983.670620472658</v>
      </c>
      <c r="C1108">
        <v>19913.146017754822</v>
      </c>
      <c r="D1108">
        <v>23378</v>
      </c>
      <c r="E1108">
        <v>18000</v>
      </c>
      <c r="F1108">
        <v>25708</v>
      </c>
      <c r="G1108">
        <v>24998</v>
      </c>
      <c r="H1108">
        <v>15434.018474619874</v>
      </c>
      <c r="I1108">
        <v>15355</v>
      </c>
      <c r="J1108">
        <v>17997.893956573575</v>
      </c>
      <c r="K1108">
        <v>18142.665476571849</v>
      </c>
      <c r="L1108">
        <v>25617</v>
      </c>
      <c r="M1108">
        <v>25617</v>
      </c>
      <c r="N1108">
        <v>20373</v>
      </c>
      <c r="O1108">
        <v>18857.634955077243</v>
      </c>
      <c r="P1108">
        <v>13127</v>
      </c>
      <c r="Q1108">
        <v>13855.49429977</v>
      </c>
      <c r="R1108">
        <v>5594.7355725498264</v>
      </c>
      <c r="S1108">
        <v>1712</v>
      </c>
      <c r="T1108">
        <v>2172.2119850739837</v>
      </c>
      <c r="U1108">
        <v>2024.8153109315713</v>
      </c>
      <c r="V1108">
        <v>2088</v>
      </c>
      <c r="W1108">
        <v>1871.8595679041505</v>
      </c>
      <c r="X1108">
        <v>1871.8595679041505</v>
      </c>
      <c r="Y1108">
        <v>1936.0180141055998</v>
      </c>
      <c r="Z1108">
        <v>1745.3918471695424</v>
      </c>
      <c r="AA1108">
        <v>1834.7436370802882</v>
      </c>
    </row>
    <row r="1109" spans="2:27">
      <c r="B1109">
        <v>19983.670620472658</v>
      </c>
      <c r="C1109">
        <v>19913.146017754822</v>
      </c>
      <c r="D1109">
        <v>23378</v>
      </c>
      <c r="E1109">
        <v>18000</v>
      </c>
      <c r="F1109">
        <v>25708</v>
      </c>
      <c r="G1109">
        <v>24998</v>
      </c>
      <c r="H1109">
        <v>15434.018474619874</v>
      </c>
      <c r="I1109">
        <v>15355</v>
      </c>
      <c r="J1109">
        <v>17997.893956573575</v>
      </c>
      <c r="K1109">
        <v>18142.665476571849</v>
      </c>
      <c r="L1109">
        <v>25617</v>
      </c>
      <c r="M1109">
        <v>25617</v>
      </c>
      <c r="N1109">
        <v>20373</v>
      </c>
      <c r="O1109">
        <v>18857.634955077243</v>
      </c>
      <c r="P1109">
        <v>13127</v>
      </c>
      <c r="Q1109">
        <v>13855.49429977</v>
      </c>
      <c r="R1109">
        <v>5594.7355725498264</v>
      </c>
      <c r="S1109">
        <v>1712</v>
      </c>
      <c r="T1109">
        <v>2172.2119850739837</v>
      </c>
      <c r="U1109">
        <v>2024.8153109315713</v>
      </c>
      <c r="V1109">
        <v>2088</v>
      </c>
      <c r="W1109">
        <v>1871.8595679041505</v>
      </c>
      <c r="X1109">
        <v>1871.8595679041505</v>
      </c>
      <c r="Y1109">
        <v>1936.0180141055998</v>
      </c>
      <c r="Z1109">
        <v>1745.3918471695424</v>
      </c>
      <c r="AA1109">
        <v>1834.7436370802882</v>
      </c>
    </row>
    <row r="1110" spans="2:27">
      <c r="B1110">
        <v>19983.670620472658</v>
      </c>
      <c r="C1110">
        <v>19913.146017754822</v>
      </c>
      <c r="D1110">
        <v>23378</v>
      </c>
      <c r="E1110">
        <v>18000</v>
      </c>
      <c r="F1110">
        <v>25708</v>
      </c>
      <c r="G1110">
        <v>24998</v>
      </c>
      <c r="H1110">
        <v>15434.018474619874</v>
      </c>
      <c r="I1110">
        <v>15355</v>
      </c>
      <c r="J1110">
        <v>17997.893956573575</v>
      </c>
      <c r="K1110">
        <v>18142.665476571849</v>
      </c>
      <c r="L1110">
        <v>25617</v>
      </c>
      <c r="M1110">
        <v>25617</v>
      </c>
      <c r="N1110">
        <v>20373</v>
      </c>
      <c r="O1110">
        <v>18857.634955077243</v>
      </c>
      <c r="P1110">
        <v>13127</v>
      </c>
      <c r="Q1110">
        <v>13855.49429977</v>
      </c>
      <c r="R1110">
        <v>5594.7355725498264</v>
      </c>
      <c r="S1110">
        <v>1712</v>
      </c>
      <c r="T1110">
        <v>2172.2119850739837</v>
      </c>
      <c r="U1110">
        <v>2024.8153109315713</v>
      </c>
      <c r="V1110">
        <v>2088</v>
      </c>
      <c r="W1110">
        <v>1871.8595679041505</v>
      </c>
      <c r="X1110">
        <v>1871.8595679041505</v>
      </c>
      <c r="Y1110">
        <v>1936.0180141055998</v>
      </c>
      <c r="Z1110">
        <v>1745.3918471695424</v>
      </c>
      <c r="AA1110">
        <v>1834.7436370802882</v>
      </c>
    </row>
    <row r="1111" spans="2:27">
      <c r="B1111">
        <v>19983.670620472658</v>
      </c>
      <c r="C1111">
        <v>19913.146017754822</v>
      </c>
      <c r="D1111">
        <v>23378</v>
      </c>
      <c r="E1111">
        <v>18000</v>
      </c>
      <c r="F1111">
        <v>25708</v>
      </c>
      <c r="G1111">
        <v>24998</v>
      </c>
      <c r="H1111">
        <v>15434.018474619874</v>
      </c>
      <c r="I1111">
        <v>15355</v>
      </c>
      <c r="J1111">
        <v>17997.893956573575</v>
      </c>
      <c r="K1111">
        <v>18142.665476571849</v>
      </c>
      <c r="L1111">
        <v>25617</v>
      </c>
      <c r="M1111">
        <v>25617</v>
      </c>
      <c r="N1111">
        <v>20373</v>
      </c>
      <c r="O1111">
        <v>18857.634955077243</v>
      </c>
      <c r="P1111">
        <v>13127</v>
      </c>
      <c r="Q1111">
        <v>13855.49429977</v>
      </c>
      <c r="R1111">
        <v>5594.7355725498264</v>
      </c>
      <c r="S1111">
        <v>1712</v>
      </c>
      <c r="T1111">
        <v>2172.2119850739837</v>
      </c>
      <c r="U1111">
        <v>2024.8153109315713</v>
      </c>
      <c r="V1111">
        <v>2088</v>
      </c>
      <c r="W1111">
        <v>1871.8595679041505</v>
      </c>
      <c r="X1111">
        <v>1871.8595679041505</v>
      </c>
      <c r="Y1111">
        <v>1936.0180141055998</v>
      </c>
      <c r="Z1111">
        <v>1745.3918471695424</v>
      </c>
      <c r="AA1111">
        <v>1834.7436370802882</v>
      </c>
    </row>
    <row r="1112" spans="2:27">
      <c r="B1112">
        <v>19983.670620472658</v>
      </c>
      <c r="C1112">
        <v>19913.146017754822</v>
      </c>
      <c r="D1112">
        <v>23378</v>
      </c>
      <c r="E1112">
        <v>18000</v>
      </c>
      <c r="F1112">
        <v>25708</v>
      </c>
      <c r="G1112">
        <v>24998</v>
      </c>
      <c r="H1112">
        <v>15434.018474619874</v>
      </c>
      <c r="I1112">
        <v>15355</v>
      </c>
      <c r="J1112">
        <v>17997.893956573575</v>
      </c>
      <c r="K1112">
        <v>18142.665476571849</v>
      </c>
      <c r="L1112">
        <v>25617</v>
      </c>
      <c r="M1112">
        <v>25617</v>
      </c>
      <c r="N1112">
        <v>20373</v>
      </c>
      <c r="O1112">
        <v>18857.634955077243</v>
      </c>
      <c r="P1112">
        <v>13127</v>
      </c>
      <c r="Q1112">
        <v>13855.49429977</v>
      </c>
      <c r="R1112">
        <v>5594.7355725498264</v>
      </c>
      <c r="S1112">
        <v>1712</v>
      </c>
      <c r="T1112">
        <v>2172.2119850739837</v>
      </c>
      <c r="U1112">
        <v>2024.8153109315713</v>
      </c>
      <c r="V1112">
        <v>2088</v>
      </c>
      <c r="W1112">
        <v>1871.8595679041505</v>
      </c>
      <c r="X1112">
        <v>1871.8595679041505</v>
      </c>
      <c r="Y1112">
        <v>1936.0180141055998</v>
      </c>
      <c r="Z1112">
        <v>1745.3918471695424</v>
      </c>
      <c r="AA1112">
        <v>1834.7436370802882</v>
      </c>
    </row>
    <row r="1113" spans="2:27">
      <c r="B1113">
        <v>19983.670620472658</v>
      </c>
      <c r="C1113">
        <v>19913.146017754822</v>
      </c>
      <c r="D1113">
        <v>23378</v>
      </c>
      <c r="E1113">
        <v>18000</v>
      </c>
      <c r="F1113">
        <v>25708</v>
      </c>
      <c r="G1113">
        <v>24998</v>
      </c>
      <c r="H1113">
        <v>15434.018474619874</v>
      </c>
      <c r="I1113">
        <v>15355</v>
      </c>
      <c r="J1113">
        <v>17997.893956573575</v>
      </c>
      <c r="K1113">
        <v>18142.665476571849</v>
      </c>
      <c r="L1113">
        <v>25617</v>
      </c>
      <c r="M1113">
        <v>25617</v>
      </c>
      <c r="N1113">
        <v>20373</v>
      </c>
      <c r="O1113">
        <v>18857.634955077243</v>
      </c>
      <c r="P1113">
        <v>13127</v>
      </c>
      <c r="Q1113">
        <v>13855.49429977</v>
      </c>
      <c r="R1113">
        <v>5594.7355725498264</v>
      </c>
      <c r="S1113">
        <v>1712</v>
      </c>
      <c r="T1113">
        <v>2172.2119850739837</v>
      </c>
      <c r="U1113">
        <v>2024.8153109315713</v>
      </c>
      <c r="V1113">
        <v>2088</v>
      </c>
      <c r="W1113">
        <v>1871.8595679041505</v>
      </c>
      <c r="X1113">
        <v>1871.8595679041505</v>
      </c>
      <c r="Y1113">
        <v>1936.0180141055998</v>
      </c>
      <c r="Z1113">
        <v>1745.3918471695424</v>
      </c>
      <c r="AA1113">
        <v>1834.7436370802882</v>
      </c>
    </row>
    <row r="1114" spans="2:27">
      <c r="B1114">
        <v>19983.670620472658</v>
      </c>
      <c r="C1114">
        <v>19913.146017754822</v>
      </c>
      <c r="D1114">
        <v>23378</v>
      </c>
      <c r="E1114">
        <v>18000</v>
      </c>
      <c r="F1114">
        <v>25708</v>
      </c>
      <c r="G1114">
        <v>24998</v>
      </c>
      <c r="H1114">
        <v>15434.018474619874</v>
      </c>
      <c r="I1114">
        <v>15355</v>
      </c>
      <c r="J1114">
        <v>17997.893956573575</v>
      </c>
      <c r="K1114">
        <v>18142.665476571849</v>
      </c>
      <c r="L1114">
        <v>25617</v>
      </c>
      <c r="M1114">
        <v>25617</v>
      </c>
      <c r="N1114">
        <v>20373</v>
      </c>
      <c r="O1114">
        <v>18857.634955077243</v>
      </c>
      <c r="P1114">
        <v>13127</v>
      </c>
      <c r="Q1114">
        <v>13855.49429977</v>
      </c>
      <c r="R1114">
        <v>5594.7355725498264</v>
      </c>
      <c r="S1114">
        <v>1712</v>
      </c>
      <c r="T1114">
        <v>2172.2119850739837</v>
      </c>
      <c r="U1114">
        <v>2024.8153109315713</v>
      </c>
      <c r="V1114">
        <v>2088</v>
      </c>
      <c r="W1114">
        <v>1871.8595679041505</v>
      </c>
      <c r="X1114">
        <v>1871.8595679041505</v>
      </c>
      <c r="Y1114">
        <v>1936.0180141055998</v>
      </c>
      <c r="Z1114">
        <v>1745.3918471695424</v>
      </c>
      <c r="AA1114">
        <v>1834.7436370802882</v>
      </c>
    </row>
    <row r="1115" spans="2:27">
      <c r="B1115">
        <v>19983.670620472658</v>
      </c>
      <c r="C1115">
        <v>19913.146017754822</v>
      </c>
      <c r="D1115">
        <v>23378</v>
      </c>
      <c r="E1115">
        <v>18000</v>
      </c>
      <c r="F1115">
        <v>25708</v>
      </c>
      <c r="G1115">
        <v>24998</v>
      </c>
      <c r="H1115">
        <v>15434.018474619874</v>
      </c>
      <c r="I1115">
        <v>15355</v>
      </c>
      <c r="J1115">
        <v>17997.893956573575</v>
      </c>
      <c r="K1115">
        <v>18142.665476571849</v>
      </c>
      <c r="L1115">
        <v>25617</v>
      </c>
      <c r="M1115">
        <v>25617</v>
      </c>
      <c r="N1115">
        <v>20373</v>
      </c>
      <c r="O1115">
        <v>18857.634955077243</v>
      </c>
      <c r="P1115">
        <v>13127</v>
      </c>
      <c r="Q1115">
        <v>13855.49429977</v>
      </c>
      <c r="R1115">
        <v>5594.7355725498264</v>
      </c>
      <c r="S1115">
        <v>1712</v>
      </c>
      <c r="T1115">
        <v>2172.2119850739837</v>
      </c>
      <c r="U1115">
        <v>2024.8153109315713</v>
      </c>
      <c r="V1115">
        <v>2088</v>
      </c>
      <c r="W1115">
        <v>1871.8595679041505</v>
      </c>
      <c r="X1115">
        <v>1871.8595679041505</v>
      </c>
      <c r="Y1115">
        <v>1936.0180141055998</v>
      </c>
      <c r="Z1115">
        <v>1745.3918471695424</v>
      </c>
      <c r="AA1115">
        <v>1834.7436370802882</v>
      </c>
    </row>
    <row r="1116" spans="2:27">
      <c r="B1116">
        <v>19983.670620472658</v>
      </c>
      <c r="C1116">
        <v>19913.146017754822</v>
      </c>
      <c r="D1116">
        <v>23378</v>
      </c>
      <c r="E1116">
        <v>18000</v>
      </c>
      <c r="F1116">
        <v>25708</v>
      </c>
      <c r="G1116">
        <v>24998</v>
      </c>
      <c r="H1116">
        <v>15434.018474619874</v>
      </c>
      <c r="I1116">
        <v>15355</v>
      </c>
      <c r="J1116">
        <v>17997.893956573575</v>
      </c>
      <c r="K1116">
        <v>18142.665476571849</v>
      </c>
      <c r="L1116">
        <v>25617</v>
      </c>
      <c r="M1116">
        <v>25617</v>
      </c>
      <c r="N1116">
        <v>20373</v>
      </c>
      <c r="O1116">
        <v>18857.634955077243</v>
      </c>
      <c r="P1116">
        <v>13127</v>
      </c>
      <c r="Q1116">
        <v>13855.49429977</v>
      </c>
      <c r="R1116">
        <v>5594.7355725498264</v>
      </c>
      <c r="S1116">
        <v>1712</v>
      </c>
      <c r="T1116">
        <v>2172.2119850739837</v>
      </c>
      <c r="U1116">
        <v>2024.8153109315713</v>
      </c>
      <c r="V1116">
        <v>2088</v>
      </c>
      <c r="W1116">
        <v>1871.8595679041505</v>
      </c>
      <c r="X1116">
        <v>1871.8595679041505</v>
      </c>
      <c r="Y1116">
        <v>1936.0180141055998</v>
      </c>
      <c r="Z1116">
        <v>1745.3918471695424</v>
      </c>
      <c r="AA1116">
        <v>1834.7436370802882</v>
      </c>
    </row>
    <row r="1117" spans="2:27">
      <c r="B1117">
        <v>19983.670620472658</v>
      </c>
      <c r="C1117">
        <v>19913.146017754822</v>
      </c>
      <c r="D1117">
        <v>23378</v>
      </c>
      <c r="E1117">
        <v>18000</v>
      </c>
      <c r="F1117">
        <v>25708</v>
      </c>
      <c r="G1117">
        <v>24998</v>
      </c>
      <c r="H1117">
        <v>15434.018474619874</v>
      </c>
      <c r="I1117">
        <v>15355</v>
      </c>
      <c r="J1117">
        <v>17997.893956573575</v>
      </c>
      <c r="K1117">
        <v>18142.665476571849</v>
      </c>
      <c r="L1117">
        <v>25617</v>
      </c>
      <c r="M1117">
        <v>25617</v>
      </c>
      <c r="N1117">
        <v>20373</v>
      </c>
      <c r="O1117">
        <v>18857.634955077243</v>
      </c>
      <c r="P1117">
        <v>13127</v>
      </c>
      <c r="Q1117">
        <v>13855.49429977</v>
      </c>
      <c r="R1117">
        <v>5594.7355725498264</v>
      </c>
      <c r="S1117">
        <v>1712</v>
      </c>
      <c r="T1117">
        <v>2172.2119850739837</v>
      </c>
      <c r="U1117">
        <v>2024.8153109315713</v>
      </c>
      <c r="V1117">
        <v>2088</v>
      </c>
      <c r="W1117">
        <v>1871.8595679041505</v>
      </c>
      <c r="X1117">
        <v>1871.8595679041505</v>
      </c>
      <c r="Y1117">
        <v>1936.0180141055998</v>
      </c>
      <c r="Z1117">
        <v>1745.3918471695424</v>
      </c>
      <c r="AA1117">
        <v>1834.7436370802882</v>
      </c>
    </row>
    <row r="1118" spans="2:27">
      <c r="B1118">
        <v>216.66666666666666</v>
      </c>
      <c r="C1118">
        <v>216.66666666666666</v>
      </c>
      <c r="D1118">
        <v>216.66666666666666</v>
      </c>
      <c r="E1118">
        <v>216.66666666666666</v>
      </c>
      <c r="F1118">
        <v>262</v>
      </c>
      <c r="G1118">
        <v>270</v>
      </c>
      <c r="H1118">
        <v>277.69490325365643</v>
      </c>
      <c r="I1118">
        <v>281</v>
      </c>
      <c r="J1118">
        <v>281</v>
      </c>
      <c r="K1118">
        <v>314</v>
      </c>
      <c r="L1118">
        <v>347</v>
      </c>
      <c r="M1118">
        <v>347</v>
      </c>
      <c r="N1118">
        <v>311</v>
      </c>
      <c r="O1118">
        <v>290</v>
      </c>
      <c r="P1118">
        <v>290</v>
      </c>
      <c r="Q1118">
        <v>290</v>
      </c>
      <c r="R1118">
        <v>336.64255861180652</v>
      </c>
      <c r="S1118">
        <v>454</v>
      </c>
      <c r="T1118">
        <v>472</v>
      </c>
      <c r="U1118">
        <v>437</v>
      </c>
      <c r="V1118">
        <v>442</v>
      </c>
      <c r="W1118">
        <v>447.72049804794437</v>
      </c>
      <c r="X1118">
        <v>447.72049804794437</v>
      </c>
      <c r="Y1118">
        <v>447</v>
      </c>
      <c r="Z1118">
        <v>393.03731156833811</v>
      </c>
      <c r="AA1118">
        <v>356.02927574950212</v>
      </c>
    </row>
    <row r="1119" spans="2:27">
      <c r="B1119">
        <v>216.66666666666666</v>
      </c>
      <c r="C1119">
        <v>216.66666666666666</v>
      </c>
      <c r="D1119">
        <v>216.66666666666666</v>
      </c>
      <c r="E1119">
        <v>216.66666666666666</v>
      </c>
      <c r="F1119">
        <v>262</v>
      </c>
      <c r="G1119">
        <v>270</v>
      </c>
      <c r="H1119">
        <v>277.69490325365643</v>
      </c>
      <c r="I1119">
        <v>281</v>
      </c>
      <c r="J1119">
        <v>281</v>
      </c>
      <c r="K1119">
        <v>314</v>
      </c>
      <c r="L1119">
        <v>347</v>
      </c>
      <c r="M1119">
        <v>347</v>
      </c>
      <c r="N1119">
        <v>311</v>
      </c>
      <c r="O1119">
        <v>290</v>
      </c>
      <c r="P1119">
        <v>290</v>
      </c>
      <c r="Q1119">
        <v>290</v>
      </c>
      <c r="R1119">
        <v>336.64255861180652</v>
      </c>
      <c r="S1119">
        <v>454</v>
      </c>
      <c r="T1119">
        <v>472</v>
      </c>
      <c r="U1119">
        <v>437</v>
      </c>
      <c r="V1119">
        <v>442</v>
      </c>
      <c r="W1119">
        <v>447.72049804794437</v>
      </c>
      <c r="X1119">
        <v>447.72049804794437</v>
      </c>
      <c r="Y1119">
        <v>447</v>
      </c>
      <c r="Z1119">
        <v>393.03731156833811</v>
      </c>
      <c r="AA1119">
        <v>356.02927574950212</v>
      </c>
    </row>
    <row r="1120" spans="2:27">
      <c r="B1120">
        <v>216.66666666666666</v>
      </c>
      <c r="C1120">
        <v>216.66666666666666</v>
      </c>
      <c r="D1120">
        <v>216.66666666666666</v>
      </c>
      <c r="E1120">
        <v>216.66666666666666</v>
      </c>
      <c r="F1120">
        <v>262</v>
      </c>
      <c r="G1120">
        <v>270</v>
      </c>
      <c r="H1120">
        <v>277.69490325365643</v>
      </c>
      <c r="I1120">
        <v>281</v>
      </c>
      <c r="J1120">
        <v>281</v>
      </c>
      <c r="K1120">
        <v>314</v>
      </c>
      <c r="L1120">
        <v>347</v>
      </c>
      <c r="M1120">
        <v>347</v>
      </c>
      <c r="N1120">
        <v>311</v>
      </c>
      <c r="O1120">
        <v>290</v>
      </c>
      <c r="P1120">
        <v>290</v>
      </c>
      <c r="Q1120">
        <v>290</v>
      </c>
      <c r="R1120">
        <v>336.64255861180652</v>
      </c>
      <c r="S1120">
        <v>454</v>
      </c>
      <c r="T1120">
        <v>472</v>
      </c>
      <c r="U1120">
        <v>437</v>
      </c>
      <c r="V1120">
        <v>442</v>
      </c>
      <c r="W1120">
        <v>447.72049804794437</v>
      </c>
      <c r="X1120">
        <v>447.72049804794437</v>
      </c>
      <c r="Y1120">
        <v>447</v>
      </c>
      <c r="Z1120">
        <v>393.03731156833811</v>
      </c>
      <c r="AA1120">
        <v>356.02927574950212</v>
      </c>
    </row>
    <row r="1121" spans="2:27">
      <c r="B1121">
        <v>216.66666666666666</v>
      </c>
      <c r="C1121">
        <v>216.66666666666666</v>
      </c>
      <c r="D1121">
        <v>216.66666666666666</v>
      </c>
      <c r="E1121">
        <v>216.66666666666666</v>
      </c>
      <c r="F1121">
        <v>262</v>
      </c>
      <c r="G1121">
        <v>270</v>
      </c>
      <c r="H1121">
        <v>277.69490325365643</v>
      </c>
      <c r="I1121">
        <v>281</v>
      </c>
      <c r="J1121">
        <v>281</v>
      </c>
      <c r="K1121">
        <v>314</v>
      </c>
      <c r="L1121">
        <v>347</v>
      </c>
      <c r="M1121">
        <v>347</v>
      </c>
      <c r="N1121">
        <v>311</v>
      </c>
      <c r="O1121">
        <v>290</v>
      </c>
      <c r="P1121">
        <v>290</v>
      </c>
      <c r="Q1121">
        <v>290</v>
      </c>
      <c r="R1121">
        <v>336.64255861180652</v>
      </c>
      <c r="S1121">
        <v>454</v>
      </c>
      <c r="T1121">
        <v>472</v>
      </c>
      <c r="U1121">
        <v>437</v>
      </c>
      <c r="V1121">
        <v>442</v>
      </c>
      <c r="W1121">
        <v>447.72049804794437</v>
      </c>
      <c r="X1121">
        <v>447.72049804794437</v>
      </c>
      <c r="Y1121">
        <v>447</v>
      </c>
      <c r="Z1121">
        <v>393.03731156833811</v>
      </c>
      <c r="AA1121">
        <v>356.02927574950212</v>
      </c>
    </row>
    <row r="1122" spans="2:27">
      <c r="B1122">
        <v>216.66666666666666</v>
      </c>
      <c r="C1122">
        <v>216.66666666666666</v>
      </c>
      <c r="D1122">
        <v>216.66666666666666</v>
      </c>
      <c r="E1122">
        <v>216.66666666666666</v>
      </c>
      <c r="F1122">
        <v>262</v>
      </c>
      <c r="G1122">
        <v>270</v>
      </c>
      <c r="H1122">
        <v>277.69490325365643</v>
      </c>
      <c r="I1122">
        <v>281</v>
      </c>
      <c r="J1122">
        <v>281</v>
      </c>
      <c r="K1122">
        <v>314</v>
      </c>
      <c r="L1122">
        <v>347</v>
      </c>
      <c r="M1122">
        <v>347</v>
      </c>
      <c r="N1122">
        <v>311</v>
      </c>
      <c r="O1122">
        <v>290</v>
      </c>
      <c r="P1122">
        <v>290</v>
      </c>
      <c r="Q1122">
        <v>290</v>
      </c>
      <c r="R1122">
        <v>336.64255861180652</v>
      </c>
      <c r="S1122">
        <v>454</v>
      </c>
      <c r="T1122">
        <v>472</v>
      </c>
      <c r="U1122">
        <v>437</v>
      </c>
      <c r="V1122">
        <v>442</v>
      </c>
      <c r="W1122">
        <v>447.72049804794437</v>
      </c>
      <c r="X1122">
        <v>447.72049804794437</v>
      </c>
      <c r="Y1122">
        <v>447</v>
      </c>
      <c r="Z1122">
        <v>393.03731156833811</v>
      </c>
      <c r="AA1122">
        <v>356.02927574950212</v>
      </c>
    </row>
    <row r="1123" spans="2:27">
      <c r="B1123">
        <v>216.66666666666666</v>
      </c>
      <c r="C1123">
        <v>216.66666666666666</v>
      </c>
      <c r="D1123">
        <v>216.66666666666666</v>
      </c>
      <c r="E1123">
        <v>216.66666666666666</v>
      </c>
      <c r="F1123">
        <v>262</v>
      </c>
      <c r="G1123">
        <v>270</v>
      </c>
      <c r="H1123">
        <v>277.69490325365643</v>
      </c>
      <c r="I1123">
        <v>281</v>
      </c>
      <c r="J1123">
        <v>281</v>
      </c>
      <c r="K1123">
        <v>314</v>
      </c>
      <c r="L1123">
        <v>347</v>
      </c>
      <c r="M1123">
        <v>347</v>
      </c>
      <c r="N1123">
        <v>311</v>
      </c>
      <c r="O1123">
        <v>290</v>
      </c>
      <c r="P1123">
        <v>290</v>
      </c>
      <c r="Q1123">
        <v>290</v>
      </c>
      <c r="R1123">
        <v>336.64255861180652</v>
      </c>
      <c r="S1123">
        <v>454</v>
      </c>
      <c r="T1123">
        <v>472</v>
      </c>
      <c r="U1123">
        <v>437</v>
      </c>
      <c r="V1123">
        <v>442</v>
      </c>
      <c r="W1123">
        <v>447.72049804794437</v>
      </c>
      <c r="X1123">
        <v>447.72049804794437</v>
      </c>
      <c r="Y1123">
        <v>447</v>
      </c>
      <c r="Z1123">
        <v>393.03731156833811</v>
      </c>
      <c r="AA1123">
        <v>356.02927574950212</v>
      </c>
    </row>
    <row r="1124" spans="2:27">
      <c r="B1124">
        <v>216.66666666666666</v>
      </c>
      <c r="C1124">
        <v>216.66666666666666</v>
      </c>
      <c r="D1124">
        <v>216.66666666666666</v>
      </c>
      <c r="E1124">
        <v>216.66666666666666</v>
      </c>
      <c r="F1124">
        <v>262</v>
      </c>
      <c r="G1124">
        <v>270</v>
      </c>
      <c r="H1124">
        <v>277.69490325365643</v>
      </c>
      <c r="I1124">
        <v>281</v>
      </c>
      <c r="J1124">
        <v>281</v>
      </c>
      <c r="K1124">
        <v>314</v>
      </c>
      <c r="L1124">
        <v>347</v>
      </c>
      <c r="M1124">
        <v>347</v>
      </c>
      <c r="N1124">
        <v>311</v>
      </c>
      <c r="O1124">
        <v>290</v>
      </c>
      <c r="P1124">
        <v>290</v>
      </c>
      <c r="Q1124">
        <v>290</v>
      </c>
      <c r="R1124">
        <v>336.64255861180652</v>
      </c>
      <c r="S1124">
        <v>454</v>
      </c>
      <c r="T1124">
        <v>472</v>
      </c>
      <c r="U1124">
        <v>437</v>
      </c>
      <c r="V1124">
        <v>442</v>
      </c>
      <c r="W1124">
        <v>447.72049804794437</v>
      </c>
      <c r="X1124">
        <v>447.72049804794437</v>
      </c>
      <c r="Y1124">
        <v>447</v>
      </c>
      <c r="Z1124">
        <v>393.03731156833811</v>
      </c>
      <c r="AA1124">
        <v>356.02927574950212</v>
      </c>
    </row>
    <row r="1125" spans="2:27">
      <c r="B1125">
        <v>216.66666666666666</v>
      </c>
      <c r="C1125">
        <v>216.66666666666666</v>
      </c>
      <c r="D1125">
        <v>216.66666666666666</v>
      </c>
      <c r="E1125">
        <v>216.66666666666666</v>
      </c>
      <c r="F1125">
        <v>262</v>
      </c>
      <c r="G1125">
        <v>270</v>
      </c>
      <c r="H1125">
        <v>277.69490325365643</v>
      </c>
      <c r="I1125">
        <v>281</v>
      </c>
      <c r="J1125">
        <v>281</v>
      </c>
      <c r="K1125">
        <v>314</v>
      </c>
      <c r="L1125">
        <v>347</v>
      </c>
      <c r="M1125">
        <v>347</v>
      </c>
      <c r="N1125">
        <v>311</v>
      </c>
      <c r="O1125">
        <v>290</v>
      </c>
      <c r="P1125">
        <v>290</v>
      </c>
      <c r="Q1125">
        <v>290</v>
      </c>
      <c r="R1125">
        <v>336.64255861180652</v>
      </c>
      <c r="S1125">
        <v>454</v>
      </c>
      <c r="T1125">
        <v>472</v>
      </c>
      <c r="U1125">
        <v>437</v>
      </c>
      <c r="V1125">
        <v>442</v>
      </c>
      <c r="W1125">
        <v>447.72049804794437</v>
      </c>
      <c r="X1125">
        <v>447.72049804794437</v>
      </c>
      <c r="Y1125">
        <v>447</v>
      </c>
      <c r="Z1125">
        <v>393.03731156833811</v>
      </c>
      <c r="AA1125">
        <v>356.02927574950212</v>
      </c>
    </row>
    <row r="1126" spans="2:27">
      <c r="B1126">
        <v>216.66666666666666</v>
      </c>
      <c r="C1126">
        <v>216.66666666666666</v>
      </c>
      <c r="D1126">
        <v>216.66666666666666</v>
      </c>
      <c r="E1126">
        <v>216.66666666666666</v>
      </c>
      <c r="F1126">
        <v>262</v>
      </c>
      <c r="G1126">
        <v>270</v>
      </c>
      <c r="H1126">
        <v>277.69490325365643</v>
      </c>
      <c r="I1126">
        <v>281</v>
      </c>
      <c r="J1126">
        <v>281</v>
      </c>
      <c r="K1126">
        <v>314</v>
      </c>
      <c r="L1126">
        <v>347</v>
      </c>
      <c r="M1126">
        <v>347</v>
      </c>
      <c r="N1126">
        <v>311</v>
      </c>
      <c r="O1126">
        <v>290</v>
      </c>
      <c r="P1126">
        <v>290</v>
      </c>
      <c r="Q1126">
        <v>290</v>
      </c>
      <c r="R1126">
        <v>336.64255861180652</v>
      </c>
      <c r="S1126">
        <v>454</v>
      </c>
      <c r="T1126">
        <v>472</v>
      </c>
      <c r="U1126">
        <v>437</v>
      </c>
      <c r="V1126">
        <v>442</v>
      </c>
      <c r="W1126">
        <v>447.72049804794437</v>
      </c>
      <c r="X1126">
        <v>447.72049804794437</v>
      </c>
      <c r="Y1126">
        <v>447</v>
      </c>
      <c r="Z1126">
        <v>393.03731156833811</v>
      </c>
      <c r="AA1126">
        <v>356.02927574950212</v>
      </c>
    </row>
    <row r="1127" spans="2:27">
      <c r="B1127">
        <v>216.66666666666666</v>
      </c>
      <c r="C1127">
        <v>216.66666666666666</v>
      </c>
      <c r="D1127">
        <v>216.66666666666666</v>
      </c>
      <c r="E1127">
        <v>216.66666666666666</v>
      </c>
      <c r="F1127">
        <v>262</v>
      </c>
      <c r="G1127">
        <v>270</v>
      </c>
      <c r="H1127">
        <v>277.69490325365643</v>
      </c>
      <c r="I1127">
        <v>281</v>
      </c>
      <c r="J1127">
        <v>281</v>
      </c>
      <c r="K1127">
        <v>314</v>
      </c>
      <c r="L1127">
        <v>347</v>
      </c>
      <c r="M1127">
        <v>347</v>
      </c>
      <c r="N1127">
        <v>311</v>
      </c>
      <c r="O1127">
        <v>290</v>
      </c>
      <c r="P1127">
        <v>290</v>
      </c>
      <c r="Q1127">
        <v>290</v>
      </c>
      <c r="R1127">
        <v>336.64255861180652</v>
      </c>
      <c r="S1127">
        <v>454</v>
      </c>
      <c r="T1127">
        <v>472</v>
      </c>
      <c r="U1127">
        <v>437</v>
      </c>
      <c r="V1127">
        <v>442</v>
      </c>
      <c r="W1127">
        <v>447.72049804794437</v>
      </c>
      <c r="X1127">
        <v>447.72049804794437</v>
      </c>
      <c r="Y1127">
        <v>447</v>
      </c>
      <c r="Z1127">
        <v>393.03731156833811</v>
      </c>
      <c r="AA1127">
        <v>356.02927574950212</v>
      </c>
    </row>
    <row r="1128" spans="2:27">
      <c r="B1128">
        <v>216.66666666666666</v>
      </c>
      <c r="C1128">
        <v>216.66666666666666</v>
      </c>
      <c r="D1128">
        <v>216.66666666666666</v>
      </c>
      <c r="E1128">
        <v>216.66666666666666</v>
      </c>
      <c r="F1128">
        <v>262</v>
      </c>
      <c r="G1128">
        <v>270</v>
      </c>
      <c r="H1128">
        <v>277.69490325365643</v>
      </c>
      <c r="I1128">
        <v>281</v>
      </c>
      <c r="J1128">
        <v>281</v>
      </c>
      <c r="K1128">
        <v>314</v>
      </c>
      <c r="L1128">
        <v>347</v>
      </c>
      <c r="M1128">
        <v>347</v>
      </c>
      <c r="N1128">
        <v>311</v>
      </c>
      <c r="O1128">
        <v>290</v>
      </c>
      <c r="P1128">
        <v>290</v>
      </c>
      <c r="Q1128">
        <v>290</v>
      </c>
      <c r="R1128">
        <v>336.64255861180652</v>
      </c>
      <c r="S1128">
        <v>454</v>
      </c>
      <c r="T1128">
        <v>472</v>
      </c>
      <c r="U1128">
        <v>437</v>
      </c>
      <c r="V1128">
        <v>442</v>
      </c>
      <c r="W1128">
        <v>447.72049804794437</v>
      </c>
      <c r="X1128">
        <v>447.72049804794437</v>
      </c>
      <c r="Y1128">
        <v>447</v>
      </c>
      <c r="Z1128">
        <v>393.03731156833811</v>
      </c>
      <c r="AA1128">
        <v>356.02927574950212</v>
      </c>
    </row>
    <row r="1129" spans="2:27">
      <c r="B1129">
        <v>216.66666666666666</v>
      </c>
      <c r="C1129">
        <v>216.66666666666666</v>
      </c>
      <c r="D1129">
        <v>216.66666666666666</v>
      </c>
      <c r="E1129">
        <v>216.66666666666666</v>
      </c>
      <c r="F1129">
        <v>262</v>
      </c>
      <c r="G1129">
        <v>270</v>
      </c>
      <c r="H1129">
        <v>277.69490325365643</v>
      </c>
      <c r="I1129">
        <v>281</v>
      </c>
      <c r="J1129">
        <v>281</v>
      </c>
      <c r="K1129">
        <v>314</v>
      </c>
      <c r="L1129">
        <v>347</v>
      </c>
      <c r="M1129">
        <v>347</v>
      </c>
      <c r="N1129">
        <v>311</v>
      </c>
      <c r="O1129">
        <v>290</v>
      </c>
      <c r="P1129">
        <v>290</v>
      </c>
      <c r="Q1129">
        <v>290</v>
      </c>
      <c r="R1129">
        <v>336.64255861180652</v>
      </c>
      <c r="S1129">
        <v>454</v>
      </c>
      <c r="T1129">
        <v>472</v>
      </c>
      <c r="U1129">
        <v>437</v>
      </c>
      <c r="V1129">
        <v>442</v>
      </c>
      <c r="W1129">
        <v>447.72049804794437</v>
      </c>
      <c r="X1129">
        <v>447.72049804794437</v>
      </c>
      <c r="Y1129">
        <v>447</v>
      </c>
      <c r="Z1129">
        <v>393.03731156833811</v>
      </c>
      <c r="AA1129">
        <v>356.02927574950212</v>
      </c>
    </row>
    <row r="1130" spans="2:27">
      <c r="B1130">
        <v>216.66666666666666</v>
      </c>
      <c r="C1130">
        <v>216.66666666666666</v>
      </c>
      <c r="D1130">
        <v>216.66666666666666</v>
      </c>
      <c r="E1130">
        <v>216.66666666666666</v>
      </c>
      <c r="F1130">
        <v>262</v>
      </c>
      <c r="G1130">
        <v>270</v>
      </c>
      <c r="H1130">
        <v>277.69490325365643</v>
      </c>
      <c r="I1130">
        <v>281</v>
      </c>
      <c r="J1130">
        <v>281</v>
      </c>
      <c r="K1130">
        <v>314</v>
      </c>
      <c r="L1130">
        <v>347</v>
      </c>
      <c r="M1130">
        <v>347</v>
      </c>
      <c r="N1130">
        <v>311</v>
      </c>
      <c r="O1130">
        <v>290</v>
      </c>
      <c r="P1130">
        <v>290</v>
      </c>
      <c r="Q1130">
        <v>290</v>
      </c>
      <c r="R1130">
        <v>336.64255861180652</v>
      </c>
      <c r="S1130">
        <v>454</v>
      </c>
      <c r="T1130">
        <v>472</v>
      </c>
      <c r="U1130">
        <v>437</v>
      </c>
      <c r="V1130">
        <v>442</v>
      </c>
      <c r="W1130">
        <v>447.72049804794437</v>
      </c>
      <c r="X1130">
        <v>447.72049804794437</v>
      </c>
      <c r="Y1130">
        <v>447</v>
      </c>
      <c r="Z1130">
        <v>393.03731156833811</v>
      </c>
      <c r="AA1130">
        <v>356.02927574950212</v>
      </c>
    </row>
    <row r="1131" spans="2:27">
      <c r="B1131">
        <v>216.66666666666666</v>
      </c>
      <c r="C1131">
        <v>216.66666666666666</v>
      </c>
      <c r="D1131">
        <v>216.66666666666666</v>
      </c>
      <c r="E1131">
        <v>216.66666666666666</v>
      </c>
      <c r="F1131">
        <v>262</v>
      </c>
      <c r="G1131">
        <v>270</v>
      </c>
      <c r="H1131">
        <v>277.69490325365643</v>
      </c>
      <c r="I1131">
        <v>281</v>
      </c>
      <c r="J1131">
        <v>281</v>
      </c>
      <c r="K1131">
        <v>314</v>
      </c>
      <c r="L1131">
        <v>347</v>
      </c>
      <c r="M1131">
        <v>347</v>
      </c>
      <c r="N1131">
        <v>311</v>
      </c>
      <c r="O1131">
        <v>290</v>
      </c>
      <c r="P1131">
        <v>290</v>
      </c>
      <c r="Q1131">
        <v>290</v>
      </c>
      <c r="R1131">
        <v>336.64255861180652</v>
      </c>
      <c r="S1131">
        <v>454</v>
      </c>
      <c r="T1131">
        <v>472</v>
      </c>
      <c r="U1131">
        <v>437</v>
      </c>
      <c r="V1131">
        <v>442</v>
      </c>
      <c r="W1131">
        <v>447.72049804794437</v>
      </c>
      <c r="X1131">
        <v>447.72049804794437</v>
      </c>
      <c r="Y1131">
        <v>447</v>
      </c>
      <c r="Z1131">
        <v>393.03731156833811</v>
      </c>
      <c r="AA1131">
        <v>356.02927574950212</v>
      </c>
    </row>
    <row r="1132" spans="2:27">
      <c r="B1132">
        <v>216.66666666666666</v>
      </c>
      <c r="C1132">
        <v>216.66666666666666</v>
      </c>
      <c r="D1132">
        <v>216.66666666666666</v>
      </c>
      <c r="E1132">
        <v>216.66666666666666</v>
      </c>
      <c r="F1132">
        <v>262</v>
      </c>
      <c r="G1132">
        <v>270</v>
      </c>
      <c r="H1132">
        <v>277.69490325365643</v>
      </c>
      <c r="I1132">
        <v>281</v>
      </c>
      <c r="J1132">
        <v>281</v>
      </c>
      <c r="K1132">
        <v>314</v>
      </c>
      <c r="L1132">
        <v>347</v>
      </c>
      <c r="M1132">
        <v>347</v>
      </c>
      <c r="N1132">
        <v>311</v>
      </c>
      <c r="O1132">
        <v>290</v>
      </c>
      <c r="P1132">
        <v>290</v>
      </c>
      <c r="Q1132">
        <v>290</v>
      </c>
      <c r="R1132">
        <v>336.64255861180652</v>
      </c>
      <c r="S1132">
        <v>454</v>
      </c>
      <c r="T1132">
        <v>472</v>
      </c>
      <c r="U1132">
        <v>437</v>
      </c>
      <c r="V1132">
        <v>442</v>
      </c>
      <c r="W1132">
        <v>447.72049804794437</v>
      </c>
      <c r="X1132">
        <v>447.72049804794437</v>
      </c>
      <c r="Y1132">
        <v>447</v>
      </c>
      <c r="Z1132">
        <v>393.03731156833811</v>
      </c>
      <c r="AA1132">
        <v>356.02927574950212</v>
      </c>
    </row>
    <row r="1133" spans="2:27">
      <c r="B1133">
        <v>216.66666666666666</v>
      </c>
      <c r="C1133">
        <v>216.66666666666666</v>
      </c>
      <c r="D1133">
        <v>216.66666666666666</v>
      </c>
      <c r="E1133">
        <v>216.66666666666666</v>
      </c>
      <c r="F1133">
        <v>262</v>
      </c>
      <c r="G1133">
        <v>270</v>
      </c>
      <c r="H1133">
        <v>277.69490325365643</v>
      </c>
      <c r="I1133">
        <v>281</v>
      </c>
      <c r="J1133">
        <v>281</v>
      </c>
      <c r="K1133">
        <v>314</v>
      </c>
      <c r="L1133">
        <v>347</v>
      </c>
      <c r="M1133">
        <v>347</v>
      </c>
      <c r="N1133">
        <v>311</v>
      </c>
      <c r="O1133">
        <v>290</v>
      </c>
      <c r="P1133">
        <v>290</v>
      </c>
      <c r="Q1133">
        <v>290</v>
      </c>
      <c r="R1133">
        <v>336.64255861180652</v>
      </c>
      <c r="S1133">
        <v>454</v>
      </c>
      <c r="T1133">
        <v>472</v>
      </c>
      <c r="U1133">
        <v>437</v>
      </c>
      <c r="V1133">
        <v>442</v>
      </c>
      <c r="W1133">
        <v>447.72049804794437</v>
      </c>
      <c r="X1133">
        <v>447.72049804794437</v>
      </c>
      <c r="Y1133">
        <v>447</v>
      </c>
      <c r="Z1133">
        <v>393.03731156833811</v>
      </c>
      <c r="AA1133">
        <v>356.02927574950212</v>
      </c>
    </row>
    <row r="1134" spans="2:27">
      <c r="B1134">
        <v>216.66666666666666</v>
      </c>
      <c r="C1134">
        <v>216.66666666666666</v>
      </c>
      <c r="D1134">
        <v>216.66666666666666</v>
      </c>
      <c r="E1134">
        <v>216.66666666666666</v>
      </c>
      <c r="F1134">
        <v>262</v>
      </c>
      <c r="G1134">
        <v>270</v>
      </c>
      <c r="H1134">
        <v>277.69490325365643</v>
      </c>
      <c r="I1134">
        <v>281</v>
      </c>
      <c r="J1134">
        <v>281</v>
      </c>
      <c r="K1134">
        <v>314</v>
      </c>
      <c r="L1134">
        <v>347</v>
      </c>
      <c r="M1134">
        <v>347</v>
      </c>
      <c r="N1134">
        <v>311</v>
      </c>
      <c r="O1134">
        <v>290</v>
      </c>
      <c r="P1134">
        <v>290</v>
      </c>
      <c r="Q1134">
        <v>290</v>
      </c>
      <c r="R1134">
        <v>336.64255861180652</v>
      </c>
      <c r="S1134">
        <v>454</v>
      </c>
      <c r="T1134">
        <v>472</v>
      </c>
      <c r="U1134">
        <v>437</v>
      </c>
      <c r="V1134">
        <v>442</v>
      </c>
      <c r="W1134">
        <v>447.72049804794437</v>
      </c>
      <c r="X1134">
        <v>447.72049804794437</v>
      </c>
      <c r="Y1134">
        <v>447</v>
      </c>
      <c r="Z1134">
        <v>393.03731156833811</v>
      </c>
      <c r="AA1134">
        <v>356.02927574950212</v>
      </c>
    </row>
    <row r="1135" spans="2:27">
      <c r="B1135">
        <v>216.66666666666666</v>
      </c>
      <c r="C1135">
        <v>216.66666666666666</v>
      </c>
      <c r="D1135">
        <v>216.66666666666666</v>
      </c>
      <c r="E1135">
        <v>216.66666666666666</v>
      </c>
      <c r="F1135">
        <v>262</v>
      </c>
      <c r="G1135">
        <v>270</v>
      </c>
      <c r="H1135">
        <v>277.69490325365643</v>
      </c>
      <c r="I1135">
        <v>281</v>
      </c>
      <c r="J1135">
        <v>281</v>
      </c>
      <c r="K1135">
        <v>314</v>
      </c>
      <c r="L1135">
        <v>347</v>
      </c>
      <c r="M1135">
        <v>347</v>
      </c>
      <c r="N1135">
        <v>311</v>
      </c>
      <c r="O1135">
        <v>290</v>
      </c>
      <c r="P1135">
        <v>290</v>
      </c>
      <c r="Q1135">
        <v>290</v>
      </c>
      <c r="R1135">
        <v>336.64255861180652</v>
      </c>
      <c r="S1135">
        <v>454</v>
      </c>
      <c r="T1135">
        <v>472</v>
      </c>
      <c r="U1135">
        <v>437</v>
      </c>
      <c r="V1135">
        <v>442</v>
      </c>
      <c r="W1135">
        <v>447.72049804794437</v>
      </c>
      <c r="X1135">
        <v>447.72049804794437</v>
      </c>
      <c r="Y1135">
        <v>447</v>
      </c>
      <c r="Z1135">
        <v>393.03731156833811</v>
      </c>
      <c r="AA1135">
        <v>356.02927574950212</v>
      </c>
    </row>
    <row r="1136" spans="2:27">
      <c r="B1136">
        <v>216.66666666666666</v>
      </c>
      <c r="C1136">
        <v>216.66666666666666</v>
      </c>
      <c r="D1136">
        <v>216.66666666666666</v>
      </c>
      <c r="E1136">
        <v>216.66666666666666</v>
      </c>
      <c r="F1136">
        <v>262</v>
      </c>
      <c r="G1136">
        <v>270</v>
      </c>
      <c r="H1136">
        <v>277.69490325365643</v>
      </c>
      <c r="I1136">
        <v>281</v>
      </c>
      <c r="J1136">
        <v>281</v>
      </c>
      <c r="K1136">
        <v>314</v>
      </c>
      <c r="L1136">
        <v>347</v>
      </c>
      <c r="M1136">
        <v>347</v>
      </c>
      <c r="N1136">
        <v>311</v>
      </c>
      <c r="O1136">
        <v>290</v>
      </c>
      <c r="P1136">
        <v>290</v>
      </c>
      <c r="Q1136">
        <v>290</v>
      </c>
      <c r="R1136">
        <v>336.64255861180652</v>
      </c>
      <c r="S1136">
        <v>454</v>
      </c>
      <c r="T1136">
        <v>472</v>
      </c>
      <c r="U1136">
        <v>437</v>
      </c>
      <c r="V1136">
        <v>442</v>
      </c>
      <c r="W1136">
        <v>447.72049804794437</v>
      </c>
      <c r="X1136">
        <v>447.72049804794437</v>
      </c>
      <c r="Y1136">
        <v>447</v>
      </c>
      <c r="Z1136">
        <v>393.03731156833811</v>
      </c>
      <c r="AA1136">
        <v>356.02927574950212</v>
      </c>
    </row>
    <row r="1137" spans="2:27">
      <c r="B1137">
        <v>216.66666666666666</v>
      </c>
      <c r="C1137">
        <v>216.66666666666666</v>
      </c>
      <c r="D1137">
        <v>216.66666666666666</v>
      </c>
      <c r="E1137">
        <v>216.66666666666666</v>
      </c>
      <c r="F1137">
        <v>262</v>
      </c>
      <c r="G1137">
        <v>270</v>
      </c>
      <c r="H1137">
        <v>277.69490325365643</v>
      </c>
      <c r="I1137">
        <v>281</v>
      </c>
      <c r="J1137">
        <v>281</v>
      </c>
      <c r="K1137">
        <v>314</v>
      </c>
      <c r="L1137">
        <v>347</v>
      </c>
      <c r="M1137">
        <v>347</v>
      </c>
      <c r="N1137">
        <v>311</v>
      </c>
      <c r="O1137">
        <v>290</v>
      </c>
      <c r="P1137">
        <v>290</v>
      </c>
      <c r="Q1137">
        <v>290</v>
      </c>
      <c r="R1137">
        <v>336.64255861180652</v>
      </c>
      <c r="S1137">
        <v>454</v>
      </c>
      <c r="T1137">
        <v>472</v>
      </c>
      <c r="U1137">
        <v>437</v>
      </c>
      <c r="V1137">
        <v>442</v>
      </c>
      <c r="W1137">
        <v>447.72049804794437</v>
      </c>
      <c r="X1137">
        <v>447.72049804794437</v>
      </c>
      <c r="Y1137">
        <v>447</v>
      </c>
      <c r="Z1137">
        <v>393.03731156833811</v>
      </c>
      <c r="AA1137">
        <v>356.02927574950212</v>
      </c>
    </row>
    <row r="1138" spans="2:27">
      <c r="B1138">
        <v>216.66666666666666</v>
      </c>
      <c r="C1138">
        <v>216.66666666666666</v>
      </c>
      <c r="D1138">
        <v>216.66666666666666</v>
      </c>
      <c r="E1138">
        <v>216.66666666666666</v>
      </c>
      <c r="F1138">
        <v>262</v>
      </c>
      <c r="G1138">
        <v>270</v>
      </c>
      <c r="H1138">
        <v>277.69490325365643</v>
      </c>
      <c r="I1138">
        <v>281</v>
      </c>
      <c r="J1138">
        <v>281</v>
      </c>
      <c r="K1138">
        <v>314</v>
      </c>
      <c r="L1138">
        <v>347</v>
      </c>
      <c r="M1138">
        <v>347</v>
      </c>
      <c r="N1138">
        <v>311</v>
      </c>
      <c r="O1138">
        <v>290</v>
      </c>
      <c r="P1138">
        <v>290</v>
      </c>
      <c r="Q1138">
        <v>290</v>
      </c>
      <c r="R1138">
        <v>336.64255861180652</v>
      </c>
      <c r="S1138">
        <v>454</v>
      </c>
      <c r="T1138">
        <v>472</v>
      </c>
      <c r="U1138">
        <v>437</v>
      </c>
      <c r="V1138">
        <v>442</v>
      </c>
      <c r="W1138">
        <v>447.72049804794437</v>
      </c>
      <c r="X1138">
        <v>447.72049804794437</v>
      </c>
      <c r="Y1138">
        <v>447</v>
      </c>
      <c r="Z1138">
        <v>393.03731156833811</v>
      </c>
      <c r="AA1138">
        <v>356.02927574950212</v>
      </c>
    </row>
    <row r="1139" spans="2:27">
      <c r="B1139">
        <v>216.66666666666666</v>
      </c>
      <c r="C1139">
        <v>216.66666666666666</v>
      </c>
      <c r="D1139">
        <v>216.66666666666666</v>
      </c>
      <c r="E1139">
        <v>216.66666666666666</v>
      </c>
      <c r="F1139">
        <v>262</v>
      </c>
      <c r="G1139">
        <v>270</v>
      </c>
      <c r="H1139">
        <v>277.69490325365643</v>
      </c>
      <c r="I1139">
        <v>281</v>
      </c>
      <c r="J1139">
        <v>281</v>
      </c>
      <c r="K1139">
        <v>314</v>
      </c>
      <c r="L1139">
        <v>347</v>
      </c>
      <c r="M1139">
        <v>347</v>
      </c>
      <c r="N1139">
        <v>311</v>
      </c>
      <c r="O1139">
        <v>290</v>
      </c>
      <c r="P1139">
        <v>290</v>
      </c>
      <c r="Q1139">
        <v>290</v>
      </c>
      <c r="R1139">
        <v>336.64255861180652</v>
      </c>
      <c r="S1139">
        <v>454</v>
      </c>
      <c r="T1139">
        <v>472</v>
      </c>
      <c r="U1139">
        <v>437</v>
      </c>
      <c r="V1139">
        <v>442</v>
      </c>
      <c r="W1139">
        <v>447.72049804794437</v>
      </c>
      <c r="X1139">
        <v>447.72049804794437</v>
      </c>
      <c r="Y1139">
        <v>447</v>
      </c>
      <c r="Z1139">
        <v>393.03731156833811</v>
      </c>
      <c r="AA1139">
        <v>356.02927574950212</v>
      </c>
    </row>
    <row r="1140" spans="2:27">
      <c r="B1140">
        <v>216.66666666666666</v>
      </c>
      <c r="C1140">
        <v>216.66666666666666</v>
      </c>
      <c r="D1140">
        <v>216.66666666666666</v>
      </c>
      <c r="E1140">
        <v>216.66666666666666</v>
      </c>
      <c r="F1140">
        <v>262</v>
      </c>
      <c r="G1140">
        <v>270</v>
      </c>
      <c r="H1140">
        <v>277.69490325365643</v>
      </c>
      <c r="I1140">
        <v>281</v>
      </c>
      <c r="J1140">
        <v>281</v>
      </c>
      <c r="K1140">
        <v>314</v>
      </c>
      <c r="L1140">
        <v>347</v>
      </c>
      <c r="M1140">
        <v>347</v>
      </c>
      <c r="N1140">
        <v>311</v>
      </c>
      <c r="O1140">
        <v>290</v>
      </c>
      <c r="P1140">
        <v>290</v>
      </c>
      <c r="Q1140">
        <v>290</v>
      </c>
      <c r="R1140">
        <v>336.64255861180652</v>
      </c>
      <c r="S1140">
        <v>454</v>
      </c>
      <c r="T1140">
        <v>472</v>
      </c>
      <c r="U1140">
        <v>437</v>
      </c>
      <c r="V1140">
        <v>442</v>
      </c>
      <c r="W1140">
        <v>447.72049804794437</v>
      </c>
      <c r="X1140">
        <v>447.72049804794437</v>
      </c>
      <c r="Y1140">
        <v>447</v>
      </c>
      <c r="Z1140">
        <v>393.03731156833811</v>
      </c>
      <c r="AA1140">
        <v>356.02927574950212</v>
      </c>
    </row>
    <row r="1141" spans="2:27">
      <c r="B1141">
        <v>216.66666666666666</v>
      </c>
      <c r="C1141">
        <v>216.66666666666666</v>
      </c>
      <c r="D1141">
        <v>216.66666666666666</v>
      </c>
      <c r="E1141">
        <v>216.66666666666666</v>
      </c>
      <c r="F1141">
        <v>262</v>
      </c>
      <c r="G1141">
        <v>270</v>
      </c>
      <c r="H1141">
        <v>277.69490325365643</v>
      </c>
      <c r="I1141">
        <v>281</v>
      </c>
      <c r="J1141">
        <v>281</v>
      </c>
      <c r="K1141">
        <v>314</v>
      </c>
      <c r="L1141">
        <v>347</v>
      </c>
      <c r="M1141">
        <v>347</v>
      </c>
      <c r="N1141">
        <v>311</v>
      </c>
      <c r="O1141">
        <v>290</v>
      </c>
      <c r="P1141">
        <v>290</v>
      </c>
      <c r="Q1141">
        <v>290</v>
      </c>
      <c r="R1141">
        <v>336.64255861180652</v>
      </c>
      <c r="S1141">
        <v>454</v>
      </c>
      <c r="T1141">
        <v>472</v>
      </c>
      <c r="U1141">
        <v>437</v>
      </c>
      <c r="V1141">
        <v>442</v>
      </c>
      <c r="W1141">
        <v>447.72049804794437</v>
      </c>
      <c r="X1141">
        <v>447.72049804794437</v>
      </c>
      <c r="Y1141">
        <v>447</v>
      </c>
      <c r="Z1141">
        <v>393.03731156833811</v>
      </c>
      <c r="AA1141">
        <v>356.02927574950212</v>
      </c>
    </row>
    <row r="1142" spans="2:27">
      <c r="B1142">
        <v>216.66666666666666</v>
      </c>
      <c r="C1142">
        <v>216.66666666666666</v>
      </c>
      <c r="D1142">
        <v>216.66666666666666</v>
      </c>
      <c r="E1142">
        <v>216.66666666666666</v>
      </c>
      <c r="F1142">
        <v>262</v>
      </c>
      <c r="G1142">
        <v>270</v>
      </c>
      <c r="H1142">
        <v>277.69490325365643</v>
      </c>
      <c r="I1142">
        <v>281</v>
      </c>
      <c r="J1142">
        <v>281</v>
      </c>
      <c r="K1142">
        <v>314</v>
      </c>
      <c r="L1142">
        <v>347</v>
      </c>
      <c r="M1142">
        <v>347</v>
      </c>
      <c r="N1142">
        <v>311</v>
      </c>
      <c r="O1142">
        <v>290</v>
      </c>
      <c r="P1142">
        <v>290</v>
      </c>
      <c r="Q1142">
        <v>290</v>
      </c>
      <c r="R1142">
        <v>336.64255861180652</v>
      </c>
      <c r="S1142">
        <v>454</v>
      </c>
      <c r="T1142">
        <v>472</v>
      </c>
      <c r="U1142">
        <v>437</v>
      </c>
      <c r="V1142">
        <v>442</v>
      </c>
      <c r="W1142">
        <v>447.72049804794437</v>
      </c>
      <c r="X1142">
        <v>447.72049804794437</v>
      </c>
      <c r="Y1142">
        <v>447</v>
      </c>
      <c r="Z1142">
        <v>393.03731156833811</v>
      </c>
      <c r="AA1142">
        <v>356.02927574950212</v>
      </c>
    </row>
    <row r="1143" spans="2:27">
      <c r="B1143">
        <v>216.66666666666666</v>
      </c>
      <c r="C1143">
        <v>216.66666666666666</v>
      </c>
      <c r="D1143">
        <v>216.66666666666666</v>
      </c>
      <c r="E1143">
        <v>216.66666666666666</v>
      </c>
      <c r="F1143">
        <v>262</v>
      </c>
      <c r="G1143">
        <v>270</v>
      </c>
      <c r="H1143">
        <v>277.69490325365643</v>
      </c>
      <c r="I1143">
        <v>281</v>
      </c>
      <c r="J1143">
        <v>281</v>
      </c>
      <c r="K1143">
        <v>314</v>
      </c>
      <c r="L1143">
        <v>347</v>
      </c>
      <c r="M1143">
        <v>347</v>
      </c>
      <c r="N1143">
        <v>311</v>
      </c>
      <c r="O1143">
        <v>290</v>
      </c>
      <c r="P1143">
        <v>290</v>
      </c>
      <c r="Q1143">
        <v>290</v>
      </c>
      <c r="R1143">
        <v>336.64255861180652</v>
      </c>
      <c r="S1143">
        <v>454</v>
      </c>
      <c r="T1143">
        <v>472</v>
      </c>
      <c r="U1143">
        <v>437</v>
      </c>
      <c r="V1143">
        <v>442</v>
      </c>
      <c r="W1143">
        <v>447.72049804794437</v>
      </c>
      <c r="X1143">
        <v>447.72049804794437</v>
      </c>
      <c r="Y1143">
        <v>447</v>
      </c>
      <c r="Z1143">
        <v>393.03731156833811</v>
      </c>
      <c r="AA1143">
        <v>356.02927574950212</v>
      </c>
    </row>
    <row r="1144" spans="2:27">
      <c r="B1144">
        <v>216.66666666666666</v>
      </c>
      <c r="C1144">
        <v>216.66666666666666</v>
      </c>
      <c r="D1144">
        <v>216.66666666666666</v>
      </c>
      <c r="E1144">
        <v>216.66666666666666</v>
      </c>
      <c r="F1144">
        <v>262</v>
      </c>
      <c r="G1144">
        <v>270</v>
      </c>
      <c r="H1144">
        <v>277.69490325365643</v>
      </c>
      <c r="I1144">
        <v>281</v>
      </c>
      <c r="J1144">
        <v>281</v>
      </c>
      <c r="K1144">
        <v>314</v>
      </c>
      <c r="L1144">
        <v>347</v>
      </c>
      <c r="M1144">
        <v>347</v>
      </c>
      <c r="N1144">
        <v>311</v>
      </c>
      <c r="O1144">
        <v>290</v>
      </c>
      <c r="P1144">
        <v>290</v>
      </c>
      <c r="Q1144">
        <v>290</v>
      </c>
      <c r="R1144">
        <v>336.64255861180652</v>
      </c>
      <c r="S1144">
        <v>454</v>
      </c>
      <c r="T1144">
        <v>472</v>
      </c>
      <c r="U1144">
        <v>437</v>
      </c>
      <c r="V1144">
        <v>442</v>
      </c>
      <c r="W1144">
        <v>447.72049804794437</v>
      </c>
      <c r="X1144">
        <v>447.72049804794437</v>
      </c>
      <c r="Y1144">
        <v>447</v>
      </c>
      <c r="Z1144">
        <v>393.03731156833811</v>
      </c>
      <c r="AA1144">
        <v>356.02927574950212</v>
      </c>
    </row>
    <row r="1145" spans="2:27">
      <c r="B1145">
        <v>216.66666666666666</v>
      </c>
      <c r="C1145">
        <v>216.66666666666666</v>
      </c>
      <c r="D1145">
        <v>216.66666666666666</v>
      </c>
      <c r="E1145">
        <v>216.66666666666666</v>
      </c>
      <c r="F1145">
        <v>262</v>
      </c>
      <c r="G1145">
        <v>270</v>
      </c>
      <c r="H1145">
        <v>277.69490325365643</v>
      </c>
      <c r="I1145">
        <v>281</v>
      </c>
      <c r="J1145">
        <v>281</v>
      </c>
      <c r="K1145">
        <v>314</v>
      </c>
      <c r="L1145">
        <v>347</v>
      </c>
      <c r="M1145">
        <v>347</v>
      </c>
      <c r="N1145">
        <v>311</v>
      </c>
      <c r="O1145">
        <v>290</v>
      </c>
      <c r="P1145">
        <v>290</v>
      </c>
      <c r="Q1145">
        <v>290</v>
      </c>
      <c r="R1145">
        <v>336.64255861180652</v>
      </c>
      <c r="S1145">
        <v>454</v>
      </c>
      <c r="T1145">
        <v>472</v>
      </c>
      <c r="U1145">
        <v>437</v>
      </c>
      <c r="V1145">
        <v>442</v>
      </c>
      <c r="W1145">
        <v>447.72049804794437</v>
      </c>
      <c r="X1145">
        <v>447.72049804794437</v>
      </c>
      <c r="Y1145">
        <v>447</v>
      </c>
      <c r="Z1145">
        <v>393.03731156833811</v>
      </c>
      <c r="AA1145">
        <v>356.02927574950212</v>
      </c>
    </row>
    <row r="1146" spans="2:27">
      <c r="B1146">
        <v>216.66666666666666</v>
      </c>
      <c r="C1146">
        <v>216.66666666666666</v>
      </c>
      <c r="D1146">
        <v>216.66666666666666</v>
      </c>
      <c r="E1146">
        <v>216.66666666666666</v>
      </c>
      <c r="F1146">
        <v>262</v>
      </c>
      <c r="G1146">
        <v>270</v>
      </c>
      <c r="H1146">
        <v>277.69490325365643</v>
      </c>
      <c r="I1146">
        <v>281</v>
      </c>
      <c r="J1146">
        <v>281</v>
      </c>
      <c r="K1146">
        <v>314</v>
      </c>
      <c r="L1146">
        <v>347</v>
      </c>
      <c r="M1146">
        <v>347</v>
      </c>
      <c r="N1146">
        <v>311</v>
      </c>
      <c r="O1146">
        <v>290</v>
      </c>
      <c r="P1146">
        <v>290</v>
      </c>
      <c r="Q1146">
        <v>290</v>
      </c>
      <c r="R1146">
        <v>336.64255861180652</v>
      </c>
      <c r="S1146">
        <v>454</v>
      </c>
      <c r="T1146">
        <v>472</v>
      </c>
      <c r="U1146">
        <v>437</v>
      </c>
      <c r="V1146">
        <v>442</v>
      </c>
      <c r="W1146">
        <v>447.72049804794437</v>
      </c>
      <c r="X1146">
        <v>447.72049804794437</v>
      </c>
      <c r="Y1146">
        <v>447</v>
      </c>
      <c r="Z1146">
        <v>393.03731156833811</v>
      </c>
      <c r="AA1146">
        <v>356.02927574950212</v>
      </c>
    </row>
    <row r="1147" spans="2:27">
      <c r="B1147">
        <v>216.66666666666666</v>
      </c>
      <c r="C1147">
        <v>216.66666666666666</v>
      </c>
      <c r="D1147">
        <v>216.66666666666666</v>
      </c>
      <c r="E1147">
        <v>216.66666666666666</v>
      </c>
      <c r="F1147">
        <v>262</v>
      </c>
      <c r="G1147">
        <v>270</v>
      </c>
      <c r="H1147">
        <v>277.69490325365643</v>
      </c>
      <c r="I1147">
        <v>281</v>
      </c>
      <c r="J1147">
        <v>281</v>
      </c>
      <c r="K1147">
        <v>314</v>
      </c>
      <c r="L1147">
        <v>347</v>
      </c>
      <c r="M1147">
        <v>347</v>
      </c>
      <c r="N1147">
        <v>311</v>
      </c>
      <c r="O1147">
        <v>290</v>
      </c>
      <c r="P1147">
        <v>290</v>
      </c>
      <c r="Q1147">
        <v>290</v>
      </c>
      <c r="R1147">
        <v>336.64255861180652</v>
      </c>
      <c r="S1147">
        <v>454</v>
      </c>
      <c r="T1147">
        <v>472</v>
      </c>
      <c r="U1147">
        <v>437</v>
      </c>
      <c r="V1147">
        <v>442</v>
      </c>
      <c r="W1147">
        <v>447.72049804794437</v>
      </c>
      <c r="X1147">
        <v>447.72049804794437</v>
      </c>
      <c r="Y1147">
        <v>447</v>
      </c>
      <c r="Z1147">
        <v>393.03731156833811</v>
      </c>
      <c r="AA1147">
        <v>356.02927574950212</v>
      </c>
    </row>
    <row r="1148" spans="2:27">
      <c r="B1148">
        <v>216.66666666666666</v>
      </c>
      <c r="C1148">
        <v>216.66666666666666</v>
      </c>
      <c r="D1148">
        <v>216.66666666666666</v>
      </c>
      <c r="E1148">
        <v>216.66666666666666</v>
      </c>
      <c r="F1148">
        <v>262</v>
      </c>
      <c r="G1148">
        <v>270</v>
      </c>
      <c r="H1148">
        <v>277.69490325365643</v>
      </c>
      <c r="I1148">
        <v>281</v>
      </c>
      <c r="J1148">
        <v>281</v>
      </c>
      <c r="K1148">
        <v>314</v>
      </c>
      <c r="L1148">
        <v>347</v>
      </c>
      <c r="M1148">
        <v>347</v>
      </c>
      <c r="N1148">
        <v>311</v>
      </c>
      <c r="O1148">
        <v>290</v>
      </c>
      <c r="P1148">
        <v>290</v>
      </c>
      <c r="Q1148">
        <v>290</v>
      </c>
      <c r="R1148">
        <v>336.64255861180652</v>
      </c>
      <c r="S1148">
        <v>454</v>
      </c>
      <c r="T1148">
        <v>472</v>
      </c>
      <c r="U1148">
        <v>437</v>
      </c>
      <c r="V1148">
        <v>442</v>
      </c>
      <c r="W1148">
        <v>447.72049804794437</v>
      </c>
      <c r="X1148">
        <v>447.72049804794437</v>
      </c>
      <c r="Y1148">
        <v>447</v>
      </c>
      <c r="Z1148">
        <v>393.03731156833811</v>
      </c>
      <c r="AA1148">
        <v>356.02927574950212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rgb="FFFFC000"/>
  </sheetPr>
  <dimension ref="A1:BP165"/>
  <sheetViews>
    <sheetView showGridLines="0" showRowColHeaders="0" zoomScale="85" zoomScaleNormal="85" workbookViewId="0">
      <selection activeCell="AN12" sqref="A8:AN12"/>
    </sheetView>
  </sheetViews>
  <sheetFormatPr defaultRowHeight="15" outlineLevelCol="1"/>
  <cols>
    <col min="1" max="1" width="2.25" customWidth="1"/>
    <col min="2" max="4" width="7.5" customWidth="1"/>
    <col min="5" max="5" width="9.625" customWidth="1"/>
    <col min="6" max="6" width="7.875" customWidth="1"/>
    <col min="7" max="7" width="9.25" customWidth="1"/>
    <col min="8" max="9" width="7.875" customWidth="1"/>
    <col min="10" max="10" width="7.25" customWidth="1"/>
    <col min="11" max="11" width="9" customWidth="1"/>
    <col min="12" max="12" width="11.5" customWidth="1"/>
    <col min="13" max="13" width="22.625" bestFit="1" customWidth="1"/>
    <col min="14" max="14" width="3.5" customWidth="1"/>
    <col min="15" max="20" width="9" hidden="1" customWidth="1" outlineLevel="1"/>
    <col min="21" max="21" width="8.5" hidden="1" customWidth="1" outlineLevel="1"/>
    <col min="22" max="22" width="9.25" customWidth="1" collapsed="1"/>
    <col min="23" max="23" width="1.375" customWidth="1"/>
    <col min="24" max="30" width="9" hidden="1" customWidth="1" outlineLevel="1"/>
    <col min="31" max="31" width="9.25" customWidth="1" collapsed="1"/>
    <col min="32" max="32" width="1.375" customWidth="1"/>
    <col min="33" max="39" width="9" hidden="1" customWidth="1" outlineLevel="1"/>
    <col min="40" max="40" width="9.25" customWidth="1" collapsed="1"/>
    <col min="41" max="41" width="1.375" customWidth="1"/>
    <col min="42" max="48" width="9" customWidth="1" outlineLevel="1"/>
    <col min="49" max="49" width="9.25" customWidth="1"/>
    <col min="50" max="50" width="1.375" customWidth="1"/>
    <col min="51" max="57" width="9" hidden="1" customWidth="1" outlineLevel="1"/>
    <col min="58" max="58" width="9.25" customWidth="1" collapsed="1"/>
    <col min="59" max="59" width="1.375" customWidth="1"/>
    <col min="60" max="60" width="12.625" bestFit="1" customWidth="1"/>
  </cols>
  <sheetData>
    <row r="1" spans="1:61">
      <c r="A1" s="177"/>
      <c r="B1" s="552">
        <f>E3/24/60/60</f>
        <v>9.2592592592592605E-3</v>
      </c>
      <c r="D1" s="174">
        <f>E3*3</f>
        <v>2400</v>
      </c>
      <c r="E1" s="344">
        <v>1</v>
      </c>
      <c r="T1" s="335" t="s">
        <v>649</v>
      </c>
    </row>
    <row r="2" spans="1:61">
      <c r="B2" s="372" t="s">
        <v>625</v>
      </c>
      <c r="C2" s="373"/>
      <c r="D2" s="374"/>
      <c r="E2" s="458">
        <f>37997.8968215198/3</f>
        <v>12665.965607173266</v>
      </c>
      <c r="J2">
        <v>1</v>
      </c>
      <c r="M2" s="528">
        <v>26</v>
      </c>
      <c r="Q2" s="326"/>
      <c r="T2" s="351" t="s">
        <v>648</v>
      </c>
      <c r="AV2" s="326"/>
    </row>
    <row r="3" spans="1:61">
      <c r="A3" s="590"/>
      <c r="B3" s="372" t="s">
        <v>626</v>
      </c>
      <c r="C3" s="373"/>
      <c r="D3" s="374"/>
      <c r="E3" s="459">
        <v>800</v>
      </c>
      <c r="O3" s="239" t="s">
        <v>637</v>
      </c>
      <c r="V3" s="479"/>
      <c r="AV3" s="326"/>
      <c r="AW3" s="326"/>
      <c r="AY3" s="326"/>
      <c r="AZ3" s="174"/>
      <c r="BC3" s="360"/>
      <c r="BD3" s="360"/>
      <c r="BE3" s="360"/>
      <c r="BF3" s="360"/>
      <c r="BH3" s="549"/>
    </row>
    <row r="4" spans="1:61" ht="24.75" customHeight="1">
      <c r="A4" s="590"/>
      <c r="M4" s="181" t="s">
        <v>663</v>
      </c>
      <c r="O4" s="237" t="s">
        <v>648</v>
      </c>
      <c r="P4" s="237" t="s">
        <v>649</v>
      </c>
      <c r="Q4" s="237" t="s">
        <v>649</v>
      </c>
      <c r="R4" s="237" t="s">
        <v>649</v>
      </c>
      <c r="S4" s="237" t="s">
        <v>649</v>
      </c>
      <c r="T4" s="237" t="s">
        <v>649</v>
      </c>
      <c r="U4" s="238" t="s">
        <v>649</v>
      </c>
      <c r="V4" s="306" t="s">
        <v>761</v>
      </c>
      <c r="W4" s="306"/>
      <c r="X4" s="120" t="s">
        <v>612</v>
      </c>
      <c r="Y4" s="120">
        <f>DIM!E6</f>
        <v>0</v>
      </c>
      <c r="Z4" s="306"/>
      <c r="AA4" s="306"/>
      <c r="AB4" s="306"/>
      <c r="AC4" s="306"/>
      <c r="AD4" s="306"/>
      <c r="AE4" s="239" t="s">
        <v>819</v>
      </c>
      <c r="AF4" s="306"/>
      <c r="AG4" s="125" t="s">
        <v>613</v>
      </c>
      <c r="AH4" s="125">
        <f>DIM!E7</f>
        <v>0</v>
      </c>
      <c r="AI4" s="306"/>
      <c r="AJ4" s="306"/>
      <c r="AK4" s="306"/>
      <c r="AL4" s="306"/>
      <c r="AM4" s="306"/>
      <c r="AN4" s="306" t="str">
        <f>AG4</f>
        <v>5h20min</v>
      </c>
      <c r="AO4" s="306"/>
      <c r="AP4" s="123" t="s">
        <v>610</v>
      </c>
      <c r="AQ4" s="562">
        <f>DIM!E8</f>
        <v>32</v>
      </c>
      <c r="AR4" s="306"/>
      <c r="AS4" s="306"/>
      <c r="AT4" s="550">
        <v>0.2638888888888889</v>
      </c>
      <c r="AU4" s="550">
        <v>2.7777777777777776E-2</v>
      </c>
      <c r="AW4" s="306" t="str">
        <f>AP4</f>
        <v>6h20min</v>
      </c>
      <c r="AX4" s="306"/>
      <c r="AY4" s="124" t="s">
        <v>611</v>
      </c>
      <c r="AZ4" s="124">
        <f>DIM!E9</f>
        <v>7</v>
      </c>
      <c r="BA4" s="306"/>
      <c r="BB4" s="306"/>
      <c r="BC4" s="550">
        <v>0.34166666666666662</v>
      </c>
      <c r="BD4" s="550">
        <v>5.5555555555555552E-2</v>
      </c>
      <c r="BE4" s="306"/>
      <c r="BF4" s="306" t="str">
        <f>AY4</f>
        <v>7h12min</v>
      </c>
      <c r="BH4" s="306" t="s">
        <v>762</v>
      </c>
    </row>
    <row r="5" spans="1:61" ht="14.25" customHeight="1">
      <c r="A5" s="590"/>
      <c r="B5" s="503" t="s">
        <v>608</v>
      </c>
      <c r="C5" s="504" t="s">
        <v>609</v>
      </c>
      <c r="D5" s="504" t="s">
        <v>607</v>
      </c>
      <c r="E5" s="504" t="s">
        <v>606</v>
      </c>
      <c r="F5" s="504" t="s">
        <v>590</v>
      </c>
      <c r="G5" s="504" t="s">
        <v>635</v>
      </c>
      <c r="H5" s="504" t="s">
        <v>636</v>
      </c>
      <c r="I5" s="504" t="s">
        <v>627</v>
      </c>
      <c r="J5" s="504" t="s">
        <v>632</v>
      </c>
      <c r="K5" s="504" t="s">
        <v>633</v>
      </c>
      <c r="L5" s="504" t="s">
        <v>624</v>
      </c>
      <c r="M5" s="505" t="s">
        <v>631</v>
      </c>
      <c r="N5" s="117"/>
      <c r="O5" s="378" t="s">
        <v>616</v>
      </c>
      <c r="P5" s="379" t="s">
        <v>602</v>
      </c>
      <c r="Q5" s="379" t="s">
        <v>594</v>
      </c>
      <c r="R5" s="379" t="s">
        <v>595</v>
      </c>
      <c r="S5" s="379" t="s">
        <v>615</v>
      </c>
      <c r="T5" s="379" t="s">
        <v>596</v>
      </c>
      <c r="U5" s="379" t="s">
        <v>597</v>
      </c>
      <c r="V5" s="375" t="s">
        <v>598</v>
      </c>
      <c r="W5" s="332"/>
      <c r="X5" s="380" t="s">
        <v>616</v>
      </c>
      <c r="Y5" s="381" t="s">
        <v>602</v>
      </c>
      <c r="Z5" s="381" t="s">
        <v>594</v>
      </c>
      <c r="AA5" s="381" t="s">
        <v>595</v>
      </c>
      <c r="AB5" s="381" t="s">
        <v>615</v>
      </c>
      <c r="AC5" s="381" t="s">
        <v>596</v>
      </c>
      <c r="AD5" s="381" t="s">
        <v>597</v>
      </c>
      <c r="AE5" s="376" t="s">
        <v>598</v>
      </c>
      <c r="AF5" s="332"/>
      <c r="AG5" s="380" t="s">
        <v>616</v>
      </c>
      <c r="AH5" s="381" t="s">
        <v>602</v>
      </c>
      <c r="AI5" s="381" t="s">
        <v>594</v>
      </c>
      <c r="AJ5" s="381" t="s">
        <v>595</v>
      </c>
      <c r="AK5" s="381" t="s">
        <v>615</v>
      </c>
      <c r="AL5" s="381" t="s">
        <v>596</v>
      </c>
      <c r="AM5" s="381" t="s">
        <v>597</v>
      </c>
      <c r="AN5" s="376" t="s">
        <v>598</v>
      </c>
      <c r="AO5" s="332"/>
      <c r="AP5" s="386" t="s">
        <v>616</v>
      </c>
      <c r="AQ5" s="463" t="s">
        <v>892</v>
      </c>
      <c r="AR5" s="463" t="s">
        <v>594</v>
      </c>
      <c r="AS5" s="463" t="s">
        <v>595</v>
      </c>
      <c r="AT5" s="463" t="s">
        <v>615</v>
      </c>
      <c r="AU5" s="463" t="s">
        <v>596</v>
      </c>
      <c r="AV5" s="387" t="s">
        <v>597</v>
      </c>
      <c r="AW5" s="460" t="s">
        <v>598</v>
      </c>
      <c r="AX5" s="332"/>
      <c r="AY5" s="386" t="s">
        <v>616</v>
      </c>
      <c r="AZ5" s="463" t="s">
        <v>602</v>
      </c>
      <c r="BA5" s="463" t="s">
        <v>594</v>
      </c>
      <c r="BB5" s="463" t="s">
        <v>595</v>
      </c>
      <c r="BC5" s="463" t="s">
        <v>615</v>
      </c>
      <c r="BD5" s="463" t="s">
        <v>596</v>
      </c>
      <c r="BE5" s="463" t="s">
        <v>597</v>
      </c>
      <c r="BF5" s="387" t="s">
        <v>598</v>
      </c>
      <c r="BG5" s="332"/>
      <c r="BH5" s="481" t="s">
        <v>650</v>
      </c>
    </row>
    <row r="6" spans="1:61" ht="13.5" customHeight="1">
      <c r="A6" s="590"/>
      <c r="B6" s="544">
        <v>46235</v>
      </c>
      <c r="C6" s="545" t="str">
        <f t="shared" ref="C6:C12" si="0">TEXT(B6,"ddd")</f>
        <v>sáb</v>
      </c>
      <c r="D6" s="506">
        <f>RANK(I6,$I$6:$I$36)</f>
        <v>25</v>
      </c>
      <c r="E6" s="507">
        <f>IFERROR($E$2*J6,"")*$E$1</f>
        <v>156.75306339373316</v>
      </c>
      <c r="F6" s="508">
        <f>IFERROR($E$3*K6,"")</f>
        <v>754.04945507311538</v>
      </c>
      <c r="G6" s="509">
        <v>0.8</v>
      </c>
      <c r="H6" s="510">
        <v>20</v>
      </c>
      <c r="I6" s="507">
        <f t="shared" ref="I6:I26" si="1">F6*E6/60/100</f>
        <v>19.699927005514333</v>
      </c>
      <c r="J6" s="511">
        <v>1.2375926814846026E-2</v>
      </c>
      <c r="K6" s="511">
        <v>0.94256181884139423</v>
      </c>
      <c r="L6" s="546" t="str">
        <f>UPPER(C6)</f>
        <v>SÁB</v>
      </c>
      <c r="M6" s="512" t="s">
        <v>840</v>
      </c>
      <c r="N6" t="s">
        <v>78</v>
      </c>
      <c r="O6" s="230">
        <f>(X6*$Y$4+AG6*$AH$4+AP6*$AQ$4+AY6*$AZ$4)/SUM($Y$4,$AH$4,$AQ$4,$AZ$4)</f>
        <v>0</v>
      </c>
      <c r="P6" s="231">
        <f t="shared" ref="P6:U6" si="2">(Y6*$Y$4+AH6*$AH$4+AQ6*$AQ$4+AZ6*$AZ$4)/SUM($Y$4,$AH$4,$AQ$4,$AZ$4)</f>
        <v>0</v>
      </c>
      <c r="Q6" s="231">
        <f t="shared" si="2"/>
        <v>8.2051282051282051E-2</v>
      </c>
      <c r="R6" s="231">
        <f t="shared" si="2"/>
        <v>0</v>
      </c>
      <c r="S6" s="234">
        <f t="shared" si="2"/>
        <v>8.6369770580296892E-2</v>
      </c>
      <c r="T6" s="234">
        <f t="shared" si="2"/>
        <v>1.641025641025641E-2</v>
      </c>
      <c r="U6" s="234">
        <f t="shared" si="2"/>
        <v>0</v>
      </c>
      <c r="V6" s="232">
        <f>SUM(O6:U6)</f>
        <v>0.18483130904183537</v>
      </c>
      <c r="X6" s="143"/>
      <c r="Y6" s="130"/>
      <c r="Z6" s="130"/>
      <c r="AA6" s="130"/>
      <c r="AB6" s="130"/>
      <c r="AC6" s="130"/>
      <c r="AD6" s="130"/>
      <c r="AE6" s="146">
        <f>SUM(X6:AD6)</f>
        <v>0</v>
      </c>
      <c r="AG6" s="143"/>
      <c r="AH6" s="130"/>
      <c r="AI6" s="130"/>
      <c r="AJ6" s="130"/>
      <c r="AK6" s="130"/>
      <c r="AL6" s="130"/>
      <c r="AM6" s="130"/>
      <c r="AN6" s="146">
        <f>SUM(AG6:AM6)</f>
        <v>0</v>
      </c>
      <c r="AP6" s="464"/>
      <c r="AQ6" s="342"/>
      <c r="AR6" s="342">
        <v>0.1</v>
      </c>
      <c r="AS6" s="342"/>
      <c r="AT6" s="342">
        <v>0.10526315789473684</v>
      </c>
      <c r="AU6" s="342">
        <v>0.02</v>
      </c>
      <c r="AV6" s="343"/>
      <c r="AW6" s="461">
        <f>SUM(AP6:AV6)</f>
        <v>0.22526315789473683</v>
      </c>
      <c r="AY6" s="464"/>
      <c r="AZ6" s="342"/>
      <c r="BA6" s="342"/>
      <c r="BB6" s="342"/>
      <c r="BC6" s="342"/>
      <c r="BD6" s="342"/>
      <c r="BE6" s="342"/>
      <c r="BF6" s="465">
        <f>SUM(AY6:BE6)</f>
        <v>0</v>
      </c>
      <c r="BH6" s="482">
        <f>SUMIF($O$4:$U$4,"sIM",O6:U6)</f>
        <v>0.18483130904183537</v>
      </c>
      <c r="BI6" s="479">
        <f>K6/$K$37</f>
        <v>0.94256181884139456</v>
      </c>
    </row>
    <row r="7" spans="1:61" ht="13.5" customHeight="1">
      <c r="A7" s="590"/>
      <c r="B7" s="547">
        <f>B6+1</f>
        <v>46236</v>
      </c>
      <c r="C7" s="548" t="str">
        <f t="shared" si="0"/>
        <v>dom</v>
      </c>
      <c r="D7" s="513">
        <f t="shared" ref="D7:D26" si="3">RANK(I7,$I$6:$I$36)</f>
        <v>30</v>
      </c>
      <c r="E7" s="514">
        <f t="shared" ref="E7:E26" si="4">IFERROR($E$2*J7,"")*$E$1</f>
        <v>113.67951701500908</v>
      </c>
      <c r="F7" s="515">
        <f t="shared" ref="F7:F26" si="5">IFERROR($E$3*K7,"")</f>
        <v>736.96086447426023</v>
      </c>
      <c r="G7" s="509">
        <v>0.8</v>
      </c>
      <c r="H7" s="510">
        <v>20</v>
      </c>
      <c r="I7" s="514">
        <f t="shared" si="1"/>
        <v>13.962892522066245</v>
      </c>
      <c r="J7" s="516">
        <v>8.9751954600782759E-3</v>
      </c>
      <c r="K7" s="511">
        <v>0.92120108059282535</v>
      </c>
      <c r="L7" s="546" t="str">
        <f t="shared" ref="L7:L26" si="6">UPPER(C7)</f>
        <v>DOM</v>
      </c>
      <c r="M7" s="512" t="s">
        <v>841</v>
      </c>
      <c r="N7" t="s">
        <v>78</v>
      </c>
      <c r="O7" s="233">
        <f>(X7*$Y$4+AG7*$AH$4+AP7*$AQ$4+AY7*$AZ$4)/SUM($Y$4,$AH$4,$AQ$4,$AZ$4)</f>
        <v>0</v>
      </c>
      <c r="P7" s="234">
        <f t="shared" ref="P7:Q34" si="7">(Y7*$Y$4+AH7*$AH$4+AQ7*$AQ$4+AZ7*$AZ$4)/SUM($Y$4,$AH$4,$AQ$4,$AZ$4)</f>
        <v>0</v>
      </c>
      <c r="Q7" s="231">
        <f t="shared" si="7"/>
        <v>8.2051282051282051E-2</v>
      </c>
      <c r="R7" s="234">
        <f t="shared" ref="R7:R34" si="8">(AA7*$Y$4+AJ7*$AH$4+AS7*$AQ$4+BB7*$AZ$4)/SUM($Y$4,$AH$4,$AQ$4,$AZ$4)</f>
        <v>0</v>
      </c>
      <c r="S7" s="234">
        <f t="shared" ref="S7:S34" si="9">(AB7*$Y$4+AK7*$AH$4+AT7*$AQ$4+BC7*$AZ$4)/SUM($Y$4,$AH$4,$AQ$4,$AZ$4)</f>
        <v>8.6369770580296892E-2</v>
      </c>
      <c r="T7" s="234">
        <f t="shared" ref="T7:T34" si="10">(AC7*$Y$4+AL7*$AH$4+AU7*$AQ$4+BD7*$AZ$4)/SUM($Y$4,$AH$4,$AQ$4,$AZ$4)</f>
        <v>1.641025641025641E-2</v>
      </c>
      <c r="U7" s="234">
        <f t="shared" ref="U7:U34" si="11">(AD7*$Y$4+AM7*$AH$4+AV7*$AQ$4+BE7*$AZ$4)/SUM($Y$4,$AH$4,$AQ$4,$AZ$4)</f>
        <v>0</v>
      </c>
      <c r="V7" s="235">
        <f t="shared" ref="V7:V34" si="12">SUM(O7:U7)</f>
        <v>0.18483130904183537</v>
      </c>
      <c r="X7" s="144"/>
      <c r="Y7" s="131"/>
      <c r="Z7" s="131"/>
      <c r="AA7" s="131"/>
      <c r="AB7" s="131"/>
      <c r="AC7" s="131"/>
      <c r="AD7" s="131"/>
      <c r="AE7" s="147">
        <f t="shared" ref="AE7:AE34" si="13">SUM(X7:AD7)</f>
        <v>0</v>
      </c>
      <c r="AG7" s="144"/>
      <c r="AH7" s="131"/>
      <c r="AI7" s="131"/>
      <c r="AJ7" s="131"/>
      <c r="AK7" s="131"/>
      <c r="AL7" s="131"/>
      <c r="AM7" s="131"/>
      <c r="AN7" s="147">
        <f t="shared" ref="AN7:AN34" si="14">SUM(AG7:AM7)</f>
        <v>0</v>
      </c>
      <c r="AP7" s="464"/>
      <c r="AQ7" s="342"/>
      <c r="AR7" s="342">
        <v>0.1</v>
      </c>
      <c r="AS7" s="342"/>
      <c r="AT7" s="342">
        <v>0.10526315789473684</v>
      </c>
      <c r="AU7" s="342">
        <v>0.02</v>
      </c>
      <c r="AV7" s="343"/>
      <c r="AW7" s="462">
        <f t="shared" ref="AW7:AW34" si="15">SUM(AP7:AV7)</f>
        <v>0.22526315789473683</v>
      </c>
      <c r="AY7" s="464"/>
      <c r="AZ7" s="342"/>
      <c r="BA7" s="342"/>
      <c r="BB7" s="342"/>
      <c r="BC7" s="342"/>
      <c r="BD7" s="342"/>
      <c r="BE7" s="342"/>
      <c r="BF7" s="465">
        <f t="shared" ref="BF7:BF34" si="16">SUM(AY7:BE7)</f>
        <v>0</v>
      </c>
      <c r="BH7" s="482">
        <f t="shared" ref="BH7:BH34" si="17">SUMIF($O$4:$U$4,"sIM",O7:U7)</f>
        <v>0.18483130904183537</v>
      </c>
      <c r="BI7" s="479">
        <f t="shared" ref="BI7:BI34" si="18">K7/$K$37</f>
        <v>0.92120108059282568</v>
      </c>
    </row>
    <row r="8" spans="1:61" ht="13.5" customHeight="1">
      <c r="A8" s="590"/>
      <c r="B8" s="547">
        <f t="shared" ref="B8:B36" si="19">B7+1</f>
        <v>46237</v>
      </c>
      <c r="C8" s="548" t="str">
        <f t="shared" si="0"/>
        <v>seg</v>
      </c>
      <c r="D8" s="513">
        <f t="shared" si="3"/>
        <v>2</v>
      </c>
      <c r="E8" s="514">
        <f t="shared" si="4"/>
        <v>625.15259197302589</v>
      </c>
      <c r="F8" s="515">
        <f t="shared" si="5"/>
        <v>830.31754490563583</v>
      </c>
      <c r="G8" s="509">
        <v>0.8</v>
      </c>
      <c r="H8" s="510">
        <v>20</v>
      </c>
      <c r="I8" s="514">
        <f t="shared" si="1"/>
        <v>86.512527559739596</v>
      </c>
      <c r="J8" s="516">
        <v>4.9356883743547811E-2</v>
      </c>
      <c r="K8" s="511">
        <v>1.0378969311320447</v>
      </c>
      <c r="L8" s="546" t="str">
        <f t="shared" si="6"/>
        <v>SEG</v>
      </c>
      <c r="M8" s="512" t="s">
        <v>852</v>
      </c>
      <c r="N8" t="s">
        <v>78</v>
      </c>
      <c r="O8" s="233">
        <f t="shared" ref="O8:O34" si="20">(X8*$Y$4+AG8*$AH$4+AP8*$AQ$4+AY8*$AZ$4)/SUM($Y$4,$AH$4,$AQ$4,$AZ$4)</f>
        <v>0</v>
      </c>
      <c r="P8" s="234">
        <f t="shared" si="7"/>
        <v>0</v>
      </c>
      <c r="Q8" s="231">
        <f t="shared" si="7"/>
        <v>8.2051282051282051E-2</v>
      </c>
      <c r="R8" s="234">
        <f t="shared" si="8"/>
        <v>0</v>
      </c>
      <c r="S8" s="234">
        <f t="shared" si="9"/>
        <v>8.6369770580296892E-2</v>
      </c>
      <c r="T8" s="234">
        <f t="shared" si="10"/>
        <v>1.641025641025641E-2</v>
      </c>
      <c r="U8" s="234">
        <f t="shared" si="11"/>
        <v>0</v>
      </c>
      <c r="V8" s="235">
        <f t="shared" si="12"/>
        <v>0.18483130904183537</v>
      </c>
      <c r="X8" s="144"/>
      <c r="Y8" s="131"/>
      <c r="Z8" s="131"/>
      <c r="AA8" s="131"/>
      <c r="AB8" s="131"/>
      <c r="AC8" s="131"/>
      <c r="AD8" s="131"/>
      <c r="AE8" s="147">
        <f t="shared" si="13"/>
        <v>0</v>
      </c>
      <c r="AG8" s="144"/>
      <c r="AH8" s="131"/>
      <c r="AI8" s="131"/>
      <c r="AJ8" s="131"/>
      <c r="AK8" s="131"/>
      <c r="AL8" s="131"/>
      <c r="AM8" s="131"/>
      <c r="AN8" s="147">
        <f t="shared" si="14"/>
        <v>0</v>
      </c>
      <c r="AP8" s="464"/>
      <c r="AQ8" s="342"/>
      <c r="AR8" s="342">
        <v>0.1</v>
      </c>
      <c r="AS8" s="342"/>
      <c r="AT8" s="342">
        <v>0.10526315789473684</v>
      </c>
      <c r="AU8" s="342">
        <v>0.02</v>
      </c>
      <c r="AV8" s="343"/>
      <c r="AW8" s="462">
        <f t="shared" si="15"/>
        <v>0.22526315789473683</v>
      </c>
      <c r="AY8" s="464"/>
      <c r="AZ8" s="342"/>
      <c r="BA8" s="342"/>
      <c r="BB8" s="342"/>
      <c r="BC8" s="342"/>
      <c r="BD8" s="342"/>
      <c r="BE8" s="342"/>
      <c r="BF8" s="465">
        <f t="shared" si="16"/>
        <v>0</v>
      </c>
      <c r="BH8" s="482">
        <f t="shared" si="17"/>
        <v>0.18483130904183537</v>
      </c>
      <c r="BI8" s="479">
        <f t="shared" si="18"/>
        <v>1.0378969311320452</v>
      </c>
    </row>
    <row r="9" spans="1:61" ht="13.5" customHeight="1">
      <c r="A9" s="590"/>
      <c r="B9" s="547">
        <f t="shared" si="19"/>
        <v>46238</v>
      </c>
      <c r="C9" s="548" t="str">
        <f t="shared" si="0"/>
        <v>ter</v>
      </c>
      <c r="D9" s="513">
        <f t="shared" si="3"/>
        <v>6</v>
      </c>
      <c r="E9" s="514">
        <f t="shared" si="4"/>
        <v>580.15689604865418</v>
      </c>
      <c r="F9" s="515">
        <f t="shared" si="5"/>
        <v>816.47546592005881</v>
      </c>
      <c r="G9" s="509">
        <v>0.8</v>
      </c>
      <c r="H9" s="510">
        <v>20</v>
      </c>
      <c r="I9" s="514">
        <f t="shared" si="1"/>
        <v>78.947312001343349</v>
      </c>
      <c r="J9" s="516">
        <v>4.5804395341172179E-2</v>
      </c>
      <c r="K9" s="511">
        <v>1.0205943324000735</v>
      </c>
      <c r="L9" s="546" t="str">
        <f t="shared" si="6"/>
        <v>TER</v>
      </c>
      <c r="M9" s="512" t="s">
        <v>852</v>
      </c>
      <c r="N9" t="s">
        <v>78</v>
      </c>
      <c r="O9" s="233">
        <f t="shared" si="20"/>
        <v>0</v>
      </c>
      <c r="P9" s="234">
        <f t="shared" si="7"/>
        <v>0</v>
      </c>
      <c r="Q9" s="231">
        <f t="shared" si="7"/>
        <v>8.2051282051282051E-2</v>
      </c>
      <c r="R9" s="234">
        <f t="shared" si="8"/>
        <v>0</v>
      </c>
      <c r="S9" s="234">
        <f t="shared" si="9"/>
        <v>8.6369770580296892E-2</v>
      </c>
      <c r="T9" s="234">
        <f t="shared" si="10"/>
        <v>1.641025641025641E-2</v>
      </c>
      <c r="U9" s="234">
        <f t="shared" si="11"/>
        <v>0</v>
      </c>
      <c r="V9" s="235">
        <f t="shared" si="12"/>
        <v>0.18483130904183537</v>
      </c>
      <c r="X9" s="144"/>
      <c r="Y9" s="131"/>
      <c r="Z9" s="131"/>
      <c r="AA9" s="131"/>
      <c r="AB9" s="131"/>
      <c r="AC9" s="131"/>
      <c r="AD9" s="131"/>
      <c r="AE9" s="147">
        <f t="shared" si="13"/>
        <v>0</v>
      </c>
      <c r="AG9" s="144"/>
      <c r="AH9" s="131"/>
      <c r="AI9" s="131"/>
      <c r="AJ9" s="131"/>
      <c r="AK9" s="131"/>
      <c r="AL9" s="131"/>
      <c r="AM9" s="131"/>
      <c r="AN9" s="147">
        <f t="shared" si="14"/>
        <v>0</v>
      </c>
      <c r="AP9" s="464"/>
      <c r="AQ9" s="342"/>
      <c r="AR9" s="342">
        <v>0.1</v>
      </c>
      <c r="AS9" s="342"/>
      <c r="AT9" s="342">
        <v>0.10526315789473684</v>
      </c>
      <c r="AU9" s="342">
        <v>0.02</v>
      </c>
      <c r="AV9" s="343"/>
      <c r="AW9" s="462">
        <f t="shared" si="15"/>
        <v>0.22526315789473683</v>
      </c>
      <c r="AY9" s="464"/>
      <c r="AZ9" s="342"/>
      <c r="BA9" s="342"/>
      <c r="BB9" s="342"/>
      <c r="BC9" s="342"/>
      <c r="BD9" s="342"/>
      <c r="BE9" s="342"/>
      <c r="BF9" s="465">
        <f t="shared" si="16"/>
        <v>0</v>
      </c>
      <c r="BH9" s="482">
        <f t="shared" si="17"/>
        <v>0.18483130904183537</v>
      </c>
      <c r="BI9" s="479">
        <f t="shared" si="18"/>
        <v>1.0205943324000739</v>
      </c>
    </row>
    <row r="10" spans="1:61" ht="13.5" customHeight="1">
      <c r="A10" s="590"/>
      <c r="B10" s="547">
        <f t="shared" si="19"/>
        <v>46239</v>
      </c>
      <c r="C10" s="548" t="str">
        <f t="shared" si="0"/>
        <v>qua</v>
      </c>
      <c r="D10" s="513">
        <f t="shared" si="3"/>
        <v>10</v>
      </c>
      <c r="E10" s="514">
        <f t="shared" si="4"/>
        <v>537.14872870473926</v>
      </c>
      <c r="F10" s="515">
        <f t="shared" si="5"/>
        <v>834.1537180429043</v>
      </c>
      <c r="G10" s="509">
        <v>0.8</v>
      </c>
      <c r="H10" s="510">
        <v>20</v>
      </c>
      <c r="I10" s="514">
        <f t="shared" si="1"/>
        <v>74.677434865179592</v>
      </c>
      <c r="J10" s="516">
        <v>4.2408825774841001E-2</v>
      </c>
      <c r="K10" s="511">
        <v>1.0426921475536304</v>
      </c>
      <c r="L10" s="546" t="str">
        <f t="shared" si="6"/>
        <v>QUA</v>
      </c>
      <c r="M10" s="512" t="s">
        <v>852</v>
      </c>
      <c r="N10" t="s">
        <v>78</v>
      </c>
      <c r="O10" s="233">
        <f t="shared" si="20"/>
        <v>0</v>
      </c>
      <c r="P10" s="234">
        <f t="shared" si="7"/>
        <v>0</v>
      </c>
      <c r="Q10" s="231">
        <f t="shared" si="7"/>
        <v>8.2051282051282051E-2</v>
      </c>
      <c r="R10" s="234">
        <f t="shared" si="8"/>
        <v>0</v>
      </c>
      <c r="S10" s="234">
        <f t="shared" si="9"/>
        <v>8.6369770580296892E-2</v>
      </c>
      <c r="T10" s="234">
        <f t="shared" si="10"/>
        <v>1.641025641025641E-2</v>
      </c>
      <c r="U10" s="234">
        <f t="shared" si="11"/>
        <v>0</v>
      </c>
      <c r="V10" s="235">
        <f t="shared" si="12"/>
        <v>0.18483130904183537</v>
      </c>
      <c r="X10" s="144"/>
      <c r="Y10" s="131"/>
      <c r="Z10" s="131"/>
      <c r="AA10" s="131"/>
      <c r="AB10" s="131"/>
      <c r="AC10" s="131"/>
      <c r="AD10" s="131"/>
      <c r="AE10" s="147">
        <f t="shared" si="13"/>
        <v>0</v>
      </c>
      <c r="AG10" s="144"/>
      <c r="AH10" s="131"/>
      <c r="AI10" s="131"/>
      <c r="AJ10" s="131"/>
      <c r="AK10" s="131"/>
      <c r="AL10" s="131"/>
      <c r="AM10" s="131"/>
      <c r="AN10" s="147">
        <f t="shared" si="14"/>
        <v>0</v>
      </c>
      <c r="AP10" s="464"/>
      <c r="AQ10" s="342"/>
      <c r="AR10" s="342">
        <v>0.1</v>
      </c>
      <c r="AS10" s="342"/>
      <c r="AT10" s="342">
        <v>0.10526315789473684</v>
      </c>
      <c r="AU10" s="342">
        <v>0.02</v>
      </c>
      <c r="AV10" s="343"/>
      <c r="AW10" s="462">
        <f t="shared" si="15"/>
        <v>0.22526315789473683</v>
      </c>
      <c r="AY10" s="464"/>
      <c r="AZ10" s="342"/>
      <c r="BA10" s="342"/>
      <c r="BB10" s="342"/>
      <c r="BC10" s="342"/>
      <c r="BD10" s="342"/>
      <c r="BE10" s="342"/>
      <c r="BF10" s="465">
        <f t="shared" si="16"/>
        <v>0</v>
      </c>
      <c r="BH10" s="482">
        <f t="shared" si="17"/>
        <v>0.18483130904183537</v>
      </c>
      <c r="BI10" s="479">
        <f t="shared" si="18"/>
        <v>1.0426921475536308</v>
      </c>
    </row>
    <row r="11" spans="1:61" ht="13.5" customHeight="1">
      <c r="A11" s="590"/>
      <c r="B11" s="547">
        <f t="shared" si="19"/>
        <v>46240</v>
      </c>
      <c r="C11" s="548" t="str">
        <f t="shared" si="0"/>
        <v>qui</v>
      </c>
      <c r="D11" s="513">
        <f t="shared" si="3"/>
        <v>18</v>
      </c>
      <c r="E11" s="514">
        <f t="shared" si="4"/>
        <v>488.93661671929232</v>
      </c>
      <c r="F11" s="515">
        <f t="shared" si="5"/>
        <v>754.72567790748269</v>
      </c>
      <c r="G11" s="509">
        <v>0.8</v>
      </c>
      <c r="H11" s="510">
        <v>20</v>
      </c>
      <c r="I11" s="514">
        <f t="shared" si="1"/>
        <v>61.502169917876493</v>
      </c>
      <c r="J11" s="516">
        <v>3.8602395733838647E-2</v>
      </c>
      <c r="K11" s="511">
        <v>0.94340709738435335</v>
      </c>
      <c r="L11" s="546" t="str">
        <f t="shared" si="6"/>
        <v>QUI</v>
      </c>
      <c r="M11" s="512" t="s">
        <v>852</v>
      </c>
      <c r="N11" t="s">
        <v>78</v>
      </c>
      <c r="O11" s="233">
        <f t="shared" si="20"/>
        <v>0</v>
      </c>
      <c r="P11" s="234">
        <f t="shared" si="7"/>
        <v>0</v>
      </c>
      <c r="Q11" s="231">
        <f t="shared" si="7"/>
        <v>8.2051282051282051E-2</v>
      </c>
      <c r="R11" s="234">
        <f t="shared" si="8"/>
        <v>0</v>
      </c>
      <c r="S11" s="234">
        <f t="shared" si="9"/>
        <v>8.6369770580296892E-2</v>
      </c>
      <c r="T11" s="234">
        <f t="shared" si="10"/>
        <v>1.641025641025641E-2</v>
      </c>
      <c r="U11" s="234">
        <f t="shared" si="11"/>
        <v>0</v>
      </c>
      <c r="V11" s="235">
        <f t="shared" si="12"/>
        <v>0.18483130904183537</v>
      </c>
      <c r="X11" s="144"/>
      <c r="Y11" s="131"/>
      <c r="Z11" s="131"/>
      <c r="AA11" s="131"/>
      <c r="AB11" s="131"/>
      <c r="AC11" s="131"/>
      <c r="AD11" s="131"/>
      <c r="AE11" s="147">
        <f t="shared" si="13"/>
        <v>0</v>
      </c>
      <c r="AG11" s="144"/>
      <c r="AH11" s="131"/>
      <c r="AI11" s="131"/>
      <c r="AJ11" s="131"/>
      <c r="AK11" s="131"/>
      <c r="AL11" s="131"/>
      <c r="AM11" s="131"/>
      <c r="AN11" s="147">
        <f t="shared" si="14"/>
        <v>0</v>
      </c>
      <c r="AP11" s="464"/>
      <c r="AQ11" s="342"/>
      <c r="AR11" s="342">
        <v>0.1</v>
      </c>
      <c r="AS11" s="342"/>
      <c r="AT11" s="342">
        <v>0.10526315789473684</v>
      </c>
      <c r="AU11" s="342">
        <v>0.02</v>
      </c>
      <c r="AV11" s="343"/>
      <c r="AW11" s="462">
        <f t="shared" si="15"/>
        <v>0.22526315789473683</v>
      </c>
      <c r="AY11" s="464"/>
      <c r="AZ11" s="342"/>
      <c r="BA11" s="342"/>
      <c r="BB11" s="342"/>
      <c r="BC11" s="342"/>
      <c r="BD11" s="342"/>
      <c r="BE11" s="342"/>
      <c r="BF11" s="465">
        <f t="shared" si="16"/>
        <v>0</v>
      </c>
      <c r="BH11" s="482">
        <f t="shared" si="17"/>
        <v>0.18483130904183537</v>
      </c>
      <c r="BI11" s="479">
        <f t="shared" si="18"/>
        <v>0.94340709738435369</v>
      </c>
    </row>
    <row r="12" spans="1:61" ht="13.5" customHeight="1">
      <c r="A12" s="590"/>
      <c r="B12" s="547">
        <f t="shared" si="19"/>
        <v>46241</v>
      </c>
      <c r="C12" s="548" t="str">
        <f t="shared" si="0"/>
        <v>sex</v>
      </c>
      <c r="D12" s="513">
        <f t="shared" si="3"/>
        <v>15</v>
      </c>
      <c r="E12" s="514">
        <f t="shared" si="4"/>
        <v>512.24330766054254</v>
      </c>
      <c r="F12" s="515">
        <f t="shared" si="5"/>
        <v>783.61201696091393</v>
      </c>
      <c r="G12" s="509">
        <v>0.8</v>
      </c>
      <c r="H12" s="510">
        <v>20</v>
      </c>
      <c r="I12" s="514">
        <f t="shared" si="1"/>
        <v>66.900001915101285</v>
      </c>
      <c r="J12" s="516">
        <v>4.0442499494111821E-2</v>
      </c>
      <c r="K12" s="511">
        <v>0.97951502120114242</v>
      </c>
      <c r="L12" s="546" t="str">
        <f t="shared" si="6"/>
        <v>SEX</v>
      </c>
      <c r="M12" s="512" t="s">
        <v>852</v>
      </c>
      <c r="N12" t="s">
        <v>78</v>
      </c>
      <c r="O12" s="233">
        <f t="shared" si="20"/>
        <v>0</v>
      </c>
      <c r="P12" s="234">
        <f t="shared" si="7"/>
        <v>0</v>
      </c>
      <c r="Q12" s="231">
        <f t="shared" si="7"/>
        <v>8.2051282051282051E-2</v>
      </c>
      <c r="R12" s="234">
        <f t="shared" si="8"/>
        <v>0</v>
      </c>
      <c r="S12" s="234">
        <f t="shared" si="9"/>
        <v>8.6369770580296892E-2</v>
      </c>
      <c r="T12" s="234">
        <f t="shared" si="10"/>
        <v>1.641025641025641E-2</v>
      </c>
      <c r="U12" s="234">
        <f t="shared" si="11"/>
        <v>0</v>
      </c>
      <c r="V12" s="235">
        <f t="shared" si="12"/>
        <v>0.18483130904183537</v>
      </c>
      <c r="X12" s="144"/>
      <c r="Y12" s="131"/>
      <c r="Z12" s="131"/>
      <c r="AA12" s="131"/>
      <c r="AB12" s="131"/>
      <c r="AC12" s="131"/>
      <c r="AD12" s="131"/>
      <c r="AE12" s="147">
        <f t="shared" si="13"/>
        <v>0</v>
      </c>
      <c r="AG12" s="144"/>
      <c r="AH12" s="131"/>
      <c r="AI12" s="131"/>
      <c r="AJ12" s="131"/>
      <c r="AK12" s="131"/>
      <c r="AL12" s="131"/>
      <c r="AM12" s="131"/>
      <c r="AN12" s="147">
        <f t="shared" si="14"/>
        <v>0</v>
      </c>
      <c r="AP12" s="464"/>
      <c r="AQ12" s="342"/>
      <c r="AR12" s="342">
        <v>0.1</v>
      </c>
      <c r="AS12" s="342"/>
      <c r="AT12" s="342">
        <v>0.10526315789473684</v>
      </c>
      <c r="AU12" s="342">
        <v>0.02</v>
      </c>
      <c r="AV12" s="343"/>
      <c r="AW12" s="462">
        <f t="shared" si="15"/>
        <v>0.22526315789473683</v>
      </c>
      <c r="AY12" s="464"/>
      <c r="AZ12" s="342"/>
      <c r="BA12" s="342"/>
      <c r="BB12" s="342"/>
      <c r="BC12" s="342"/>
      <c r="BD12" s="342"/>
      <c r="BE12" s="342"/>
      <c r="BF12" s="465">
        <f t="shared" si="16"/>
        <v>0</v>
      </c>
      <c r="BH12" s="482">
        <f t="shared" si="17"/>
        <v>0.18483130904183537</v>
      </c>
      <c r="BI12" s="479">
        <f t="shared" si="18"/>
        <v>0.97951502120114275</v>
      </c>
    </row>
    <row r="13" spans="1:61" ht="13.5" customHeight="1">
      <c r="A13" s="590"/>
      <c r="B13" s="547">
        <f t="shared" si="19"/>
        <v>46242</v>
      </c>
      <c r="C13" s="548" t="str">
        <f>TEXT(B13,"ddd")</f>
        <v>sáb</v>
      </c>
      <c r="D13" s="513">
        <f t="shared" si="3"/>
        <v>23</v>
      </c>
      <c r="E13" s="514">
        <f t="shared" si="4"/>
        <v>167.63446188682519</v>
      </c>
      <c r="F13" s="515">
        <f t="shared" si="5"/>
        <v>756.68781756368185</v>
      </c>
      <c r="G13" s="509">
        <v>0.8</v>
      </c>
      <c r="H13" s="510">
        <v>20</v>
      </c>
      <c r="I13" s="514">
        <f t="shared" si="1"/>
        <v>21.14115918560066</v>
      </c>
      <c r="J13" s="516">
        <v>1.3235032139348837E-2</v>
      </c>
      <c r="K13" s="511">
        <v>0.94585977195460236</v>
      </c>
      <c r="L13" s="546" t="str">
        <f t="shared" si="6"/>
        <v>SÁB</v>
      </c>
      <c r="M13" s="512" t="s">
        <v>840</v>
      </c>
      <c r="N13" t="s">
        <v>78</v>
      </c>
      <c r="O13" s="233">
        <f t="shared" si="20"/>
        <v>0</v>
      </c>
      <c r="P13" s="234">
        <f t="shared" si="7"/>
        <v>0</v>
      </c>
      <c r="Q13" s="231">
        <f t="shared" si="7"/>
        <v>8.2051282051282051E-2</v>
      </c>
      <c r="R13" s="234">
        <f t="shared" si="8"/>
        <v>0</v>
      </c>
      <c r="S13" s="234">
        <f t="shared" si="9"/>
        <v>8.6369770580296892E-2</v>
      </c>
      <c r="T13" s="234">
        <f t="shared" si="10"/>
        <v>1.641025641025641E-2</v>
      </c>
      <c r="U13" s="234">
        <f t="shared" si="11"/>
        <v>0</v>
      </c>
      <c r="V13" s="235">
        <f t="shared" si="12"/>
        <v>0.18483130904183537</v>
      </c>
      <c r="X13" s="144"/>
      <c r="Y13" s="131"/>
      <c r="Z13" s="131"/>
      <c r="AA13" s="131"/>
      <c r="AB13" s="131"/>
      <c r="AC13" s="131"/>
      <c r="AD13" s="131"/>
      <c r="AE13" s="147">
        <f t="shared" si="13"/>
        <v>0</v>
      </c>
      <c r="AG13" s="144"/>
      <c r="AH13" s="131"/>
      <c r="AI13" s="131"/>
      <c r="AJ13" s="131"/>
      <c r="AK13" s="131"/>
      <c r="AL13" s="131"/>
      <c r="AM13" s="131"/>
      <c r="AN13" s="147">
        <f t="shared" si="14"/>
        <v>0</v>
      </c>
      <c r="AP13" s="464"/>
      <c r="AQ13" s="342"/>
      <c r="AR13" s="342">
        <v>0.1</v>
      </c>
      <c r="AS13" s="342"/>
      <c r="AT13" s="342">
        <v>0.10526315789473684</v>
      </c>
      <c r="AU13" s="342">
        <v>0.02</v>
      </c>
      <c r="AV13" s="343"/>
      <c r="AW13" s="462">
        <f t="shared" si="15"/>
        <v>0.22526315789473683</v>
      </c>
      <c r="AY13" s="464"/>
      <c r="AZ13" s="342"/>
      <c r="BA13" s="342"/>
      <c r="BB13" s="342"/>
      <c r="BC13" s="342"/>
      <c r="BD13" s="342"/>
      <c r="BE13" s="342"/>
      <c r="BF13" s="465">
        <f t="shared" si="16"/>
        <v>0</v>
      </c>
      <c r="BH13" s="482">
        <f t="shared" si="17"/>
        <v>0.18483130904183537</v>
      </c>
      <c r="BI13" s="479">
        <f t="shared" si="18"/>
        <v>0.94585977195460269</v>
      </c>
    </row>
    <row r="14" spans="1:61" ht="13.5" customHeight="1">
      <c r="A14" s="590"/>
      <c r="B14" s="547">
        <f t="shared" si="19"/>
        <v>46243</v>
      </c>
      <c r="C14" s="548" t="str">
        <f t="shared" ref="C14:C26" si="21">TEXT(B14,"ddd")</f>
        <v>dom</v>
      </c>
      <c r="D14" s="513">
        <f t="shared" si="3"/>
        <v>28</v>
      </c>
      <c r="E14" s="514">
        <f t="shared" si="4"/>
        <v>122.02392117529872</v>
      </c>
      <c r="F14" s="515">
        <f t="shared" si="5"/>
        <v>750.22112239831574</v>
      </c>
      <c r="G14" s="509">
        <v>0.8</v>
      </c>
      <c r="H14" s="510">
        <v>20</v>
      </c>
      <c r="I14" s="514">
        <f t="shared" si="1"/>
        <v>15.257487183929371</v>
      </c>
      <c r="J14" s="516">
        <v>9.6340006723365391E-3</v>
      </c>
      <c r="K14" s="511">
        <v>0.93777640299789466</v>
      </c>
      <c r="L14" s="546" t="str">
        <f t="shared" si="6"/>
        <v>DOM</v>
      </c>
      <c r="M14" s="512" t="s">
        <v>841</v>
      </c>
      <c r="N14" t="s">
        <v>78</v>
      </c>
      <c r="O14" s="233">
        <f t="shared" ref="O14:U14" si="22">(X14*$Y$4+AG14*$AH$4+AP14*$AQ$4+AY14*$AZ$4)/SUM($Y$4,$AH$4,$AQ$4,$AZ$4)</f>
        <v>0</v>
      </c>
      <c r="P14" s="234">
        <f t="shared" si="22"/>
        <v>0</v>
      </c>
      <c r="Q14" s="231">
        <f t="shared" si="22"/>
        <v>8.2051282051282051E-2</v>
      </c>
      <c r="R14" s="234">
        <f t="shared" si="22"/>
        <v>0</v>
      </c>
      <c r="S14" s="234">
        <f t="shared" si="22"/>
        <v>8.6369770580296892E-2</v>
      </c>
      <c r="T14" s="234">
        <f t="shared" si="22"/>
        <v>1.641025641025641E-2</v>
      </c>
      <c r="U14" s="234">
        <f t="shared" si="22"/>
        <v>0</v>
      </c>
      <c r="V14" s="235">
        <f t="shared" si="12"/>
        <v>0.18483130904183537</v>
      </c>
      <c r="X14" s="144"/>
      <c r="Y14" s="131"/>
      <c r="Z14" s="131"/>
      <c r="AA14" s="131"/>
      <c r="AB14" s="131"/>
      <c r="AC14" s="131"/>
      <c r="AD14" s="131"/>
      <c r="AE14" s="147">
        <f t="shared" si="13"/>
        <v>0</v>
      </c>
      <c r="AG14" s="144"/>
      <c r="AH14" s="131"/>
      <c r="AI14" s="131"/>
      <c r="AJ14" s="131"/>
      <c r="AK14" s="131"/>
      <c r="AL14" s="131"/>
      <c r="AM14" s="131"/>
      <c r="AN14" s="147">
        <f t="shared" si="14"/>
        <v>0</v>
      </c>
      <c r="AP14" s="464"/>
      <c r="AQ14" s="342"/>
      <c r="AR14" s="342">
        <v>0.1</v>
      </c>
      <c r="AS14" s="342"/>
      <c r="AT14" s="342">
        <v>0.10526315789473684</v>
      </c>
      <c r="AU14" s="342">
        <v>0.02</v>
      </c>
      <c r="AV14" s="343"/>
      <c r="AW14" s="462">
        <f>SUM(AP14:AV14)</f>
        <v>0.22526315789473683</v>
      </c>
      <c r="AY14" s="464"/>
      <c r="AZ14" s="342"/>
      <c r="BA14" s="342"/>
      <c r="BB14" s="342"/>
      <c r="BC14" s="342"/>
      <c r="BD14" s="342"/>
      <c r="BE14" s="342"/>
      <c r="BF14" s="465">
        <f t="shared" si="16"/>
        <v>0</v>
      </c>
      <c r="BH14" s="482">
        <f t="shared" si="17"/>
        <v>0.18483130904183537</v>
      </c>
      <c r="BI14" s="479">
        <f t="shared" si="18"/>
        <v>0.937776402997895</v>
      </c>
    </row>
    <row r="15" spans="1:61" ht="13.5" customHeight="1">
      <c r="A15" s="590"/>
      <c r="B15" s="547">
        <f t="shared" si="19"/>
        <v>46244</v>
      </c>
      <c r="C15" s="548" t="str">
        <f t="shared" si="21"/>
        <v>seg</v>
      </c>
      <c r="D15" s="513">
        <f t="shared" si="3"/>
        <v>1</v>
      </c>
      <c r="E15" s="514">
        <f t="shared" si="4"/>
        <v>634.2256436951435</v>
      </c>
      <c r="F15" s="515">
        <f t="shared" si="5"/>
        <v>822.54315846666714</v>
      </c>
      <c r="G15" s="509">
        <v>0.8</v>
      </c>
      <c r="H15" s="510">
        <v>20</v>
      </c>
      <c r="I15" s="514">
        <f t="shared" si="1"/>
        <v>86.946327357593077</v>
      </c>
      <c r="J15" s="516">
        <v>5.0073216947309172E-2</v>
      </c>
      <c r="K15" s="511">
        <v>1.0281789480833339</v>
      </c>
      <c r="L15" s="546" t="str">
        <f t="shared" si="6"/>
        <v>SEG</v>
      </c>
      <c r="M15" s="512" t="s">
        <v>852</v>
      </c>
      <c r="N15" t="s">
        <v>78</v>
      </c>
      <c r="O15" s="233">
        <f t="shared" si="20"/>
        <v>0</v>
      </c>
      <c r="P15" s="234">
        <f t="shared" si="7"/>
        <v>0</v>
      </c>
      <c r="Q15" s="231">
        <f t="shared" si="7"/>
        <v>8.2051282051282051E-2</v>
      </c>
      <c r="R15" s="234">
        <f t="shared" si="8"/>
        <v>0</v>
      </c>
      <c r="S15" s="234">
        <f t="shared" si="9"/>
        <v>8.6369770580296892E-2</v>
      </c>
      <c r="T15" s="234">
        <f t="shared" si="10"/>
        <v>1.641025641025641E-2</v>
      </c>
      <c r="U15" s="234">
        <f t="shared" si="11"/>
        <v>0</v>
      </c>
      <c r="V15" s="235">
        <f t="shared" si="12"/>
        <v>0.18483130904183537</v>
      </c>
      <c r="X15" s="144"/>
      <c r="Y15" s="131"/>
      <c r="Z15" s="131"/>
      <c r="AA15" s="131"/>
      <c r="AB15" s="131"/>
      <c r="AC15" s="131"/>
      <c r="AD15" s="131"/>
      <c r="AE15" s="147">
        <f t="shared" si="13"/>
        <v>0</v>
      </c>
      <c r="AG15" s="144"/>
      <c r="AH15" s="131"/>
      <c r="AI15" s="131"/>
      <c r="AJ15" s="131"/>
      <c r="AK15" s="131"/>
      <c r="AL15" s="131"/>
      <c r="AM15" s="131"/>
      <c r="AN15" s="147">
        <f t="shared" si="14"/>
        <v>0</v>
      </c>
      <c r="AP15" s="464"/>
      <c r="AQ15" s="342"/>
      <c r="AR15" s="342">
        <v>0.1</v>
      </c>
      <c r="AS15" s="342"/>
      <c r="AT15" s="342">
        <v>0.10526315789473684</v>
      </c>
      <c r="AU15" s="342">
        <v>0.02</v>
      </c>
      <c r="AV15" s="343"/>
      <c r="AW15" s="462">
        <f t="shared" si="15"/>
        <v>0.22526315789473683</v>
      </c>
      <c r="AY15" s="464"/>
      <c r="AZ15" s="342"/>
      <c r="BA15" s="342"/>
      <c r="BB15" s="342"/>
      <c r="BC15" s="342"/>
      <c r="BD15" s="342"/>
      <c r="BE15" s="342"/>
      <c r="BF15" s="465">
        <f t="shared" si="16"/>
        <v>0</v>
      </c>
      <c r="BH15" s="482">
        <f t="shared" si="17"/>
        <v>0.18483130904183537</v>
      </c>
      <c r="BI15" s="479">
        <f t="shared" si="18"/>
        <v>1.0281789480833343</v>
      </c>
    </row>
    <row r="16" spans="1:61" ht="13.5" customHeight="1">
      <c r="A16" s="590"/>
      <c r="B16" s="547">
        <f t="shared" si="19"/>
        <v>46245</v>
      </c>
      <c r="C16" s="548" t="str">
        <f t="shared" si="21"/>
        <v>ter</v>
      </c>
      <c r="D16" s="513">
        <f t="shared" si="3"/>
        <v>7</v>
      </c>
      <c r="E16" s="514">
        <f t="shared" si="4"/>
        <v>575.74224749401139</v>
      </c>
      <c r="F16" s="515">
        <f t="shared" si="5"/>
        <v>811.52133815577804</v>
      </c>
      <c r="G16" s="509">
        <v>0.8</v>
      </c>
      <c r="H16" s="510">
        <v>20</v>
      </c>
      <c r="I16" s="514">
        <f>F16*E16/60/100</f>
        <v>77.871186519859208</v>
      </c>
      <c r="J16" s="516">
        <v>4.5455851164473753E-2</v>
      </c>
      <c r="K16" s="511">
        <v>1.0144016726947225</v>
      </c>
      <c r="L16" s="546" t="str">
        <f t="shared" si="6"/>
        <v>TER</v>
      </c>
      <c r="M16" s="512" t="s">
        <v>852</v>
      </c>
      <c r="N16" t="s">
        <v>78</v>
      </c>
      <c r="O16" s="233">
        <f t="shared" si="20"/>
        <v>0</v>
      </c>
      <c r="P16" s="234">
        <f t="shared" si="7"/>
        <v>0</v>
      </c>
      <c r="Q16" s="231">
        <f t="shared" si="7"/>
        <v>8.2051282051282051E-2</v>
      </c>
      <c r="R16" s="234">
        <f t="shared" si="8"/>
        <v>0</v>
      </c>
      <c r="S16" s="234">
        <f t="shared" si="9"/>
        <v>8.6369770580296892E-2</v>
      </c>
      <c r="T16" s="234">
        <f t="shared" si="10"/>
        <v>1.641025641025641E-2</v>
      </c>
      <c r="U16" s="234">
        <f t="shared" si="11"/>
        <v>0</v>
      </c>
      <c r="V16" s="235">
        <f t="shared" si="12"/>
        <v>0.18483130904183537</v>
      </c>
      <c r="X16" s="144"/>
      <c r="Y16" s="131"/>
      <c r="Z16" s="131"/>
      <c r="AA16" s="131"/>
      <c r="AB16" s="131"/>
      <c r="AC16" s="131"/>
      <c r="AD16" s="131"/>
      <c r="AE16" s="147">
        <f t="shared" si="13"/>
        <v>0</v>
      </c>
      <c r="AG16" s="144"/>
      <c r="AH16" s="131"/>
      <c r="AI16" s="131"/>
      <c r="AJ16" s="131"/>
      <c r="AK16" s="131"/>
      <c r="AL16" s="131"/>
      <c r="AM16" s="131"/>
      <c r="AN16" s="147">
        <f t="shared" si="14"/>
        <v>0</v>
      </c>
      <c r="AP16" s="464"/>
      <c r="AQ16" s="342"/>
      <c r="AR16" s="342">
        <v>0.1</v>
      </c>
      <c r="AS16" s="342"/>
      <c r="AT16" s="342">
        <v>0.10526315789473684</v>
      </c>
      <c r="AU16" s="342">
        <v>0.02</v>
      </c>
      <c r="AV16" s="343"/>
      <c r="AW16" s="462">
        <f t="shared" si="15"/>
        <v>0.22526315789473683</v>
      </c>
      <c r="AY16" s="464"/>
      <c r="AZ16" s="342"/>
      <c r="BA16" s="342"/>
      <c r="BB16" s="342"/>
      <c r="BC16" s="342"/>
      <c r="BD16" s="342"/>
      <c r="BE16" s="342"/>
      <c r="BF16" s="465">
        <f t="shared" si="16"/>
        <v>0</v>
      </c>
      <c r="BH16" s="482">
        <f t="shared" si="17"/>
        <v>0.18483130904183537</v>
      </c>
      <c r="BI16" s="479">
        <f t="shared" si="18"/>
        <v>1.0144016726947229</v>
      </c>
    </row>
    <row r="17" spans="1:61" ht="13.5" customHeight="1">
      <c r="A17" s="590"/>
      <c r="B17" s="547">
        <f t="shared" si="19"/>
        <v>46246</v>
      </c>
      <c r="C17" s="548" t="str">
        <f t="shared" si="21"/>
        <v>qua</v>
      </c>
      <c r="D17" s="513">
        <f t="shared" si="3"/>
        <v>8</v>
      </c>
      <c r="E17" s="514">
        <f t="shared" si="4"/>
        <v>561.4762413975651</v>
      </c>
      <c r="F17" s="515">
        <f t="shared" si="5"/>
        <v>832.12971269891693</v>
      </c>
      <c r="G17" s="509">
        <v>0.8</v>
      </c>
      <c r="H17" s="510">
        <v>20</v>
      </c>
      <c r="I17" s="514">
        <f>F17*E17/60/100</f>
        <v>77.870177240237268</v>
      </c>
      <c r="J17" s="516">
        <v>4.4329525186739618E-2</v>
      </c>
      <c r="K17" s="511">
        <v>1.0401621408736461</v>
      </c>
      <c r="L17" s="546" t="str">
        <f t="shared" si="6"/>
        <v>QUA</v>
      </c>
      <c r="M17" s="512" t="s">
        <v>852</v>
      </c>
      <c r="N17" t="s">
        <v>78</v>
      </c>
      <c r="O17" s="233">
        <f t="shared" si="20"/>
        <v>0</v>
      </c>
      <c r="P17" s="234">
        <f t="shared" si="7"/>
        <v>0</v>
      </c>
      <c r="Q17" s="231">
        <f t="shared" si="7"/>
        <v>8.2051282051282051E-2</v>
      </c>
      <c r="R17" s="234">
        <f t="shared" si="8"/>
        <v>0</v>
      </c>
      <c r="S17" s="234">
        <f t="shared" si="9"/>
        <v>8.6369770580296892E-2</v>
      </c>
      <c r="T17" s="234">
        <f t="shared" si="10"/>
        <v>1.641025641025641E-2</v>
      </c>
      <c r="U17" s="234">
        <f t="shared" si="11"/>
        <v>0</v>
      </c>
      <c r="V17" s="235">
        <f t="shared" si="12"/>
        <v>0.18483130904183537</v>
      </c>
      <c r="X17" s="144"/>
      <c r="Y17" s="131"/>
      <c r="Z17" s="131"/>
      <c r="AA17" s="131"/>
      <c r="AB17" s="131"/>
      <c r="AC17" s="131"/>
      <c r="AD17" s="131"/>
      <c r="AE17" s="147">
        <f t="shared" si="13"/>
        <v>0</v>
      </c>
      <c r="AG17" s="144"/>
      <c r="AH17" s="131"/>
      <c r="AI17" s="131"/>
      <c r="AJ17" s="131"/>
      <c r="AK17" s="131"/>
      <c r="AL17" s="131"/>
      <c r="AM17" s="131"/>
      <c r="AN17" s="147">
        <f t="shared" si="14"/>
        <v>0</v>
      </c>
      <c r="AP17" s="464"/>
      <c r="AQ17" s="342"/>
      <c r="AR17" s="342">
        <v>0.1</v>
      </c>
      <c r="AS17" s="342"/>
      <c r="AT17" s="342">
        <v>0.10526315789473684</v>
      </c>
      <c r="AU17" s="342">
        <v>0.02</v>
      </c>
      <c r="AV17" s="343"/>
      <c r="AW17" s="462">
        <f t="shared" si="15"/>
        <v>0.22526315789473683</v>
      </c>
      <c r="AY17" s="464"/>
      <c r="AZ17" s="342"/>
      <c r="BA17" s="342"/>
      <c r="BB17" s="342"/>
      <c r="BC17" s="342"/>
      <c r="BD17" s="342"/>
      <c r="BE17" s="342"/>
      <c r="BF17" s="465">
        <f t="shared" si="16"/>
        <v>0</v>
      </c>
      <c r="BH17" s="482">
        <f t="shared" si="17"/>
        <v>0.18483130904183537</v>
      </c>
      <c r="BI17" s="479">
        <f t="shared" si="18"/>
        <v>1.0401621408736466</v>
      </c>
    </row>
    <row r="18" spans="1:61" ht="13.5" customHeight="1">
      <c r="A18" s="590"/>
      <c r="B18" s="547">
        <f t="shared" si="19"/>
        <v>46247</v>
      </c>
      <c r="C18" s="548" t="str">
        <f t="shared" si="21"/>
        <v>qui</v>
      </c>
      <c r="D18" s="513">
        <f t="shared" si="3"/>
        <v>14</v>
      </c>
      <c r="E18" s="514">
        <f t="shared" si="4"/>
        <v>526.51059933794818</v>
      </c>
      <c r="F18" s="515">
        <f t="shared" si="5"/>
        <v>776.93448897681981</v>
      </c>
      <c r="G18" s="509">
        <v>0.8</v>
      </c>
      <c r="H18" s="510">
        <v>20</v>
      </c>
      <c r="I18" s="514">
        <f t="shared" si="1"/>
        <v>68.177373906251319</v>
      </c>
      <c r="J18" s="516">
        <v>4.1568926970697216E-2</v>
      </c>
      <c r="K18" s="511">
        <v>0.97116811122102475</v>
      </c>
      <c r="L18" s="546" t="str">
        <f t="shared" si="6"/>
        <v>QUI</v>
      </c>
      <c r="M18" s="512" t="s">
        <v>852</v>
      </c>
      <c r="N18" t="s">
        <v>78</v>
      </c>
      <c r="O18" s="233">
        <f t="shared" si="20"/>
        <v>0</v>
      </c>
      <c r="P18" s="234">
        <f t="shared" si="7"/>
        <v>0</v>
      </c>
      <c r="Q18" s="231">
        <f t="shared" si="7"/>
        <v>8.2051282051282051E-2</v>
      </c>
      <c r="R18" s="234">
        <f t="shared" si="8"/>
        <v>0</v>
      </c>
      <c r="S18" s="234">
        <f>(AB18*$Y$4+AK18*$AH$4+AT18*$AQ$4+BC18*$AZ$4)/SUM($Y$4,$AH$4,$AQ$4,$AZ$4)</f>
        <v>8.6369770580296892E-2</v>
      </c>
      <c r="T18" s="234">
        <f t="shared" si="10"/>
        <v>1.641025641025641E-2</v>
      </c>
      <c r="U18" s="234">
        <f t="shared" si="11"/>
        <v>0</v>
      </c>
      <c r="V18" s="235">
        <f t="shared" si="12"/>
        <v>0.18483130904183537</v>
      </c>
      <c r="X18" s="144"/>
      <c r="Y18" s="131"/>
      <c r="Z18" s="131"/>
      <c r="AA18" s="131"/>
      <c r="AB18" s="131"/>
      <c r="AC18" s="131"/>
      <c r="AD18" s="131"/>
      <c r="AE18" s="147">
        <f t="shared" si="13"/>
        <v>0</v>
      </c>
      <c r="AG18" s="144"/>
      <c r="AH18" s="131"/>
      <c r="AI18" s="131"/>
      <c r="AJ18" s="131"/>
      <c r="AK18" s="131"/>
      <c r="AL18" s="131"/>
      <c r="AM18" s="131"/>
      <c r="AN18" s="147">
        <f t="shared" si="14"/>
        <v>0</v>
      </c>
      <c r="AP18" s="464"/>
      <c r="AQ18" s="342"/>
      <c r="AR18" s="342">
        <v>0.1</v>
      </c>
      <c r="AS18" s="342"/>
      <c r="AT18" s="342">
        <v>0.10526315789473684</v>
      </c>
      <c r="AU18" s="342">
        <v>0.02</v>
      </c>
      <c r="AV18" s="343"/>
      <c r="AW18" s="462">
        <f t="shared" si="15"/>
        <v>0.22526315789473683</v>
      </c>
      <c r="AY18" s="464"/>
      <c r="AZ18" s="342"/>
      <c r="BA18" s="342"/>
      <c r="BB18" s="342"/>
      <c r="BC18" s="342"/>
      <c r="BD18" s="342"/>
      <c r="BE18" s="342"/>
      <c r="BF18" s="465">
        <f t="shared" si="16"/>
        <v>0</v>
      </c>
      <c r="BH18" s="482">
        <f t="shared" si="17"/>
        <v>0.18483130904183537</v>
      </c>
      <c r="BI18" s="479">
        <f t="shared" si="18"/>
        <v>0.97116811122102509</v>
      </c>
    </row>
    <row r="19" spans="1:61" ht="13.5" customHeight="1">
      <c r="A19" s="590"/>
      <c r="B19" s="547">
        <f t="shared" si="19"/>
        <v>46248</v>
      </c>
      <c r="C19" s="548" t="str">
        <f t="shared" si="21"/>
        <v>sex</v>
      </c>
      <c r="D19" s="513">
        <f t="shared" si="3"/>
        <v>17</v>
      </c>
      <c r="E19" s="514">
        <f t="shared" si="4"/>
        <v>479.9968657150485</v>
      </c>
      <c r="F19" s="515">
        <f t="shared" si="5"/>
        <v>809.15104097959852</v>
      </c>
      <c r="G19" s="509">
        <v>0.8</v>
      </c>
      <c r="H19" s="510">
        <v>20</v>
      </c>
      <c r="I19" s="514">
        <f t="shared" si="1"/>
        <v>64.731660593379345</v>
      </c>
      <c r="J19" s="516">
        <v>3.7896586853449703E-2</v>
      </c>
      <c r="K19" s="511">
        <v>1.0114388012244981</v>
      </c>
      <c r="L19" s="546" t="str">
        <f t="shared" si="6"/>
        <v>SEX</v>
      </c>
      <c r="M19" s="512" t="s">
        <v>852</v>
      </c>
      <c r="N19" t="s">
        <v>78</v>
      </c>
      <c r="O19" s="233">
        <f t="shared" si="20"/>
        <v>0</v>
      </c>
      <c r="P19" s="234">
        <f t="shared" si="7"/>
        <v>0</v>
      </c>
      <c r="Q19" s="231">
        <f t="shared" si="7"/>
        <v>8.2051282051282051E-2</v>
      </c>
      <c r="R19" s="234">
        <f t="shared" si="8"/>
        <v>0</v>
      </c>
      <c r="S19" s="234">
        <f t="shared" si="9"/>
        <v>8.6369770580296892E-2</v>
      </c>
      <c r="T19" s="234">
        <f t="shared" si="10"/>
        <v>1.641025641025641E-2</v>
      </c>
      <c r="U19" s="234">
        <f t="shared" si="11"/>
        <v>0</v>
      </c>
      <c r="V19" s="235">
        <f t="shared" si="12"/>
        <v>0.18483130904183537</v>
      </c>
      <c r="X19" s="144"/>
      <c r="Y19" s="131"/>
      <c r="Z19" s="131"/>
      <c r="AA19" s="131"/>
      <c r="AB19" s="131"/>
      <c r="AC19" s="131"/>
      <c r="AD19" s="131"/>
      <c r="AE19" s="147">
        <f t="shared" si="13"/>
        <v>0</v>
      </c>
      <c r="AG19" s="144"/>
      <c r="AH19" s="131"/>
      <c r="AI19" s="131"/>
      <c r="AJ19" s="131"/>
      <c r="AK19" s="131"/>
      <c r="AL19" s="131"/>
      <c r="AM19" s="131"/>
      <c r="AN19" s="147">
        <f t="shared" si="14"/>
        <v>0</v>
      </c>
      <c r="AP19" s="464"/>
      <c r="AQ19" s="342"/>
      <c r="AR19" s="342">
        <v>0.1</v>
      </c>
      <c r="AS19" s="342"/>
      <c r="AT19" s="342">
        <v>0.10526315789473684</v>
      </c>
      <c r="AU19" s="342">
        <v>0.02</v>
      </c>
      <c r="AV19" s="343"/>
      <c r="AW19" s="462">
        <f t="shared" si="15"/>
        <v>0.22526315789473683</v>
      </c>
      <c r="AY19" s="464"/>
      <c r="AZ19" s="342"/>
      <c r="BA19" s="342"/>
      <c r="BB19" s="342"/>
      <c r="BC19" s="342"/>
      <c r="BD19" s="342"/>
      <c r="BE19" s="342"/>
      <c r="BF19" s="465">
        <f t="shared" si="16"/>
        <v>0</v>
      </c>
      <c r="BH19" s="482">
        <f t="shared" si="17"/>
        <v>0.18483130904183537</v>
      </c>
      <c r="BI19" s="479">
        <f t="shared" si="18"/>
        <v>1.0114388012244986</v>
      </c>
    </row>
    <row r="20" spans="1:61" ht="13.5" customHeight="1">
      <c r="A20" s="590"/>
      <c r="B20" s="547">
        <f t="shared" si="19"/>
        <v>46249</v>
      </c>
      <c r="C20" s="548" t="str">
        <f t="shared" si="21"/>
        <v>sáb</v>
      </c>
      <c r="D20" s="513">
        <f t="shared" si="3"/>
        <v>24</v>
      </c>
      <c r="E20" s="514">
        <f t="shared" si="4"/>
        <v>163.09304565069561</v>
      </c>
      <c r="F20" s="515">
        <f t="shared" si="5"/>
        <v>755.19320838216959</v>
      </c>
      <c r="G20" s="509">
        <v>0.8</v>
      </c>
      <c r="H20" s="510">
        <v>20</v>
      </c>
      <c r="I20" s="514">
        <f t="shared" si="1"/>
        <v>20.527793401628077</v>
      </c>
      <c r="J20" s="516">
        <v>1.287647943385613E-2</v>
      </c>
      <c r="K20" s="511">
        <v>0.94399151047771201</v>
      </c>
      <c r="L20" s="546" t="str">
        <f t="shared" si="6"/>
        <v>SÁB</v>
      </c>
      <c r="M20" s="512" t="s">
        <v>840</v>
      </c>
      <c r="N20" t="s">
        <v>78</v>
      </c>
      <c r="O20" s="233">
        <f t="shared" si="20"/>
        <v>0</v>
      </c>
      <c r="P20" s="234">
        <f t="shared" si="7"/>
        <v>0</v>
      </c>
      <c r="Q20" s="231">
        <f t="shared" si="7"/>
        <v>8.2051282051282051E-2</v>
      </c>
      <c r="R20" s="234">
        <f t="shared" si="8"/>
        <v>0</v>
      </c>
      <c r="S20" s="234">
        <f t="shared" si="9"/>
        <v>8.6369770580296892E-2</v>
      </c>
      <c r="T20" s="234">
        <f t="shared" si="10"/>
        <v>1.641025641025641E-2</v>
      </c>
      <c r="U20" s="234">
        <f t="shared" si="11"/>
        <v>0</v>
      </c>
      <c r="V20" s="235">
        <f t="shared" si="12"/>
        <v>0.18483130904183537</v>
      </c>
      <c r="X20" s="144"/>
      <c r="Y20" s="131"/>
      <c r="Z20" s="131"/>
      <c r="AA20" s="131"/>
      <c r="AB20" s="131"/>
      <c r="AC20" s="131"/>
      <c r="AD20" s="131"/>
      <c r="AE20" s="147">
        <f t="shared" si="13"/>
        <v>0</v>
      </c>
      <c r="AG20" s="144"/>
      <c r="AH20" s="131"/>
      <c r="AI20" s="131"/>
      <c r="AJ20" s="131"/>
      <c r="AK20" s="131"/>
      <c r="AL20" s="131"/>
      <c r="AM20" s="229"/>
      <c r="AN20" s="147">
        <f t="shared" si="14"/>
        <v>0</v>
      </c>
      <c r="AP20" s="464"/>
      <c r="AQ20" s="342"/>
      <c r="AR20" s="342">
        <v>0.1</v>
      </c>
      <c r="AS20" s="342"/>
      <c r="AT20" s="342">
        <v>0.10526315789473684</v>
      </c>
      <c r="AU20" s="342">
        <v>0.02</v>
      </c>
      <c r="AV20" s="343"/>
      <c r="AW20" s="462">
        <f t="shared" si="15"/>
        <v>0.22526315789473683</v>
      </c>
      <c r="AY20" s="464"/>
      <c r="AZ20" s="342"/>
      <c r="BA20" s="342"/>
      <c r="BB20" s="342"/>
      <c r="BC20" s="342"/>
      <c r="BD20" s="342"/>
      <c r="BE20" s="342"/>
      <c r="BF20" s="465">
        <f t="shared" si="16"/>
        <v>0</v>
      </c>
      <c r="BH20" s="482">
        <f t="shared" si="17"/>
        <v>0.18483130904183537</v>
      </c>
      <c r="BI20" s="479">
        <f t="shared" si="18"/>
        <v>0.94399151047771235</v>
      </c>
    </row>
    <row r="21" spans="1:61" ht="13.5" customHeight="1">
      <c r="A21" s="590"/>
      <c r="B21" s="547">
        <f t="shared" si="19"/>
        <v>46250</v>
      </c>
      <c r="C21" s="548" t="str">
        <f t="shared" si="21"/>
        <v>dom</v>
      </c>
      <c r="D21" s="513">
        <f t="shared" si="3"/>
        <v>31</v>
      </c>
      <c r="E21" s="514">
        <f t="shared" si="4"/>
        <v>109.82999145186297</v>
      </c>
      <c r="F21" s="515">
        <f t="shared" si="5"/>
        <v>742.9961617069448</v>
      </c>
      <c r="G21" s="509">
        <v>0.8</v>
      </c>
      <c r="H21" s="510">
        <v>20</v>
      </c>
      <c r="I21" s="514">
        <f t="shared" si="1"/>
        <v>13.600543681506791</v>
      </c>
      <c r="J21" s="516">
        <v>8.6712687258255032E-3</v>
      </c>
      <c r="K21" s="511">
        <v>0.92874520213368095</v>
      </c>
      <c r="L21" s="546" t="str">
        <f t="shared" si="6"/>
        <v>DOM</v>
      </c>
      <c r="M21" s="512" t="s">
        <v>841</v>
      </c>
      <c r="N21" t="s">
        <v>78</v>
      </c>
      <c r="O21" s="233">
        <f t="shared" si="20"/>
        <v>0</v>
      </c>
      <c r="P21" s="234">
        <f t="shared" si="7"/>
        <v>0</v>
      </c>
      <c r="Q21" s="231">
        <f t="shared" si="7"/>
        <v>8.2051282051282051E-2</v>
      </c>
      <c r="R21" s="234">
        <f t="shared" si="8"/>
        <v>0</v>
      </c>
      <c r="S21" s="234">
        <f t="shared" si="9"/>
        <v>8.6369770580296892E-2</v>
      </c>
      <c r="T21" s="234">
        <f t="shared" si="10"/>
        <v>1.641025641025641E-2</v>
      </c>
      <c r="U21" s="234">
        <f t="shared" si="11"/>
        <v>0</v>
      </c>
      <c r="V21" s="235">
        <f t="shared" si="12"/>
        <v>0.18483130904183537</v>
      </c>
      <c r="X21" s="144"/>
      <c r="Y21" s="131"/>
      <c r="Z21" s="131"/>
      <c r="AA21" s="131"/>
      <c r="AB21" s="131"/>
      <c r="AC21" s="131"/>
      <c r="AD21" s="131"/>
      <c r="AE21" s="147">
        <f t="shared" si="13"/>
        <v>0</v>
      </c>
      <c r="AG21" s="144"/>
      <c r="AH21" s="131"/>
      <c r="AI21" s="131"/>
      <c r="AJ21" s="131"/>
      <c r="AK21" s="131"/>
      <c r="AL21" s="131"/>
      <c r="AM21" s="229"/>
      <c r="AN21" s="147">
        <f t="shared" si="14"/>
        <v>0</v>
      </c>
      <c r="AP21" s="464"/>
      <c r="AQ21" s="342"/>
      <c r="AR21" s="342">
        <v>0.1</v>
      </c>
      <c r="AS21" s="342"/>
      <c r="AT21" s="342">
        <v>0.10526315789473684</v>
      </c>
      <c r="AU21" s="342">
        <v>0.02</v>
      </c>
      <c r="AV21" s="343"/>
      <c r="AW21" s="462">
        <f t="shared" si="15"/>
        <v>0.22526315789473683</v>
      </c>
      <c r="AY21" s="464"/>
      <c r="AZ21" s="342"/>
      <c r="BA21" s="342"/>
      <c r="BB21" s="342"/>
      <c r="BC21" s="342"/>
      <c r="BD21" s="342"/>
      <c r="BE21" s="342"/>
      <c r="BF21" s="465">
        <f t="shared" si="16"/>
        <v>0</v>
      </c>
      <c r="BH21" s="482">
        <f t="shared" si="17"/>
        <v>0.18483130904183537</v>
      </c>
      <c r="BI21" s="479">
        <f t="shared" si="18"/>
        <v>0.92874520213368128</v>
      </c>
    </row>
    <row r="22" spans="1:61" ht="13.5" customHeight="1">
      <c r="A22" s="590"/>
      <c r="B22" s="547">
        <f t="shared" si="19"/>
        <v>46251</v>
      </c>
      <c r="C22" s="548" t="str">
        <f t="shared" si="21"/>
        <v>seg</v>
      </c>
      <c r="D22" s="513">
        <f t="shared" si="3"/>
        <v>3</v>
      </c>
      <c r="E22" s="514">
        <f t="shared" si="4"/>
        <v>621.90787712400515</v>
      </c>
      <c r="F22" s="515">
        <f t="shared" si="5"/>
        <v>818.2929273611602</v>
      </c>
      <c r="G22" s="509">
        <v>0.8</v>
      </c>
      <c r="H22" s="510">
        <v>20</v>
      </c>
      <c r="I22" s="514">
        <f t="shared" si="1"/>
        <v>84.817136220127807</v>
      </c>
      <c r="J22" s="516">
        <v>4.9100707866425335E-2</v>
      </c>
      <c r="K22" s="511">
        <v>1.0228661592014503</v>
      </c>
      <c r="L22" s="546" t="str">
        <f t="shared" si="6"/>
        <v>SEG</v>
      </c>
      <c r="M22" s="512" t="s">
        <v>852</v>
      </c>
      <c r="N22" t="s">
        <v>78</v>
      </c>
      <c r="O22" s="233">
        <f t="shared" si="20"/>
        <v>0</v>
      </c>
      <c r="P22" s="234">
        <f t="shared" si="7"/>
        <v>0</v>
      </c>
      <c r="Q22" s="231">
        <f t="shared" si="7"/>
        <v>8.2051282051282051E-2</v>
      </c>
      <c r="R22" s="234">
        <f t="shared" si="8"/>
        <v>0</v>
      </c>
      <c r="S22" s="234">
        <f t="shared" si="9"/>
        <v>8.6369770580296892E-2</v>
      </c>
      <c r="T22" s="234">
        <f t="shared" si="10"/>
        <v>1.641025641025641E-2</v>
      </c>
      <c r="U22" s="234">
        <f t="shared" si="11"/>
        <v>0</v>
      </c>
      <c r="V22" s="235">
        <f t="shared" si="12"/>
        <v>0.18483130904183537</v>
      </c>
      <c r="X22" s="144"/>
      <c r="Y22" s="131"/>
      <c r="Z22" s="131"/>
      <c r="AA22" s="131"/>
      <c r="AB22" s="131"/>
      <c r="AC22" s="131"/>
      <c r="AD22" s="131"/>
      <c r="AE22" s="147">
        <f t="shared" si="13"/>
        <v>0</v>
      </c>
      <c r="AG22" s="144"/>
      <c r="AH22" s="131"/>
      <c r="AI22" s="131"/>
      <c r="AJ22" s="131"/>
      <c r="AK22" s="131"/>
      <c r="AL22" s="131"/>
      <c r="AM22" s="229"/>
      <c r="AN22" s="147">
        <f t="shared" si="14"/>
        <v>0</v>
      </c>
      <c r="AP22" s="464"/>
      <c r="AQ22" s="342"/>
      <c r="AR22" s="342">
        <v>0.1</v>
      </c>
      <c r="AS22" s="342"/>
      <c r="AT22" s="342">
        <v>0.10526315789473684</v>
      </c>
      <c r="AU22" s="342">
        <v>0.02</v>
      </c>
      <c r="AV22" s="343"/>
      <c r="AW22" s="462">
        <f t="shared" si="15"/>
        <v>0.22526315789473683</v>
      </c>
      <c r="AY22" s="464"/>
      <c r="AZ22" s="342"/>
      <c r="BA22" s="342"/>
      <c r="BB22" s="342"/>
      <c r="BC22" s="342"/>
      <c r="BD22" s="342"/>
      <c r="BE22" s="342"/>
      <c r="BF22" s="465">
        <f t="shared" si="16"/>
        <v>0</v>
      </c>
      <c r="BH22" s="482">
        <f t="shared" si="17"/>
        <v>0.18483130904183537</v>
      </c>
      <c r="BI22" s="479">
        <f t="shared" si="18"/>
        <v>1.0228661592014507</v>
      </c>
    </row>
    <row r="23" spans="1:61" ht="13.5" customHeight="1">
      <c r="A23" s="590"/>
      <c r="B23" s="547">
        <f t="shared" si="19"/>
        <v>46252</v>
      </c>
      <c r="C23" s="548" t="str">
        <f t="shared" si="21"/>
        <v>ter</v>
      </c>
      <c r="D23" s="513">
        <f t="shared" si="3"/>
        <v>9</v>
      </c>
      <c r="E23" s="514">
        <f t="shared" si="4"/>
        <v>553.48563715367948</v>
      </c>
      <c r="F23" s="515">
        <f t="shared" si="5"/>
        <v>814.83029533743263</v>
      </c>
      <c r="G23" s="509">
        <v>0.8</v>
      </c>
      <c r="H23" s="510">
        <v>20</v>
      </c>
      <c r="I23" s="514">
        <f t="shared" si="1"/>
        <v>75.166144197826625</v>
      </c>
      <c r="J23" s="516">
        <v>4.3698653092837818E-2</v>
      </c>
      <c r="K23" s="511">
        <v>1.0185378691717908</v>
      </c>
      <c r="L23" s="546" t="str">
        <f t="shared" si="6"/>
        <v>TER</v>
      </c>
      <c r="M23" s="512" t="s">
        <v>852</v>
      </c>
      <c r="N23" t="s">
        <v>78</v>
      </c>
      <c r="O23" s="233">
        <f t="shared" si="20"/>
        <v>0</v>
      </c>
      <c r="P23" s="234">
        <f t="shared" si="7"/>
        <v>0</v>
      </c>
      <c r="Q23" s="231">
        <f t="shared" si="7"/>
        <v>8.2051282051282051E-2</v>
      </c>
      <c r="R23" s="234">
        <f t="shared" si="8"/>
        <v>0</v>
      </c>
      <c r="S23" s="234">
        <f t="shared" si="9"/>
        <v>8.6369770580296892E-2</v>
      </c>
      <c r="T23" s="234">
        <f t="shared" si="10"/>
        <v>1.641025641025641E-2</v>
      </c>
      <c r="U23" s="234">
        <f t="shared" si="11"/>
        <v>0</v>
      </c>
      <c r="V23" s="235">
        <f t="shared" si="12"/>
        <v>0.18483130904183537</v>
      </c>
      <c r="X23" s="144"/>
      <c r="Y23" s="131"/>
      <c r="Z23" s="131"/>
      <c r="AA23" s="131"/>
      <c r="AB23" s="131"/>
      <c r="AC23" s="131"/>
      <c r="AD23" s="131"/>
      <c r="AE23" s="147">
        <f t="shared" si="13"/>
        <v>0</v>
      </c>
      <c r="AG23" s="144"/>
      <c r="AH23" s="131"/>
      <c r="AI23" s="131"/>
      <c r="AJ23" s="131"/>
      <c r="AK23" s="131"/>
      <c r="AL23" s="131"/>
      <c r="AM23" s="229"/>
      <c r="AN23" s="147">
        <f t="shared" si="14"/>
        <v>0</v>
      </c>
      <c r="AP23" s="464"/>
      <c r="AQ23" s="342"/>
      <c r="AR23" s="342">
        <v>0.1</v>
      </c>
      <c r="AS23" s="342"/>
      <c r="AT23" s="342">
        <v>0.10526315789473684</v>
      </c>
      <c r="AU23" s="342">
        <v>0.02</v>
      </c>
      <c r="AV23" s="343"/>
      <c r="AW23" s="462">
        <f t="shared" si="15"/>
        <v>0.22526315789473683</v>
      </c>
      <c r="AY23" s="464"/>
      <c r="AZ23" s="342"/>
      <c r="BA23" s="342"/>
      <c r="BB23" s="342"/>
      <c r="BC23" s="342"/>
      <c r="BD23" s="342"/>
      <c r="BE23" s="342"/>
      <c r="BF23" s="465">
        <f t="shared" si="16"/>
        <v>0</v>
      </c>
      <c r="BH23" s="482">
        <f t="shared" si="17"/>
        <v>0.18483130904183537</v>
      </c>
      <c r="BI23" s="479">
        <f t="shared" si="18"/>
        <v>1.0185378691717912</v>
      </c>
    </row>
    <row r="24" spans="1:61" ht="13.5" customHeight="1">
      <c r="A24" s="590"/>
      <c r="B24" s="547">
        <f t="shared" si="19"/>
        <v>46253</v>
      </c>
      <c r="C24" s="548" t="str">
        <f t="shared" si="21"/>
        <v>qua</v>
      </c>
      <c r="D24" s="513">
        <f t="shared" si="3"/>
        <v>16</v>
      </c>
      <c r="E24" s="514">
        <f t="shared" si="4"/>
        <v>485.27262836119309</v>
      </c>
      <c r="F24" s="515">
        <f t="shared" si="5"/>
        <v>813.92265102794192</v>
      </c>
      <c r="G24" s="509">
        <v>0.8</v>
      </c>
      <c r="H24" s="510">
        <v>20</v>
      </c>
      <c r="I24" s="514">
        <f t="shared" si="1"/>
        <v>65.829064024506579</v>
      </c>
      <c r="J24" s="516">
        <v>3.8313117484415314E-2</v>
      </c>
      <c r="K24" s="511">
        <v>1.0174033137849274</v>
      </c>
      <c r="L24" s="546" t="str">
        <f t="shared" si="6"/>
        <v>QUA</v>
      </c>
      <c r="M24" s="512" t="s">
        <v>852</v>
      </c>
      <c r="N24" t="s">
        <v>78</v>
      </c>
      <c r="O24" s="233">
        <f t="shared" si="20"/>
        <v>0</v>
      </c>
      <c r="P24" s="234">
        <f t="shared" si="7"/>
        <v>0</v>
      </c>
      <c r="Q24" s="231">
        <f t="shared" si="7"/>
        <v>8.2051282051282051E-2</v>
      </c>
      <c r="R24" s="234">
        <f t="shared" si="8"/>
        <v>0</v>
      </c>
      <c r="S24" s="234">
        <f t="shared" si="9"/>
        <v>8.6369770580296892E-2</v>
      </c>
      <c r="T24" s="234">
        <f t="shared" si="10"/>
        <v>1.641025641025641E-2</v>
      </c>
      <c r="U24" s="234">
        <f t="shared" si="11"/>
        <v>0</v>
      </c>
      <c r="V24" s="235">
        <f t="shared" si="12"/>
        <v>0.18483130904183537</v>
      </c>
      <c r="X24" s="144"/>
      <c r="Y24" s="131"/>
      <c r="Z24" s="131"/>
      <c r="AA24" s="131"/>
      <c r="AB24" s="131"/>
      <c r="AC24" s="131"/>
      <c r="AD24" s="131"/>
      <c r="AE24" s="147">
        <f t="shared" si="13"/>
        <v>0</v>
      </c>
      <c r="AG24" s="144"/>
      <c r="AH24" s="131"/>
      <c r="AI24" s="131"/>
      <c r="AJ24" s="131"/>
      <c r="AK24" s="131"/>
      <c r="AL24" s="131"/>
      <c r="AM24" s="229"/>
      <c r="AN24" s="147">
        <f t="shared" si="14"/>
        <v>0</v>
      </c>
      <c r="AP24" s="464"/>
      <c r="AQ24" s="342"/>
      <c r="AR24" s="342">
        <v>0.1</v>
      </c>
      <c r="AS24" s="342"/>
      <c r="AT24" s="342">
        <v>0.10526315789473684</v>
      </c>
      <c r="AU24" s="342">
        <v>0.02</v>
      </c>
      <c r="AV24" s="343"/>
      <c r="AW24" s="462">
        <f t="shared" si="15"/>
        <v>0.22526315789473683</v>
      </c>
      <c r="AY24" s="464"/>
      <c r="AZ24" s="342"/>
      <c r="BA24" s="342"/>
      <c r="BB24" s="342"/>
      <c r="BC24" s="342"/>
      <c r="BD24" s="342"/>
      <c r="BE24" s="342"/>
      <c r="BF24" s="465">
        <f t="shared" si="16"/>
        <v>0</v>
      </c>
      <c r="BH24" s="482">
        <f t="shared" si="17"/>
        <v>0.18483130904183537</v>
      </c>
      <c r="BI24" s="479">
        <f t="shared" si="18"/>
        <v>1.0174033137849279</v>
      </c>
    </row>
    <row r="25" spans="1:61" ht="13.5" customHeight="1">
      <c r="A25" s="590"/>
      <c r="B25" s="547">
        <f t="shared" si="19"/>
        <v>46254</v>
      </c>
      <c r="C25" s="548" t="str">
        <f t="shared" si="21"/>
        <v>qui</v>
      </c>
      <c r="D25" s="513">
        <f t="shared" si="3"/>
        <v>19</v>
      </c>
      <c r="E25" s="514">
        <f t="shared" si="4"/>
        <v>475.46546407875371</v>
      </c>
      <c r="F25" s="515">
        <f t="shared" si="5"/>
        <v>761.68091529648768</v>
      </c>
      <c r="G25" s="509">
        <v>0.8</v>
      </c>
      <c r="H25" s="510">
        <v>20</v>
      </c>
      <c r="I25" s="514">
        <f t="shared" si="1"/>
        <v>60.358828311895742</v>
      </c>
      <c r="J25" s="516">
        <v>3.7538824818020802E-2</v>
      </c>
      <c r="K25" s="511">
        <v>0.95210114412060964</v>
      </c>
      <c r="L25" s="546" t="str">
        <f t="shared" si="6"/>
        <v>QUI</v>
      </c>
      <c r="M25" s="512" t="s">
        <v>852</v>
      </c>
      <c r="N25" t="s">
        <v>78</v>
      </c>
      <c r="O25" s="233">
        <f t="shared" si="20"/>
        <v>0</v>
      </c>
      <c r="P25" s="234">
        <f t="shared" si="7"/>
        <v>0</v>
      </c>
      <c r="Q25" s="231">
        <f t="shared" si="7"/>
        <v>8.2051282051282051E-2</v>
      </c>
      <c r="R25" s="234">
        <f t="shared" si="8"/>
        <v>0</v>
      </c>
      <c r="S25" s="234">
        <f t="shared" si="9"/>
        <v>8.6369770580296892E-2</v>
      </c>
      <c r="T25" s="234">
        <f t="shared" si="10"/>
        <v>1.641025641025641E-2</v>
      </c>
      <c r="U25" s="234">
        <f t="shared" si="11"/>
        <v>0</v>
      </c>
      <c r="V25" s="235">
        <f t="shared" si="12"/>
        <v>0.18483130904183537</v>
      </c>
      <c r="X25" s="144"/>
      <c r="Y25" s="131"/>
      <c r="Z25" s="131"/>
      <c r="AA25" s="131"/>
      <c r="AB25" s="131"/>
      <c r="AC25" s="131"/>
      <c r="AD25" s="131"/>
      <c r="AE25" s="147">
        <f t="shared" si="13"/>
        <v>0</v>
      </c>
      <c r="AG25" s="144"/>
      <c r="AH25" s="131"/>
      <c r="AI25" s="131"/>
      <c r="AJ25" s="131"/>
      <c r="AK25" s="131"/>
      <c r="AL25" s="131"/>
      <c r="AM25" s="229"/>
      <c r="AN25" s="147">
        <f t="shared" si="14"/>
        <v>0</v>
      </c>
      <c r="AP25" s="464"/>
      <c r="AQ25" s="342"/>
      <c r="AR25" s="342">
        <v>0.1</v>
      </c>
      <c r="AS25" s="342"/>
      <c r="AT25" s="342">
        <v>0.10526315789473684</v>
      </c>
      <c r="AU25" s="342">
        <v>0.02</v>
      </c>
      <c r="AV25" s="343"/>
      <c r="AW25" s="462">
        <f t="shared" si="15"/>
        <v>0.22526315789473683</v>
      </c>
      <c r="AY25" s="464"/>
      <c r="AZ25" s="342"/>
      <c r="BA25" s="342"/>
      <c r="BB25" s="342"/>
      <c r="BC25" s="342"/>
      <c r="BD25" s="342"/>
      <c r="BE25" s="342"/>
      <c r="BF25" s="465">
        <f t="shared" si="16"/>
        <v>0</v>
      </c>
      <c r="BH25" s="482">
        <f t="shared" si="17"/>
        <v>0.18483130904183537</v>
      </c>
      <c r="BI25" s="479">
        <f t="shared" si="18"/>
        <v>0.95210114412060998</v>
      </c>
    </row>
    <row r="26" spans="1:61" ht="13.5" customHeight="1">
      <c r="A26" s="590"/>
      <c r="B26" s="547">
        <f t="shared" si="19"/>
        <v>46255</v>
      </c>
      <c r="C26" s="548" t="str">
        <f t="shared" si="21"/>
        <v>sex</v>
      </c>
      <c r="D26" s="513">
        <f t="shared" si="3"/>
        <v>13</v>
      </c>
      <c r="E26" s="514">
        <f t="shared" si="4"/>
        <v>499.19315217015691</v>
      </c>
      <c r="F26" s="515">
        <f t="shared" si="5"/>
        <v>834.16750825421263</v>
      </c>
      <c r="G26" s="509">
        <v>0.8</v>
      </c>
      <c r="H26" s="510">
        <v>20</v>
      </c>
      <c r="I26" s="514">
        <f t="shared" si="1"/>
        <v>69.401784647224289</v>
      </c>
      <c r="J26" s="516">
        <v>3.9412167035053604E-2</v>
      </c>
      <c r="K26" s="511">
        <v>1.0427093853177658</v>
      </c>
      <c r="L26" s="546" t="str">
        <f t="shared" si="6"/>
        <v>SEX</v>
      </c>
      <c r="M26" s="512" t="s">
        <v>852</v>
      </c>
      <c r="N26" t="s">
        <v>78</v>
      </c>
      <c r="O26" s="233">
        <f t="shared" si="20"/>
        <v>0</v>
      </c>
      <c r="P26" s="234">
        <f t="shared" si="7"/>
        <v>0</v>
      </c>
      <c r="Q26" s="231">
        <f t="shared" si="7"/>
        <v>8.2051282051282051E-2</v>
      </c>
      <c r="R26" s="234">
        <f t="shared" si="8"/>
        <v>0</v>
      </c>
      <c r="S26" s="234">
        <f t="shared" si="9"/>
        <v>8.6369770580296892E-2</v>
      </c>
      <c r="T26" s="234">
        <f t="shared" si="10"/>
        <v>1.641025641025641E-2</v>
      </c>
      <c r="U26" s="234">
        <f t="shared" si="11"/>
        <v>0</v>
      </c>
      <c r="V26" s="235">
        <f t="shared" si="12"/>
        <v>0.18483130904183537</v>
      </c>
      <c r="X26" s="144"/>
      <c r="Y26" s="131"/>
      <c r="Z26" s="131"/>
      <c r="AA26" s="131"/>
      <c r="AB26" s="131"/>
      <c r="AC26" s="131"/>
      <c r="AD26" s="131"/>
      <c r="AE26" s="147">
        <f t="shared" si="13"/>
        <v>0</v>
      </c>
      <c r="AG26" s="144"/>
      <c r="AH26" s="131"/>
      <c r="AI26" s="131"/>
      <c r="AJ26" s="131"/>
      <c r="AK26" s="131"/>
      <c r="AL26" s="131"/>
      <c r="AM26" s="229"/>
      <c r="AN26" s="147">
        <f t="shared" si="14"/>
        <v>0</v>
      </c>
      <c r="AP26" s="464"/>
      <c r="AQ26" s="342"/>
      <c r="AR26" s="342">
        <v>0.1</v>
      </c>
      <c r="AS26" s="342"/>
      <c r="AT26" s="342">
        <v>0.10526315789473684</v>
      </c>
      <c r="AU26" s="342">
        <v>0.02</v>
      </c>
      <c r="AV26" s="343"/>
      <c r="AW26" s="462">
        <f t="shared" si="15"/>
        <v>0.22526315789473683</v>
      </c>
      <c r="AY26" s="464"/>
      <c r="AZ26" s="342"/>
      <c r="BA26" s="342"/>
      <c r="BB26" s="342"/>
      <c r="BC26" s="342"/>
      <c r="BD26" s="342"/>
      <c r="BE26" s="342"/>
      <c r="BF26" s="465">
        <f t="shared" si="16"/>
        <v>0</v>
      </c>
      <c r="BH26" s="482">
        <f t="shared" si="17"/>
        <v>0.18483130904183537</v>
      </c>
      <c r="BI26" s="479">
        <f t="shared" si="18"/>
        <v>1.0427093853177662</v>
      </c>
    </row>
    <row r="27" spans="1:61" ht="13.5" customHeight="1">
      <c r="A27" s="590"/>
      <c r="B27" s="547">
        <f t="shared" si="19"/>
        <v>46256</v>
      </c>
      <c r="C27" s="548" t="str">
        <f t="shared" ref="C27:C33" si="23">TEXT(B27,"ddd")</f>
        <v>sáb</v>
      </c>
      <c r="D27" s="513">
        <f t="shared" ref="D27:D33" si="24">RANK(I27,$I$6:$I$36)</f>
        <v>22</v>
      </c>
      <c r="E27" s="514">
        <f t="shared" ref="E27:E33" si="25">IFERROR($E$2*J27,"")*$E$1</f>
        <v>169.28571869795505</v>
      </c>
      <c r="F27" s="515">
        <f t="shared" ref="F27:F35" si="26">IFERROR($E$3*K27,"")</f>
        <v>752.9147114993732</v>
      </c>
      <c r="G27" s="509">
        <v>0.8</v>
      </c>
      <c r="H27" s="510">
        <v>20</v>
      </c>
      <c r="I27" s="514">
        <f t="shared" ref="I27:I35" si="27">F27*E27/60/100</f>
        <v>21.242951342405814</v>
      </c>
      <c r="J27" s="517">
        <v>1.3365401734715074E-2</v>
      </c>
      <c r="K27" s="511">
        <v>0.94114338937421649</v>
      </c>
      <c r="L27" s="546" t="str">
        <f t="shared" ref="L27:L36" si="28">UPPER(C27)</f>
        <v>SÁB</v>
      </c>
      <c r="M27" s="512" t="s">
        <v>840</v>
      </c>
      <c r="N27" t="s">
        <v>78</v>
      </c>
      <c r="O27" s="233">
        <f t="shared" si="20"/>
        <v>0</v>
      </c>
      <c r="P27" s="234">
        <f t="shared" si="7"/>
        <v>0</v>
      </c>
      <c r="Q27" s="231">
        <f t="shared" si="7"/>
        <v>8.2051282051282051E-2</v>
      </c>
      <c r="R27" s="234">
        <f t="shared" si="8"/>
        <v>0</v>
      </c>
      <c r="S27" s="234">
        <f t="shared" si="9"/>
        <v>8.6369770580296892E-2</v>
      </c>
      <c r="T27" s="234">
        <f t="shared" si="10"/>
        <v>1.641025641025641E-2</v>
      </c>
      <c r="U27" s="234">
        <f t="shared" si="11"/>
        <v>0</v>
      </c>
      <c r="V27" s="235">
        <f t="shared" si="12"/>
        <v>0.18483130904183537</v>
      </c>
      <c r="X27" s="144"/>
      <c r="Y27" s="131"/>
      <c r="Z27" s="131"/>
      <c r="AA27" s="131"/>
      <c r="AB27" s="131"/>
      <c r="AC27" s="131"/>
      <c r="AD27" s="131"/>
      <c r="AE27" s="147">
        <f t="shared" si="13"/>
        <v>0</v>
      </c>
      <c r="AG27" s="144"/>
      <c r="AH27" s="131"/>
      <c r="AI27" s="131"/>
      <c r="AJ27" s="131"/>
      <c r="AK27" s="131"/>
      <c r="AL27" s="131"/>
      <c r="AM27" s="229"/>
      <c r="AN27" s="147">
        <f t="shared" si="14"/>
        <v>0</v>
      </c>
      <c r="AP27" s="464"/>
      <c r="AQ27" s="342"/>
      <c r="AR27" s="342">
        <v>0.1</v>
      </c>
      <c r="AS27" s="342"/>
      <c r="AT27" s="342">
        <v>0.10526315789473684</v>
      </c>
      <c r="AU27" s="342">
        <v>0.02</v>
      </c>
      <c r="AV27" s="343"/>
      <c r="AW27" s="462">
        <f t="shared" si="15"/>
        <v>0.22526315789473683</v>
      </c>
      <c r="AY27" s="464"/>
      <c r="AZ27" s="342"/>
      <c r="BA27" s="342"/>
      <c r="BB27" s="342"/>
      <c r="BC27" s="342"/>
      <c r="BD27" s="342"/>
      <c r="BE27" s="342"/>
      <c r="BF27" s="465">
        <f t="shared" si="16"/>
        <v>0</v>
      </c>
      <c r="BH27" s="482">
        <f t="shared" si="17"/>
        <v>0.18483130904183537</v>
      </c>
      <c r="BI27" s="479">
        <f t="shared" si="18"/>
        <v>0.94114338937421682</v>
      </c>
    </row>
    <row r="28" spans="1:61" ht="13.5" customHeight="1">
      <c r="A28" s="590"/>
      <c r="B28" s="547">
        <f t="shared" si="19"/>
        <v>46257</v>
      </c>
      <c r="C28" s="548" t="str">
        <f t="shared" si="23"/>
        <v>dom</v>
      </c>
      <c r="D28" s="513">
        <f t="shared" si="24"/>
        <v>27</v>
      </c>
      <c r="E28" s="514">
        <f t="shared" si="25"/>
        <v>121.02509929928773</v>
      </c>
      <c r="F28" s="515">
        <f t="shared" si="26"/>
        <v>759.36711001896799</v>
      </c>
      <c r="G28" s="509">
        <v>0.8</v>
      </c>
      <c r="H28" s="510">
        <v>20</v>
      </c>
      <c r="I28" s="514">
        <f t="shared" si="27"/>
        <v>15.317079982443126</v>
      </c>
      <c r="J28" s="517">
        <v>9.5551419491259441E-3</v>
      </c>
      <c r="K28" s="511">
        <v>0.94920888752371002</v>
      </c>
      <c r="L28" s="546" t="str">
        <f t="shared" si="28"/>
        <v>DOM</v>
      </c>
      <c r="M28" s="512" t="s">
        <v>841</v>
      </c>
      <c r="N28" t="s">
        <v>78</v>
      </c>
      <c r="O28" s="233">
        <f t="shared" si="20"/>
        <v>0</v>
      </c>
      <c r="P28" s="236">
        <f>(Y28*$Y$4+AH28*$AH$4+AQ28*$AQ$4+AZ28*$AZ$4)/SUM($Y$4,$AH$4,$AQ$4,$AZ$4)</f>
        <v>0</v>
      </c>
      <c r="Q28" s="231">
        <f t="shared" si="7"/>
        <v>8.2051282051282051E-2</v>
      </c>
      <c r="R28" s="234">
        <f t="shared" si="8"/>
        <v>0</v>
      </c>
      <c r="S28" s="234">
        <f t="shared" si="9"/>
        <v>8.6369770580296892E-2</v>
      </c>
      <c r="T28" s="234">
        <f t="shared" si="10"/>
        <v>1.641025641025641E-2</v>
      </c>
      <c r="U28" s="234">
        <f t="shared" si="11"/>
        <v>0</v>
      </c>
      <c r="V28" s="235">
        <f t="shared" si="12"/>
        <v>0.18483130904183537</v>
      </c>
      <c r="X28" s="144"/>
      <c r="Y28" s="145"/>
      <c r="Z28" s="131"/>
      <c r="AA28" s="131"/>
      <c r="AB28" s="131"/>
      <c r="AC28" s="131"/>
      <c r="AD28" s="131"/>
      <c r="AE28" s="147">
        <f t="shared" si="13"/>
        <v>0</v>
      </c>
      <c r="AG28" s="144"/>
      <c r="AH28" s="145"/>
      <c r="AI28" s="131"/>
      <c r="AJ28" s="131"/>
      <c r="AK28" s="131"/>
      <c r="AL28" s="131"/>
      <c r="AM28" s="229"/>
      <c r="AN28" s="147">
        <f t="shared" si="14"/>
        <v>0</v>
      </c>
      <c r="AP28" s="464"/>
      <c r="AQ28" s="342"/>
      <c r="AR28" s="342">
        <v>0.1</v>
      </c>
      <c r="AS28" s="342"/>
      <c r="AT28" s="342">
        <v>0.10526315789473684</v>
      </c>
      <c r="AU28" s="342">
        <v>0.02</v>
      </c>
      <c r="AV28" s="343"/>
      <c r="AW28" s="462">
        <f t="shared" si="15"/>
        <v>0.22526315789473683</v>
      </c>
      <c r="AY28" s="464"/>
      <c r="AZ28" s="466"/>
      <c r="BA28" s="342"/>
      <c r="BB28" s="342"/>
      <c r="BC28" s="342"/>
      <c r="BD28" s="342"/>
      <c r="BE28" s="342"/>
      <c r="BF28" s="465">
        <f t="shared" si="16"/>
        <v>0</v>
      </c>
      <c r="BH28" s="482">
        <f t="shared" si="17"/>
        <v>0.18483130904183537</v>
      </c>
      <c r="BI28" s="479">
        <f t="shared" si="18"/>
        <v>0.94920888752371035</v>
      </c>
    </row>
    <row r="29" spans="1:61" ht="13.5" customHeight="1">
      <c r="A29" s="590"/>
      <c r="B29" s="547">
        <f t="shared" si="19"/>
        <v>46258</v>
      </c>
      <c r="C29" s="548" t="str">
        <f t="shared" si="23"/>
        <v>seg</v>
      </c>
      <c r="D29" s="513">
        <f t="shared" si="24"/>
        <v>5</v>
      </c>
      <c r="E29" s="514">
        <f t="shared" si="25"/>
        <v>602.47115998505353</v>
      </c>
      <c r="F29" s="515">
        <f t="shared" si="26"/>
        <v>821.48175572531045</v>
      </c>
      <c r="G29" s="509">
        <v>0.8</v>
      </c>
      <c r="H29" s="510">
        <v>20</v>
      </c>
      <c r="I29" s="514">
        <f t="shared" si="27"/>
        <v>82.486511046397695</v>
      </c>
      <c r="J29" s="516">
        <v>4.7566145264428074E-2</v>
      </c>
      <c r="K29" s="511">
        <v>1.026852194656638</v>
      </c>
      <c r="L29" s="546" t="str">
        <f t="shared" si="28"/>
        <v>SEG</v>
      </c>
      <c r="M29" s="512" t="s">
        <v>852</v>
      </c>
      <c r="N29" t="s">
        <v>78</v>
      </c>
      <c r="O29" s="233">
        <f t="shared" si="20"/>
        <v>0</v>
      </c>
      <c r="P29" s="234">
        <f t="shared" si="7"/>
        <v>0</v>
      </c>
      <c r="Q29" s="231">
        <f t="shared" si="7"/>
        <v>8.2051282051282051E-2</v>
      </c>
      <c r="R29" s="234">
        <f t="shared" si="8"/>
        <v>0</v>
      </c>
      <c r="S29" s="234">
        <f t="shared" si="9"/>
        <v>8.6369770580296892E-2</v>
      </c>
      <c r="T29" s="234">
        <f t="shared" si="10"/>
        <v>1.641025641025641E-2</v>
      </c>
      <c r="U29" s="234">
        <f t="shared" si="11"/>
        <v>0</v>
      </c>
      <c r="V29" s="235">
        <f t="shared" si="12"/>
        <v>0.18483130904183537</v>
      </c>
      <c r="X29" s="144"/>
      <c r="Y29" s="131"/>
      <c r="Z29" s="131"/>
      <c r="AA29" s="131"/>
      <c r="AB29" s="131"/>
      <c r="AC29" s="131"/>
      <c r="AD29" s="131"/>
      <c r="AE29" s="147">
        <f t="shared" si="13"/>
        <v>0</v>
      </c>
      <c r="AG29" s="144"/>
      <c r="AH29" s="131"/>
      <c r="AI29" s="131"/>
      <c r="AJ29" s="131"/>
      <c r="AK29" s="131"/>
      <c r="AL29" s="131"/>
      <c r="AM29" s="229"/>
      <c r="AN29" s="147">
        <f t="shared" si="14"/>
        <v>0</v>
      </c>
      <c r="AP29" s="464"/>
      <c r="AQ29" s="342"/>
      <c r="AR29" s="342">
        <v>0.1</v>
      </c>
      <c r="AS29" s="342"/>
      <c r="AT29" s="342">
        <v>0.10526315789473684</v>
      </c>
      <c r="AU29" s="342">
        <v>0.02</v>
      </c>
      <c r="AV29" s="343"/>
      <c r="AW29" s="462">
        <f t="shared" si="15"/>
        <v>0.22526315789473683</v>
      </c>
      <c r="AY29" s="464"/>
      <c r="AZ29" s="342"/>
      <c r="BA29" s="342"/>
      <c r="BB29" s="342"/>
      <c r="BC29" s="342"/>
      <c r="BD29" s="342"/>
      <c r="BE29" s="342"/>
      <c r="BF29" s="465">
        <f t="shared" si="16"/>
        <v>0</v>
      </c>
      <c r="BH29" s="482">
        <f t="shared" si="17"/>
        <v>0.18483130904183537</v>
      </c>
      <c r="BI29" s="479">
        <f t="shared" si="18"/>
        <v>1.0268521946566385</v>
      </c>
    </row>
    <row r="30" spans="1:61" ht="13.5" customHeight="1">
      <c r="A30" s="590"/>
      <c r="B30" s="547">
        <f t="shared" si="19"/>
        <v>46259</v>
      </c>
      <c r="C30" s="548" t="str">
        <f t="shared" si="23"/>
        <v>ter</v>
      </c>
      <c r="D30" s="513">
        <f t="shared" si="24"/>
        <v>11</v>
      </c>
      <c r="E30" s="514">
        <f t="shared" si="25"/>
        <v>551.4939434865986</v>
      </c>
      <c r="F30" s="515">
        <f t="shared" si="26"/>
        <v>789.4277717696807</v>
      </c>
      <c r="G30" s="509">
        <v>0.8</v>
      </c>
      <c r="H30" s="510">
        <v>20</v>
      </c>
      <c r="I30" s="514">
        <f t="shared" si="27"/>
        <v>72.56077249184996</v>
      </c>
      <c r="J30" s="516">
        <v>4.3541405415964851E-2</v>
      </c>
      <c r="K30" s="511">
        <v>0.98678471471210094</v>
      </c>
      <c r="L30" s="546" t="str">
        <f t="shared" si="28"/>
        <v>TER</v>
      </c>
      <c r="M30" s="512" t="s">
        <v>852</v>
      </c>
      <c r="N30" t="s">
        <v>78</v>
      </c>
      <c r="O30" s="233">
        <f t="shared" si="20"/>
        <v>0</v>
      </c>
      <c r="P30" s="234">
        <f t="shared" si="7"/>
        <v>0</v>
      </c>
      <c r="Q30" s="231">
        <f t="shared" si="7"/>
        <v>8.2051282051282051E-2</v>
      </c>
      <c r="R30" s="234">
        <f t="shared" si="8"/>
        <v>0</v>
      </c>
      <c r="S30" s="234">
        <f t="shared" si="9"/>
        <v>8.6369770580296892E-2</v>
      </c>
      <c r="T30" s="234">
        <f t="shared" si="10"/>
        <v>1.641025641025641E-2</v>
      </c>
      <c r="U30" s="234">
        <f t="shared" si="11"/>
        <v>0</v>
      </c>
      <c r="V30" s="235">
        <f t="shared" si="12"/>
        <v>0.18483130904183537</v>
      </c>
      <c r="X30" s="144"/>
      <c r="Y30" s="131"/>
      <c r="Z30" s="131"/>
      <c r="AA30" s="131"/>
      <c r="AB30" s="131"/>
      <c r="AC30" s="131"/>
      <c r="AD30" s="131"/>
      <c r="AE30" s="147">
        <f t="shared" si="13"/>
        <v>0</v>
      </c>
      <c r="AG30" s="144"/>
      <c r="AH30" s="131"/>
      <c r="AI30" s="131"/>
      <c r="AJ30" s="131"/>
      <c r="AK30" s="131"/>
      <c r="AL30" s="131"/>
      <c r="AM30" s="229"/>
      <c r="AN30" s="147">
        <f t="shared" si="14"/>
        <v>0</v>
      </c>
      <c r="AP30" s="464"/>
      <c r="AQ30" s="342"/>
      <c r="AR30" s="342">
        <v>0.1</v>
      </c>
      <c r="AS30" s="342"/>
      <c r="AT30" s="342">
        <v>0.10526315789473684</v>
      </c>
      <c r="AU30" s="342">
        <v>0.02</v>
      </c>
      <c r="AV30" s="343"/>
      <c r="AW30" s="462">
        <f t="shared" si="15"/>
        <v>0.22526315789473683</v>
      </c>
      <c r="AY30" s="464"/>
      <c r="AZ30" s="342"/>
      <c r="BA30" s="342"/>
      <c r="BB30" s="342"/>
      <c r="BC30" s="342"/>
      <c r="BD30" s="342"/>
      <c r="BE30" s="342"/>
      <c r="BF30" s="465">
        <f t="shared" si="16"/>
        <v>0</v>
      </c>
      <c r="BH30" s="482">
        <f t="shared" si="17"/>
        <v>0.18483130904183537</v>
      </c>
      <c r="BI30" s="479">
        <f t="shared" si="18"/>
        <v>0.98678471471210127</v>
      </c>
    </row>
    <row r="31" spans="1:61" ht="13.5" customHeight="1">
      <c r="A31" s="590"/>
      <c r="B31" s="547">
        <f t="shared" si="19"/>
        <v>46260</v>
      </c>
      <c r="C31" s="548" t="str">
        <f t="shared" si="23"/>
        <v>qua</v>
      </c>
      <c r="D31" s="513">
        <f t="shared" si="24"/>
        <v>12</v>
      </c>
      <c r="E31" s="514">
        <f t="shared" si="25"/>
        <v>520.8666294585928</v>
      </c>
      <c r="F31" s="515">
        <f t="shared" si="26"/>
        <v>808.64606659917195</v>
      </c>
      <c r="G31" s="509">
        <v>0.8</v>
      </c>
      <c r="H31" s="510">
        <v>20</v>
      </c>
      <c r="I31" s="514">
        <f t="shared" si="27"/>
        <v>70.199458522409898</v>
      </c>
      <c r="J31" s="517">
        <v>4.1123325738671217E-2</v>
      </c>
      <c r="K31" s="511">
        <v>1.0108075832489649</v>
      </c>
      <c r="L31" s="546" t="str">
        <f t="shared" si="28"/>
        <v>QUA</v>
      </c>
      <c r="M31" s="512" t="s">
        <v>852</v>
      </c>
      <c r="N31" t="s">
        <v>78</v>
      </c>
      <c r="O31" s="233">
        <f t="shared" si="20"/>
        <v>0</v>
      </c>
      <c r="P31" s="234">
        <f t="shared" si="7"/>
        <v>0</v>
      </c>
      <c r="Q31" s="231">
        <f t="shared" si="7"/>
        <v>8.2051282051282051E-2</v>
      </c>
      <c r="R31" s="234">
        <f t="shared" si="8"/>
        <v>0</v>
      </c>
      <c r="S31" s="234">
        <f t="shared" si="9"/>
        <v>8.6369770580296892E-2</v>
      </c>
      <c r="T31" s="234">
        <f t="shared" si="10"/>
        <v>1.641025641025641E-2</v>
      </c>
      <c r="U31" s="234">
        <f t="shared" si="11"/>
        <v>0</v>
      </c>
      <c r="V31" s="235">
        <f t="shared" si="12"/>
        <v>0.18483130904183537</v>
      </c>
      <c r="X31" s="144"/>
      <c r="Y31" s="131"/>
      <c r="Z31" s="131"/>
      <c r="AA31" s="131"/>
      <c r="AB31" s="131"/>
      <c r="AC31" s="131"/>
      <c r="AD31" s="131"/>
      <c r="AE31" s="147">
        <f t="shared" si="13"/>
        <v>0</v>
      </c>
      <c r="AG31" s="144"/>
      <c r="AH31" s="131"/>
      <c r="AI31" s="131"/>
      <c r="AJ31" s="131"/>
      <c r="AK31" s="131"/>
      <c r="AL31" s="131"/>
      <c r="AM31" s="229"/>
      <c r="AN31" s="147">
        <f t="shared" si="14"/>
        <v>0</v>
      </c>
      <c r="AP31" s="464"/>
      <c r="AQ31" s="342"/>
      <c r="AR31" s="342">
        <v>0.1</v>
      </c>
      <c r="AS31" s="342"/>
      <c r="AT31" s="342">
        <v>0.10526315789473684</v>
      </c>
      <c r="AU31" s="342">
        <v>0.02</v>
      </c>
      <c r="AV31" s="343"/>
      <c r="AW31" s="462">
        <f t="shared" si="15"/>
        <v>0.22526315789473683</v>
      </c>
      <c r="AY31" s="464"/>
      <c r="AZ31" s="342"/>
      <c r="BA31" s="342"/>
      <c r="BB31" s="342"/>
      <c r="BC31" s="342"/>
      <c r="BD31" s="342"/>
      <c r="BE31" s="342"/>
      <c r="BF31" s="465">
        <f t="shared" si="16"/>
        <v>0</v>
      </c>
      <c r="BH31" s="482">
        <f t="shared" si="17"/>
        <v>0.18483130904183537</v>
      </c>
      <c r="BI31" s="479">
        <f t="shared" si="18"/>
        <v>1.0108075832489654</v>
      </c>
    </row>
    <row r="32" spans="1:61" ht="13.5" customHeight="1">
      <c r="A32" s="590"/>
      <c r="B32" s="547">
        <f t="shared" si="19"/>
        <v>46261</v>
      </c>
      <c r="C32" s="548" t="str">
        <f t="shared" si="23"/>
        <v>qui</v>
      </c>
      <c r="D32" s="513">
        <f t="shared" si="24"/>
        <v>21</v>
      </c>
      <c r="E32" s="514">
        <f t="shared" si="25"/>
        <v>421.12506771243676</v>
      </c>
      <c r="F32" s="515">
        <f>IFERROR($E$3*K32,"")</f>
        <v>727.91482306455271</v>
      </c>
      <c r="G32" s="509">
        <v>0.8</v>
      </c>
      <c r="H32" s="510">
        <v>20</v>
      </c>
      <c r="I32" s="514">
        <f t="shared" si="27"/>
        <v>51.090529858657689</v>
      </c>
      <c r="J32" s="517">
        <v>3.324855607328793E-2</v>
      </c>
      <c r="K32" s="511">
        <v>0.90989352883069086</v>
      </c>
      <c r="L32" s="546" t="str">
        <f t="shared" si="28"/>
        <v>QUI</v>
      </c>
      <c r="M32" s="512" t="s">
        <v>852</v>
      </c>
      <c r="N32" t="s">
        <v>78</v>
      </c>
      <c r="O32" s="233">
        <f t="shared" si="20"/>
        <v>0</v>
      </c>
      <c r="P32" s="234">
        <f t="shared" si="7"/>
        <v>0</v>
      </c>
      <c r="Q32" s="231">
        <f t="shared" si="7"/>
        <v>8.2051282051282051E-2</v>
      </c>
      <c r="R32" s="234">
        <f t="shared" si="8"/>
        <v>0</v>
      </c>
      <c r="S32" s="234">
        <f t="shared" si="9"/>
        <v>8.6369770580296892E-2</v>
      </c>
      <c r="T32" s="234">
        <f t="shared" si="10"/>
        <v>1.641025641025641E-2</v>
      </c>
      <c r="U32" s="234">
        <f t="shared" si="11"/>
        <v>0</v>
      </c>
      <c r="V32" s="235">
        <f t="shared" si="12"/>
        <v>0.18483130904183537</v>
      </c>
      <c r="X32" s="144"/>
      <c r="Y32" s="131"/>
      <c r="Z32" s="131"/>
      <c r="AA32" s="131"/>
      <c r="AB32" s="131"/>
      <c r="AC32" s="131"/>
      <c r="AD32" s="131"/>
      <c r="AE32" s="147">
        <f t="shared" si="13"/>
        <v>0</v>
      </c>
      <c r="AG32" s="144"/>
      <c r="AH32" s="131"/>
      <c r="AI32" s="131"/>
      <c r="AJ32" s="131"/>
      <c r="AK32" s="131"/>
      <c r="AL32" s="131"/>
      <c r="AM32" s="229"/>
      <c r="AN32" s="147">
        <f t="shared" si="14"/>
        <v>0</v>
      </c>
      <c r="AP32" s="464"/>
      <c r="AQ32" s="342"/>
      <c r="AR32" s="342">
        <v>0.1</v>
      </c>
      <c r="AS32" s="342"/>
      <c r="AT32" s="342">
        <v>0.10526315789473684</v>
      </c>
      <c r="AU32" s="342">
        <v>0.02</v>
      </c>
      <c r="AV32" s="343"/>
      <c r="AW32" s="462">
        <f t="shared" si="15"/>
        <v>0.22526315789473683</v>
      </c>
      <c r="AY32" s="464"/>
      <c r="AZ32" s="342"/>
      <c r="BA32" s="342"/>
      <c r="BB32" s="342"/>
      <c r="BC32" s="342"/>
      <c r="BD32" s="342"/>
      <c r="BE32" s="342"/>
      <c r="BF32" s="465">
        <f t="shared" si="16"/>
        <v>0</v>
      </c>
      <c r="BH32" s="482">
        <f t="shared" si="17"/>
        <v>0.18483130904183537</v>
      </c>
      <c r="BI32" s="479">
        <f t="shared" si="18"/>
        <v>0.90989352883069119</v>
      </c>
    </row>
    <row r="33" spans="1:68" ht="13.5" customHeight="1">
      <c r="A33" s="590"/>
      <c r="B33" s="547">
        <f t="shared" si="19"/>
        <v>46262</v>
      </c>
      <c r="C33" s="548" t="str">
        <f t="shared" si="23"/>
        <v>sex</v>
      </c>
      <c r="D33" s="513">
        <f t="shared" si="24"/>
        <v>20</v>
      </c>
      <c r="E33" s="514">
        <f t="shared" si="25"/>
        <v>424.4285470339434</v>
      </c>
      <c r="F33" s="515">
        <f t="shared" si="26"/>
        <v>775.38524753757838</v>
      </c>
      <c r="G33" s="509">
        <v>0.8</v>
      </c>
      <c r="H33" s="510">
        <v>20</v>
      </c>
      <c r="I33" s="514">
        <f t="shared" si="27"/>
        <v>54.849272333988154</v>
      </c>
      <c r="J33" s="517">
        <v>3.3509371507654477E-2</v>
      </c>
      <c r="K33" s="511">
        <v>0.96923155942197292</v>
      </c>
      <c r="L33" s="546" t="str">
        <f t="shared" si="28"/>
        <v>SEX</v>
      </c>
      <c r="M33" s="512" t="s">
        <v>852</v>
      </c>
      <c r="N33" t="s">
        <v>78</v>
      </c>
      <c r="O33" s="233">
        <f t="shared" si="20"/>
        <v>0</v>
      </c>
      <c r="P33" s="234">
        <f t="shared" si="7"/>
        <v>0</v>
      </c>
      <c r="Q33" s="231">
        <f t="shared" si="7"/>
        <v>8.2051282051282051E-2</v>
      </c>
      <c r="R33" s="234">
        <f t="shared" si="8"/>
        <v>0</v>
      </c>
      <c r="S33" s="234">
        <f t="shared" si="9"/>
        <v>8.6369770580296892E-2</v>
      </c>
      <c r="T33" s="234">
        <f t="shared" si="10"/>
        <v>1.641025641025641E-2</v>
      </c>
      <c r="U33" s="234">
        <f t="shared" si="11"/>
        <v>0</v>
      </c>
      <c r="V33" s="235">
        <f t="shared" si="12"/>
        <v>0.18483130904183537</v>
      </c>
      <c r="X33" s="144"/>
      <c r="Y33" s="131"/>
      <c r="Z33" s="131"/>
      <c r="AA33" s="131"/>
      <c r="AB33" s="131"/>
      <c r="AC33" s="131"/>
      <c r="AD33" s="131"/>
      <c r="AE33" s="147">
        <f t="shared" si="13"/>
        <v>0</v>
      </c>
      <c r="AG33" s="144"/>
      <c r="AH33" s="131"/>
      <c r="AI33" s="131"/>
      <c r="AJ33" s="131"/>
      <c r="AK33" s="131"/>
      <c r="AL33" s="131"/>
      <c r="AM33" s="229"/>
      <c r="AN33" s="147">
        <f t="shared" si="14"/>
        <v>0</v>
      </c>
      <c r="AP33" s="464"/>
      <c r="AQ33" s="342"/>
      <c r="AR33" s="342">
        <v>0.1</v>
      </c>
      <c r="AS33" s="342"/>
      <c r="AT33" s="342">
        <v>0.10526315789473684</v>
      </c>
      <c r="AU33" s="342">
        <v>0.02</v>
      </c>
      <c r="AV33" s="343"/>
      <c r="AW33" s="462">
        <f t="shared" si="15"/>
        <v>0.22526315789473683</v>
      </c>
      <c r="AY33" s="464"/>
      <c r="AZ33" s="342"/>
      <c r="BA33" s="342"/>
      <c r="BB33" s="342"/>
      <c r="BC33" s="342"/>
      <c r="BD33" s="342"/>
      <c r="BE33" s="342"/>
      <c r="BF33" s="465">
        <f t="shared" si="16"/>
        <v>0</v>
      </c>
      <c r="BH33" s="482">
        <f t="shared" si="17"/>
        <v>0.18483130904183537</v>
      </c>
      <c r="BI33" s="479">
        <f t="shared" si="18"/>
        <v>0.96923155942197325</v>
      </c>
    </row>
    <row r="34" spans="1:68" ht="13.5" customHeight="1">
      <c r="A34" s="590"/>
      <c r="B34" s="547">
        <f t="shared" si="19"/>
        <v>46263</v>
      </c>
      <c r="C34" s="548" t="str">
        <f t="shared" ref="C34:C35" si="29">TEXT(B34,"ddd")</f>
        <v>sáb</v>
      </c>
      <c r="D34" s="513">
        <f t="shared" ref="D34:D35" si="30">RANK(I34,$I$6:$I$36)</f>
        <v>26</v>
      </c>
      <c r="E34" s="514">
        <f t="shared" ref="E34:E35" si="31">IFERROR($E$2*J34,"")*$E$1</f>
        <v>144.88353886418284</v>
      </c>
      <c r="F34" s="515">
        <f t="shared" si="26"/>
        <v>770.86086465603023</v>
      </c>
      <c r="G34" s="509">
        <v>0.8</v>
      </c>
      <c r="H34" s="510">
        <v>20</v>
      </c>
      <c r="I34" s="514">
        <f t="shared" si="27"/>
        <v>18.614175007211589</v>
      </c>
      <c r="J34" s="517">
        <v>1.143880722225625E-2</v>
      </c>
      <c r="K34" s="511">
        <v>0.96357608082003776</v>
      </c>
      <c r="L34" s="546" t="str">
        <f t="shared" si="28"/>
        <v>SÁB</v>
      </c>
      <c r="M34" s="512" t="s">
        <v>840</v>
      </c>
      <c r="N34" t="s">
        <v>78</v>
      </c>
      <c r="O34" s="233">
        <f t="shared" si="20"/>
        <v>0</v>
      </c>
      <c r="P34" s="234">
        <f t="shared" si="7"/>
        <v>0</v>
      </c>
      <c r="Q34" s="231">
        <f t="shared" si="7"/>
        <v>8.2051282051282051E-2</v>
      </c>
      <c r="R34" s="234">
        <f t="shared" si="8"/>
        <v>0</v>
      </c>
      <c r="S34" s="234">
        <f t="shared" si="9"/>
        <v>8.6369770580296892E-2</v>
      </c>
      <c r="T34" s="234">
        <f t="shared" si="10"/>
        <v>1.641025641025641E-2</v>
      </c>
      <c r="U34" s="234">
        <f t="shared" si="11"/>
        <v>0</v>
      </c>
      <c r="V34" s="235">
        <f t="shared" si="12"/>
        <v>0.18483130904183537</v>
      </c>
      <c r="X34" s="144"/>
      <c r="Y34" s="131"/>
      <c r="Z34" s="131"/>
      <c r="AA34" s="131"/>
      <c r="AB34" s="131"/>
      <c r="AC34" s="131"/>
      <c r="AD34" s="131"/>
      <c r="AE34" s="147">
        <f t="shared" si="13"/>
        <v>0</v>
      </c>
      <c r="AG34" s="144"/>
      <c r="AH34" s="131"/>
      <c r="AI34" s="131"/>
      <c r="AJ34" s="131"/>
      <c r="AK34" s="131"/>
      <c r="AL34" s="131"/>
      <c r="AM34" s="229"/>
      <c r="AN34" s="147">
        <f t="shared" si="14"/>
        <v>0</v>
      </c>
      <c r="AP34" s="464"/>
      <c r="AQ34" s="342"/>
      <c r="AR34" s="342">
        <v>0.1</v>
      </c>
      <c r="AS34" s="342"/>
      <c r="AT34" s="342">
        <v>0.10526315789473684</v>
      </c>
      <c r="AU34" s="342">
        <v>0.02</v>
      </c>
      <c r="AV34" s="343"/>
      <c r="AW34" s="462">
        <f t="shared" si="15"/>
        <v>0.22526315789473683</v>
      </c>
      <c r="AY34" s="464"/>
      <c r="AZ34" s="342"/>
      <c r="BA34" s="342"/>
      <c r="BB34" s="342"/>
      <c r="BC34" s="342"/>
      <c r="BD34" s="342"/>
      <c r="BE34" s="342"/>
      <c r="BF34" s="465">
        <f t="shared" si="16"/>
        <v>0</v>
      </c>
      <c r="BH34" s="482">
        <f t="shared" si="17"/>
        <v>0.18483130904183537</v>
      </c>
      <c r="BI34" s="479">
        <f t="shared" si="18"/>
        <v>0.96357608082003809</v>
      </c>
    </row>
    <row r="35" spans="1:68" ht="13.5" customHeight="1">
      <c r="A35" s="590"/>
      <c r="B35" s="547">
        <f t="shared" si="19"/>
        <v>46264</v>
      </c>
      <c r="C35" s="548" t="str">
        <f t="shared" si="29"/>
        <v>dom</v>
      </c>
      <c r="D35" s="513">
        <f t="shared" si="30"/>
        <v>29</v>
      </c>
      <c r="E35" s="514">
        <f t="shared" si="31"/>
        <v>122.40439909994423</v>
      </c>
      <c r="F35" s="515">
        <f t="shared" si="26"/>
        <v>747.56553444857423</v>
      </c>
      <c r="G35" s="509">
        <v>0.8</v>
      </c>
      <c r="H35" s="510">
        <v>20</v>
      </c>
      <c r="I35" s="514">
        <f t="shared" si="27"/>
        <v>15.250885005334396</v>
      </c>
      <c r="J35" s="517">
        <v>9.6640400658139711E-3</v>
      </c>
      <c r="K35" s="511">
        <v>0.93445691806071784</v>
      </c>
      <c r="L35" s="546" t="str">
        <f t="shared" ref="L35:L37" si="32">UPPER(C35)</f>
        <v>DOM</v>
      </c>
      <c r="M35" s="512" t="s">
        <v>841</v>
      </c>
      <c r="N35" t="s">
        <v>78</v>
      </c>
      <c r="O35" s="233">
        <f t="shared" ref="O35" si="33">(X35*$Y$4+AG35*$AH$4+AP35*$AQ$4+AY35*$AZ$4)/SUM($Y$4,$AH$4,$AQ$4,$AZ$4)</f>
        <v>0</v>
      </c>
      <c r="P35" s="234">
        <f t="shared" ref="P35" si="34">(Y35*$Y$4+AH35*$AH$4+AQ35*$AQ$4+AZ35*$AZ$4)/SUM($Y$4,$AH$4,$AQ$4,$AZ$4)</f>
        <v>0</v>
      </c>
      <c r="Q35" s="231">
        <f t="shared" ref="Q35" si="35">(Z35*$Y$4+AI35*$AH$4+AR35*$AQ$4+BA35*$AZ$4)/SUM($Y$4,$AH$4,$AQ$4,$AZ$4)</f>
        <v>8.2051282051282051E-2</v>
      </c>
      <c r="R35" s="234">
        <f t="shared" ref="R35" si="36">(AA35*$Y$4+AJ35*$AH$4+AS35*$AQ$4+BB35*$AZ$4)/SUM($Y$4,$AH$4,$AQ$4,$AZ$4)</f>
        <v>0</v>
      </c>
      <c r="S35" s="234">
        <f t="shared" ref="S35" si="37">(AB35*$Y$4+AK35*$AH$4+AT35*$AQ$4+BC35*$AZ$4)/SUM($Y$4,$AH$4,$AQ$4,$AZ$4)</f>
        <v>8.6369770580296892E-2</v>
      </c>
      <c r="T35" s="234">
        <f t="shared" ref="T35" si="38">(AC35*$Y$4+AL35*$AH$4+AU35*$AQ$4+BD35*$AZ$4)/SUM($Y$4,$AH$4,$AQ$4,$AZ$4)</f>
        <v>1.641025641025641E-2</v>
      </c>
      <c r="U35" s="234">
        <f t="shared" ref="U35" si="39">(AD35*$Y$4+AM35*$AH$4+AV35*$AQ$4+BE35*$AZ$4)/SUM($Y$4,$AH$4,$AQ$4,$AZ$4)</f>
        <v>0</v>
      </c>
      <c r="V35" s="235">
        <f t="shared" ref="V35:V36" si="40">SUM(O35:U35)</f>
        <v>0.18483130904183537</v>
      </c>
      <c r="X35" s="144"/>
      <c r="Y35" s="131"/>
      <c r="Z35" s="131"/>
      <c r="AA35" s="131"/>
      <c r="AB35" s="131"/>
      <c r="AC35" s="131"/>
      <c r="AD35" s="131"/>
      <c r="AE35" s="147">
        <f t="shared" ref="AE35" si="41">SUM(X35:AD35)</f>
        <v>0</v>
      </c>
      <c r="AG35" s="144"/>
      <c r="AH35" s="131"/>
      <c r="AI35" s="131"/>
      <c r="AJ35" s="131"/>
      <c r="AK35" s="131"/>
      <c r="AL35" s="131"/>
      <c r="AM35" s="229"/>
      <c r="AN35" s="147">
        <f t="shared" ref="AN35" si="42">SUM(AG35:AM35)</f>
        <v>0</v>
      </c>
      <c r="AP35" s="464"/>
      <c r="AQ35" s="342"/>
      <c r="AR35" s="342">
        <v>0.1</v>
      </c>
      <c r="AS35" s="342"/>
      <c r="AT35" s="342">
        <v>0.10526315789473684</v>
      </c>
      <c r="AU35" s="342">
        <v>0.02</v>
      </c>
      <c r="AV35" s="343"/>
      <c r="AW35" s="462">
        <f t="shared" ref="AW35" si="43">SUM(AP35:AV35)</f>
        <v>0.22526315789473683</v>
      </c>
      <c r="AY35" s="464"/>
      <c r="AZ35" s="342"/>
      <c r="BA35" s="342"/>
      <c r="BB35" s="342"/>
      <c r="BC35" s="342"/>
      <c r="BD35" s="342"/>
      <c r="BE35" s="342"/>
      <c r="BF35" s="465">
        <f t="shared" ref="BF35" si="44">SUM(AY35:BE35)</f>
        <v>0</v>
      </c>
      <c r="BH35" s="482">
        <f t="shared" ref="BH35" si="45">SUMIF($O$4:$U$4,"sIM",O35:U35)</f>
        <v>0.18483130904183537</v>
      </c>
      <c r="BI35" s="479">
        <f t="shared" ref="BI35:BI36" si="46">K35/$K$37</f>
        <v>0.93445691806071818</v>
      </c>
    </row>
    <row r="36" spans="1:68" ht="13.5" customHeight="1">
      <c r="A36" s="590"/>
      <c r="B36" s="547">
        <f t="shared" si="19"/>
        <v>46265</v>
      </c>
      <c r="C36" s="548" t="str">
        <f t="shared" ref="C36" si="47">TEXT(B36,"ddd")</f>
        <v>seg</v>
      </c>
      <c r="D36" s="513">
        <f t="shared" ref="D36" si="48">RANK(I36,$I$6:$I$36)</f>
        <v>4</v>
      </c>
      <c r="E36" s="514">
        <f t="shared" ref="E36" si="49">IFERROR($E$2*J36,"")*$E$1</f>
        <v>598.05300532808553</v>
      </c>
      <c r="F36" s="515">
        <f t="shared" ref="F36" si="50">IFERROR($E$3*K36,"")</f>
        <v>835.55984869595488</v>
      </c>
      <c r="G36" s="509">
        <v>0.8</v>
      </c>
      <c r="H36" s="510">
        <v>20</v>
      </c>
      <c r="I36" s="514">
        <f t="shared" ref="I36" si="51">F36*E36/60/100</f>
        <v>83.284846440682699</v>
      </c>
      <c r="J36" s="516">
        <v>4.7217324274856955E-2</v>
      </c>
      <c r="K36" s="511">
        <v>1.0444498108699436</v>
      </c>
      <c r="L36" s="546" t="str">
        <f t="shared" si="28"/>
        <v>SEG</v>
      </c>
      <c r="M36" s="512" t="s">
        <v>852</v>
      </c>
      <c r="N36" t="s">
        <v>78</v>
      </c>
      <c r="O36" s="233">
        <f t="shared" ref="O36" si="52">(X36*$Y$4+AG36*$AH$4+AP36*$AQ$4+AY36*$AZ$4)/SUM($Y$4,$AH$4,$AQ$4,$AZ$4)</f>
        <v>0</v>
      </c>
      <c r="P36" s="234">
        <f t="shared" ref="P36" si="53">(Y36*$Y$4+AH36*$AH$4+AQ36*$AQ$4+AZ36*$AZ$4)/SUM($Y$4,$AH$4,$AQ$4,$AZ$4)</f>
        <v>0</v>
      </c>
      <c r="Q36" s="231">
        <f t="shared" ref="Q36" si="54">(Z36*$Y$4+AI36*$AH$4+AR36*$AQ$4+BA36*$AZ$4)/SUM($Y$4,$AH$4,$AQ$4,$AZ$4)</f>
        <v>8.2051282051282051E-2</v>
      </c>
      <c r="R36" s="234">
        <f t="shared" ref="R36" si="55">(AA36*$Y$4+AJ36*$AH$4+AS36*$AQ$4+BB36*$AZ$4)/SUM($Y$4,$AH$4,$AQ$4,$AZ$4)</f>
        <v>0</v>
      </c>
      <c r="S36" s="234">
        <f t="shared" ref="S36" si="56">(AB36*$Y$4+AK36*$AH$4+AT36*$AQ$4+BC36*$AZ$4)/SUM($Y$4,$AH$4,$AQ$4,$AZ$4)</f>
        <v>8.6369770580296892E-2</v>
      </c>
      <c r="T36" s="234">
        <f t="shared" ref="T36" si="57">(AC36*$Y$4+AL36*$AH$4+AU36*$AQ$4+BD36*$AZ$4)/SUM($Y$4,$AH$4,$AQ$4,$AZ$4)</f>
        <v>1.641025641025641E-2</v>
      </c>
      <c r="U36" s="234">
        <f t="shared" ref="U36" si="58">(AD36*$Y$4+AM36*$AH$4+AV36*$AQ$4+BE36*$AZ$4)/SUM($Y$4,$AH$4,$AQ$4,$AZ$4)</f>
        <v>0</v>
      </c>
      <c r="V36" s="235">
        <f t="shared" si="40"/>
        <v>0.18483130904183537</v>
      </c>
      <c r="X36" s="144"/>
      <c r="Y36" s="131"/>
      <c r="Z36" s="131"/>
      <c r="AA36" s="131"/>
      <c r="AB36" s="131"/>
      <c r="AC36" s="131"/>
      <c r="AD36" s="131"/>
      <c r="AE36" s="147">
        <f t="shared" ref="AE36" si="59">SUM(X36:AD36)</f>
        <v>0</v>
      </c>
      <c r="AG36" s="144"/>
      <c r="AH36" s="131"/>
      <c r="AI36" s="131"/>
      <c r="AJ36" s="131"/>
      <c r="AK36" s="131"/>
      <c r="AL36" s="131"/>
      <c r="AM36" s="229"/>
      <c r="AN36" s="147">
        <f t="shared" ref="AN36" si="60">SUM(AG36:AM36)</f>
        <v>0</v>
      </c>
      <c r="AP36" s="464"/>
      <c r="AQ36" s="342"/>
      <c r="AR36" s="342">
        <v>0.1</v>
      </c>
      <c r="AS36" s="342"/>
      <c r="AT36" s="342">
        <v>0.10526315789473684</v>
      </c>
      <c r="AU36" s="342">
        <v>0.02</v>
      </c>
      <c r="AV36" s="343"/>
      <c r="AW36" s="462">
        <f t="shared" ref="AW36" si="61">SUM(AP36:AV36)</f>
        <v>0.22526315789473683</v>
      </c>
      <c r="AY36" s="464"/>
      <c r="AZ36" s="342"/>
      <c r="BA36" s="342"/>
      <c r="BB36" s="342"/>
      <c r="BC36" s="342"/>
      <c r="BD36" s="342"/>
      <c r="BE36" s="342"/>
      <c r="BF36" s="465">
        <f t="shared" ref="BF36" si="62">SUM(AY36:BE36)</f>
        <v>0</v>
      </c>
      <c r="BH36" s="482">
        <f t="shared" ref="BH36" si="63">SUMIF($O$4:$U$4,"sIM",O36:U36)</f>
        <v>0.18483130904183537</v>
      </c>
      <c r="BI36" s="479">
        <f t="shared" si="46"/>
        <v>1.044449810869944</v>
      </c>
    </row>
    <row r="37" spans="1:68">
      <c r="A37" s="590"/>
      <c r="B37" s="366"/>
      <c r="D37" s="122"/>
      <c r="E37" s="518">
        <f>SUM(E6:E36)</f>
        <v>12665.965607173268</v>
      </c>
      <c r="F37" s="519">
        <f>IFERROR(SUMPRODUCT(E6:E36,F6:F36)/E37,0)</f>
        <v>799.99999999999977</v>
      </c>
      <c r="G37" s="524">
        <f>IFERROR(SUMPRODUCT(G6:G36,E6:E36)/E37,0)</f>
        <v>0.79999999999999993</v>
      </c>
      <c r="H37" s="520">
        <f>IFERROR(SUMPRODUCT(H6:H36,E6:E36)/E37,0)</f>
        <v>20</v>
      </c>
      <c r="I37" s="518">
        <f>F37*E37/60/100</f>
        <v>1688.7954142897684</v>
      </c>
      <c r="J37" s="367">
        <f>SUM(J6:J36)</f>
        <v>0.99999999999999967</v>
      </c>
      <c r="K37" s="557">
        <f>IFERROR(F37/E3,0)</f>
        <v>0.99999999999999967</v>
      </c>
      <c r="L37" t="str">
        <f t="shared" si="32"/>
        <v/>
      </c>
      <c r="O37" s="233"/>
      <c r="P37" s="234"/>
      <c r="Q37" s="231"/>
      <c r="R37" s="234"/>
      <c r="S37" s="234"/>
      <c r="T37" s="234"/>
      <c r="U37" s="234"/>
      <c r="V37" s="235"/>
      <c r="X37" s="144"/>
      <c r="Y37" s="131"/>
      <c r="Z37" s="131"/>
      <c r="AA37" s="131"/>
      <c r="AB37" s="131"/>
      <c r="AC37" s="131"/>
      <c r="AD37" s="131"/>
      <c r="AE37" s="147"/>
      <c r="AG37" s="144"/>
      <c r="AH37" s="131"/>
      <c r="AI37" s="131"/>
      <c r="AJ37" s="131"/>
      <c r="AK37" s="131"/>
      <c r="AL37" s="131"/>
      <c r="AM37" s="229"/>
      <c r="AN37" s="147"/>
      <c r="AP37" s="464"/>
      <c r="AQ37" s="342"/>
      <c r="AR37" s="342"/>
      <c r="AS37" s="342"/>
      <c r="AT37" s="342"/>
      <c r="AU37" s="342"/>
      <c r="AV37" s="343"/>
      <c r="AW37" s="462"/>
      <c r="AY37" s="464"/>
      <c r="AZ37" s="342"/>
      <c r="BA37" s="342"/>
      <c r="BB37" s="342"/>
      <c r="BC37" s="342"/>
      <c r="BD37" s="342"/>
      <c r="BE37" s="342"/>
      <c r="BF37" s="465"/>
      <c r="BH37" s="482"/>
      <c r="BI37" s="479"/>
      <c r="BP37" s="177" t="s">
        <v>890</v>
      </c>
    </row>
    <row r="38" spans="1:68">
      <c r="A38" s="590"/>
      <c r="B38" s="401" t="s">
        <v>641</v>
      </c>
      <c r="C38" s="402" t="s">
        <v>764</v>
      </c>
      <c r="D38" s="402" t="s">
        <v>786</v>
      </c>
      <c r="J38" s="479"/>
      <c r="Q38" s="177"/>
    </row>
    <row r="39" spans="1:68">
      <c r="A39" s="590"/>
      <c r="B39" s="352">
        <v>0</v>
      </c>
      <c r="C39" s="405">
        <f>IF(D39&lt;&gt;"",D39,IFERROR(IF(ABS(1-DIM!E18/DIM!D18)&lt;1%,2%,ABS(1-DIM!E18/DIM!D18)),3%))</f>
        <v>0.1</v>
      </c>
      <c r="D39" s="406">
        <v>0.1</v>
      </c>
      <c r="J39" s="479"/>
    </row>
    <row r="40" spans="1:68">
      <c r="A40" s="590"/>
      <c r="B40" s="353">
        <v>25</v>
      </c>
      <c r="C40" s="355">
        <f>C39</f>
        <v>0.1</v>
      </c>
    </row>
    <row r="41" spans="1:68">
      <c r="A41" s="590"/>
      <c r="B41" s="353">
        <v>50</v>
      </c>
      <c r="C41" s="355">
        <f>C40</f>
        <v>0.1</v>
      </c>
    </row>
    <row r="42" spans="1:68">
      <c r="A42" s="590"/>
      <c r="B42" s="353">
        <v>75</v>
      </c>
      <c r="C42" s="355">
        <f>C41</f>
        <v>0.1</v>
      </c>
    </row>
    <row r="43" spans="1:68">
      <c r="A43" s="590"/>
      <c r="B43" s="354">
        <v>100</v>
      </c>
      <c r="C43" s="356">
        <f>C42</f>
        <v>0.1</v>
      </c>
      <c r="J43" s="467"/>
    </row>
    <row r="44" spans="1:68">
      <c r="A44" s="590"/>
    </row>
    <row r="45" spans="1:68">
      <c r="A45" s="591" t="s">
        <v>608</v>
      </c>
      <c r="B45" s="401" t="s">
        <v>628</v>
      </c>
      <c r="C45" s="401" t="s">
        <v>789</v>
      </c>
      <c r="E45" s="401" t="s">
        <v>628</v>
      </c>
      <c r="F45" s="401" t="s">
        <v>789</v>
      </c>
      <c r="K45" s="490" t="s">
        <v>800</v>
      </c>
      <c r="L45" s="490" t="s">
        <v>796</v>
      </c>
      <c r="M45" s="490" t="s">
        <v>797</v>
      </c>
    </row>
    <row r="46" spans="1:68">
      <c r="A46" s="591" t="s">
        <v>806</v>
      </c>
      <c r="B46" s="416">
        <v>0</v>
      </c>
      <c r="C46" s="419"/>
      <c r="E46" s="417" t="s">
        <v>792</v>
      </c>
      <c r="F46" s="473">
        <v>0.9</v>
      </c>
      <c r="K46" s="491">
        <f>4*60</f>
        <v>240</v>
      </c>
      <c r="L46" s="497" t="s">
        <v>612</v>
      </c>
      <c r="M46" s="493">
        <f>$M$48/$K$48*K46</f>
        <v>909.47368421052624</v>
      </c>
    </row>
    <row r="47" spans="1:68">
      <c r="A47" s="590"/>
      <c r="B47" s="417">
        <v>2.0833333333333332E-2</v>
      </c>
      <c r="C47" s="419"/>
      <c r="K47" s="492">
        <f>5*60+20</f>
        <v>320</v>
      </c>
      <c r="L47" s="498" t="s">
        <v>613</v>
      </c>
      <c r="M47" s="494">
        <f>$M$48/$K$48*K47</f>
        <v>1212.6315789473683</v>
      </c>
    </row>
    <row r="48" spans="1:68">
      <c r="A48" s="590"/>
      <c r="B48" s="417">
        <v>4.1666666666666664E-2</v>
      </c>
      <c r="C48" s="419"/>
      <c r="E48" s="574" t="s">
        <v>807</v>
      </c>
      <c r="F48" s="575"/>
      <c r="G48" s="473" t="s">
        <v>608</v>
      </c>
      <c r="K48" s="492">
        <f>6*60+20</f>
        <v>380</v>
      </c>
      <c r="L48" s="498" t="s">
        <v>610</v>
      </c>
      <c r="M48" s="494">
        <f>800*1.8</f>
        <v>1440</v>
      </c>
    </row>
    <row r="49" spans="1:13">
      <c r="A49" s="590"/>
      <c r="B49" s="417">
        <v>6.25E-2</v>
      </c>
      <c r="C49" s="419"/>
      <c r="K49" s="492">
        <f>7*60+12</f>
        <v>432</v>
      </c>
      <c r="L49" s="498" t="s">
        <v>611</v>
      </c>
      <c r="M49" s="494">
        <f>$M$48/$K$48*K49</f>
        <v>1637.0526315789473</v>
      </c>
    </row>
    <row r="50" spans="1:13">
      <c r="A50" s="590"/>
      <c r="B50" s="417">
        <v>8.3333333333333329E-2</v>
      </c>
      <c r="C50" s="419"/>
      <c r="K50" s="492">
        <v>1</v>
      </c>
      <c r="L50" s="499" t="s">
        <v>798</v>
      </c>
      <c r="M50" s="494">
        <f>M48/380*1.5</f>
        <v>5.6842105263157894</v>
      </c>
    </row>
    <row r="51" spans="1:13">
      <c r="A51" s="590"/>
      <c r="B51" s="417">
        <v>0.10416666666666667</v>
      </c>
      <c r="C51" s="419"/>
      <c r="K51" s="492">
        <v>1</v>
      </c>
      <c r="L51" s="499" t="s">
        <v>799</v>
      </c>
      <c r="M51" s="494">
        <f>M49/380*2</f>
        <v>8.6160664819944586</v>
      </c>
    </row>
    <row r="52" spans="1:13">
      <c r="A52" s="590"/>
      <c r="B52" s="417">
        <v>0.125</v>
      </c>
      <c r="C52" s="419"/>
      <c r="K52" s="496" t="s">
        <v>801</v>
      </c>
      <c r="L52" s="500" t="s">
        <v>599</v>
      </c>
      <c r="M52" s="495">
        <f>M48*40%</f>
        <v>576</v>
      </c>
    </row>
    <row r="53" spans="1:13">
      <c r="A53" s="590"/>
      <c r="B53" s="417">
        <v>0.14583333333333334</v>
      </c>
      <c r="C53" s="419"/>
    </row>
    <row r="54" spans="1:13">
      <c r="A54" s="590"/>
      <c r="B54" s="417">
        <v>0.16666666666666666</v>
      </c>
      <c r="C54" s="419"/>
    </row>
    <row r="55" spans="1:13">
      <c r="A55" s="590"/>
      <c r="B55" s="417">
        <v>0.1875</v>
      </c>
      <c r="C55" s="419"/>
    </row>
    <row r="56" spans="1:13">
      <c r="A56" s="590"/>
      <c r="B56" s="417">
        <v>0.20833333333333334</v>
      </c>
      <c r="C56" s="419"/>
    </row>
    <row r="57" spans="1:13">
      <c r="A57" s="590"/>
      <c r="B57" s="417">
        <v>0.22916666666666666</v>
      </c>
      <c r="C57" s="419"/>
    </row>
    <row r="58" spans="1:13">
      <c r="A58" s="590"/>
      <c r="B58" s="415">
        <v>0.25</v>
      </c>
      <c r="C58" s="419"/>
    </row>
    <row r="59" spans="1:13">
      <c r="A59" s="590"/>
      <c r="B59" s="415">
        <v>0.27083333333333331</v>
      </c>
      <c r="C59" s="419"/>
    </row>
    <row r="60" spans="1:13">
      <c r="A60" s="590"/>
      <c r="B60" s="415">
        <v>0.29166666666666669</v>
      </c>
      <c r="C60" s="419"/>
    </row>
    <row r="61" spans="1:13">
      <c r="A61" s="590"/>
      <c r="B61" s="415">
        <v>0.3125</v>
      </c>
      <c r="C61" s="419"/>
    </row>
    <row r="62" spans="1:13">
      <c r="A62" s="590"/>
      <c r="B62" s="415">
        <v>0.33333333333333331</v>
      </c>
      <c r="C62" s="419"/>
    </row>
    <row r="63" spans="1:13">
      <c r="A63" s="590"/>
      <c r="B63" s="415">
        <v>0.35416666666666669</v>
      </c>
      <c r="C63" s="419"/>
      <c r="G63" s="177"/>
    </row>
    <row r="64" spans="1:13">
      <c r="A64" s="590"/>
      <c r="B64" s="417">
        <v>0.375</v>
      </c>
      <c r="C64" s="419" t="s">
        <v>804</v>
      </c>
    </row>
    <row r="65" spans="1:3">
      <c r="A65" s="590"/>
      <c r="B65" s="417">
        <v>0.39583333333333331</v>
      </c>
      <c r="C65" s="419" t="s">
        <v>804</v>
      </c>
    </row>
    <row r="66" spans="1:3">
      <c r="A66" s="590"/>
      <c r="B66" s="417">
        <v>0.41666666666666669</v>
      </c>
      <c r="C66" s="419" t="s">
        <v>804</v>
      </c>
    </row>
    <row r="67" spans="1:3">
      <c r="A67" s="590"/>
      <c r="B67" s="417">
        <v>0.4375</v>
      </c>
      <c r="C67" s="419" t="s">
        <v>804</v>
      </c>
    </row>
    <row r="68" spans="1:3">
      <c r="A68" s="590"/>
      <c r="B68" s="417">
        <v>0.45833333333333331</v>
      </c>
      <c r="C68" s="419"/>
    </row>
    <row r="69" spans="1:3">
      <c r="A69" s="590"/>
      <c r="B69" s="417">
        <v>0.47916666666666669</v>
      </c>
      <c r="C69" s="419"/>
    </row>
    <row r="70" spans="1:3">
      <c r="A70" s="590"/>
      <c r="B70" s="415">
        <v>0.5</v>
      </c>
      <c r="C70" s="419"/>
    </row>
    <row r="71" spans="1:3">
      <c r="A71" s="590"/>
      <c r="B71" s="415">
        <v>0.52083333333333337</v>
      </c>
      <c r="C71" s="419"/>
    </row>
    <row r="72" spans="1:3">
      <c r="A72" s="590"/>
      <c r="B72" s="415">
        <v>0.54166666666666663</v>
      </c>
      <c r="C72" s="419"/>
    </row>
    <row r="73" spans="1:3">
      <c r="A73" s="590"/>
      <c r="B73" s="415">
        <v>0.5625</v>
      </c>
      <c r="C73" s="419"/>
    </row>
    <row r="74" spans="1:3">
      <c r="A74" s="590"/>
      <c r="B74" s="415">
        <v>0.58333333333333337</v>
      </c>
      <c r="C74" s="419"/>
    </row>
    <row r="75" spans="1:3">
      <c r="A75" s="590"/>
      <c r="B75" s="415">
        <v>0.60416666666666663</v>
      </c>
      <c r="C75" s="419"/>
    </row>
    <row r="76" spans="1:3">
      <c r="A76" s="590"/>
      <c r="B76" s="417">
        <v>0.625</v>
      </c>
      <c r="C76" s="419"/>
    </row>
    <row r="77" spans="1:3">
      <c r="A77" s="590"/>
      <c r="B77" s="417">
        <v>0.64583333333333337</v>
      </c>
      <c r="C77" s="419"/>
    </row>
    <row r="78" spans="1:3">
      <c r="A78" s="590"/>
      <c r="B78" s="417">
        <v>0.66666666666666663</v>
      </c>
      <c r="C78" s="419"/>
    </row>
    <row r="79" spans="1:3">
      <c r="A79" s="590"/>
      <c r="B79" s="417">
        <v>0.6875</v>
      </c>
      <c r="C79" s="419"/>
    </row>
    <row r="80" spans="1:3">
      <c r="A80" s="590"/>
      <c r="B80" s="417">
        <v>0.70833333333333337</v>
      </c>
      <c r="C80" s="419"/>
    </row>
    <row r="81" spans="1:3">
      <c r="A81" s="590"/>
      <c r="B81" s="417">
        <v>0.72916666666666663</v>
      </c>
      <c r="C81" s="419"/>
    </row>
    <row r="82" spans="1:3">
      <c r="A82" s="590"/>
      <c r="B82" s="415">
        <v>0.75</v>
      </c>
      <c r="C82" s="419"/>
    </row>
    <row r="83" spans="1:3">
      <c r="A83" s="590"/>
      <c r="B83" s="415">
        <v>0.77083333333333337</v>
      </c>
      <c r="C83" s="419"/>
    </row>
    <row r="84" spans="1:3">
      <c r="A84" s="590"/>
      <c r="B84" s="415">
        <v>0.79166666666666663</v>
      </c>
      <c r="C84" s="419" t="s">
        <v>805</v>
      </c>
    </row>
    <row r="85" spans="1:3">
      <c r="A85" s="590"/>
      <c r="B85" s="415">
        <v>0.8125</v>
      </c>
      <c r="C85" s="419" t="s">
        <v>805</v>
      </c>
    </row>
    <row r="86" spans="1:3">
      <c r="A86" s="590"/>
      <c r="B86" s="415">
        <v>0.83333333333333337</v>
      </c>
      <c r="C86" s="419" t="s">
        <v>805</v>
      </c>
    </row>
    <row r="87" spans="1:3">
      <c r="A87" s="590"/>
      <c r="B87" s="415">
        <v>0.85416666666666663</v>
      </c>
      <c r="C87" s="419" t="s">
        <v>805</v>
      </c>
    </row>
    <row r="88" spans="1:3">
      <c r="A88" s="590"/>
      <c r="B88" s="417">
        <v>0.875</v>
      </c>
      <c r="C88" s="419" t="s">
        <v>805</v>
      </c>
    </row>
    <row r="89" spans="1:3">
      <c r="A89" s="590"/>
      <c r="B89" s="417">
        <v>0.89583333333333337</v>
      </c>
      <c r="C89" s="419" t="s">
        <v>805</v>
      </c>
    </row>
    <row r="90" spans="1:3">
      <c r="A90" s="590"/>
      <c r="B90" s="417">
        <v>0.91666666666666663</v>
      </c>
      <c r="C90" s="419"/>
    </row>
    <row r="91" spans="1:3">
      <c r="A91" s="590"/>
      <c r="B91" s="417">
        <v>0.9375</v>
      </c>
      <c r="C91" s="419"/>
    </row>
    <row r="92" spans="1:3">
      <c r="A92" s="590"/>
      <c r="B92" s="417">
        <v>0.95833333333333337</v>
      </c>
      <c r="C92" s="419"/>
    </row>
    <row r="93" spans="1:3">
      <c r="A93" s="590"/>
      <c r="B93" s="418">
        <v>0.97916666666666663</v>
      </c>
      <c r="C93" s="419"/>
    </row>
    <row r="94" spans="1:3">
      <c r="A94" s="590"/>
    </row>
    <row r="95" spans="1:3">
      <c r="A95" s="590"/>
    </row>
    <row r="96" spans="1:3">
      <c r="A96" s="590"/>
    </row>
    <row r="97" spans="1:43">
      <c r="A97" s="590"/>
    </row>
    <row r="98" spans="1:43">
      <c r="A98" s="590"/>
    </row>
    <row r="99" spans="1:43">
      <c r="A99" s="590"/>
    </row>
    <row r="100" spans="1:43">
      <c r="A100" s="590"/>
    </row>
    <row r="101" spans="1:43">
      <c r="A101" s="590"/>
    </row>
    <row r="102" spans="1:43">
      <c r="A102" s="590"/>
    </row>
    <row r="103" spans="1:43">
      <c r="A103" s="590"/>
    </row>
    <row r="104" spans="1:43">
      <c r="A104" s="590"/>
    </row>
    <row r="105" spans="1:43">
      <c r="A105" s="590"/>
    </row>
    <row r="106" spans="1:43">
      <c r="A106" s="590"/>
      <c r="AQ106">
        <v>10</v>
      </c>
    </row>
    <row r="107" spans="1:43">
      <c r="A107" s="590"/>
    </row>
    <row r="108" spans="1:43">
      <c r="A108" s="590"/>
    </row>
    <row r="109" spans="1:43">
      <c r="A109" s="590"/>
    </row>
    <row r="110" spans="1:43">
      <c r="A110" s="590"/>
    </row>
    <row r="111" spans="1:43">
      <c r="A111" s="590"/>
    </row>
    <row r="112" spans="1:43">
      <c r="A112" s="590"/>
    </row>
    <row r="113" spans="1:1">
      <c r="A113" s="590"/>
    </row>
    <row r="114" spans="1:1">
      <c r="A114" s="590"/>
    </row>
    <row r="115" spans="1:1">
      <c r="A115" s="590"/>
    </row>
    <row r="116" spans="1:1">
      <c r="A116" s="590"/>
    </row>
    <row r="117" spans="1:1">
      <c r="A117" s="590"/>
    </row>
    <row r="118" spans="1:1">
      <c r="A118" s="590"/>
    </row>
    <row r="119" spans="1:1">
      <c r="A119" s="590"/>
    </row>
    <row r="120" spans="1:1">
      <c r="A120" s="590"/>
    </row>
    <row r="165" spans="43:46">
      <c r="AQ165" s="328">
        <f>$AN$164-AQ164</f>
        <v>0</v>
      </c>
      <c r="AR165" s="328">
        <f>$AN$164-AR164</f>
        <v>0</v>
      </c>
      <c r="AS165" s="328">
        <f>$AN$164-AS164</f>
        <v>0</v>
      </c>
      <c r="AT165" s="328">
        <f>$AN$164-AT164</f>
        <v>0</v>
      </c>
    </row>
  </sheetData>
  <mergeCells count="1">
    <mergeCell ref="E48:F48"/>
  </mergeCells>
  <dataValidations count="4">
    <dataValidation type="list" allowBlank="1" showInputMessage="1" showErrorMessage="1" sqref="L6:L37" xr:uid="{00000000-0002-0000-0400-000000000000}">
      <formula1>NOME_CURVAS</formula1>
    </dataValidation>
    <dataValidation type="list" allowBlank="1" showInputMessage="1" showErrorMessage="1" sqref="M38:M40 M6:M36" xr:uid="{C481ADBF-EFF2-4E2A-A953-8307FF6E2E0C}">
      <formula1>NOME_CURVAS_DIM</formula1>
    </dataValidation>
    <dataValidation type="list" allowBlank="1" showInputMessage="1" showErrorMessage="1" sqref="O4:U4" xr:uid="{00000000-0002-0000-0400-000002000000}">
      <formula1>$T$1:$T$2</formula1>
    </dataValidation>
    <dataValidation type="list" allowBlank="1" showInputMessage="1" showErrorMessage="1" sqref="G48" xr:uid="{00000000-0002-0000-0400-000003000000}">
      <formula1>$A$45:$A$46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ATUALIZAR_CURVAS_ON">
                <anchor moveWithCells="1">
                  <from>
                    <xdr:col>5</xdr:col>
                    <xdr:colOff>123825</xdr:colOff>
                    <xdr:row>0</xdr:row>
                    <xdr:rowOff>142875</xdr:rowOff>
                  </from>
                  <to>
                    <xdr:col>6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g_cenario">
                <anchor moveWithCells="1">
                  <from>
                    <xdr:col>6</xdr:col>
                    <xdr:colOff>314325</xdr:colOff>
                    <xdr:row>0</xdr:row>
                    <xdr:rowOff>133350</xdr:rowOff>
                  </from>
                  <to>
                    <xdr:col>7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EX_US9">
                <anchor moveWithCells="1">
                  <from>
                    <xdr:col>8</xdr:col>
                    <xdr:colOff>571500</xdr:colOff>
                    <xdr:row>0</xdr:row>
                    <xdr:rowOff>133350</xdr:rowOff>
                  </from>
                  <to>
                    <xdr:col>10</xdr:col>
                    <xdr:colOff>171450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7" name="DROPCENARIO">
              <controlPr defaultSize="0" autoLine="0" autoPict="0" macro="[0]!DROPCENARIO_Alteração">
                <anchor moveWithCells="1">
                  <from>
                    <xdr:col>10</xdr:col>
                    <xdr:colOff>390525</xdr:colOff>
                    <xdr:row>1</xdr:row>
                    <xdr:rowOff>9525</xdr:rowOff>
                  </from>
                  <to>
                    <xdr:col>12</xdr:col>
                    <xdr:colOff>1057275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8" name="Button 30">
              <controlPr defaultSize="0" print="0" autoFill="0" autoPict="0" macro="[0]!CLEAR_cenario">
                <anchor moveWithCells="1">
                  <from>
                    <xdr:col>7</xdr:col>
                    <xdr:colOff>400050</xdr:colOff>
                    <xdr:row>0</xdr:row>
                    <xdr:rowOff>133350</xdr:rowOff>
                  </from>
                  <to>
                    <xdr:col>8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9" name="Option Button 31">
              <controlPr defaultSize="0" autoFill="0" autoLine="0" autoPict="0" macro="[0]!CONVERTER_NEC">
                <anchor moveWithCells="1">
                  <from>
                    <xdr:col>1</xdr:col>
                    <xdr:colOff>19050</xdr:colOff>
                    <xdr:row>3</xdr:row>
                    <xdr:rowOff>66675</xdr:rowOff>
                  </from>
                  <to>
                    <xdr:col>1</xdr:col>
                    <xdr:colOff>247650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0" name="Option Button 32">
              <controlPr defaultSize="0" autoFill="0" autoLine="0" autoPict="0" macro="[0]!CONVERTER_NEC">
                <anchor moveWithCells="1">
                  <from>
                    <xdr:col>2</xdr:col>
                    <xdr:colOff>504825</xdr:colOff>
                    <xdr:row>3</xdr:row>
                    <xdr:rowOff>57150</xdr:rowOff>
                  </from>
                  <to>
                    <xdr:col>3</xdr:col>
                    <xdr:colOff>123825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1" name="Button 41">
              <controlPr defaultSize="0" print="0" autoFill="0" autoPict="0" macro="[0]!GERA_CENARIOS_SEPARADOS">
                <anchor moveWithCells="1">
                  <from>
                    <xdr:col>7</xdr:col>
                    <xdr:colOff>390525</xdr:colOff>
                    <xdr:row>3</xdr:row>
                    <xdr:rowOff>57150</xdr:rowOff>
                  </from>
                  <to>
                    <xdr:col>10</xdr:col>
                    <xdr:colOff>190500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12" name="Button 43">
              <controlPr defaultSize="0" print="0" autoFill="0" autoPict="0" macro="[0]!Validar_regua">
                <anchor moveWithCells="1">
                  <from>
                    <xdr:col>13</xdr:col>
                    <xdr:colOff>28575</xdr:colOff>
                    <xdr:row>4</xdr:row>
                    <xdr:rowOff>9525</xdr:rowOff>
                  </from>
                  <to>
                    <xdr:col>13</xdr:col>
                    <xdr:colOff>190500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3" name="Button 44">
              <controlPr defaultSize="0" print="0" autoFill="0" autoPict="0" macro="[0]!EXPORTAR_P_BD">
                <anchor moveWithCells="1">
                  <from>
                    <xdr:col>5</xdr:col>
                    <xdr:colOff>123825</xdr:colOff>
                    <xdr:row>3</xdr:row>
                    <xdr:rowOff>66675</xdr:rowOff>
                  </from>
                  <to>
                    <xdr:col>7</xdr:col>
                    <xdr:colOff>361950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>
    <tabColor rgb="FF92D050"/>
  </sheetPr>
  <dimension ref="A1:AZ215"/>
  <sheetViews>
    <sheetView showGridLines="0" showRowColHeaders="0" zoomScale="85" zoomScaleNormal="85" workbookViewId="0">
      <pane ySplit="19" topLeftCell="A47" activePane="bottomLeft" state="frozen"/>
      <selection activeCell="S6" sqref="S6:U6"/>
      <selection pane="bottomLeft" activeCell="K63" sqref="K63"/>
    </sheetView>
  </sheetViews>
  <sheetFormatPr defaultRowHeight="11.25" customHeight="1"/>
  <cols>
    <col min="1" max="1" width="6.625" customWidth="1"/>
    <col min="2" max="4" width="9.375" customWidth="1"/>
    <col min="5" max="6" width="9.25" customWidth="1"/>
    <col min="7" max="7" width="8.875" customWidth="1"/>
    <col min="8" max="9" width="8.5" customWidth="1"/>
    <col min="10" max="11" width="9.125" customWidth="1"/>
    <col min="12" max="15" width="3.875" customWidth="1"/>
    <col min="16" max="17" width="8.25" customWidth="1"/>
    <col min="18" max="18" width="1" customWidth="1"/>
    <col min="19" max="20" width="6" customWidth="1"/>
    <col min="21" max="22" width="7.75" customWidth="1"/>
    <col min="23" max="23" width="0.75" customWidth="1"/>
    <col min="24" max="24" width="6.375" customWidth="1"/>
    <col min="25" max="32" width="7.875" customWidth="1"/>
    <col min="33" max="34" width="9" customWidth="1"/>
    <col min="35" max="35" width="1.25" customWidth="1"/>
    <col min="36" max="37" width="13.625" customWidth="1"/>
    <col min="38" max="38" width="1.375" customWidth="1"/>
    <col min="39" max="39" width="6" bestFit="1" customWidth="1"/>
  </cols>
  <sheetData>
    <row r="1" spans="1:29" ht="17.25" customHeight="1">
      <c r="B1" s="349">
        <v>20</v>
      </c>
      <c r="C1" s="349">
        <v>163</v>
      </c>
      <c r="D1" s="364">
        <v>1</v>
      </c>
      <c r="U1" s="578" t="s">
        <v>803</v>
      </c>
      <c r="V1" s="578"/>
      <c r="X1" s="577" t="s">
        <v>658</v>
      </c>
      <c r="Y1" s="577"/>
    </row>
    <row r="2" spans="1:29" ht="13.5" customHeight="1">
      <c r="B2" s="483" t="s">
        <v>622</v>
      </c>
      <c r="C2" s="484"/>
      <c r="D2" s="484"/>
      <c r="E2" s="484"/>
      <c r="F2" s="484"/>
      <c r="G2" s="287" t="s">
        <v>623</v>
      </c>
      <c r="H2" s="129"/>
      <c r="I2" s="129"/>
      <c r="J2" s="129"/>
      <c r="K2" s="129"/>
      <c r="M2" s="363" t="s">
        <v>769</v>
      </c>
      <c r="N2" s="362"/>
      <c r="O2" s="362"/>
      <c r="P2" s="362"/>
      <c r="Q2" s="501" t="s">
        <v>802</v>
      </c>
      <c r="U2" s="576" t="e">
        <f>VLOOKUP(D6,CONFIG!$L$46:$M$52,2,0)*E6+VLOOKUP(D7,CONFIG!$L$46:$M$52,2,0)*E7+VLOOKUP(D8,CONFIG!$L$46:$M$52,2,0)*E8+VLOOKUP(D9,CONFIG!$L$46:$M$52,2,0)*E9+VLOOKUP(D11,CONFIG!$L$46:$M$52,2,0)*F11</f>
        <v>#N/A</v>
      </c>
      <c r="V2" s="576"/>
      <c r="W2" s="502"/>
      <c r="X2" s="576">
        <f>(SUM(S20:S163)*10/60)*IF(TEXT(C10,"ddd")="dom",CONFIG!M51,CONFIG!M50)</f>
        <v>0</v>
      </c>
      <c r="Y2" s="576"/>
    </row>
    <row r="3" spans="1:29" ht="11.25" customHeight="1">
      <c r="A3" s="594" t="s">
        <v>791</v>
      </c>
      <c r="B3" s="349">
        <v>0</v>
      </c>
      <c r="C3" s="349">
        <v>0</v>
      </c>
      <c r="D3" s="349">
        <v>400</v>
      </c>
      <c r="E3" s="349">
        <v>150</v>
      </c>
      <c r="H3" s="532" t="s">
        <v>819</v>
      </c>
      <c r="I3" s="125" t="s">
        <v>613</v>
      </c>
      <c r="J3" s="123" t="s">
        <v>610</v>
      </c>
      <c r="K3" s="124" t="s">
        <v>611</v>
      </c>
      <c r="M3" s="586" t="s">
        <v>788</v>
      </c>
      <c r="N3" s="586"/>
      <c r="O3" s="586"/>
      <c r="P3" s="586"/>
    </row>
    <row r="4" spans="1:29" ht="11.25" customHeight="1">
      <c r="A4" s="590"/>
      <c r="B4" s="477" t="s">
        <v>604</v>
      </c>
      <c r="C4" s="478" t="s">
        <v>605</v>
      </c>
      <c r="D4" s="478" t="s">
        <v>604</v>
      </c>
      <c r="E4" s="478" t="s">
        <v>605</v>
      </c>
      <c r="F4" s="274" t="s">
        <v>659</v>
      </c>
      <c r="G4" s="385" t="s">
        <v>604</v>
      </c>
      <c r="H4" s="208" t="s">
        <v>603</v>
      </c>
      <c r="I4" s="209" t="s">
        <v>603</v>
      </c>
      <c r="J4" s="210" t="s">
        <v>603</v>
      </c>
      <c r="K4" s="211" t="s">
        <v>603</v>
      </c>
      <c r="M4" s="587"/>
      <c r="N4" s="587"/>
      <c r="O4" s="587"/>
      <c r="P4" s="587"/>
      <c r="S4" s="178" t="s">
        <v>661</v>
      </c>
      <c r="T4" s="280">
        <f>SUM(S20:S163)*10/60</f>
        <v>0</v>
      </c>
      <c r="AA4" s="180" t="str">
        <f>Y19</f>
        <v>PA DIM.</v>
      </c>
      <c r="AB4" s="173">
        <f>Y18</f>
        <v>19</v>
      </c>
      <c r="AC4" s="122"/>
    </row>
    <row r="5" spans="1:29" ht="11.25" customHeight="1">
      <c r="A5" s="590"/>
      <c r="B5" s="253" t="s">
        <v>591</v>
      </c>
      <c r="C5" s="340">
        <v>598.05300532808553</v>
      </c>
      <c r="D5" s="254" t="s">
        <v>641</v>
      </c>
      <c r="E5" s="255">
        <f>SUM(E6:E9)</f>
        <v>39</v>
      </c>
      <c r="F5" s="283">
        <f>E5+S18</f>
        <v>39</v>
      </c>
      <c r="G5" s="282" t="s">
        <v>658</v>
      </c>
      <c r="H5" s="581">
        <v>0</v>
      </c>
      <c r="I5" s="582"/>
      <c r="J5" s="582"/>
      <c r="K5" s="583"/>
      <c r="S5" s="178" t="s">
        <v>662</v>
      </c>
      <c r="T5" s="279">
        <f>T4/6</f>
        <v>0</v>
      </c>
      <c r="AA5" s="122" t="str">
        <f>Z19</f>
        <v>OVER C.</v>
      </c>
      <c r="AB5" s="173">
        <f>AB4-AC5</f>
        <v>19</v>
      </c>
      <c r="AC5" s="173">
        <f>Z18</f>
        <v>0</v>
      </c>
    </row>
    <row r="6" spans="1:29" ht="11.25" customHeight="1">
      <c r="A6" s="590"/>
      <c r="B6" s="253" t="s">
        <v>590</v>
      </c>
      <c r="C6" s="341">
        <v>835.55984869595488</v>
      </c>
      <c r="D6" s="257" t="s">
        <v>819</v>
      </c>
      <c r="E6" s="258">
        <f>SUM(H20:H163)</f>
        <v>0</v>
      </c>
      <c r="F6" s="256"/>
      <c r="G6" s="359" t="s">
        <v>767</v>
      </c>
      <c r="H6" s="584">
        <v>1</v>
      </c>
      <c r="I6" s="584"/>
      <c r="J6" s="584"/>
      <c r="K6" s="585"/>
      <c r="AA6" s="122" t="str">
        <f>AA19</f>
        <v>P. ESC.</v>
      </c>
      <c r="AB6" s="173">
        <f t="shared" ref="AB6:AB11" si="0">AB5-AC6</f>
        <v>19</v>
      </c>
      <c r="AC6" s="173">
        <f>AA18</f>
        <v>0</v>
      </c>
    </row>
    <row r="7" spans="1:29" ht="11.25" customHeight="1">
      <c r="A7" s="590"/>
      <c r="B7" s="259" t="s">
        <v>635</v>
      </c>
      <c r="C7" s="260">
        <v>0.8</v>
      </c>
      <c r="D7" s="261" t="s">
        <v>613</v>
      </c>
      <c r="E7" s="255">
        <f>SUM(I20:I163)</f>
        <v>0</v>
      </c>
      <c r="F7" s="256"/>
      <c r="G7" s="252" t="s">
        <v>651</v>
      </c>
      <c r="H7" s="579">
        <f>IFERROR((SUM(H20:H163)*H15+SUM(I20:I163)*I15+SUM(J20:J163)*J15+SUM(K20:K163)*K15)/SUM(E6:E9),0)</f>
        <v>0.18483130904183534</v>
      </c>
      <c r="I7" s="579"/>
      <c r="J7" s="579"/>
      <c r="K7" s="580"/>
      <c r="U7">
        <v>0.80198499104846865</v>
      </c>
      <c r="AA7" s="122" t="str">
        <f>AB19</f>
        <v>ABS</v>
      </c>
      <c r="AB7" s="173">
        <f t="shared" si="0"/>
        <v>19</v>
      </c>
      <c r="AC7" s="173">
        <f>AB18</f>
        <v>0</v>
      </c>
    </row>
    <row r="8" spans="1:29" ht="11.25" customHeight="1">
      <c r="A8" s="595"/>
      <c r="B8" s="253" t="s">
        <v>636</v>
      </c>
      <c r="C8" s="262">
        <v>20</v>
      </c>
      <c r="D8" s="263" t="s">
        <v>610</v>
      </c>
      <c r="E8" s="255">
        <f>SUM(J20:J163)</f>
        <v>32</v>
      </c>
      <c r="F8" s="256"/>
      <c r="G8" s="250" t="s">
        <v>616</v>
      </c>
      <c r="H8" s="342"/>
      <c r="I8" s="342"/>
      <c r="J8" s="342"/>
      <c r="K8" s="343"/>
      <c r="AA8" s="122" t="str">
        <f>AC19</f>
        <v>TO</v>
      </c>
      <c r="AB8" s="173">
        <f t="shared" si="0"/>
        <v>19</v>
      </c>
      <c r="AC8" s="173">
        <f>AC18</f>
        <v>0</v>
      </c>
    </row>
    <row r="9" spans="1:29" ht="11.25" customHeight="1">
      <c r="A9" s="595"/>
      <c r="B9" s="264" t="s">
        <v>607</v>
      </c>
      <c r="C9" s="329">
        <f>IFERROR(VLOOKUP($C$10,TABELA_MATRIZ,3,0),"-")</f>
        <v>4</v>
      </c>
      <c r="D9" s="265" t="s">
        <v>611</v>
      </c>
      <c r="E9" s="258">
        <f>SUM(K20:K163)</f>
        <v>7</v>
      </c>
      <c r="F9" s="256"/>
      <c r="G9" s="250" t="s">
        <v>602</v>
      </c>
      <c r="H9" s="342"/>
      <c r="I9" s="342"/>
      <c r="J9" s="342"/>
      <c r="K9" s="343"/>
      <c r="AA9" s="122" t="str">
        <f>AD19</f>
        <v>NR17</v>
      </c>
      <c r="AB9" s="173">
        <f t="shared" si="0"/>
        <v>19</v>
      </c>
      <c r="AC9" s="173">
        <f>AD18</f>
        <v>0</v>
      </c>
    </row>
    <row r="10" spans="1:29" ht="11.25" customHeight="1">
      <c r="A10" s="595"/>
      <c r="B10" s="253" t="s">
        <v>634</v>
      </c>
      <c r="C10" s="486">
        <v>46265</v>
      </c>
      <c r="D10" s="254" t="s">
        <v>614</v>
      </c>
      <c r="E10" s="348">
        <f>((E6*60*4)+(E7*(60*5+20))+(E8*(60*6+20))+(E9*(60*7+12)))/(60*6+20)</f>
        <v>39.957894736842107</v>
      </c>
      <c r="F10" s="256"/>
      <c r="G10" s="250" t="s">
        <v>594</v>
      </c>
      <c r="H10" s="342"/>
      <c r="I10" s="342"/>
      <c r="J10" s="342">
        <v>0.1</v>
      </c>
      <c r="K10" s="343"/>
      <c r="AA10" s="122" t="str">
        <f>AE19</f>
        <v>TREINA.</v>
      </c>
      <c r="AB10" s="173">
        <f t="shared" si="0"/>
        <v>19</v>
      </c>
      <c r="AC10" s="173">
        <f>AE18</f>
        <v>0</v>
      </c>
    </row>
    <row r="11" spans="1:29" ht="11.25" customHeight="1">
      <c r="A11" s="590"/>
      <c r="B11" s="266" t="s">
        <v>630</v>
      </c>
      <c r="C11" s="262" t="s">
        <v>852</v>
      </c>
      <c r="D11" s="254" t="s">
        <v>599</v>
      </c>
      <c r="E11" s="255">
        <f>AG18</f>
        <v>19</v>
      </c>
      <c r="F11" s="267">
        <f>AH18-AG18+E11</f>
        <v>19</v>
      </c>
      <c r="G11" s="250" t="s">
        <v>595</v>
      </c>
      <c r="H11" s="342"/>
      <c r="I11" s="342"/>
      <c r="J11" s="342"/>
      <c r="K11" s="343"/>
      <c r="AA11" s="122" t="str">
        <f>AF19</f>
        <v>OUTROS</v>
      </c>
      <c r="AB11" s="173">
        <f t="shared" si="0"/>
        <v>19</v>
      </c>
      <c r="AC11" s="173">
        <f>AF18</f>
        <v>0</v>
      </c>
    </row>
    <row r="12" spans="1:29" ht="11.25" customHeight="1">
      <c r="A12" s="590"/>
      <c r="B12" s="337" t="s">
        <v>763</v>
      </c>
      <c r="C12" s="336">
        <f>COUNTIF(AM20:AM163,"&gt;0")</f>
        <v>14</v>
      </c>
      <c r="D12" s="254" t="s">
        <v>617</v>
      </c>
      <c r="E12" s="269">
        <f>IFERROR(E5/E11,0)</f>
        <v>2.0526315789473686</v>
      </c>
      <c r="F12" s="269">
        <f>IFERROR(F5/F11,0)</f>
        <v>2.0526315789473686</v>
      </c>
      <c r="G12" s="250" t="s">
        <v>615</v>
      </c>
      <c r="H12" s="342"/>
      <c r="I12" s="342"/>
      <c r="J12" s="342">
        <v>0.10526315789473684</v>
      </c>
      <c r="K12" s="343"/>
      <c r="AA12" s="179" t="s">
        <v>658</v>
      </c>
      <c r="AB12" s="173">
        <f>AB11</f>
        <v>19</v>
      </c>
      <c r="AC12" s="173">
        <f>AH18-AG18</f>
        <v>0</v>
      </c>
    </row>
    <row r="13" spans="1:29" ht="11.25" customHeight="1">
      <c r="A13" s="590"/>
      <c r="B13" s="268"/>
      <c r="C13" s="270"/>
      <c r="D13" s="254" t="s">
        <v>601</v>
      </c>
      <c r="E13" s="269">
        <f>IFERROR(E10/E11,0)</f>
        <v>2.1030470914127424</v>
      </c>
      <c r="F13" s="256"/>
      <c r="G13" s="250" t="s">
        <v>596</v>
      </c>
      <c r="H13" s="342"/>
      <c r="I13" s="342"/>
      <c r="J13" s="342">
        <v>0.02</v>
      </c>
      <c r="K13" s="343"/>
      <c r="Z13" s="332"/>
      <c r="AA13" s="333" t="str">
        <f>AG19</f>
        <v>PA LOG.</v>
      </c>
      <c r="AB13" s="173">
        <f>AH18</f>
        <v>19</v>
      </c>
      <c r="AC13" s="122"/>
    </row>
    <row r="14" spans="1:29" ht="11.25" customHeight="1">
      <c r="A14" s="590"/>
      <c r="B14" s="266" t="s">
        <v>629</v>
      </c>
      <c r="C14" s="262" t="s">
        <v>814</v>
      </c>
      <c r="D14" s="254" t="s">
        <v>600</v>
      </c>
      <c r="E14" s="271">
        <f ca="1">IFERROR(SUMPRODUCT(B20:B163,P20:P163)/$C$5,0)</f>
        <v>0.72735607949081282</v>
      </c>
      <c r="F14" s="256"/>
      <c r="G14" s="250" t="s">
        <v>597</v>
      </c>
      <c r="H14" s="342"/>
      <c r="I14" s="342"/>
      <c r="J14" s="342"/>
      <c r="K14" s="343"/>
    </row>
    <row r="15" spans="1:29" ht="11.25" customHeight="1">
      <c r="A15" s="590"/>
      <c r="B15" s="266" t="s">
        <v>766</v>
      </c>
      <c r="C15" s="358">
        <f>IFERROR(SUM(E152:E163,E20:E49)/SUM(E20:E163),"-")</f>
        <v>0.11545862732520847</v>
      </c>
      <c r="D15" s="272" t="s">
        <v>619</v>
      </c>
      <c r="E15" s="561">
        <f ca="1">IFERROR(SUMPRODUCT(B20:B163,G20:G163)/$C$5,0)</f>
        <v>0.69581886934932891</v>
      </c>
      <c r="F15" s="273">
        <f ca="1">V18</f>
        <v>0.69581886934932891</v>
      </c>
      <c r="G15" s="251" t="s">
        <v>598</v>
      </c>
      <c r="H15" s="212">
        <f>SUM(H8:H14)</f>
        <v>0</v>
      </c>
      <c r="I15" s="212">
        <f>SUM(I8:I14)</f>
        <v>0</v>
      </c>
      <c r="J15" s="212">
        <f>SUM(J8:J14)</f>
        <v>0.22526315789473683</v>
      </c>
      <c r="K15" s="213">
        <f>SUM(K8:K14)</f>
        <v>0</v>
      </c>
    </row>
    <row r="16" spans="1:29" ht="6" customHeight="1">
      <c r="A16" s="590"/>
      <c r="B16" s="382"/>
      <c r="C16" s="383"/>
      <c r="D16" s="383"/>
      <c r="E16" s="383"/>
      <c r="F16" s="383"/>
      <c r="G16" s="383"/>
      <c r="H16" s="384"/>
      <c r="I16" s="384"/>
      <c r="J16" s="384"/>
      <c r="K16" s="384"/>
      <c r="M16" s="365">
        <f>VLOOKUP(MAX(J20:K163),CONFIG!B39:C43,2)</f>
        <v>0.1</v>
      </c>
    </row>
    <row r="17" spans="1:39" ht="11.25" customHeight="1">
      <c r="A17" s="596" t="b">
        <v>1</v>
      </c>
      <c r="B17" s="347">
        <f ca="1">IFERROR(SUMPRODUCT(B74:B85,G74:G85)/SUM(B74:B85),0)</f>
        <v>0.68565578773584945</v>
      </c>
      <c r="C17" s="347">
        <f ca="1">IFERROR(SUMPRODUCT(B134:B151,G134:G151)/SUM(B134:B151),0)</f>
        <v>0.71108021563889445</v>
      </c>
      <c r="D17" s="414"/>
      <c r="E17" s="414"/>
      <c r="F17" s="474"/>
      <c r="G17" s="360"/>
      <c r="H17" s="543">
        <v>0.2638888888888889</v>
      </c>
      <c r="I17" s="543">
        <v>0.22222222222222221</v>
      </c>
      <c r="J17" s="543">
        <v>0.2638888888888889</v>
      </c>
      <c r="K17" s="543">
        <v>0.3</v>
      </c>
      <c r="P17" s="386" t="s">
        <v>618</v>
      </c>
      <c r="Q17" s="387" t="s">
        <v>618</v>
      </c>
      <c r="V17" s="179"/>
      <c r="Z17" s="240" t="str">
        <f>CONFIG!O4</f>
        <v>Não</v>
      </c>
      <c r="AA17" s="240" t="str">
        <f>CONFIG!P4</f>
        <v>Sim</v>
      </c>
      <c r="AB17" s="240" t="str">
        <f>CONFIG!Q4</f>
        <v>Sim</v>
      </c>
      <c r="AC17" s="240" t="str">
        <f>CONFIG!R4</f>
        <v>Sim</v>
      </c>
      <c r="AD17" s="240" t="str">
        <f>CONFIG!S4</f>
        <v>Sim</v>
      </c>
      <c r="AE17" s="240" t="str">
        <f>CONFIG!T4</f>
        <v>Sim</v>
      </c>
      <c r="AF17" s="240" t="str">
        <f>CONFIG!U4</f>
        <v>Sim</v>
      </c>
      <c r="AG17" s="293" t="s">
        <v>649</v>
      </c>
      <c r="AH17" s="293" t="s">
        <v>649</v>
      </c>
    </row>
    <row r="18" spans="1:39" ht="11.25" customHeight="1">
      <c r="A18" s="597"/>
      <c r="C18" s="190" t="s">
        <v>641</v>
      </c>
      <c r="D18" s="191">
        <f ca="1">SUM(D20:D163)/("06:20"/"00:10")</f>
        <v>42.157894736842103</v>
      </c>
      <c r="E18" s="191">
        <f>SUM(E20:E163)/("06:20"/"00:10")</f>
        <v>41.026315789473685</v>
      </c>
      <c r="F18" s="357">
        <f ca="1">E18-D18</f>
        <v>-1.1315789473684177</v>
      </c>
      <c r="G18" s="249">
        <f ca="1">IFERROR(SUMPRODUCT(B20:B163,G20:G163)/$C$5,0)</f>
        <v>0.69581886934932891</v>
      </c>
      <c r="H18" s="531" t="s">
        <v>819</v>
      </c>
      <c r="I18" s="205" t="s">
        <v>613</v>
      </c>
      <c r="J18" s="206" t="s">
        <v>610</v>
      </c>
      <c r="K18" s="207" t="s">
        <v>611</v>
      </c>
      <c r="M18" s="588">
        <v>0.1</v>
      </c>
      <c r="N18" s="589"/>
      <c r="O18" s="120"/>
      <c r="P18" s="203" t="s">
        <v>620</v>
      </c>
      <c r="Q18" s="204" t="s">
        <v>621</v>
      </c>
      <c r="S18" s="192">
        <f>SUM(S20:S163)/12.66/3</f>
        <v>0</v>
      </c>
      <c r="T18" s="192">
        <f ca="1">SUM(T20:T163)/12.66/3</f>
        <v>-1.1321748288572933</v>
      </c>
      <c r="U18" s="248">
        <f ca="1">IFERROR(SUMPRODUCT(B20:B163,U20:U163)/$C$5,0)</f>
        <v>0.69581886934932891</v>
      </c>
      <c r="V18" s="248">
        <f ca="1">IFERROR(SUMPRODUCT(B20:B163,V20:V163)/$C$5,0)</f>
        <v>0.69581886934932891</v>
      </c>
      <c r="Y18" s="214">
        <f>IFERROR(LARGE(Y20:Y163,1),0)</f>
        <v>19</v>
      </c>
      <c r="Z18" s="215">
        <f t="shared" ref="Z18:AG18" si="1">IFERROR(LARGE(Z20:Z163,1),0)</f>
        <v>0</v>
      </c>
      <c r="AA18" s="215">
        <f t="shared" si="1"/>
        <v>0</v>
      </c>
      <c r="AB18" s="215">
        <f t="shared" si="1"/>
        <v>0</v>
      </c>
      <c r="AC18" s="215">
        <f t="shared" si="1"/>
        <v>0</v>
      </c>
      <c r="AD18" s="215">
        <f t="shared" si="1"/>
        <v>0</v>
      </c>
      <c r="AE18" s="215">
        <f t="shared" si="1"/>
        <v>0</v>
      </c>
      <c r="AF18" s="215">
        <f t="shared" si="1"/>
        <v>0</v>
      </c>
      <c r="AG18" s="216">
        <f t="shared" si="1"/>
        <v>19</v>
      </c>
      <c r="AH18" s="216">
        <f>IFERROR(LARGE(AH20:AH163,1),0)</f>
        <v>19</v>
      </c>
      <c r="AJ18" s="191">
        <f ca="1">SUM(AJ20:AJ163)/12.66/3</f>
        <v>33.017377567140599</v>
      </c>
      <c r="AK18" s="191">
        <f ca="1">SUM(AK20:AK163)/12.66/3</f>
        <v>38.941548183254348</v>
      </c>
    </row>
    <row r="19" spans="1:39" ht="11.25" customHeight="1">
      <c r="A19" s="598" t="s">
        <v>628</v>
      </c>
      <c r="B19" s="391" t="s">
        <v>591</v>
      </c>
      <c r="C19" s="391" t="s">
        <v>590</v>
      </c>
      <c r="D19" s="182" t="s">
        <v>664</v>
      </c>
      <c r="E19" s="182" t="s">
        <v>665</v>
      </c>
      <c r="F19" s="278" t="s">
        <v>592</v>
      </c>
      <c r="G19" s="392" t="s">
        <v>593</v>
      </c>
      <c r="H19" s="193" t="s">
        <v>603</v>
      </c>
      <c r="I19" s="194" t="s">
        <v>603</v>
      </c>
      <c r="J19" s="195" t="s">
        <v>603</v>
      </c>
      <c r="K19" s="196" t="s">
        <v>603</v>
      </c>
      <c r="L19" s="197" t="str">
        <f>H18</f>
        <v>6h20min (5X2)</v>
      </c>
      <c r="M19" s="198" t="str">
        <f>I18</f>
        <v>5h20min</v>
      </c>
      <c r="N19" s="199" t="str">
        <f>J18</f>
        <v>6h20min</v>
      </c>
      <c r="O19" s="200" t="str">
        <f>K18</f>
        <v>7h12min</v>
      </c>
      <c r="P19" s="338">
        <f ca="1">IFERROR(SUMPRODUCT(E20:E163,P20:P163)/SUM($E$20:$E$163),0)</f>
        <v>0.65534861091343266</v>
      </c>
      <c r="Q19" s="338">
        <f ca="1">IFERROR(SUMPRODUCT(D20:D163,Q20:Q163)/SUM($D$20:$D$163),0)</f>
        <v>0.63775810512736675</v>
      </c>
      <c r="R19">
        <f ca="1">SMALL(R20:R163,1)</f>
        <v>-59</v>
      </c>
      <c r="S19" s="243" t="s">
        <v>656</v>
      </c>
      <c r="T19" s="278" t="s">
        <v>592</v>
      </c>
      <c r="U19" s="244" t="s">
        <v>655</v>
      </c>
      <c r="V19" s="245" t="s">
        <v>657</v>
      </c>
      <c r="W19" s="331" t="str">
        <f>S19</f>
        <v>HC HE</v>
      </c>
      <c r="Y19" s="388" t="s">
        <v>653</v>
      </c>
      <c r="Z19" s="389" t="str">
        <f>G8</f>
        <v>OVER C.</v>
      </c>
      <c r="AA19" s="389" t="str">
        <f>G9</f>
        <v>P. ESC.</v>
      </c>
      <c r="AB19" s="389" t="str">
        <f>G10</f>
        <v>ABS</v>
      </c>
      <c r="AC19" s="389" t="str">
        <f>G11</f>
        <v>TO</v>
      </c>
      <c r="AD19" s="389" t="str">
        <f>G12</f>
        <v>NR17</v>
      </c>
      <c r="AE19" s="389" t="str">
        <f>G13</f>
        <v>TREINA.</v>
      </c>
      <c r="AF19" s="389" t="str">
        <f>G14</f>
        <v>OUTROS</v>
      </c>
      <c r="AG19" s="390" t="s">
        <v>652</v>
      </c>
      <c r="AH19" s="275" t="s">
        <v>660</v>
      </c>
      <c r="AJ19" s="390" t="s">
        <v>681</v>
      </c>
      <c r="AK19" s="390" t="s">
        <v>683</v>
      </c>
      <c r="AM19" s="487" t="s">
        <v>795</v>
      </c>
    </row>
    <row r="20" spans="1:39" ht="11.25" customHeight="1">
      <c r="A20" s="599">
        <v>0</v>
      </c>
      <c r="B20" s="183">
        <f ca="1">IFERROR(INDIRECT("CURVAS_INTRA!"&amp;ADDRESS(VLOOKUP($A20,CURVAS_INTRA!$A$3:$B$50,2,0),HLOOKUP($C$14,CURVAS_INTRA!$1:$2,2,0)))/3*$C$5,$B$19)</f>
        <v>0.42599204954787889</v>
      </c>
      <c r="C20" s="183">
        <f ca="1">IFERROR(INDIRECT("CURVAS_INTRA!"&amp;ADDRESS(VLOOKUP($A20,CURVAS_INTRA!$A$53:$B$100,2,0),HLOOKUP($C$14,CURVAS_INTRA!$1:$2,2,0)))*$C$6,C19)</f>
        <v>649.85589973986237</v>
      </c>
      <c r="D20" s="183">
        <f ca="1">IFERROR(ROUNDUP(IF(B20=0,0,Agents(B20*C20/600,$C$7,$C$8,C20))/(1-($H$7*(IFERROR(INDIRECT("CURVAS_INTRA!"&amp;ADDRESS(VLOOKUP($A20,CURVAS_INTRA!$A$103:$B$150,2,0),HLOOKUP($C$14,CURVAS_INTRA!$1:$2,2,0))),0)))),0),0)</f>
        <v>3</v>
      </c>
      <c r="E20" s="183">
        <f>ROUNDUP(SUM(L20:O20),0)</f>
        <v>4</v>
      </c>
      <c r="F20" s="241">
        <f ca="1">E20-D20</f>
        <v>1</v>
      </c>
      <c r="G20" s="185">
        <f ca="1">IFERROR(DelayQ(B20*C20/600,E20*((1-$H$7*VLOOKUP(A20,CURVAS_INTRA!$A$103:$AD$150,HLOOKUP($C$14,CURVAS_INTRA!$A$101:$AD$102,2,0),0))),$C$8,C20),0)</f>
        <v>0.98899999999999999</v>
      </c>
      <c r="H20" s="221">
        <v>0</v>
      </c>
      <c r="I20" s="221">
        <v>0</v>
      </c>
      <c r="J20" s="221">
        <v>4</v>
      </c>
      <c r="K20" s="221">
        <v>0</v>
      </c>
      <c r="L20" s="186">
        <f>SUM(H$20:H20)+SUM(H141:$H$163)</f>
        <v>0</v>
      </c>
      <c r="M20" s="186">
        <f>SUM(I$20:I20)+SUM(I133:$I$163)</f>
        <v>0</v>
      </c>
      <c r="N20" s="186">
        <f>SUM(J$20:J20)+SUM(J127:$J$163)</f>
        <v>4</v>
      </c>
      <c r="O20" s="187">
        <f>SUM($K$20:K20)+SUM(K116:$K$163)</f>
        <v>0</v>
      </c>
      <c r="P20" s="201">
        <f ca="1">IFERROR(IF((B20*C20)/(E20*600*(1-$H$7))&gt;1,1,(B20*C20)/(E20*600*(1-$H$7))),"")</f>
        <v>0.14150110365273477</v>
      </c>
      <c r="Q20" s="202">
        <f ca="1">IFERROR(IF((B20*C20)/(D20*600*(1-$H$7))&gt;1,1,(B20*C20)/(D20*600*(1-$H$7))),"")</f>
        <v>0.18866813820364634</v>
      </c>
      <c r="R20" s="174">
        <f ca="1">IF(AND(ROW()&gt;=$B$1,ROW()&lt;=$C$1),SUM(F20:F57),"")</f>
        <v>57</v>
      </c>
      <c r="S20" s="246"/>
      <c r="T20" s="241">
        <f ca="1">S20+F20</f>
        <v>1</v>
      </c>
      <c r="U20" s="247">
        <f ca="1">IF(IFERROR(DelayQ(B20*C20/600,(S20/(1-$H$5))+E20*((1-$H$7)*VLOOKUP(A20,CURVAS_INTRA!$A$103:$AD$150,HLOOKUP($C$14,CURVAS_INTRA!$A$101:$AD$102,2,0),0)),$C$8,C20),0)=0,"",IFERROR(DelayQ(B20*C20/600,S20+E20*((1-$H$7)*VLOOKUP(A20,CURVAS_INTRA!$A$103:$AD$150,HLOOKUP($C$14,CURVAS_INTRA!$A$101:$AD$102,2,0),0)),$C$8,C20),0))</f>
        <v>0.98899999999999999</v>
      </c>
      <c r="V20" s="281">
        <f ca="1">IF(S20="",G20,U20)</f>
        <v>0.98899999999999999</v>
      </c>
      <c r="W20" s="174">
        <f>S20+E20</f>
        <v>4</v>
      </c>
      <c r="X20" s="226">
        <v>0</v>
      </c>
      <c r="Y20" s="217">
        <f>SUM(L20:O20)</f>
        <v>4</v>
      </c>
      <c r="Z20" s="218">
        <f t="shared" ref="Z20:Z51" si="2">IFERROR(((IF($Z$17="Não",$H$8,0)*$E$6+IF($Z$17="Não",$I$8,0)*$E$7+IF($Z$17="Não",$J$8,0)*$E$8+IF($Z$17="Não",$K$8,0)*$E$9)/SUM($E$6:$E$9))*SUM(L20:O20),0)</f>
        <v>0</v>
      </c>
      <c r="AA20" s="218">
        <f t="shared" ref="AA20:AA51" si="3">IFERROR(((IF($AA$17="Não",$H$9,0)*$E$6+IF($AA$17="Não",$I$9,0)*$E$7+IF($AA$17="Não",$J$9,0)*$E$8+IF($AA$17="Não",$K$9,0)*$E$9)/SUM($E$6:$E$9))*SUM(L20:O20),0)</f>
        <v>0</v>
      </c>
      <c r="AB20" s="218">
        <f t="shared" ref="AB20:AB51" si="4">IFERROR(((IF($AB$17="Não",$H$10,0)*$E$6+IF($AB$17="Não",$I$10,0)*$E$7+IF($AB$17="Não",$J$10,0)*$E$8+IF($AB$17="Não",$K$10,0)*$E$9)/SUM($E$6:$E$9))*SUM(L20:O20),0)</f>
        <v>0</v>
      </c>
      <c r="AC20" s="218">
        <f t="shared" ref="AC20:AC51" si="5">IFERROR(((IF($AC$17="Não",$H$11,0)*$E$6+IF($AC$17="Não",$I$11,0)*$E$7+IF($AC$17="Não",$J$11,0)*$E$8+IF($AC$17="Não",$K$11,0)*$E$9)/SUM($E$6:$E$9))*SUM(L20:O20),0)</f>
        <v>0</v>
      </c>
      <c r="AD20" s="218">
        <f t="shared" ref="AD20:AD51" si="6">IFERROR(((IF($AD$17="Não",$H$12,0)*$E$6+IF($AD$17="Não",$I$12,0)*$E$7+IF($AD$17="Não",$J$12,0)*$E$8+IF($AD$17="Não",$K$12,0)*$E$9)/SUM($E$6:$E$9))*SUM(L20:O20),0)</f>
        <v>0</v>
      </c>
      <c r="AE20" s="218">
        <f t="shared" ref="AE20:AE51" si="7">IFERROR(((IF($AE$17="Não",$H$13,0)*$E$6+IF($AE$17="Não",$I$13,0)*$E$7+IF($AE$17="Não",$J$13,0)*$E$8+IF($AE$17="Não",$K$13,0)*$E$9)/SUM($E$6:$E$9))*SUM(L20:O20),0)</f>
        <v>0</v>
      </c>
      <c r="AF20" s="218">
        <f t="shared" ref="AF20:AF51" si="8">IFERROR(((IF($AF$17="Não",$H$14,0)*$E$6+IF($AF$17="Não",$I$14,0)*$E$7+IF($AF$17="Não",$J$14,0)*$E$8+IF($AF$17="Não",$K$14,0)*$E$9)/SUM($E$6:$E$9))*SUM(L20:O20),0)</f>
        <v>0</v>
      </c>
      <c r="AG20" s="219">
        <f>Y20-SUM(Z20:AF20)</f>
        <v>4</v>
      </c>
      <c r="AH20" s="219">
        <f t="shared" ref="AH20:AH51" si="9">AG20+S20</f>
        <v>4</v>
      </c>
      <c r="AJ20" s="290">
        <f t="shared" ref="AJ20:AJ51" ca="1" si="10">IF(B20+C20=0,0,(Agents(B20*C20/600,$C$7,$C$8,C20)))</f>
        <v>2</v>
      </c>
      <c r="AK20" s="290">
        <f ca="1">IFERROR(ROUNDUP(IF(B20=0,0,Agents(B20*C20/600,$C$7,$C$8,C20))/(1-($J$12*(IFERROR(INDIRECT("CURVAS_INTRA!"&amp;ADDRESS(VLOOKUP($A20,CURVAS_INTRA!$A$103:$B$150,2,0),HLOOKUP($C$14,CURVAS_INTRA!$1:$2,2,0))),0)))),0),0)</f>
        <v>3</v>
      </c>
      <c r="AM20" s="488">
        <f>SUM(H20:K20)</f>
        <v>4</v>
      </c>
    </row>
    <row r="21" spans="1:39" ht="11.25" customHeight="1">
      <c r="A21" s="599">
        <v>6.9444444444444441E-3</v>
      </c>
      <c r="B21" s="183">
        <f ca="1">IFERROR(INDIRECT("CURVAS_INTRA!"&amp;ADDRESS(VLOOKUP($A20,CURVAS_INTRA!$A$3:$B$50,2,0),HLOOKUP($C$14,CURVAS_INTRA!$1:$2,2,0)))/3*$C$5,$B$19)</f>
        <v>0.42599204954787889</v>
      </c>
      <c r="C21" s="183">
        <f ca="1">IFERROR(INDIRECT("CURVAS_INTRA!"&amp;ADDRESS(VLOOKUP($A21,CURVAS_INTRA!$A$53:$B$100,2,0),HLOOKUP($C$14,CURVAS_INTRA!$1:$2,2,0)))*$C$6,C20)</f>
        <v>649.85589973986237</v>
      </c>
      <c r="D21" s="183">
        <f ca="1">IFERROR(ROUNDUP(IF(B21=0,0,Agents(B21*C21/600,$C$7,$C$8,C21))/(1-($H$7*(IFERROR(INDIRECT("CURVAS_INTRA!"&amp;ADDRESS(VLOOKUP($A20,CURVAS_INTRA!$A$103:$B$150,2,0),HLOOKUP($C$14,CURVAS_INTRA!$1:$2,2,0))),0)))),0),0)</f>
        <v>3</v>
      </c>
      <c r="E21" s="183">
        <f t="shared" ref="E21:E83" si="11">ROUNDUP(SUM(L21:O21),0)</f>
        <v>4</v>
      </c>
      <c r="F21" s="241">
        <f t="shared" ref="F21:F84" ca="1" si="12">E21-D21</f>
        <v>1</v>
      </c>
      <c r="G21" s="185">
        <f ca="1">IFERROR(DelayQ(B21*C21/600,E21*((1-$H$7*VLOOKUP(A20,CURVAS_INTRA!$A$103:$AD$150,HLOOKUP($C$14,CURVAS_INTRA!$A$101:$AD$102,2,0),0))),$C$8,C21),0)</f>
        <v>0.98899999999999999</v>
      </c>
      <c r="H21" s="221">
        <v>0</v>
      </c>
      <c r="I21" s="221">
        <v>0</v>
      </c>
      <c r="J21" s="221">
        <v>0</v>
      </c>
      <c r="K21" s="221">
        <v>0</v>
      </c>
      <c r="L21" s="137">
        <f>SUM(H$20:H21)+SUM(H142:$H$163)</f>
        <v>0</v>
      </c>
      <c r="M21" s="186">
        <f>SUM(I$20:I21)+SUM(I134:$I$163)</f>
        <v>0</v>
      </c>
      <c r="N21" s="137">
        <f>SUM(J$20:J21)+SUM(J128:$J$163)</f>
        <v>4</v>
      </c>
      <c r="O21" s="188">
        <f>SUM($K$20:K21)+SUM(K117:$K$163)</f>
        <v>0</v>
      </c>
      <c r="P21" s="201">
        <f t="shared" ref="P21:P84" ca="1" si="13">IFERROR(IF((B21*C21)/(E21*600*(1-$H$7))&gt;1,1,(B21*C21)/(E21*600*(1-$H$7))),"")</f>
        <v>0.14150110365273477</v>
      </c>
      <c r="Q21" s="202">
        <f t="shared" ref="Q21:Q84" ca="1" si="14">IFERROR(IF((B21*C21)/(D21*600*(1-$H$7))&gt;1,1,(B21*C21)/(D21*600*(1-$H$7))),"")</f>
        <v>0.18866813820364634</v>
      </c>
      <c r="R21" s="174">
        <f t="shared" ref="R21:R84" ca="1" si="15">IF(AND(ROW()&gt;=$B$1,ROW()&lt;=$C$1),SUM(F21:F58),"")</f>
        <v>56</v>
      </c>
      <c r="S21" s="246"/>
      <c r="T21" s="241">
        <f t="shared" ref="T21:T84" ca="1" si="16">S21+F21</f>
        <v>1</v>
      </c>
      <c r="U21" s="247">
        <f ca="1">IF(IFERROR(DelayQ(B21*C21/600,(S21/(1-$H$5))+E21*((1-$H$7)*VLOOKUP(A20,CURVAS_INTRA!$A$103:$AD$150,HLOOKUP($C$14,CURVAS_INTRA!$A$101:$AD$102,2,0),0)),$C$8,C21),0)=0,"",IFERROR(DelayQ(B21*C21/600,S21+E21*((1-$H$7)*VLOOKUP(A20,CURVAS_INTRA!$A$103:$AD$150,HLOOKUP($C$14,CURVAS_INTRA!$A$101:$AD$102,2,0),0)),$C$8,C21),0))</f>
        <v>0.98899999999999999</v>
      </c>
      <c r="V21" s="281">
        <f t="shared" ref="V21:V84" ca="1" si="17">IF(S21="",G21,U21)</f>
        <v>0.98899999999999999</v>
      </c>
      <c r="W21" s="174">
        <f>S21+E21</f>
        <v>4</v>
      </c>
      <c r="X21" s="227">
        <v>6.9444444444444441E-3</v>
      </c>
      <c r="Y21" s="220">
        <f>SUM(L21:O21)</f>
        <v>4</v>
      </c>
      <c r="Z21" s="221">
        <f t="shared" si="2"/>
        <v>0</v>
      </c>
      <c r="AA21" s="221">
        <f t="shared" si="3"/>
        <v>0</v>
      </c>
      <c r="AB21" s="221">
        <f t="shared" si="4"/>
        <v>0</v>
      </c>
      <c r="AC21" s="221">
        <f t="shared" si="5"/>
        <v>0</v>
      </c>
      <c r="AD21" s="221">
        <f t="shared" si="6"/>
        <v>0</v>
      </c>
      <c r="AE21" s="221">
        <f t="shared" si="7"/>
        <v>0</v>
      </c>
      <c r="AF21" s="221">
        <f t="shared" si="8"/>
        <v>0</v>
      </c>
      <c r="AG21" s="222">
        <f t="shared" ref="AG21:AG84" si="18">Y21-SUM(Z21:AF21)</f>
        <v>4</v>
      </c>
      <c r="AH21" s="222">
        <f t="shared" si="9"/>
        <v>4</v>
      </c>
      <c r="AJ21" s="291">
        <f t="shared" ca="1" si="10"/>
        <v>2</v>
      </c>
      <c r="AK21" s="291">
        <f ca="1">IFERROR(ROUNDUP(IF(B21=0,0,Agents(B21*C21/600,$C$7,$C$8,C21))/(1-($J$12*(IFERROR(INDIRECT("CURVAS_INTRA!"&amp;ADDRESS(VLOOKUP($A21,CURVAS_INTRA!$A$103:$B$150,2,0),HLOOKUP($C$14,CURVAS_INTRA!$1:$2,2,0))),0)+IFERROR(INDIRECT("CURVAS_INTRA!"&amp;ADDRESS(VLOOKUP($A20,CURVAS_INTRA!$A$103:$B$150,2,0),HLOOKUP($C$14,CURVAS_INTRA!$1:$2,2,0))),0)))),0),0)</f>
        <v>3</v>
      </c>
      <c r="AM21" s="488">
        <f t="shared" ref="AM21:AM84" si="19">SUM(H21:K21)</f>
        <v>0</v>
      </c>
    </row>
    <row r="22" spans="1:39" ht="11.25" customHeight="1">
      <c r="A22" s="599">
        <v>1.38888888888889E-2</v>
      </c>
      <c r="B22" s="183">
        <f ca="1">IFERROR(INDIRECT("CURVAS_INTRA!"&amp;ADDRESS(VLOOKUP($A20,CURVAS_INTRA!$A$3:$B$50,2,0),HLOOKUP($C$14,CURVAS_INTRA!$1:$2,2,0)))/3*$C$5,B19)</f>
        <v>0.42599204954787889</v>
      </c>
      <c r="C22" s="183">
        <f ca="1">IFERROR(INDIRECT("CURVAS_INTRA!"&amp;ADDRESS(VLOOKUP($A22,CURVAS_INTRA!$A$53:$B$100,2,0),HLOOKUP($C$14,CURVAS_INTRA!$1:$2,2,0)))*$C$6,C21)</f>
        <v>649.85589973986237</v>
      </c>
      <c r="D22" s="183">
        <f ca="1">IFERROR(ROUNDUP(IF(B22=0,0,Agents(B22*C22/600,$C$7,$C$8,C22))/(1-($H$7*(IFERROR(INDIRECT("CURVAS_INTRA!"&amp;ADDRESS(VLOOKUP($A20,CURVAS_INTRA!$A$103:$B$150,2,0),HLOOKUP($C$14,CURVAS_INTRA!$1:$2,2,0))),0)))),0),0)</f>
        <v>3</v>
      </c>
      <c r="E22" s="183">
        <f t="shared" si="11"/>
        <v>4</v>
      </c>
      <c r="F22" s="241">
        <f t="shared" ca="1" si="12"/>
        <v>1</v>
      </c>
      <c r="G22" s="185">
        <f ca="1">IFERROR(DelayQ(B22*C22/600,E22*((1-$H$7*VLOOKUP(A20,CURVAS_INTRA!$A$103:$AD$150,HLOOKUP($C$14,CURVAS_INTRA!$A$101:$AD$102,2,0),0))),$C$8,C22),0)</f>
        <v>0.98899999999999999</v>
      </c>
      <c r="H22" s="221">
        <v>0</v>
      </c>
      <c r="I22" s="221">
        <v>0</v>
      </c>
      <c r="J22" s="221">
        <v>0</v>
      </c>
      <c r="K22" s="221">
        <v>0</v>
      </c>
      <c r="L22" s="137">
        <f>SUM(H$20:H22)+SUM(H143:$H$163)</f>
        <v>0</v>
      </c>
      <c r="M22" s="186">
        <f>SUM(I$20:I22)+SUM(I135:$I$163)</f>
        <v>0</v>
      </c>
      <c r="N22" s="137">
        <f>SUM(J$20:J22)+SUM(J129:$J$163)</f>
        <v>4</v>
      </c>
      <c r="O22" s="188">
        <f>SUM($K$20:K22)+SUM(K118:$K$163)</f>
        <v>0</v>
      </c>
      <c r="P22" s="201">
        <f t="shared" ca="1" si="13"/>
        <v>0.14150110365273477</v>
      </c>
      <c r="Q22" s="202">
        <f t="shared" ca="1" si="14"/>
        <v>0.18866813820364634</v>
      </c>
      <c r="R22" s="174">
        <f t="shared" ca="1" si="15"/>
        <v>54</v>
      </c>
      <c r="S22" s="246"/>
      <c r="T22" s="241">
        <f t="shared" ca="1" si="16"/>
        <v>1</v>
      </c>
      <c r="U22" s="247">
        <f ca="1">IF(IFERROR(DelayQ(B22*C22/600,(S22/(1-$H$5))+E22*((1-$H$7)*VLOOKUP(A20,CURVAS_INTRA!$A$103:$AD$150,HLOOKUP($C$14,CURVAS_INTRA!$A$101:$AD$102,2,0),0)),$C$8,C22),0)=0,"",IFERROR(DelayQ(B22*C22/600,S22+E22*((1-$H$7)*VLOOKUP(A20,CURVAS_INTRA!$A$103:$AD$150,HLOOKUP($C$14,CURVAS_INTRA!$A$101:$AD$102,2,0),0)),$C$8,C22),0))</f>
        <v>0.98899999999999999</v>
      </c>
      <c r="V22" s="281">
        <f t="shared" ca="1" si="17"/>
        <v>0.98899999999999999</v>
      </c>
      <c r="W22" s="174">
        <f t="shared" ref="W22:W79" si="20">S22+E22</f>
        <v>4</v>
      </c>
      <c r="X22" s="227">
        <v>1.38888888888889E-2</v>
      </c>
      <c r="Y22" s="220">
        <f t="shared" ref="Y22:Y84" si="21">SUM(L22:O22)</f>
        <v>4</v>
      </c>
      <c r="Z22" s="221">
        <f t="shared" si="2"/>
        <v>0</v>
      </c>
      <c r="AA22" s="221">
        <f t="shared" si="3"/>
        <v>0</v>
      </c>
      <c r="AB22" s="221">
        <f t="shared" si="4"/>
        <v>0</v>
      </c>
      <c r="AC22" s="221">
        <f t="shared" si="5"/>
        <v>0</v>
      </c>
      <c r="AD22" s="221">
        <f t="shared" si="6"/>
        <v>0</v>
      </c>
      <c r="AE22" s="221">
        <f t="shared" si="7"/>
        <v>0</v>
      </c>
      <c r="AF22" s="221">
        <f t="shared" si="8"/>
        <v>0</v>
      </c>
      <c r="AG22" s="222">
        <f t="shared" si="18"/>
        <v>4</v>
      </c>
      <c r="AH22" s="222">
        <f t="shared" si="9"/>
        <v>4</v>
      </c>
      <c r="AJ22" s="291">
        <f t="shared" ca="1" si="10"/>
        <v>2</v>
      </c>
      <c r="AK22" s="291">
        <f ca="1">IFERROR(ROUNDUP(IF(B22=0,0,Agents(B22*C22/600,$C$7,$C$8,C22))/(1-($J$12*(IFERROR(INDIRECT("CURVAS_INTRA!"&amp;ADDRESS(VLOOKUP($A22,CURVAS_INTRA!$A$103:$B$150,2,0),HLOOKUP($C$14,CURVAS_INTRA!$1:$2,2,0))),0)+IFERROR(INDIRECT("CURVAS_INTRA!"&amp;ADDRESS(VLOOKUP($A21,CURVAS_INTRA!$A$103:$B$150,2,0),HLOOKUP($C$14,CURVAS_INTRA!$1:$2,2,0))),0)+IFERROR(INDIRECT("CURVAS_INTRA!"&amp;ADDRESS(VLOOKUP($A20,CURVAS_INTRA!$A$103:$B$150,2,0),HLOOKUP($C$14,CURVAS_INTRA!$1:$2,2,0))),0)))),0),0)</f>
        <v>3</v>
      </c>
      <c r="AM22" s="488">
        <f t="shared" si="19"/>
        <v>0</v>
      </c>
    </row>
    <row r="23" spans="1:39" ht="11.25" customHeight="1">
      <c r="A23" s="599">
        <v>2.0833333333333332E-2</v>
      </c>
      <c r="B23" s="183">
        <f ca="1">IFERROR(INDIRECT("CURVAS_INTRA!"&amp;ADDRESS(VLOOKUP($A23,CURVAS_INTRA!$A$3:$B$50,2,0),HLOOKUP($C$14,CURVAS_INTRA!$1:$2,2,0)))/3*$C$5,$B$19)</f>
        <v>0.29792604253950039</v>
      </c>
      <c r="C23" s="183">
        <f ca="1">IFERROR(INDIRECT("CURVAS_INTRA!"&amp;ADDRESS(VLOOKUP($A23,CURVAS_INTRA!$A$53:$B$100,2,0),HLOOKUP($C$14,CURVAS_INTRA!$1:$2,2,0)))*$C$6,C22)</f>
        <v>649.7245151648641</v>
      </c>
      <c r="D23" s="183">
        <f ca="1">IFERROR(ROUNDUP(IF(B23=0,0,Agents(B23*C23/600,$C$7,$C$8,C23))/(1-($H$7*(IFERROR(INDIRECT("CURVAS_INTRA!"&amp;ADDRESS(VLOOKUP($A23,CURVAS_INTRA!$A$103:$B$150,2,0),HLOOKUP($C$14,CURVAS_INTRA!$1:$2,2,0))),0)))),0),0)</f>
        <v>3</v>
      </c>
      <c r="E23" s="183">
        <f t="shared" si="11"/>
        <v>4</v>
      </c>
      <c r="F23" s="241">
        <f t="shared" ca="1" si="12"/>
        <v>1</v>
      </c>
      <c r="G23" s="185">
        <f ca="1">IFERROR(DelayQ(B23*C23/600,E23*((1-$H$7*VLOOKUP(A23,CURVAS_INTRA!$A$103:$AD$150,HLOOKUP($C$14,CURVAS_INTRA!$A$101:$AD$102,2,0),0))),$C$8,C23),0)</f>
        <v>0.99590000000000001</v>
      </c>
      <c r="H23" s="221">
        <v>0</v>
      </c>
      <c r="I23" s="221">
        <v>0</v>
      </c>
      <c r="J23" s="221">
        <v>0</v>
      </c>
      <c r="K23" s="221">
        <v>0</v>
      </c>
      <c r="L23" s="137">
        <f>SUM(H$20:H23)+SUM(H144:$H$163)</f>
        <v>0</v>
      </c>
      <c r="M23" s="186">
        <f>SUM(I$20:I23)+SUM(I136:$I$163)</f>
        <v>0</v>
      </c>
      <c r="N23" s="137">
        <f>SUM(J$20:J23)+SUM(J130:$J$163)</f>
        <v>4</v>
      </c>
      <c r="O23" s="188">
        <f>SUM($K$20:K23)+SUM(K119:$K$163)</f>
        <v>0</v>
      </c>
      <c r="P23" s="201">
        <f t="shared" ca="1" si="13"/>
        <v>9.8941613604560552E-2</v>
      </c>
      <c r="Q23" s="202">
        <f t="shared" ca="1" si="14"/>
        <v>0.13192215147274738</v>
      </c>
      <c r="R23" s="174">
        <f t="shared" ca="1" si="15"/>
        <v>52</v>
      </c>
      <c r="S23" s="246"/>
      <c r="T23" s="241">
        <f t="shared" ca="1" si="16"/>
        <v>1</v>
      </c>
      <c r="U23" s="247">
        <f ca="1">IF(IFERROR(DelayQ(B23*C23/600,(S23/(1-$H$5))+E23*((1-$H$7)*VLOOKUP(A23,CURVAS_INTRA!$A$103:$AD$150,HLOOKUP($C$14,CURVAS_INTRA!$A$101:$AD$102,2,0),0)),$C$8,C23),0)=0,"",IFERROR(DelayQ(B23*C23/600,S23+E23*((1-$H$7)*VLOOKUP(A23,CURVAS_INTRA!$A$103:$AD$150,HLOOKUP($C$14,CURVAS_INTRA!$A$101:$AD$102,2,0),0)),$C$8,C23),0))</f>
        <v>0.99590000000000001</v>
      </c>
      <c r="V23" s="281">
        <f t="shared" ca="1" si="17"/>
        <v>0.99590000000000001</v>
      </c>
      <c r="W23" s="174">
        <f t="shared" si="20"/>
        <v>4</v>
      </c>
      <c r="X23" s="227">
        <v>2.0833333333333332E-2</v>
      </c>
      <c r="Y23" s="220">
        <f t="shared" si="21"/>
        <v>4</v>
      </c>
      <c r="Z23" s="221">
        <f t="shared" si="2"/>
        <v>0</v>
      </c>
      <c r="AA23" s="221">
        <f t="shared" si="3"/>
        <v>0</v>
      </c>
      <c r="AB23" s="221">
        <f t="shared" si="4"/>
        <v>0</v>
      </c>
      <c r="AC23" s="221">
        <f t="shared" si="5"/>
        <v>0</v>
      </c>
      <c r="AD23" s="221">
        <f t="shared" si="6"/>
        <v>0</v>
      </c>
      <c r="AE23" s="221">
        <f t="shared" si="7"/>
        <v>0</v>
      </c>
      <c r="AF23" s="221">
        <f t="shared" si="8"/>
        <v>0</v>
      </c>
      <c r="AG23" s="222">
        <f t="shared" si="18"/>
        <v>4</v>
      </c>
      <c r="AH23" s="222">
        <f t="shared" si="9"/>
        <v>4</v>
      </c>
      <c r="AJ23" s="291">
        <f t="shared" ca="1" si="10"/>
        <v>2</v>
      </c>
      <c r="AK23" s="291">
        <f ca="1">IFERROR(ROUNDUP(IF(B23=0,0,Agents(B23*C23/600,$C$7,$C$8,C23))/(1-($J$12*(IFERROR(INDIRECT("CURVAS_INTRA!"&amp;ADDRESS(VLOOKUP($A23,CURVAS_INTRA!$A$103:$B$150,2,0),HLOOKUP($C$14,CURVAS_INTRA!$1:$2,2,0))),0)))),0),0)</f>
        <v>3</v>
      </c>
      <c r="AM23" s="488">
        <f t="shared" si="19"/>
        <v>0</v>
      </c>
    </row>
    <row r="24" spans="1:39" ht="11.25" customHeight="1">
      <c r="A24" s="599">
        <v>2.7777777777777801E-2</v>
      </c>
      <c r="B24" s="183">
        <f ca="1">IFERROR(INDIRECT("CURVAS_INTRA!"&amp;ADDRESS(VLOOKUP($A23,CURVAS_INTRA!$A$3:$B$50,2,0),HLOOKUP($C$14,CURVAS_INTRA!$1:$2,2,0)))/3*$C$5,$B$19)</f>
        <v>0.29792604253950039</v>
      </c>
      <c r="C24" s="183">
        <f ca="1">IFERROR(INDIRECT("CURVAS_INTRA!"&amp;ADDRESS(VLOOKUP($A24,CURVAS_INTRA!$A$53:$B$100,2,0),HLOOKUP($C$14,CURVAS_INTRA!$1:$2,2,0)))*$C$6,C23)</f>
        <v>649.7245151648641</v>
      </c>
      <c r="D24" s="183">
        <f ca="1">IFERROR(ROUNDUP(IF(B24=0,0,Agents(B24*C24/600,$C$7,$C$8,C24))/(1-($H$7*(IFERROR(INDIRECT("CURVAS_INTRA!"&amp;ADDRESS(VLOOKUP($A23,CURVAS_INTRA!$A$103:$B$150,2,0),HLOOKUP($C$14,CURVAS_INTRA!$1:$2,2,0))),0)))),0),0)</f>
        <v>3</v>
      </c>
      <c r="E24" s="183">
        <f t="shared" si="11"/>
        <v>4</v>
      </c>
      <c r="F24" s="241">
        <f t="shared" ca="1" si="12"/>
        <v>1</v>
      </c>
      <c r="G24" s="185">
        <f ca="1">IFERROR(DelayQ(B24*C24/600,E24*((1-$H$7*VLOOKUP(A23,CURVAS_INTRA!$A$103:$AD$150,HLOOKUP($C$14,CURVAS_INTRA!$A$101:$AD$102,2,0),0))),$C$8,C24),0)</f>
        <v>0.99590000000000001</v>
      </c>
      <c r="H24" s="221">
        <v>0</v>
      </c>
      <c r="I24" s="221">
        <v>0</v>
      </c>
      <c r="J24" s="221">
        <v>0</v>
      </c>
      <c r="K24" s="221">
        <v>0</v>
      </c>
      <c r="L24" s="137">
        <f>SUM(H$20:H24)+SUM(H145:$H$163)</f>
        <v>0</v>
      </c>
      <c r="M24" s="186">
        <f>SUM(I$20:I24)+SUM(I137:$I$163)</f>
        <v>0</v>
      </c>
      <c r="N24" s="137">
        <f>SUM(J$20:J24)+SUM(J131:$J$163)</f>
        <v>4</v>
      </c>
      <c r="O24" s="188">
        <f>SUM($K$20:K24)+SUM(K120:$K$163)</f>
        <v>0</v>
      </c>
      <c r="P24" s="201">
        <f t="shared" ca="1" si="13"/>
        <v>9.8941613604560552E-2</v>
      </c>
      <c r="Q24" s="202">
        <f t="shared" ca="1" si="14"/>
        <v>0.13192215147274738</v>
      </c>
      <c r="R24" s="174">
        <f t="shared" ca="1" si="15"/>
        <v>50</v>
      </c>
      <c r="S24" s="246"/>
      <c r="T24" s="241">
        <f t="shared" ca="1" si="16"/>
        <v>1</v>
      </c>
      <c r="U24" s="247">
        <f ca="1">IF(IFERROR(DelayQ(B24*C24/600,(S24/(1-$H$5))+E24*((1-$H$7)*VLOOKUP(A23,CURVAS_INTRA!$A$103:$AD$150,HLOOKUP($C$14,CURVAS_INTRA!$A$101:$AD$102,2,0),0)),$C$8,C24),0)=0,"",IFERROR(DelayQ(B24*C24/600,S24+E24*((1-$H$7)*VLOOKUP(A23,CURVAS_INTRA!$A$103:$AD$150,HLOOKUP($C$14,CURVAS_INTRA!$A$101:$AD$102,2,0),0)),$C$8,C24),0))</f>
        <v>0.99590000000000001</v>
      </c>
      <c r="V24" s="281">
        <f ca="1">IF(S24="",G24,U24)</f>
        <v>0.99590000000000001</v>
      </c>
      <c r="W24" s="174">
        <f t="shared" si="20"/>
        <v>4</v>
      </c>
      <c r="X24" s="227">
        <v>2.7777777777777801E-2</v>
      </c>
      <c r="Y24" s="220">
        <f t="shared" si="21"/>
        <v>4</v>
      </c>
      <c r="Z24" s="221">
        <f t="shared" si="2"/>
        <v>0</v>
      </c>
      <c r="AA24" s="221">
        <f t="shared" si="3"/>
        <v>0</v>
      </c>
      <c r="AB24" s="221">
        <f t="shared" si="4"/>
        <v>0</v>
      </c>
      <c r="AC24" s="221">
        <f t="shared" si="5"/>
        <v>0</v>
      </c>
      <c r="AD24" s="221">
        <f t="shared" si="6"/>
        <v>0</v>
      </c>
      <c r="AE24" s="221">
        <f t="shared" si="7"/>
        <v>0</v>
      </c>
      <c r="AF24" s="221">
        <f t="shared" si="8"/>
        <v>0</v>
      </c>
      <c r="AG24" s="222">
        <f t="shared" si="18"/>
        <v>4</v>
      </c>
      <c r="AH24" s="222">
        <f t="shared" si="9"/>
        <v>4</v>
      </c>
      <c r="AJ24" s="291">
        <f t="shared" ca="1" si="10"/>
        <v>2</v>
      </c>
      <c r="AK24" s="291">
        <f ca="1">IFERROR(ROUNDUP(IF(B24=0,0,Agents(B24*C24/600,$C$7,$C$8,C24))/(1-($J$12*(IFERROR(INDIRECT("CURVAS_INTRA!"&amp;ADDRESS(VLOOKUP($A24,CURVAS_INTRA!$A$103:$B$150,2,0),HLOOKUP($C$14,CURVAS_INTRA!$1:$2,2,0))),0)+IFERROR(INDIRECT("CURVAS_INTRA!"&amp;ADDRESS(VLOOKUP($A23,CURVAS_INTRA!$A$103:$B$150,2,0),HLOOKUP($C$14,CURVAS_INTRA!$1:$2,2,0))),0)))),0),0)</f>
        <v>3</v>
      </c>
      <c r="AM24" s="488">
        <f t="shared" si="19"/>
        <v>0</v>
      </c>
    </row>
    <row r="25" spans="1:39" ht="11.25" customHeight="1">
      <c r="A25" s="599">
        <v>3.4722222222222203E-2</v>
      </c>
      <c r="B25" s="183">
        <f ca="1">IFERROR(INDIRECT("CURVAS_INTRA!"&amp;ADDRESS(VLOOKUP($A23,CURVAS_INTRA!$A$3:$B$50,2,0),HLOOKUP($C$14,CURVAS_INTRA!$1:$2,2,0)))/3*$C$5,B22)</f>
        <v>0.29792604253950039</v>
      </c>
      <c r="C25" s="183">
        <f ca="1">IFERROR(INDIRECT("CURVAS_INTRA!"&amp;ADDRESS(VLOOKUP($A25,CURVAS_INTRA!$A$53:$B$100,2,0),HLOOKUP($C$14,CURVAS_INTRA!$1:$2,2,0)))*$C$6,C24)</f>
        <v>649.7245151648641</v>
      </c>
      <c r="D25" s="183">
        <f ca="1">IFERROR(ROUNDUP(IF(B25=0,0,Agents(B25*C25/600,$C$7,$C$8,C25))/(1-($H$7*(IFERROR(INDIRECT("CURVAS_INTRA!"&amp;ADDRESS(VLOOKUP($A23,CURVAS_INTRA!$A$103:$B$150,2,0),HLOOKUP($C$14,CURVAS_INTRA!$1:$2,2,0))),0)))),0),0)</f>
        <v>3</v>
      </c>
      <c r="E25" s="183">
        <f>ROUNDUP(SUM(L25:O25),0)</f>
        <v>4</v>
      </c>
      <c r="F25" s="241">
        <f t="shared" ca="1" si="12"/>
        <v>1</v>
      </c>
      <c r="G25" s="185">
        <f ca="1">IFERROR(DelayQ(B25*C25/600,E25*((1-$H$7*VLOOKUP(A23,CURVAS_INTRA!$A$103:$AD$150,HLOOKUP($C$14,CURVAS_INTRA!$A$101:$AD$102,2,0),0))),$C$8,C25),0)</f>
        <v>0.99590000000000001</v>
      </c>
      <c r="H25" s="221">
        <v>0</v>
      </c>
      <c r="I25" s="221">
        <v>0</v>
      </c>
      <c r="J25" s="221">
        <v>0</v>
      </c>
      <c r="K25" s="221">
        <v>0</v>
      </c>
      <c r="L25" s="137">
        <f>SUM(H$20:H25)+SUM(H146:$H$163)</f>
        <v>0</v>
      </c>
      <c r="M25" s="186">
        <f>SUM(I$20:I25)+SUM(I138:$I$163)</f>
        <v>0</v>
      </c>
      <c r="N25" s="137">
        <f>SUM(J$20:J25)+SUM(J132:$J$163)</f>
        <v>4</v>
      </c>
      <c r="O25" s="188">
        <f>SUM($K$20:K25)+SUM(K121:$K$163)</f>
        <v>0</v>
      </c>
      <c r="P25" s="201">
        <f t="shared" ca="1" si="13"/>
        <v>9.8941613604560552E-2</v>
      </c>
      <c r="Q25" s="202">
        <f t="shared" ca="1" si="14"/>
        <v>0.13192215147274738</v>
      </c>
      <c r="R25" s="174">
        <f t="shared" ca="1" si="15"/>
        <v>47</v>
      </c>
      <c r="S25" s="246"/>
      <c r="T25" s="241">
        <f t="shared" ca="1" si="16"/>
        <v>1</v>
      </c>
      <c r="U25" s="247">
        <f ca="1">IF(IFERROR(DelayQ(B25*C25/600,(S25/(1-$H$5))+E25*((1-$H$7)*VLOOKUP(A23,CURVAS_INTRA!$A$103:$AD$150,HLOOKUP($C$14,CURVAS_INTRA!$A$101:$AD$102,2,0),0)),$C$8,C25),0)=0,"",IFERROR(DelayQ(B25*C25/600,S25+E25*((1-$H$7)*VLOOKUP(A23,CURVAS_INTRA!$A$103:$AD$150,HLOOKUP($C$14,CURVAS_INTRA!$A$101:$AD$102,2,0),0)),$C$8,C25),0))</f>
        <v>0.99590000000000001</v>
      </c>
      <c r="V25" s="281">
        <f t="shared" ca="1" si="17"/>
        <v>0.99590000000000001</v>
      </c>
      <c r="W25" s="174">
        <f t="shared" si="20"/>
        <v>4</v>
      </c>
      <c r="X25" s="227">
        <v>3.4722222222222203E-2</v>
      </c>
      <c r="Y25" s="220">
        <f t="shared" si="21"/>
        <v>4</v>
      </c>
      <c r="Z25" s="221">
        <f t="shared" si="2"/>
        <v>0</v>
      </c>
      <c r="AA25" s="221">
        <f t="shared" si="3"/>
        <v>0</v>
      </c>
      <c r="AB25" s="221">
        <f t="shared" si="4"/>
        <v>0</v>
      </c>
      <c r="AC25" s="221">
        <f t="shared" si="5"/>
        <v>0</v>
      </c>
      <c r="AD25" s="221">
        <f t="shared" si="6"/>
        <v>0</v>
      </c>
      <c r="AE25" s="221">
        <f t="shared" si="7"/>
        <v>0</v>
      </c>
      <c r="AF25" s="221">
        <f t="shared" si="8"/>
        <v>0</v>
      </c>
      <c r="AG25" s="222">
        <f t="shared" si="18"/>
        <v>4</v>
      </c>
      <c r="AH25" s="222">
        <f t="shared" si="9"/>
        <v>4</v>
      </c>
      <c r="AJ25" s="291">
        <f t="shared" ca="1" si="10"/>
        <v>2</v>
      </c>
      <c r="AK25" s="291">
        <f ca="1">IFERROR(ROUNDUP(IF(B25=0,0,Agents(B25*C25/600,$C$7,$C$8,C25))/(1-($J$12*(IFERROR(INDIRECT("CURVAS_INTRA!"&amp;ADDRESS(VLOOKUP($A25,CURVAS_INTRA!$A$103:$B$150,2,0),HLOOKUP($C$14,CURVAS_INTRA!$1:$2,2,0))),0)+IFERROR(INDIRECT("CURVAS_INTRA!"&amp;ADDRESS(VLOOKUP($A24,CURVAS_INTRA!$A$103:$B$150,2,0),HLOOKUP($C$14,CURVAS_INTRA!$1:$2,2,0))),0)+IFERROR(INDIRECT("CURVAS_INTRA!"&amp;ADDRESS(VLOOKUP($A23,CURVAS_INTRA!$A$103:$B$150,2,0),HLOOKUP($C$14,CURVAS_INTRA!$1:$2,2,0))),0)))),0),0)</f>
        <v>3</v>
      </c>
      <c r="AM25" s="488">
        <f t="shared" si="19"/>
        <v>0</v>
      </c>
    </row>
    <row r="26" spans="1:39" ht="11.25" customHeight="1">
      <c r="A26" s="599">
        <v>4.1666666666666699E-2</v>
      </c>
      <c r="B26" s="183">
        <f ca="1">IFERROR(INDIRECT("CURVAS_INTRA!"&amp;ADDRESS(VLOOKUP($A26,CURVAS_INTRA!$A$3:$B$50,2,0),HLOOKUP($C$14,CURVAS_INTRA!$1:$2,2,0)))/3*$C$5,$B$19)</f>
        <v>0.22682902666020549</v>
      </c>
      <c r="C26" s="183">
        <f ca="1">IFERROR(INDIRECT("CURVAS_INTRA!"&amp;ADDRESS(VLOOKUP($A26,CURVAS_INTRA!$A$53:$B$100,2,0),HLOOKUP($C$14,CURVAS_INTRA!$1:$2,2,0)))*$C$6,C25)</f>
        <v>615.72934753140214</v>
      </c>
      <c r="D26" s="183">
        <f ca="1">IFERROR(ROUNDUP(IF(B26=0,0,Agents(B26*C26/600,$C$7,$C$8,C26))/(1-($H$7*(IFERROR(INDIRECT("CURVAS_INTRA!"&amp;ADDRESS(VLOOKUP($A26,CURVAS_INTRA!$A$103:$B$150,2,0),HLOOKUP($C$14,CURVAS_INTRA!$1:$2,2,0))),0)))),0),0)</f>
        <v>3</v>
      </c>
      <c r="E26" s="183">
        <f>ROUNDUP(SUM(L26:O26),0)</f>
        <v>4</v>
      </c>
      <c r="F26" s="241">
        <f t="shared" ca="1" si="12"/>
        <v>1</v>
      </c>
      <c r="G26" s="185">
        <f ca="1">IFERROR(DelayQ(B26*C26/600,E26*((1-$H$7*VLOOKUP(A26,CURVAS_INTRA!$A$103:$AD$150,HLOOKUP($C$14,CURVAS_INTRA!$A$101:$AD$102,2,0),0))),$C$8,C26),0)</f>
        <v>0.99839999999999995</v>
      </c>
      <c r="H26" s="221">
        <v>0</v>
      </c>
      <c r="I26" s="221">
        <v>0</v>
      </c>
      <c r="J26" s="221">
        <v>0</v>
      </c>
      <c r="K26" s="221">
        <v>0</v>
      </c>
      <c r="L26" s="137">
        <f>SUM(H$20:H26)+SUM(H147:$H$163)</f>
        <v>0</v>
      </c>
      <c r="M26" s="186">
        <f>SUM(I$20:I26)+SUM(I139:$I$163)</f>
        <v>0</v>
      </c>
      <c r="N26" s="137">
        <f>SUM(J$20:J26)+SUM(J133:$J$163)</f>
        <v>4</v>
      </c>
      <c r="O26" s="188">
        <f>SUM($K$20:K26)+SUM(K122:$K$163)</f>
        <v>0</v>
      </c>
      <c r="P26" s="201">
        <f t="shared" ca="1" si="13"/>
        <v>7.1388745531975994E-2</v>
      </c>
      <c r="Q26" s="202">
        <f t="shared" ca="1" si="14"/>
        <v>9.5184994042634655E-2</v>
      </c>
      <c r="R26" s="174">
        <f t="shared" ca="1" si="15"/>
        <v>44</v>
      </c>
      <c r="S26" s="246"/>
      <c r="T26" s="241">
        <f t="shared" ca="1" si="16"/>
        <v>1</v>
      </c>
      <c r="U26" s="247">
        <f ca="1">IF(IFERROR(DelayQ(B26*C26/600,(S26/(1-$H$5))+E26*((1-$H$7)*VLOOKUP(A26,CURVAS_INTRA!$A$103:$AD$150,HLOOKUP($C$14,CURVAS_INTRA!$A$101:$AD$102,2,0),0)),$C$8,C26),0)=0,"",IFERROR(DelayQ(B26*C26/600,S26+E26*((1-$H$7)*VLOOKUP(A26,CURVAS_INTRA!$A$103:$AD$150,HLOOKUP($C$14,CURVAS_INTRA!$A$101:$AD$102,2,0),0)),$C$8,C26),0))</f>
        <v>0.99839999999999995</v>
      </c>
      <c r="V26" s="281">
        <f t="shared" ca="1" si="17"/>
        <v>0.99839999999999995</v>
      </c>
      <c r="W26" s="174">
        <f t="shared" si="20"/>
        <v>4</v>
      </c>
      <c r="X26" s="227">
        <v>4.1666666666666699E-2</v>
      </c>
      <c r="Y26" s="220">
        <f t="shared" si="21"/>
        <v>4</v>
      </c>
      <c r="Z26" s="221">
        <f t="shared" si="2"/>
        <v>0</v>
      </c>
      <c r="AA26" s="221">
        <f t="shared" si="3"/>
        <v>0</v>
      </c>
      <c r="AB26" s="221">
        <f t="shared" si="4"/>
        <v>0</v>
      </c>
      <c r="AC26" s="221">
        <f t="shared" si="5"/>
        <v>0</v>
      </c>
      <c r="AD26" s="221">
        <f t="shared" si="6"/>
        <v>0</v>
      </c>
      <c r="AE26" s="221">
        <f t="shared" si="7"/>
        <v>0</v>
      </c>
      <c r="AF26" s="221">
        <f t="shared" si="8"/>
        <v>0</v>
      </c>
      <c r="AG26" s="222">
        <f t="shared" si="18"/>
        <v>4</v>
      </c>
      <c r="AH26" s="222">
        <f t="shared" si="9"/>
        <v>4</v>
      </c>
      <c r="AJ26" s="291">
        <f t="shared" ca="1" si="10"/>
        <v>2</v>
      </c>
      <c r="AK26" s="291">
        <f ca="1">IFERROR(ROUNDUP(IF(B26=0,0,Agents(B26*C26/600,$C$7,$C$8,C26))/(1-($J$12*(IFERROR(INDIRECT("CURVAS_INTRA!"&amp;ADDRESS(VLOOKUP($A26,CURVAS_INTRA!$A$103:$B$150,2,0),HLOOKUP($C$14,CURVAS_INTRA!$1:$2,2,0))),0)))),0),0)</f>
        <v>3</v>
      </c>
      <c r="AM26" s="488">
        <f t="shared" si="19"/>
        <v>0</v>
      </c>
    </row>
    <row r="27" spans="1:39" ht="11.25" customHeight="1">
      <c r="A27" s="599">
        <v>4.8611111111111098E-2</v>
      </c>
      <c r="B27" s="183">
        <f ca="1">IFERROR(INDIRECT("CURVAS_INTRA!"&amp;ADDRESS(VLOOKUP($A26,CURVAS_INTRA!$A$3:$B$50,2,0),HLOOKUP($C$14,CURVAS_INTRA!$1:$2,2,0)))/3*$C$5,$B$19)</f>
        <v>0.22682902666020549</v>
      </c>
      <c r="C27" s="183">
        <f ca="1">IFERROR(INDIRECT("CURVAS_INTRA!"&amp;ADDRESS(VLOOKUP($A27,CURVAS_INTRA!$A$53:$B$100,2,0),HLOOKUP($C$14,CURVAS_INTRA!$1:$2,2,0)))*$C$6,C26)</f>
        <v>615.72934753140214</v>
      </c>
      <c r="D27" s="183">
        <f ca="1">IFERROR(ROUNDUP(IF(B27=0,0,Agents(B27*C27/600,$C$7,$C$8,C27))/(1-($H$7*(IFERROR(INDIRECT("CURVAS_INTRA!"&amp;ADDRESS(VLOOKUP($A26,CURVAS_INTRA!$A$103:$B$150,2,0),HLOOKUP($C$14,CURVAS_INTRA!$1:$2,2,0))),0)))),0),0)</f>
        <v>3</v>
      </c>
      <c r="E27" s="183">
        <f t="shared" si="11"/>
        <v>4</v>
      </c>
      <c r="F27" s="241">
        <f t="shared" ca="1" si="12"/>
        <v>1</v>
      </c>
      <c r="G27" s="185">
        <f ca="1">IFERROR(DelayQ(B27*C27/600,E27*((1-$H$7*VLOOKUP(A26,CURVAS_INTRA!$A$103:$AD$150,HLOOKUP($C$14,CURVAS_INTRA!$A$101:$AD$102,2,0),0))),$C$8,C27),0)</f>
        <v>0.99839999999999995</v>
      </c>
      <c r="H27" s="221">
        <v>0</v>
      </c>
      <c r="I27" s="221">
        <v>0</v>
      </c>
      <c r="J27" s="221">
        <v>0</v>
      </c>
      <c r="K27" s="221">
        <v>0</v>
      </c>
      <c r="L27" s="137">
        <f>SUM(H$20:H27)+SUM(H148:$H$163)</f>
        <v>0</v>
      </c>
      <c r="M27" s="186">
        <f>SUM(I$20:I27)+SUM(I140:$I$163)</f>
        <v>0</v>
      </c>
      <c r="N27" s="137">
        <f>SUM(J$20:J27)+SUM(J134:$J$163)</f>
        <v>4</v>
      </c>
      <c r="O27" s="188">
        <f>SUM($K$20:K27)+SUM(K123:$K$163)</f>
        <v>0</v>
      </c>
      <c r="P27" s="201">
        <f t="shared" ca="1" si="13"/>
        <v>7.1388745531975994E-2</v>
      </c>
      <c r="Q27" s="202">
        <f t="shared" ca="1" si="14"/>
        <v>9.5184994042634655E-2</v>
      </c>
      <c r="R27" s="174">
        <f t="shared" ca="1" si="15"/>
        <v>41</v>
      </c>
      <c r="S27" s="246"/>
      <c r="T27" s="241">
        <f t="shared" ca="1" si="16"/>
        <v>1</v>
      </c>
      <c r="U27" s="247">
        <f ca="1">IF(IFERROR(DelayQ(B27*C27/600,(S27/(1-$H$5))+E27*((1-$H$7)*VLOOKUP(A26,CURVAS_INTRA!$A$103:$AD$150,HLOOKUP($C$14,CURVAS_INTRA!$A$101:$AD$102,2,0),0)),$C$8,C27),0)=0,"",IFERROR(DelayQ(B27*C27/600,S27+E27*((1-$H$7)*VLOOKUP(A26,CURVAS_INTRA!$A$103:$AD$150,HLOOKUP($C$14,CURVAS_INTRA!$A$101:$AD$102,2,0),0)),$C$8,C27),0))</f>
        <v>0.99839999999999995</v>
      </c>
      <c r="V27" s="281">
        <f t="shared" ca="1" si="17"/>
        <v>0.99839999999999995</v>
      </c>
      <c r="W27" s="174">
        <f t="shared" si="20"/>
        <v>4</v>
      </c>
      <c r="X27" s="227">
        <v>4.8611111111111098E-2</v>
      </c>
      <c r="Y27" s="220">
        <f t="shared" si="21"/>
        <v>4</v>
      </c>
      <c r="Z27" s="221">
        <f t="shared" si="2"/>
        <v>0</v>
      </c>
      <c r="AA27" s="221">
        <f t="shared" si="3"/>
        <v>0</v>
      </c>
      <c r="AB27" s="221">
        <f t="shared" si="4"/>
        <v>0</v>
      </c>
      <c r="AC27" s="221">
        <f t="shared" si="5"/>
        <v>0</v>
      </c>
      <c r="AD27" s="221">
        <f t="shared" si="6"/>
        <v>0</v>
      </c>
      <c r="AE27" s="221">
        <f t="shared" si="7"/>
        <v>0</v>
      </c>
      <c r="AF27" s="221">
        <f t="shared" si="8"/>
        <v>0</v>
      </c>
      <c r="AG27" s="222">
        <f t="shared" si="18"/>
        <v>4</v>
      </c>
      <c r="AH27" s="222">
        <f t="shared" si="9"/>
        <v>4</v>
      </c>
      <c r="AJ27" s="291">
        <f t="shared" ca="1" si="10"/>
        <v>2</v>
      </c>
      <c r="AK27" s="291">
        <f ca="1">IFERROR(ROUNDUP(IF(B27=0,0,Agents(B27*C27/600,$C$7,$C$8,C27))/(1-($J$12*(IFERROR(INDIRECT("CURVAS_INTRA!"&amp;ADDRESS(VLOOKUP($A27,CURVAS_INTRA!$A$103:$B$150,2,0),HLOOKUP($C$14,CURVAS_INTRA!$1:$2,2,0))),0)+IFERROR(INDIRECT("CURVAS_INTRA!"&amp;ADDRESS(VLOOKUP($A26,CURVAS_INTRA!$A$103:$B$150,2,0),HLOOKUP($C$14,CURVAS_INTRA!$1:$2,2,0))),0)))),0),0)</f>
        <v>3</v>
      </c>
      <c r="AM27" s="488">
        <f t="shared" si="19"/>
        <v>0</v>
      </c>
    </row>
    <row r="28" spans="1:39" ht="11.25" customHeight="1">
      <c r="A28" s="599">
        <v>5.5555555555555601E-2</v>
      </c>
      <c r="B28" s="183">
        <f ca="1">IFERROR(INDIRECT("CURVAS_INTRA!"&amp;ADDRESS(VLOOKUP($A26,CURVAS_INTRA!$A$3:$B$50,2,0),HLOOKUP($C$14,CURVAS_INTRA!$1:$2,2,0)))/3*$C$5,B25)</f>
        <v>0.22682902666020549</v>
      </c>
      <c r="C28" s="183">
        <f ca="1">IFERROR(INDIRECT("CURVAS_INTRA!"&amp;ADDRESS(VLOOKUP($A28,CURVAS_INTRA!$A$53:$B$100,2,0),HLOOKUP($C$14,CURVAS_INTRA!$1:$2,2,0)))*$C$6,C27)</f>
        <v>615.72934753140214</v>
      </c>
      <c r="D28" s="183">
        <f ca="1">IFERROR(ROUNDUP(IF(B28=0,0,Agents(B28*C28/600,$C$7,$C$8,C28))/(1-($H$7*(IFERROR(INDIRECT("CURVAS_INTRA!"&amp;ADDRESS(VLOOKUP($A26,CURVAS_INTRA!$A$103:$B$150,2,0),HLOOKUP($C$14,CURVAS_INTRA!$1:$2,2,0))),0)))),0),0)</f>
        <v>3</v>
      </c>
      <c r="E28" s="183">
        <f t="shared" si="11"/>
        <v>4</v>
      </c>
      <c r="F28" s="241">
        <f t="shared" ca="1" si="12"/>
        <v>1</v>
      </c>
      <c r="G28" s="185">
        <f ca="1">IFERROR(DelayQ(B28*C28/600,E28*((1-$H$7*VLOOKUP(A26,CURVAS_INTRA!$A$103:$AD$150,HLOOKUP($C$14,CURVAS_INTRA!$A$101:$AD$102,2,0),0))),$C$8,C28),0)</f>
        <v>0.99839999999999995</v>
      </c>
      <c r="H28" s="221">
        <v>0</v>
      </c>
      <c r="I28" s="221">
        <v>0</v>
      </c>
      <c r="J28" s="221">
        <v>0</v>
      </c>
      <c r="K28" s="221">
        <v>0</v>
      </c>
      <c r="L28" s="137">
        <f>SUM(H$20:H28)+SUM(H149:$H$163)</f>
        <v>0</v>
      </c>
      <c r="M28" s="186">
        <f>SUM(I$20:I28)+SUM(I141:$I$163)</f>
        <v>0</v>
      </c>
      <c r="N28" s="137">
        <f>SUM(J$20:J28)+SUM(J135:$J$163)</f>
        <v>4</v>
      </c>
      <c r="O28" s="188">
        <f>SUM($K$20:K28)+SUM(K124:$K$163)</f>
        <v>0</v>
      </c>
      <c r="P28" s="201">
        <f t="shared" ca="1" si="13"/>
        <v>7.1388745531975994E-2</v>
      </c>
      <c r="Q28" s="202">
        <f t="shared" ca="1" si="14"/>
        <v>9.5184994042634655E-2</v>
      </c>
      <c r="R28" s="174">
        <f t="shared" ca="1" si="15"/>
        <v>41</v>
      </c>
      <c r="S28" s="246"/>
      <c r="T28" s="241">
        <f t="shared" ca="1" si="16"/>
        <v>1</v>
      </c>
      <c r="U28" s="247">
        <f ca="1">IF(IFERROR(DelayQ(B28*C28/600,(S28/(1-$H$5))+E28*((1-$H$7)*VLOOKUP(A26,CURVAS_INTRA!$A$103:$AD$150,HLOOKUP($C$14,CURVAS_INTRA!$A$101:$AD$102,2,0),0)),$C$8,C28),0)=0,"",IFERROR(DelayQ(B28*C28/600,S28+E28*((1-$H$7)*VLOOKUP(A26,CURVAS_INTRA!$A$103:$AD$150,HLOOKUP($C$14,CURVAS_INTRA!$A$101:$AD$102,2,0),0)),$C$8,C28),0))</f>
        <v>0.99839999999999995</v>
      </c>
      <c r="V28" s="281">
        <f t="shared" ca="1" si="17"/>
        <v>0.99839999999999995</v>
      </c>
      <c r="W28" s="174">
        <f t="shared" si="20"/>
        <v>4</v>
      </c>
      <c r="X28" s="227">
        <v>5.5555555555555601E-2</v>
      </c>
      <c r="Y28" s="220">
        <f t="shared" si="21"/>
        <v>4</v>
      </c>
      <c r="Z28" s="221">
        <f t="shared" si="2"/>
        <v>0</v>
      </c>
      <c r="AA28" s="221">
        <f t="shared" si="3"/>
        <v>0</v>
      </c>
      <c r="AB28" s="221">
        <f t="shared" si="4"/>
        <v>0</v>
      </c>
      <c r="AC28" s="221">
        <f t="shared" si="5"/>
        <v>0</v>
      </c>
      <c r="AD28" s="221">
        <f t="shared" si="6"/>
        <v>0</v>
      </c>
      <c r="AE28" s="221">
        <f t="shared" si="7"/>
        <v>0</v>
      </c>
      <c r="AF28" s="221">
        <f t="shared" si="8"/>
        <v>0</v>
      </c>
      <c r="AG28" s="222">
        <f t="shared" si="18"/>
        <v>4</v>
      </c>
      <c r="AH28" s="222">
        <f t="shared" si="9"/>
        <v>4</v>
      </c>
      <c r="AJ28" s="291">
        <f t="shared" ca="1" si="10"/>
        <v>2</v>
      </c>
      <c r="AK28" s="291">
        <f ca="1">IFERROR(ROUNDUP(IF(B28=0,0,Agents(B28*C28/600,$C$7,$C$8,C28))/(1-($J$12*(IFERROR(INDIRECT("CURVAS_INTRA!"&amp;ADDRESS(VLOOKUP($A28,CURVAS_INTRA!$A$103:$B$150,2,0),HLOOKUP($C$14,CURVAS_INTRA!$1:$2,2,0))),0)+IFERROR(INDIRECT("CURVAS_INTRA!"&amp;ADDRESS(VLOOKUP($A27,CURVAS_INTRA!$A$103:$B$150,2,0),HLOOKUP($C$14,CURVAS_INTRA!$1:$2,2,0))),0)+IFERROR(INDIRECT("CURVAS_INTRA!"&amp;ADDRESS(VLOOKUP($A26,CURVAS_INTRA!$A$103:$B$150,2,0),HLOOKUP($C$14,CURVAS_INTRA!$1:$2,2,0))),0)))),0),0)</f>
        <v>3</v>
      </c>
      <c r="AM28" s="488">
        <f t="shared" si="19"/>
        <v>0</v>
      </c>
    </row>
    <row r="29" spans="1:39" ht="11.25" customHeight="1">
      <c r="A29" s="599">
        <v>6.25E-2</v>
      </c>
      <c r="B29" s="183">
        <f ca="1">IFERROR(INDIRECT("CURVAS_INTRA!"&amp;ADDRESS(VLOOKUP($A29,CURVAS_INTRA!$A$3:$B$50,2,0),HLOOKUP($C$14,CURVAS_INTRA!$1:$2,2,0)))/3*$C$5,$B$19)</f>
        <v>0.1797381430690238</v>
      </c>
      <c r="C29" s="183">
        <f ca="1">IFERROR(INDIRECT("CURVAS_INTRA!"&amp;ADDRESS(VLOOKUP($A29,CURVAS_INTRA!$A$53:$B$100,2,0),HLOOKUP($C$14,CURVAS_INTRA!$1:$2,2,0)))*$C$6,C28)</f>
        <v>599.54080619071726</v>
      </c>
      <c r="D29" s="183">
        <f ca="1">IFERROR(ROUNDUP(IF(B29=0,0,Agents(B29*C29/600,$C$7,$C$8,C29))/(1-($H$7*(IFERROR(INDIRECT("CURVAS_INTRA!"&amp;ADDRESS(VLOOKUP($A29,CURVAS_INTRA!$A$103:$B$150,2,0),HLOOKUP($C$14,CURVAS_INTRA!$1:$2,2,0))),0)))),0),0)</f>
        <v>2</v>
      </c>
      <c r="E29" s="183">
        <f t="shared" si="11"/>
        <v>4</v>
      </c>
      <c r="F29" s="241">
        <f t="shared" ca="1" si="12"/>
        <v>2</v>
      </c>
      <c r="G29" s="185">
        <f ca="1">IFERROR(DelayQ(B29*C29/600,E29*((1-$H$7*VLOOKUP(A29,CURVAS_INTRA!$A$103:$AD$150,HLOOKUP($C$14,CURVAS_INTRA!$A$101:$AD$102,2,0),0))),$C$8,C29),0)</f>
        <v>0.99919999999999998</v>
      </c>
      <c r="H29" s="221">
        <v>0</v>
      </c>
      <c r="I29" s="221">
        <v>0</v>
      </c>
      <c r="J29" s="221">
        <v>0</v>
      </c>
      <c r="K29" s="221">
        <v>0</v>
      </c>
      <c r="L29" s="137">
        <f>SUM(H$20:H29)+SUM(H150:$H$163)</f>
        <v>0</v>
      </c>
      <c r="M29" s="186">
        <f>SUM(I$20:I29)+SUM(I142:$I$163)</f>
        <v>0</v>
      </c>
      <c r="N29" s="137">
        <f>SUM(J$20:J29)+SUM(J136:$J$163)</f>
        <v>4</v>
      </c>
      <c r="O29" s="188">
        <f>SUM($K$20:K29)+SUM(K125:$K$163)</f>
        <v>0</v>
      </c>
      <c r="P29" s="201">
        <f t="shared" ca="1" si="13"/>
        <v>5.5080803312093932E-2</v>
      </c>
      <c r="Q29" s="202">
        <f t="shared" ca="1" si="14"/>
        <v>0.11016160662418786</v>
      </c>
      <c r="R29" s="174">
        <f t="shared" ca="1" si="15"/>
        <v>41</v>
      </c>
      <c r="S29" s="246"/>
      <c r="T29" s="241">
        <f t="shared" ca="1" si="16"/>
        <v>2</v>
      </c>
      <c r="U29" s="247">
        <f ca="1">IF(IFERROR(DelayQ(B29*C29/600,(S29/(1-$H$5))+E29*((1-$H$7)*VLOOKUP(A29,CURVAS_INTRA!$A$103:$AD$150,HLOOKUP($C$14,CURVAS_INTRA!$A$101:$AD$102,2,0),0)),$C$8,C29),0)=0,"",IFERROR(DelayQ(B29*C29/600,S29+E29*((1-$H$7)*VLOOKUP(A29,CURVAS_INTRA!$A$103:$AD$150,HLOOKUP($C$14,CURVAS_INTRA!$A$101:$AD$102,2,0),0)),$C$8,C29),0))</f>
        <v>0.99919999999999998</v>
      </c>
      <c r="V29" s="281">
        <f t="shared" ca="1" si="17"/>
        <v>0.99919999999999998</v>
      </c>
      <c r="W29" s="174">
        <f t="shared" si="20"/>
        <v>4</v>
      </c>
      <c r="X29" s="227">
        <v>6.25E-2</v>
      </c>
      <c r="Y29" s="220">
        <f t="shared" si="21"/>
        <v>4</v>
      </c>
      <c r="Z29" s="221">
        <f t="shared" si="2"/>
        <v>0</v>
      </c>
      <c r="AA29" s="221">
        <f t="shared" si="3"/>
        <v>0</v>
      </c>
      <c r="AB29" s="221">
        <f t="shared" si="4"/>
        <v>0</v>
      </c>
      <c r="AC29" s="221">
        <f t="shared" si="5"/>
        <v>0</v>
      </c>
      <c r="AD29" s="221">
        <f t="shared" si="6"/>
        <v>0</v>
      </c>
      <c r="AE29" s="221">
        <f t="shared" si="7"/>
        <v>0</v>
      </c>
      <c r="AF29" s="221">
        <f t="shared" si="8"/>
        <v>0</v>
      </c>
      <c r="AG29" s="222">
        <f t="shared" si="18"/>
        <v>4</v>
      </c>
      <c r="AH29" s="222">
        <f t="shared" si="9"/>
        <v>4</v>
      </c>
      <c r="AJ29" s="291">
        <f t="shared" ca="1" si="10"/>
        <v>1</v>
      </c>
      <c r="AK29" s="291">
        <f ca="1">IFERROR(ROUNDUP(IF(B29=0,0,Agents(B29*C29/600,$C$7,$C$8,C29))/(1-($J$12*(IFERROR(INDIRECT("CURVAS_INTRA!"&amp;ADDRESS(VLOOKUP($A29,CURVAS_INTRA!$A$103:$B$150,2,0),HLOOKUP($C$14,CURVAS_INTRA!$1:$2,2,0))),0)))),0),0)</f>
        <v>2</v>
      </c>
      <c r="AM29" s="488">
        <f t="shared" si="19"/>
        <v>0</v>
      </c>
    </row>
    <row r="30" spans="1:39" ht="11.25" customHeight="1">
      <c r="A30" s="599">
        <v>6.9444444444444406E-2</v>
      </c>
      <c r="B30" s="183">
        <f ca="1">IFERROR(INDIRECT("CURVAS_INTRA!"&amp;ADDRESS(VLOOKUP($A29,CURVAS_INTRA!$A$3:$B$50,2,0),HLOOKUP($C$14,CURVAS_INTRA!$1:$2,2,0)))/3*$C$5,$B$19)</f>
        <v>0.1797381430690238</v>
      </c>
      <c r="C30" s="183">
        <f ca="1">IFERROR(INDIRECT("CURVAS_INTRA!"&amp;ADDRESS(VLOOKUP($A30,CURVAS_INTRA!$A$53:$B$100,2,0),HLOOKUP($C$14,CURVAS_INTRA!$1:$2,2,0)))*$C$6,C29)</f>
        <v>599.54080619071726</v>
      </c>
      <c r="D30" s="183">
        <f ca="1">IFERROR(ROUNDUP(IF(B30=0,0,Agents(B30*C30/600,$C$7,$C$8,C30))/(1-($H$7*(IFERROR(INDIRECT("CURVAS_INTRA!"&amp;ADDRESS(VLOOKUP($A29,CURVAS_INTRA!$A$103:$B$150,2,0),HLOOKUP($C$14,CURVAS_INTRA!$1:$2,2,0))),0)))),0),0)</f>
        <v>2</v>
      </c>
      <c r="E30" s="183">
        <f>ROUNDUP(SUM(L30:O30),0)</f>
        <v>4</v>
      </c>
      <c r="F30" s="241">
        <f t="shared" ca="1" si="12"/>
        <v>2</v>
      </c>
      <c r="G30" s="185">
        <f ca="1">IFERROR(DelayQ(B30*C30/600,E30*((1-$H$7*VLOOKUP(A29,CURVAS_INTRA!$A$103:$AD$150,HLOOKUP($C$14,CURVAS_INTRA!$A$101:$AD$102,2,0),0))),$C$8,C30),0)</f>
        <v>0.99919999999999998</v>
      </c>
      <c r="H30" s="221">
        <v>0</v>
      </c>
      <c r="I30" s="221">
        <v>0</v>
      </c>
      <c r="J30" s="221">
        <v>0</v>
      </c>
      <c r="K30" s="221">
        <v>0</v>
      </c>
      <c r="L30" s="137">
        <f>SUM(H$20:H30)+SUM(H151:$H$163)</f>
        <v>0</v>
      </c>
      <c r="M30" s="186">
        <f>SUM(I$20:I30)+SUM(I143:$I$163)</f>
        <v>0</v>
      </c>
      <c r="N30" s="137">
        <f>SUM(J$20:J30)+SUM(J137:$J$163)</f>
        <v>4</v>
      </c>
      <c r="O30" s="188">
        <f>SUM($K$20:K30)+SUM(K126:$K$163)</f>
        <v>0</v>
      </c>
      <c r="P30" s="201">
        <f t="shared" ca="1" si="13"/>
        <v>5.5080803312093932E-2</v>
      </c>
      <c r="Q30" s="202">
        <f t="shared" ca="1" si="14"/>
        <v>0.11016160662418786</v>
      </c>
      <c r="R30" s="174">
        <f t="shared" ca="1" si="15"/>
        <v>40</v>
      </c>
      <c r="S30" s="246"/>
      <c r="T30" s="241">
        <f t="shared" ca="1" si="16"/>
        <v>2</v>
      </c>
      <c r="U30" s="247">
        <f ca="1">IF(IFERROR(DelayQ(B30*C30/600,(S30/(1-$H$5))+E30*((1-$H$7)*VLOOKUP(A29,CURVAS_INTRA!$A$103:$AD$150,HLOOKUP($C$14,CURVAS_INTRA!$A$101:$AD$102,2,0),0)),$C$8,C30),0)=0,"",IFERROR(DelayQ(B30*C30/600,S30+E30*((1-$H$7)*VLOOKUP(A29,CURVAS_INTRA!$A$103:$AD$150,HLOOKUP($C$14,CURVAS_INTRA!$A$101:$AD$102,2,0),0)),$C$8,C30),0))</f>
        <v>0.99919999999999998</v>
      </c>
      <c r="V30" s="281">
        <f t="shared" ca="1" si="17"/>
        <v>0.99919999999999998</v>
      </c>
      <c r="W30" s="174">
        <f t="shared" si="20"/>
        <v>4</v>
      </c>
      <c r="X30" s="227">
        <v>6.9444444444444406E-2</v>
      </c>
      <c r="Y30" s="220">
        <f t="shared" si="21"/>
        <v>4</v>
      </c>
      <c r="Z30" s="221">
        <f t="shared" si="2"/>
        <v>0</v>
      </c>
      <c r="AA30" s="221">
        <f t="shared" si="3"/>
        <v>0</v>
      </c>
      <c r="AB30" s="221">
        <f t="shared" si="4"/>
        <v>0</v>
      </c>
      <c r="AC30" s="221">
        <f t="shared" si="5"/>
        <v>0</v>
      </c>
      <c r="AD30" s="221">
        <f t="shared" si="6"/>
        <v>0</v>
      </c>
      <c r="AE30" s="221">
        <f t="shared" si="7"/>
        <v>0</v>
      </c>
      <c r="AF30" s="221">
        <f t="shared" si="8"/>
        <v>0</v>
      </c>
      <c r="AG30" s="222">
        <f t="shared" si="18"/>
        <v>4</v>
      </c>
      <c r="AH30" s="222">
        <f t="shared" si="9"/>
        <v>4</v>
      </c>
      <c r="AJ30" s="291">
        <f t="shared" ca="1" si="10"/>
        <v>1</v>
      </c>
      <c r="AK30" s="291">
        <f ca="1">IFERROR(ROUNDUP(IF(B30=0,0,Agents(B30*C30/600,$C$7,$C$8,C30))/(1-($J$12*(IFERROR(INDIRECT("CURVAS_INTRA!"&amp;ADDRESS(VLOOKUP($A30,CURVAS_INTRA!$A$103:$B$150,2,0),HLOOKUP($C$14,CURVAS_INTRA!$1:$2,2,0))),0)+IFERROR(INDIRECT("CURVAS_INTRA!"&amp;ADDRESS(VLOOKUP($A29,CURVAS_INTRA!$A$103:$B$150,2,0),HLOOKUP($C$14,CURVAS_INTRA!$1:$2,2,0))),0)))),0),0)</f>
        <v>2</v>
      </c>
      <c r="AM30" s="488">
        <f t="shared" si="19"/>
        <v>0</v>
      </c>
    </row>
    <row r="31" spans="1:39" ht="11.25" customHeight="1">
      <c r="A31" s="599">
        <v>7.6388888888888895E-2</v>
      </c>
      <c r="B31" s="183">
        <f ca="1">IFERROR(INDIRECT("CURVAS_INTRA!"&amp;ADDRESS(VLOOKUP($A29,CURVAS_INTRA!$A$3:$B$50,2,0),HLOOKUP($C$14,CURVAS_INTRA!$1:$2,2,0)))/3*$C$5,B28)</f>
        <v>0.1797381430690238</v>
      </c>
      <c r="C31" s="183">
        <f ca="1">IFERROR(INDIRECT("CURVAS_INTRA!"&amp;ADDRESS(VLOOKUP($A31,CURVAS_INTRA!$A$53:$B$100,2,0),HLOOKUP($C$14,CURVAS_INTRA!$1:$2,2,0)))*$C$6,C30)</f>
        <v>599.54080619071726</v>
      </c>
      <c r="D31" s="183">
        <f ca="1">IFERROR(ROUNDUP(IF(B31=0,0,Agents(B31*C31/600,$C$7,$C$8,C31))/(1-($H$7*(IFERROR(INDIRECT("CURVAS_INTRA!"&amp;ADDRESS(VLOOKUP($A29,CURVAS_INTRA!$A$103:$B$150,2,0),HLOOKUP($C$14,CURVAS_INTRA!$1:$2,2,0))),0)))),0),0)</f>
        <v>2</v>
      </c>
      <c r="E31" s="183">
        <f t="shared" si="11"/>
        <v>4</v>
      </c>
      <c r="F31" s="241">
        <f t="shared" ca="1" si="12"/>
        <v>2</v>
      </c>
      <c r="G31" s="185">
        <f ca="1">IFERROR(DelayQ(B31*C31/600,E31*((1-$H$7*VLOOKUP(A29,CURVAS_INTRA!$A$103:$AD$150,HLOOKUP($C$14,CURVAS_INTRA!$A$101:$AD$102,2,0),0))),$C$8,C31),0)</f>
        <v>0.99919999999999998</v>
      </c>
      <c r="H31" s="221">
        <v>0</v>
      </c>
      <c r="I31" s="221">
        <v>0</v>
      </c>
      <c r="J31" s="221">
        <v>0</v>
      </c>
      <c r="K31" s="221">
        <v>0</v>
      </c>
      <c r="L31" s="137">
        <f>SUM(H$20:H31)+SUM(H152:$H$163)</f>
        <v>0</v>
      </c>
      <c r="M31" s="186">
        <f>SUM(I$20:I31)+SUM(I144:$I$163)</f>
        <v>0</v>
      </c>
      <c r="N31" s="137">
        <f>SUM(J$20:J31)+SUM(J138:$J$163)</f>
        <v>4</v>
      </c>
      <c r="O31" s="188">
        <f>SUM($K$20:K31)+SUM(K127:$K$163)</f>
        <v>0</v>
      </c>
      <c r="P31" s="201">
        <f t="shared" ca="1" si="13"/>
        <v>5.5080803312093932E-2</v>
      </c>
      <c r="Q31" s="202">
        <f t="shared" ca="1" si="14"/>
        <v>0.11016160662418786</v>
      </c>
      <c r="R31" s="174">
        <f t="shared" ca="1" si="15"/>
        <v>37</v>
      </c>
      <c r="S31" s="246"/>
      <c r="T31" s="241">
        <f t="shared" ca="1" si="16"/>
        <v>2</v>
      </c>
      <c r="U31" s="247">
        <f ca="1">IF(IFERROR(DelayQ(B31*C31/600,(S31/(1-$H$5))+E31*((1-$H$7)*VLOOKUP(A29,CURVAS_INTRA!$A$103:$AD$150,HLOOKUP($C$14,CURVAS_INTRA!$A$101:$AD$102,2,0),0)),$C$8,C31),0)=0,"",IFERROR(DelayQ(B31*C31/600,S31+E31*((1-$H$7)*VLOOKUP(A29,CURVAS_INTRA!$A$103:$AD$150,HLOOKUP($C$14,CURVAS_INTRA!$A$101:$AD$102,2,0),0)),$C$8,C31),0))</f>
        <v>0.99919999999999998</v>
      </c>
      <c r="V31" s="281">
        <f t="shared" ca="1" si="17"/>
        <v>0.99919999999999998</v>
      </c>
      <c r="W31" s="174">
        <f t="shared" si="20"/>
        <v>4</v>
      </c>
      <c r="X31" s="227">
        <v>7.6388888888888895E-2</v>
      </c>
      <c r="Y31" s="220">
        <f t="shared" si="21"/>
        <v>4</v>
      </c>
      <c r="Z31" s="221">
        <f t="shared" si="2"/>
        <v>0</v>
      </c>
      <c r="AA31" s="221">
        <f t="shared" si="3"/>
        <v>0</v>
      </c>
      <c r="AB31" s="221">
        <f t="shared" si="4"/>
        <v>0</v>
      </c>
      <c r="AC31" s="221">
        <f t="shared" si="5"/>
        <v>0</v>
      </c>
      <c r="AD31" s="221">
        <f t="shared" si="6"/>
        <v>0</v>
      </c>
      <c r="AE31" s="221">
        <f t="shared" si="7"/>
        <v>0</v>
      </c>
      <c r="AF31" s="221">
        <f t="shared" si="8"/>
        <v>0</v>
      </c>
      <c r="AG31" s="222">
        <f t="shared" si="18"/>
        <v>4</v>
      </c>
      <c r="AH31" s="222">
        <f t="shared" si="9"/>
        <v>4</v>
      </c>
      <c r="AJ31" s="291">
        <f t="shared" ca="1" si="10"/>
        <v>1</v>
      </c>
      <c r="AK31" s="291">
        <f ca="1">IFERROR(ROUNDUP(IF(B31=0,0,Agents(B31*C31/600,$C$7,$C$8,C31))/(1-($J$12*(IFERROR(INDIRECT("CURVAS_INTRA!"&amp;ADDRESS(VLOOKUP($A31,CURVAS_INTRA!$A$103:$B$150,2,0),HLOOKUP($C$14,CURVAS_INTRA!$1:$2,2,0))),0)+IFERROR(INDIRECT("CURVAS_INTRA!"&amp;ADDRESS(VLOOKUP($A30,CURVAS_INTRA!$A$103:$B$150,2,0),HLOOKUP($C$14,CURVAS_INTRA!$1:$2,2,0))),0)+IFERROR(INDIRECT("CURVAS_INTRA!"&amp;ADDRESS(VLOOKUP($A29,CURVAS_INTRA!$A$103:$B$150,2,0),HLOOKUP($C$14,CURVAS_INTRA!$1:$2,2,0))),0)))),0),0)</f>
        <v>2</v>
      </c>
      <c r="AM31" s="488">
        <f t="shared" si="19"/>
        <v>0</v>
      </c>
    </row>
    <row r="32" spans="1:39" ht="11.25" customHeight="1">
      <c r="A32" s="599">
        <v>8.3333333333333301E-2</v>
      </c>
      <c r="B32" s="183">
        <f ca="1">IFERROR(INDIRECT("CURVAS_INTRA!"&amp;ADDRESS(VLOOKUP($A32,CURVAS_INTRA!$A$3:$B$50,2,0),HLOOKUP($C$14,CURVAS_INTRA!$1:$2,2,0)))/3*$C$5,$B$19)</f>
        <v>0.14467054763951856</v>
      </c>
      <c r="C32" s="183">
        <f ca="1">IFERROR(INDIRECT("CURVAS_INTRA!"&amp;ADDRESS(VLOOKUP($A32,CURVAS_INTRA!$A$53:$B$100,2,0),HLOOKUP($C$14,CURVAS_INTRA!$1:$2,2,0)))*$C$6,C31)</f>
        <v>617.29209156974036</v>
      </c>
      <c r="D32" s="183">
        <f ca="1">IFERROR(ROUNDUP(IF(B32=0,0,Agents(B32*C32/600,$C$7,$C$8,C32))/(1-($H$7*(IFERROR(INDIRECT("CURVAS_INTRA!"&amp;ADDRESS(VLOOKUP($A32,CURVAS_INTRA!$A$103:$B$150,2,0),HLOOKUP($C$14,CURVAS_INTRA!$1:$2,2,0))),0)))),0),0)</f>
        <v>2</v>
      </c>
      <c r="E32" s="183">
        <f t="shared" si="11"/>
        <v>4</v>
      </c>
      <c r="F32" s="241">
        <f t="shared" ca="1" si="12"/>
        <v>2</v>
      </c>
      <c r="G32" s="185">
        <f ca="1">IFERROR(DelayQ(B32*C32/600,E32*((1-$H$7*VLOOKUP(A32,CURVAS_INTRA!$A$103:$AD$150,HLOOKUP($C$14,CURVAS_INTRA!$A$101:$AD$102,2,0),0))),$C$8,C32),0)</f>
        <v>0.99950000000000006</v>
      </c>
      <c r="H32" s="221">
        <v>0</v>
      </c>
      <c r="I32" s="221">
        <v>0</v>
      </c>
      <c r="J32" s="221">
        <v>0</v>
      </c>
      <c r="K32" s="221">
        <v>0</v>
      </c>
      <c r="L32" s="137">
        <f>SUM(H$20:H32)+SUM(H153:$H$163)</f>
        <v>0</v>
      </c>
      <c r="M32" s="186">
        <f>SUM(I$20:I32)+SUM(I145:$I$163)</f>
        <v>0</v>
      </c>
      <c r="N32" s="137">
        <f>SUM(J$20:J32)+SUM(J139:$J$163)</f>
        <v>4</v>
      </c>
      <c r="O32" s="188">
        <f>SUM($K$20:K32)+SUM(K128:$K$163)</f>
        <v>0</v>
      </c>
      <c r="P32" s="201">
        <f t="shared" ca="1" si="13"/>
        <v>4.5646985879270678E-2</v>
      </c>
      <c r="Q32" s="202">
        <f t="shared" ca="1" si="14"/>
        <v>9.1293971758541356E-2</v>
      </c>
      <c r="R32" s="174">
        <f t="shared" ca="1" si="15"/>
        <v>34</v>
      </c>
      <c r="S32" s="246"/>
      <c r="T32" s="241">
        <f t="shared" ca="1" si="16"/>
        <v>2</v>
      </c>
      <c r="U32" s="247">
        <f ca="1">IF(IFERROR(DelayQ(B32*C32/600,(S32/(1-$H$5))+E32*((1-$H$7)*VLOOKUP(A32,CURVAS_INTRA!$A$103:$AD$150,HLOOKUP($C$14,CURVAS_INTRA!$A$101:$AD$102,2,0),0)),$C$8,C32),0)=0,"",IFERROR(DelayQ(B32*C32/600,S32+E32*((1-$H$7)*VLOOKUP(A32,CURVAS_INTRA!$A$103:$AD$150,HLOOKUP($C$14,CURVAS_INTRA!$A$101:$AD$102,2,0),0)),$C$8,C32),0))</f>
        <v>0.99950000000000006</v>
      </c>
      <c r="V32" s="281">
        <f t="shared" ca="1" si="17"/>
        <v>0.99950000000000006</v>
      </c>
      <c r="W32" s="174">
        <f t="shared" si="20"/>
        <v>4</v>
      </c>
      <c r="X32" s="227">
        <v>8.3333333333333301E-2</v>
      </c>
      <c r="Y32" s="220">
        <f t="shared" si="21"/>
        <v>4</v>
      </c>
      <c r="Z32" s="221">
        <f t="shared" si="2"/>
        <v>0</v>
      </c>
      <c r="AA32" s="221">
        <f t="shared" si="3"/>
        <v>0</v>
      </c>
      <c r="AB32" s="221">
        <f t="shared" si="4"/>
        <v>0</v>
      </c>
      <c r="AC32" s="221">
        <f t="shared" si="5"/>
        <v>0</v>
      </c>
      <c r="AD32" s="221">
        <f t="shared" si="6"/>
        <v>0</v>
      </c>
      <c r="AE32" s="221">
        <f t="shared" si="7"/>
        <v>0</v>
      </c>
      <c r="AF32" s="221">
        <f t="shared" si="8"/>
        <v>0</v>
      </c>
      <c r="AG32" s="222">
        <f t="shared" si="18"/>
        <v>4</v>
      </c>
      <c r="AH32" s="222">
        <f t="shared" si="9"/>
        <v>4</v>
      </c>
      <c r="AJ32" s="291">
        <f t="shared" ca="1" si="10"/>
        <v>1</v>
      </c>
      <c r="AK32" s="291">
        <f ca="1">IFERROR(ROUNDUP(IF(B32=0,0,Agents(B32*C32/600,$C$7,$C$8,C32))/(1-($J$12*(IFERROR(INDIRECT("CURVAS_INTRA!"&amp;ADDRESS(VLOOKUP($A32,CURVAS_INTRA!$A$103:$B$150,2,0),HLOOKUP($C$14,CURVAS_INTRA!$1:$2,2,0))),0)))),0),0)</f>
        <v>2</v>
      </c>
      <c r="AM32" s="488">
        <f t="shared" si="19"/>
        <v>0</v>
      </c>
    </row>
    <row r="33" spans="1:52" ht="11.25" customHeight="1">
      <c r="A33" s="599">
        <v>9.0277777777777804E-2</v>
      </c>
      <c r="B33" s="183">
        <f ca="1">IFERROR(INDIRECT("CURVAS_INTRA!"&amp;ADDRESS(VLOOKUP($A32,CURVAS_INTRA!$A$3:$B$50,2,0),HLOOKUP($C$14,CURVAS_INTRA!$1:$2,2,0)))/3*$C$5,$B$19)</f>
        <v>0.14467054763951856</v>
      </c>
      <c r="C33" s="183">
        <f ca="1">IFERROR(INDIRECT("CURVAS_INTRA!"&amp;ADDRESS(VLOOKUP($A33,CURVAS_INTRA!$A$53:$B$100,2,0),HLOOKUP($C$14,CURVAS_INTRA!$1:$2,2,0)))*$C$6,C32)</f>
        <v>617.29209156974036</v>
      </c>
      <c r="D33" s="183">
        <f ca="1">IFERROR(ROUNDUP(IF(B33=0,0,Agents(B33*C33/600,$C$7,$C$8,C33))/(1-($H$7*(IFERROR(INDIRECT("CURVAS_INTRA!"&amp;ADDRESS(VLOOKUP($A32,CURVAS_INTRA!$A$103:$B$150,2,0),HLOOKUP($C$14,CURVAS_INTRA!$1:$2,2,0))),0)))),0),0)</f>
        <v>2</v>
      </c>
      <c r="E33" s="183">
        <f t="shared" si="11"/>
        <v>4</v>
      </c>
      <c r="F33" s="241">
        <f t="shared" ca="1" si="12"/>
        <v>2</v>
      </c>
      <c r="G33" s="185">
        <f ca="1">IFERROR(DelayQ(B33*C33/600,E33*((1-$H$7*VLOOKUP(A32,CURVAS_INTRA!$A$103:$AD$150,HLOOKUP($C$14,CURVAS_INTRA!$A$101:$AD$102,2,0),0))),$C$8,C33),0)</f>
        <v>0.99950000000000006</v>
      </c>
      <c r="H33" s="221">
        <v>0</v>
      </c>
      <c r="I33" s="221">
        <v>0</v>
      </c>
      <c r="J33" s="221">
        <v>0</v>
      </c>
      <c r="K33" s="221">
        <v>0</v>
      </c>
      <c r="L33" s="137">
        <f>SUM(H$20:H33)+SUM(H154:$H$163)</f>
        <v>0</v>
      </c>
      <c r="M33" s="186">
        <f>SUM(I$20:I33)+SUM(I146:$I$163)</f>
        <v>0</v>
      </c>
      <c r="N33" s="137">
        <f>SUM(J$20:J33)+SUM(J140:$J$163)</f>
        <v>4</v>
      </c>
      <c r="O33" s="188">
        <f>SUM($K$20:K33)+SUM(K129:$K$163)</f>
        <v>0</v>
      </c>
      <c r="P33" s="201">
        <f t="shared" ca="1" si="13"/>
        <v>4.5646985879270678E-2</v>
      </c>
      <c r="Q33" s="202">
        <f t="shared" ca="1" si="14"/>
        <v>9.1293971758541356E-2</v>
      </c>
      <c r="R33" s="174">
        <f t="shared" ca="1" si="15"/>
        <v>31</v>
      </c>
      <c r="S33" s="246"/>
      <c r="T33" s="241">
        <f t="shared" ca="1" si="16"/>
        <v>2</v>
      </c>
      <c r="U33" s="247">
        <f ca="1">IF(IFERROR(DelayQ(B33*C33/600,(S33/(1-$H$5))+E33*((1-$H$7)*VLOOKUP(A32,CURVAS_INTRA!$A$103:$AD$150,HLOOKUP($C$14,CURVAS_INTRA!$A$101:$AD$102,2,0),0)),$C$8,C33),0)=0,"",IFERROR(DelayQ(B33*C33/600,S33+E33*((1-$H$7)*VLOOKUP(A32,CURVAS_INTRA!$A$103:$AD$150,HLOOKUP($C$14,CURVAS_INTRA!$A$101:$AD$102,2,0),0)),$C$8,C33),0))</f>
        <v>0.99950000000000006</v>
      </c>
      <c r="V33" s="281">
        <f t="shared" ca="1" si="17"/>
        <v>0.99950000000000006</v>
      </c>
      <c r="W33" s="174">
        <f t="shared" si="20"/>
        <v>4</v>
      </c>
      <c r="X33" s="227">
        <v>9.0277777777777804E-2</v>
      </c>
      <c r="Y33" s="220">
        <f t="shared" si="21"/>
        <v>4</v>
      </c>
      <c r="Z33" s="221">
        <f t="shared" si="2"/>
        <v>0</v>
      </c>
      <c r="AA33" s="221">
        <f t="shared" si="3"/>
        <v>0</v>
      </c>
      <c r="AB33" s="221">
        <f t="shared" si="4"/>
        <v>0</v>
      </c>
      <c r="AC33" s="221">
        <f t="shared" si="5"/>
        <v>0</v>
      </c>
      <c r="AD33" s="221">
        <f t="shared" si="6"/>
        <v>0</v>
      </c>
      <c r="AE33" s="221">
        <f t="shared" si="7"/>
        <v>0</v>
      </c>
      <c r="AF33" s="221">
        <f t="shared" si="8"/>
        <v>0</v>
      </c>
      <c r="AG33" s="222">
        <f t="shared" si="18"/>
        <v>4</v>
      </c>
      <c r="AH33" s="222">
        <f t="shared" si="9"/>
        <v>4</v>
      </c>
      <c r="AJ33" s="291">
        <f t="shared" ca="1" si="10"/>
        <v>1</v>
      </c>
      <c r="AK33" s="291">
        <f ca="1">IFERROR(ROUNDUP(IF(B33=0,0,Agents(B33*C33/600,$C$7,$C$8,C33))/(1-($J$12*(IFERROR(INDIRECT("CURVAS_INTRA!"&amp;ADDRESS(VLOOKUP($A33,CURVAS_INTRA!$A$103:$B$150,2,0),HLOOKUP($C$14,CURVAS_INTRA!$1:$2,2,0))),0)+IFERROR(INDIRECT("CURVAS_INTRA!"&amp;ADDRESS(VLOOKUP($A32,CURVAS_INTRA!$A$103:$B$150,2,0),HLOOKUP($C$14,CURVAS_INTRA!$1:$2,2,0))),0)))),0),0)</f>
        <v>2</v>
      </c>
      <c r="AM33" s="488">
        <f t="shared" si="19"/>
        <v>0</v>
      </c>
    </row>
    <row r="34" spans="1:52" ht="11.25" customHeight="1">
      <c r="A34" s="599">
        <v>9.7222222222222196E-2</v>
      </c>
      <c r="B34" s="183">
        <f ca="1">IFERROR(INDIRECT("CURVAS_INTRA!"&amp;ADDRESS(VLOOKUP($A32,CURVAS_INTRA!$A$3:$B$50,2,0),HLOOKUP($C$14,CURVAS_INTRA!$1:$2,2,0)))/3*$C$5,B31)</f>
        <v>0.14467054763951856</v>
      </c>
      <c r="C34" s="183">
        <f ca="1">IFERROR(INDIRECT("CURVAS_INTRA!"&amp;ADDRESS(VLOOKUP($A34,CURVAS_INTRA!$A$53:$B$100,2,0),HLOOKUP($C$14,CURVAS_INTRA!$1:$2,2,0)))*$C$6,C33)</f>
        <v>617.29209156974036</v>
      </c>
      <c r="D34" s="183">
        <f ca="1">IFERROR(ROUNDUP(IF(B34=0,0,Agents(B34*C34/600,$C$7,$C$8,C34))/(1-($H$7*(IFERROR(INDIRECT("CURVAS_INTRA!"&amp;ADDRESS(VLOOKUP($A32,CURVAS_INTRA!$A$103:$B$150,2,0),HLOOKUP($C$14,CURVAS_INTRA!$1:$2,2,0))),0)))),0),0)</f>
        <v>2</v>
      </c>
      <c r="E34" s="183">
        <f t="shared" si="11"/>
        <v>4</v>
      </c>
      <c r="F34" s="241">
        <f t="shared" ca="1" si="12"/>
        <v>2</v>
      </c>
      <c r="G34" s="185">
        <f ca="1">IFERROR(DelayQ(B34*C34/600,E34*((1-$H$7*VLOOKUP(A32,CURVAS_INTRA!$A$103:$AD$150,HLOOKUP($C$14,CURVAS_INTRA!$A$101:$AD$102,2,0),0))),$C$8,C34),0)</f>
        <v>0.99950000000000006</v>
      </c>
      <c r="H34" s="221">
        <v>0</v>
      </c>
      <c r="I34" s="221">
        <v>0</v>
      </c>
      <c r="J34" s="221">
        <v>0</v>
      </c>
      <c r="K34" s="221">
        <v>0</v>
      </c>
      <c r="L34" s="137">
        <f>SUM(H$20:H34)+SUM(H155:$H$163)</f>
        <v>0</v>
      </c>
      <c r="M34" s="186">
        <f>SUM(I$20:I34)+SUM(I147:$I$163)</f>
        <v>0</v>
      </c>
      <c r="N34" s="137">
        <f>SUM(J$20:J34)+SUM(J141:$J$163)</f>
        <v>4</v>
      </c>
      <c r="O34" s="188">
        <f>SUM($K$20:K34)+SUM(K130:$K$163)</f>
        <v>0</v>
      </c>
      <c r="P34" s="201">
        <f t="shared" ca="1" si="13"/>
        <v>4.5646985879270678E-2</v>
      </c>
      <c r="Q34" s="202">
        <f t="shared" ca="1" si="14"/>
        <v>9.1293971758541356E-2</v>
      </c>
      <c r="R34" s="174">
        <f t="shared" ca="1" si="15"/>
        <v>28</v>
      </c>
      <c r="S34" s="246"/>
      <c r="T34" s="241">
        <f t="shared" ca="1" si="16"/>
        <v>2</v>
      </c>
      <c r="U34" s="247">
        <f ca="1">IF(IFERROR(DelayQ(B34*C34/600,(S34/(1-$H$5))+E34*((1-$H$7)*VLOOKUP(A32,CURVAS_INTRA!$A$103:$AD$150,HLOOKUP($C$14,CURVAS_INTRA!$A$101:$AD$102,2,0),0)),$C$8,C34),0)=0,"",IFERROR(DelayQ(B34*C34/600,S34+E34*((1-$H$7)*VLOOKUP(A32,CURVAS_INTRA!$A$103:$AD$150,HLOOKUP($C$14,CURVAS_INTRA!$A$101:$AD$102,2,0),0)),$C$8,C34),0))</f>
        <v>0.99950000000000006</v>
      </c>
      <c r="V34" s="281">
        <f t="shared" ca="1" si="17"/>
        <v>0.99950000000000006</v>
      </c>
      <c r="W34" s="174">
        <f t="shared" si="20"/>
        <v>4</v>
      </c>
      <c r="X34" s="227">
        <v>9.7222222222222196E-2</v>
      </c>
      <c r="Y34" s="220">
        <f t="shared" si="21"/>
        <v>4</v>
      </c>
      <c r="Z34" s="221">
        <f t="shared" si="2"/>
        <v>0</v>
      </c>
      <c r="AA34" s="221">
        <f t="shared" si="3"/>
        <v>0</v>
      </c>
      <c r="AB34" s="221">
        <f t="shared" si="4"/>
        <v>0</v>
      </c>
      <c r="AC34" s="221">
        <f t="shared" si="5"/>
        <v>0</v>
      </c>
      <c r="AD34" s="221">
        <f t="shared" si="6"/>
        <v>0</v>
      </c>
      <c r="AE34" s="221">
        <f t="shared" si="7"/>
        <v>0</v>
      </c>
      <c r="AF34" s="221">
        <f t="shared" si="8"/>
        <v>0</v>
      </c>
      <c r="AG34" s="222">
        <f t="shared" si="18"/>
        <v>4</v>
      </c>
      <c r="AH34" s="222">
        <f t="shared" si="9"/>
        <v>4</v>
      </c>
      <c r="AJ34" s="291">
        <f t="shared" ca="1" si="10"/>
        <v>1</v>
      </c>
      <c r="AK34" s="291">
        <f ca="1">IFERROR(ROUNDUP(IF(B34=0,0,Agents(B34*C34/600,$C$7,$C$8,C34))/(1-($J$12*(IFERROR(INDIRECT("CURVAS_INTRA!"&amp;ADDRESS(VLOOKUP($A34,CURVAS_INTRA!$A$103:$B$150,2,0),HLOOKUP($C$14,CURVAS_INTRA!$1:$2,2,0))),0)+IFERROR(INDIRECT("CURVAS_INTRA!"&amp;ADDRESS(VLOOKUP($A33,CURVAS_INTRA!$A$103:$B$150,2,0),HLOOKUP($C$14,CURVAS_INTRA!$1:$2,2,0))),0)+IFERROR(INDIRECT("CURVAS_INTRA!"&amp;ADDRESS(VLOOKUP($A32,CURVAS_INTRA!$A$103:$B$150,2,0),HLOOKUP($C$14,CURVAS_INTRA!$1:$2,2,0))),0)))),0),0)</f>
        <v>2</v>
      </c>
      <c r="AM34" s="488">
        <f t="shared" si="19"/>
        <v>0</v>
      </c>
      <c r="AZ34" s="489">
        <f>IFERROR(SUMPRODUCT(AL3:AL33,AZ3:AZ33)/AL34,0)</f>
        <v>0</v>
      </c>
    </row>
    <row r="35" spans="1:52" ht="11.25" customHeight="1">
      <c r="A35" s="599">
        <v>0.104166666666667</v>
      </c>
      <c r="B35" s="183">
        <f ca="1">IFERROR(INDIRECT("CURVAS_INTRA!"&amp;ADDRESS(VLOOKUP($A35,CURVAS_INTRA!$A$3:$B$50,2,0),HLOOKUP($C$14,CURVAS_INTRA!$1:$2,2,0)))/3*$C$5,$B$19)</f>
        <v>0.11516978052302536</v>
      </c>
      <c r="C35" s="183">
        <f ca="1">IFERROR(INDIRECT("CURVAS_INTRA!"&amp;ADDRESS(VLOOKUP($A35,CURVAS_INTRA!$A$53:$B$100,2,0),HLOOKUP($C$14,CURVAS_INTRA!$1:$2,2,0)))*$C$6,C34)</f>
        <v>587.4549984989734</v>
      </c>
      <c r="D35" s="183">
        <f ca="1">IFERROR(ROUNDUP(IF(B35=0,0,Agents(B35*C35/600,$C$7,$C$8,C35))/(1-($H$7*(IFERROR(INDIRECT("CURVAS_INTRA!"&amp;ADDRESS(VLOOKUP($A35,CURVAS_INTRA!$A$103:$B$150,2,0),HLOOKUP($C$14,CURVAS_INTRA!$1:$2,2,0))),0)))),0),0)</f>
        <v>2</v>
      </c>
      <c r="E35" s="183">
        <f t="shared" si="11"/>
        <v>4</v>
      </c>
      <c r="F35" s="241">
        <f t="shared" ca="1" si="12"/>
        <v>2</v>
      </c>
      <c r="G35" s="185">
        <f ca="1">IFERROR(DelayQ(B35*C35/600,E35*((1-$H$7*VLOOKUP(A35,CURVAS_INTRA!$A$103:$AD$150,HLOOKUP($C$14,CURVAS_INTRA!$A$101:$AD$102,2,0),0))),$C$8,C35),0)</f>
        <v>0.99980000000000002</v>
      </c>
      <c r="H35" s="221">
        <v>0</v>
      </c>
      <c r="I35" s="221">
        <v>0</v>
      </c>
      <c r="J35" s="221">
        <v>0</v>
      </c>
      <c r="K35" s="221">
        <v>0</v>
      </c>
      <c r="L35" s="137">
        <f>SUM(H$20:H35)+SUM(H156:$H$163)</f>
        <v>0</v>
      </c>
      <c r="M35" s="186">
        <f>SUM(I$20:I35)+SUM(I148:$I$163)</f>
        <v>0</v>
      </c>
      <c r="N35" s="137">
        <f>SUM(J$20:J35)+SUM(J142:$J$163)</f>
        <v>4</v>
      </c>
      <c r="O35" s="188">
        <f>SUM($K$20:K35)+SUM(K131:$K$163)</f>
        <v>0</v>
      </c>
      <c r="P35" s="201">
        <f t="shared" ca="1" si="13"/>
        <v>3.458234268702693E-2</v>
      </c>
      <c r="Q35" s="202">
        <f t="shared" ca="1" si="14"/>
        <v>6.9164685374053861E-2</v>
      </c>
      <c r="R35" s="174">
        <f t="shared" ca="1" si="15"/>
        <v>25</v>
      </c>
      <c r="S35" s="246"/>
      <c r="T35" s="241">
        <f t="shared" ca="1" si="16"/>
        <v>2</v>
      </c>
      <c r="U35" s="247">
        <f ca="1">IF(IFERROR(DelayQ(B35*C35/600,(S35/(1-$H$5))+E35*((1-$H$7)*VLOOKUP(A35,CURVAS_INTRA!$A$103:$AD$150,HLOOKUP($C$14,CURVAS_INTRA!$A$101:$AD$102,2,0),0)),$C$8,C35),0)=0,"",IFERROR(DelayQ(B35*C35/600,S35+E35*((1-$H$7)*VLOOKUP(A35,CURVAS_INTRA!$A$103:$AD$150,HLOOKUP($C$14,CURVAS_INTRA!$A$101:$AD$102,2,0),0)),$C$8,C35),0))</f>
        <v>0.99980000000000002</v>
      </c>
      <c r="V35" s="281">
        <f t="shared" ca="1" si="17"/>
        <v>0.99980000000000002</v>
      </c>
      <c r="W35" s="174">
        <f t="shared" si="20"/>
        <v>4</v>
      </c>
      <c r="X35" s="227">
        <v>0.104166666666667</v>
      </c>
      <c r="Y35" s="220">
        <f t="shared" si="21"/>
        <v>4</v>
      </c>
      <c r="Z35" s="221">
        <f t="shared" si="2"/>
        <v>0</v>
      </c>
      <c r="AA35" s="221">
        <f t="shared" si="3"/>
        <v>0</v>
      </c>
      <c r="AB35" s="221">
        <f t="shared" si="4"/>
        <v>0</v>
      </c>
      <c r="AC35" s="221">
        <f t="shared" si="5"/>
        <v>0</v>
      </c>
      <c r="AD35" s="221">
        <f t="shared" si="6"/>
        <v>0</v>
      </c>
      <c r="AE35" s="221">
        <f t="shared" si="7"/>
        <v>0</v>
      </c>
      <c r="AF35" s="221">
        <f t="shared" si="8"/>
        <v>0</v>
      </c>
      <c r="AG35" s="222">
        <f t="shared" si="18"/>
        <v>4</v>
      </c>
      <c r="AH35" s="222">
        <f t="shared" si="9"/>
        <v>4</v>
      </c>
      <c r="AJ35" s="291">
        <f t="shared" ca="1" si="10"/>
        <v>1</v>
      </c>
      <c r="AK35" s="291">
        <f ca="1">IFERROR(ROUNDUP(IF(B35=0,0,Agents(B35*C35/600,$C$7,$C$8,C35))/(1-($J$12*(IFERROR(INDIRECT("CURVAS_INTRA!"&amp;ADDRESS(VLOOKUP($A35,CURVAS_INTRA!$A$103:$B$150,2,0),HLOOKUP($C$14,CURVAS_INTRA!$1:$2,2,0))),0)))),0),0)</f>
        <v>2</v>
      </c>
      <c r="AM35" s="488">
        <f t="shared" si="19"/>
        <v>0</v>
      </c>
    </row>
    <row r="36" spans="1:52" ht="11.25" customHeight="1">
      <c r="A36" s="599">
        <v>0.11111111111111099</v>
      </c>
      <c r="B36" s="183">
        <f ca="1">IFERROR(INDIRECT("CURVAS_INTRA!"&amp;ADDRESS(VLOOKUP($A35,CURVAS_INTRA!$A$3:$B$50,2,0),HLOOKUP($C$14,CURVAS_INTRA!$1:$2,2,0)))/3*$C$5,$B$19)</f>
        <v>0.11516978052302536</v>
      </c>
      <c r="C36" s="183">
        <f ca="1">IFERROR(INDIRECT("CURVAS_INTRA!"&amp;ADDRESS(VLOOKUP($A36,CURVAS_INTRA!$A$53:$B$100,2,0),HLOOKUP($C$14,CURVAS_INTRA!$1:$2,2,0)))*$C$6,C35)</f>
        <v>587.4549984989734</v>
      </c>
      <c r="D36" s="183">
        <f ca="1">IFERROR(ROUNDUP(IF(B36=0,0,Agents(B36*C36/600,$C$7,$C$8,C36))/(1-($H$7*(IFERROR(INDIRECT("CURVAS_INTRA!"&amp;ADDRESS(VLOOKUP($A35,CURVAS_INTRA!$A$103:$B$150,2,0),HLOOKUP($C$14,CURVAS_INTRA!$1:$2,2,0))),0)))),0),0)</f>
        <v>2</v>
      </c>
      <c r="E36" s="183">
        <f t="shared" si="11"/>
        <v>4</v>
      </c>
      <c r="F36" s="241">
        <f t="shared" ca="1" si="12"/>
        <v>2</v>
      </c>
      <c r="G36" s="185">
        <f ca="1">IFERROR(DelayQ(B36*C36/600,E36*((1-$H$7*VLOOKUP(A35,CURVAS_INTRA!$A$103:$AD$150,HLOOKUP($C$14,CURVAS_INTRA!$A$101:$AD$102,2,0),0))),$C$8,C36),0)</f>
        <v>0.99980000000000002</v>
      </c>
      <c r="H36" s="221">
        <v>0</v>
      </c>
      <c r="I36" s="221">
        <v>0</v>
      </c>
      <c r="J36" s="221">
        <v>0</v>
      </c>
      <c r="K36" s="221">
        <v>0</v>
      </c>
      <c r="L36" s="137">
        <f>SUM(H$20:H36)+SUM(H157:$H$163)</f>
        <v>0</v>
      </c>
      <c r="M36" s="186">
        <f>SUM(I$20:I36)+SUM(I149:$I$163)</f>
        <v>0</v>
      </c>
      <c r="N36" s="137">
        <f>SUM(J$20:J36)+SUM(J143:$J$163)</f>
        <v>4</v>
      </c>
      <c r="O36" s="188">
        <f>SUM($K$20:K36)+SUM(K132:$K$163)</f>
        <v>0</v>
      </c>
      <c r="P36" s="201">
        <f t="shared" ca="1" si="13"/>
        <v>3.458234268702693E-2</v>
      </c>
      <c r="Q36" s="202">
        <f t="shared" ca="1" si="14"/>
        <v>6.9164685374053861E-2</v>
      </c>
      <c r="R36" s="174">
        <f t="shared" ca="1" si="15"/>
        <v>22</v>
      </c>
      <c r="S36" s="246"/>
      <c r="T36" s="241">
        <f t="shared" ca="1" si="16"/>
        <v>2</v>
      </c>
      <c r="U36" s="247">
        <f ca="1">IF(IFERROR(DelayQ(B36*C36/600,(S36/(1-$H$5))+E36*((1-$H$7)*VLOOKUP(A35,CURVAS_INTRA!$A$103:$AD$150,HLOOKUP($C$14,CURVAS_INTRA!$A$101:$AD$102,2,0),0)),$C$8,C36),0)=0,"",IFERROR(DelayQ(B36*C36/600,S36+E36*((1-$H$7)*VLOOKUP(A35,CURVAS_INTRA!$A$103:$AD$150,HLOOKUP($C$14,CURVAS_INTRA!$A$101:$AD$102,2,0),0)),$C$8,C36),0))</f>
        <v>0.99980000000000002</v>
      </c>
      <c r="V36" s="281">
        <f t="shared" ca="1" si="17"/>
        <v>0.99980000000000002</v>
      </c>
      <c r="W36" s="174">
        <f t="shared" si="20"/>
        <v>4</v>
      </c>
      <c r="X36" s="227">
        <v>0.11111111111111099</v>
      </c>
      <c r="Y36" s="220">
        <f t="shared" si="21"/>
        <v>4</v>
      </c>
      <c r="Z36" s="221">
        <f t="shared" si="2"/>
        <v>0</v>
      </c>
      <c r="AA36" s="221">
        <f t="shared" si="3"/>
        <v>0</v>
      </c>
      <c r="AB36" s="221">
        <f t="shared" si="4"/>
        <v>0</v>
      </c>
      <c r="AC36" s="221">
        <f t="shared" si="5"/>
        <v>0</v>
      </c>
      <c r="AD36" s="221">
        <f t="shared" si="6"/>
        <v>0</v>
      </c>
      <c r="AE36" s="221">
        <f t="shared" si="7"/>
        <v>0</v>
      </c>
      <c r="AF36" s="221">
        <f t="shared" si="8"/>
        <v>0</v>
      </c>
      <c r="AG36" s="222">
        <f t="shared" si="18"/>
        <v>4</v>
      </c>
      <c r="AH36" s="222">
        <f t="shared" si="9"/>
        <v>4</v>
      </c>
      <c r="AJ36" s="291">
        <f t="shared" ca="1" si="10"/>
        <v>1</v>
      </c>
      <c r="AK36" s="291">
        <f ca="1">IFERROR(ROUNDUP(IF(B36=0,0,Agents(B36*C36/600,$C$7,$C$8,C36))/(1-($J$12*(IFERROR(INDIRECT("CURVAS_INTRA!"&amp;ADDRESS(VLOOKUP($A36,CURVAS_INTRA!$A$103:$B$150,2,0),HLOOKUP($C$14,CURVAS_INTRA!$1:$2,2,0))),0)+IFERROR(INDIRECT("CURVAS_INTRA!"&amp;ADDRESS(VLOOKUP($A35,CURVAS_INTRA!$A$103:$B$150,2,0),HLOOKUP($C$14,CURVAS_INTRA!$1:$2,2,0))),0)))),0),0)</f>
        <v>2</v>
      </c>
      <c r="AM36" s="488">
        <f t="shared" si="19"/>
        <v>0</v>
      </c>
    </row>
    <row r="37" spans="1:52" ht="11.25" customHeight="1">
      <c r="A37" s="599">
        <v>0.118055555555556</v>
      </c>
      <c r="B37" s="183">
        <f ca="1">IFERROR(INDIRECT("CURVAS_INTRA!"&amp;ADDRESS(VLOOKUP($A35,CURVAS_INTRA!$A$3:$B$50,2,0),HLOOKUP($C$14,CURVAS_INTRA!$1:$2,2,0)))/3*$C$5,B34)</f>
        <v>0.11516978052302536</v>
      </c>
      <c r="C37" s="183">
        <f ca="1">IFERROR(INDIRECT("CURVAS_INTRA!"&amp;ADDRESS(VLOOKUP($A37,CURVAS_INTRA!$A$53:$B$100,2,0),HLOOKUP($C$14,CURVAS_INTRA!$1:$2,2,0)))*$C$6,C36)</f>
        <v>587.4549984989734</v>
      </c>
      <c r="D37" s="183">
        <f ca="1">IFERROR(ROUNDUP(IF(B37=0,0,Agents(B37*C37/600,$C$7,$C$8,C37))/(1-($H$7*(IFERROR(INDIRECT("CURVAS_INTRA!"&amp;ADDRESS(VLOOKUP($A35,CURVAS_INTRA!$A$103:$B$150,2,0),HLOOKUP($C$14,CURVAS_INTRA!$1:$2,2,0))),0)))),0),0)</f>
        <v>2</v>
      </c>
      <c r="E37" s="183">
        <f t="shared" si="11"/>
        <v>4</v>
      </c>
      <c r="F37" s="241">
        <f t="shared" ca="1" si="12"/>
        <v>2</v>
      </c>
      <c r="G37" s="185">
        <f ca="1">IFERROR(DelayQ(B37*C37/600,E37*((1-$H$7*VLOOKUP(A35,CURVAS_INTRA!$A$103:$AD$150,HLOOKUP($C$14,CURVAS_INTRA!$A$101:$AD$102,2,0),0))),$C$8,C37),0)</f>
        <v>0.99980000000000002</v>
      </c>
      <c r="H37" s="221">
        <v>0</v>
      </c>
      <c r="I37" s="221">
        <v>0</v>
      </c>
      <c r="J37" s="221">
        <v>0</v>
      </c>
      <c r="K37" s="221">
        <v>0</v>
      </c>
      <c r="L37" s="137">
        <f>SUM(H$20:H37)+SUM(H158:$H$163)</f>
        <v>0</v>
      </c>
      <c r="M37" s="186">
        <f>SUM(I$20:I37)+SUM(I150:$I$163)</f>
        <v>0</v>
      </c>
      <c r="N37" s="137">
        <f>SUM(J$20:J37)+SUM(J144:$J$163)</f>
        <v>4</v>
      </c>
      <c r="O37" s="188">
        <f>SUM($K$20:K37)+SUM(K133:$K$163)</f>
        <v>0</v>
      </c>
      <c r="P37" s="201">
        <f t="shared" ca="1" si="13"/>
        <v>3.458234268702693E-2</v>
      </c>
      <c r="Q37" s="202">
        <f t="shared" ca="1" si="14"/>
        <v>6.9164685374053861E-2</v>
      </c>
      <c r="R37" s="174">
        <f t="shared" ca="1" si="15"/>
        <v>18</v>
      </c>
      <c r="S37" s="246"/>
      <c r="T37" s="241">
        <f t="shared" ca="1" si="16"/>
        <v>2</v>
      </c>
      <c r="U37" s="247">
        <f ca="1">IF(IFERROR(DelayQ(B37*C37/600,(S37/(1-$H$5))+E37*((1-$H$7)*VLOOKUP(A35,CURVAS_INTRA!$A$103:$AD$150,HLOOKUP($C$14,CURVAS_INTRA!$A$101:$AD$102,2,0),0)),$C$8,C37),0)=0,"",IFERROR(DelayQ(B37*C37/600,S37+E37*((1-$H$7)*VLOOKUP(A35,CURVAS_INTRA!$A$103:$AD$150,HLOOKUP($C$14,CURVAS_INTRA!$A$101:$AD$102,2,0),0)),$C$8,C37),0))</f>
        <v>0.99980000000000002</v>
      </c>
      <c r="V37" s="281">
        <f t="shared" ca="1" si="17"/>
        <v>0.99980000000000002</v>
      </c>
      <c r="W37" s="174">
        <f t="shared" si="20"/>
        <v>4</v>
      </c>
      <c r="X37" s="227">
        <v>0.118055555555556</v>
      </c>
      <c r="Y37" s="220">
        <f t="shared" si="21"/>
        <v>4</v>
      </c>
      <c r="Z37" s="221">
        <f t="shared" si="2"/>
        <v>0</v>
      </c>
      <c r="AA37" s="221">
        <f t="shared" si="3"/>
        <v>0</v>
      </c>
      <c r="AB37" s="221">
        <f t="shared" si="4"/>
        <v>0</v>
      </c>
      <c r="AC37" s="221">
        <f t="shared" si="5"/>
        <v>0</v>
      </c>
      <c r="AD37" s="221">
        <f t="shared" si="6"/>
        <v>0</v>
      </c>
      <c r="AE37" s="221">
        <f t="shared" si="7"/>
        <v>0</v>
      </c>
      <c r="AF37" s="221">
        <f t="shared" si="8"/>
        <v>0</v>
      </c>
      <c r="AG37" s="222">
        <f t="shared" si="18"/>
        <v>4</v>
      </c>
      <c r="AH37" s="222">
        <f t="shared" si="9"/>
        <v>4</v>
      </c>
      <c r="AJ37" s="291">
        <f t="shared" ca="1" si="10"/>
        <v>1</v>
      </c>
      <c r="AK37" s="291">
        <f ca="1">IFERROR(ROUNDUP(IF(B37=0,0,Agents(B37*C37/600,$C$7,$C$8,C37))/(1-($J$12*(IFERROR(INDIRECT("CURVAS_INTRA!"&amp;ADDRESS(VLOOKUP($A37,CURVAS_INTRA!$A$103:$B$150,2,0),HLOOKUP($C$14,CURVAS_INTRA!$1:$2,2,0))),0)+IFERROR(INDIRECT("CURVAS_INTRA!"&amp;ADDRESS(VLOOKUP($A36,CURVAS_INTRA!$A$103:$B$150,2,0),HLOOKUP($C$14,CURVAS_INTRA!$1:$2,2,0))),0)+IFERROR(INDIRECT("CURVAS_INTRA!"&amp;ADDRESS(VLOOKUP($A35,CURVAS_INTRA!$A$103:$B$150,2,0),HLOOKUP($C$14,CURVAS_INTRA!$1:$2,2,0))),0)))),0),0)</f>
        <v>2</v>
      </c>
      <c r="AM37" s="488">
        <f t="shared" si="19"/>
        <v>0</v>
      </c>
    </row>
    <row r="38" spans="1:52" ht="11.25" customHeight="1">
      <c r="A38" s="599">
        <v>0.125</v>
      </c>
      <c r="B38" s="183">
        <f ca="1">IFERROR(INDIRECT("CURVAS_INTRA!"&amp;ADDRESS(VLOOKUP($A38,CURVAS_INTRA!$A$3:$B$50,2,0),HLOOKUP($C$14,CURVAS_INTRA!$1:$2,2,0)))/3*$C$5,$B$19)</f>
        <v>0.10384916580770256</v>
      </c>
      <c r="C38" s="183">
        <f ca="1">IFERROR(INDIRECT("CURVAS_INTRA!"&amp;ADDRESS(VLOOKUP($A38,CURVAS_INTRA!$A$53:$B$100,2,0),HLOOKUP($C$14,CURVAS_INTRA!$1:$2,2,0)))*$C$6,C37)</f>
        <v>587.35642304553107</v>
      </c>
      <c r="D38" s="183">
        <f ca="1">IFERROR(ROUNDUP(IF(B38=0,0,Agents(B38*C38/600,$C$7,$C$8,C38))/(1-($H$7*(IFERROR(INDIRECT("CURVAS_INTRA!"&amp;ADDRESS(VLOOKUP($A38,CURVAS_INTRA!$A$103:$B$150,2,0),HLOOKUP($C$14,CURVAS_INTRA!$1:$2,2,0))),0)))),0),0)</f>
        <v>2</v>
      </c>
      <c r="E38" s="183">
        <f t="shared" si="11"/>
        <v>4</v>
      </c>
      <c r="F38" s="241">
        <f t="shared" ca="1" si="12"/>
        <v>2</v>
      </c>
      <c r="G38" s="185">
        <f ca="1">IFERROR(DelayQ(B38*C38/600,E38*((1-$H$7*VLOOKUP(A38,CURVAS_INTRA!$A$103:$AD$150,HLOOKUP($C$14,CURVAS_INTRA!$A$101:$AD$102,2,0),0))),$C$8,C38),0)</f>
        <v>0.99980000000000002</v>
      </c>
      <c r="H38" s="221">
        <v>0</v>
      </c>
      <c r="I38" s="221">
        <v>0</v>
      </c>
      <c r="J38" s="221">
        <v>0</v>
      </c>
      <c r="K38" s="221">
        <v>0</v>
      </c>
      <c r="L38" s="137">
        <f>SUM(H$20:H38)+SUM(H159:$H$163)</f>
        <v>0</v>
      </c>
      <c r="M38" s="186">
        <f>SUM(I$20:I38)+SUM(I151:$I$163)</f>
        <v>0</v>
      </c>
      <c r="N38" s="137">
        <f>SUM(J$20:J38)+SUM(J145:$J$163)</f>
        <v>4</v>
      </c>
      <c r="O38" s="188">
        <f>SUM($K$20:K38)+SUM(K134:$K$163)</f>
        <v>0</v>
      </c>
      <c r="P38" s="201">
        <f t="shared" ca="1" si="13"/>
        <v>3.1177838424552573E-2</v>
      </c>
      <c r="Q38" s="202">
        <f t="shared" ca="1" si="14"/>
        <v>6.2355676849105146E-2</v>
      </c>
      <c r="R38" s="174">
        <f t="shared" ca="1" si="15"/>
        <v>14</v>
      </c>
      <c r="S38" s="246"/>
      <c r="T38" s="241">
        <f ca="1">S38+F38</f>
        <v>2</v>
      </c>
      <c r="U38" s="247">
        <f ca="1">IF(IFERROR(DelayQ(B38*C38/600,(S38/(1-$H$5))+E38*((1-$H$7)*VLOOKUP(A38,CURVAS_INTRA!$A$103:$AD$150,HLOOKUP($C$14,CURVAS_INTRA!$A$101:$AD$102,2,0),0)),$C$8,C38),0)=0,"",IFERROR(DelayQ(B38*C38/600,S38+E38*((1-$H$7)*VLOOKUP(A38,CURVAS_INTRA!$A$103:$AD$150,HLOOKUP($C$14,CURVAS_INTRA!$A$101:$AD$102,2,0),0)),$C$8,C38),0))</f>
        <v>0.99980000000000002</v>
      </c>
      <c r="V38" s="281">
        <f t="shared" ca="1" si="17"/>
        <v>0.99980000000000002</v>
      </c>
      <c r="W38" s="174">
        <f t="shared" si="20"/>
        <v>4</v>
      </c>
      <c r="X38" s="227">
        <v>0.125</v>
      </c>
      <c r="Y38" s="220">
        <f t="shared" si="21"/>
        <v>4</v>
      </c>
      <c r="Z38" s="221">
        <f t="shared" si="2"/>
        <v>0</v>
      </c>
      <c r="AA38" s="221">
        <f t="shared" si="3"/>
        <v>0</v>
      </c>
      <c r="AB38" s="221">
        <f t="shared" si="4"/>
        <v>0</v>
      </c>
      <c r="AC38" s="221">
        <f t="shared" si="5"/>
        <v>0</v>
      </c>
      <c r="AD38" s="221">
        <f t="shared" si="6"/>
        <v>0</v>
      </c>
      <c r="AE38" s="221">
        <f t="shared" si="7"/>
        <v>0</v>
      </c>
      <c r="AF38" s="221">
        <f t="shared" si="8"/>
        <v>0</v>
      </c>
      <c r="AG38" s="222">
        <f t="shared" si="18"/>
        <v>4</v>
      </c>
      <c r="AH38" s="222">
        <f t="shared" si="9"/>
        <v>4</v>
      </c>
      <c r="AJ38" s="291">
        <f t="shared" ca="1" si="10"/>
        <v>1</v>
      </c>
      <c r="AK38" s="291">
        <f ca="1">IFERROR(ROUNDUP(IF(B38=0,0,Agents(B38*C38/600,$C$7,$C$8,C38))/(1-($J$12*(IFERROR(INDIRECT("CURVAS_INTRA!"&amp;ADDRESS(VLOOKUP($A38,CURVAS_INTRA!$A$103:$B$150,2,0),HLOOKUP($C$14,CURVAS_INTRA!$1:$2,2,0))),0)))),0),0)</f>
        <v>2</v>
      </c>
      <c r="AM38" s="488">
        <f t="shared" si="19"/>
        <v>0</v>
      </c>
    </row>
    <row r="39" spans="1:52" ht="11.25" customHeight="1">
      <c r="A39" s="599">
        <v>0.131944444444444</v>
      </c>
      <c r="B39" s="183">
        <f ca="1">IFERROR(INDIRECT("CURVAS_INTRA!"&amp;ADDRESS(VLOOKUP($A38,CURVAS_INTRA!$A$3:$B$50,2,0),HLOOKUP($C$14,CURVAS_INTRA!$1:$2,2,0)))/3*$C$5,$B$19)</f>
        <v>0.10384916580770256</v>
      </c>
      <c r="C39" s="183">
        <f ca="1">IFERROR(INDIRECT("CURVAS_INTRA!"&amp;ADDRESS(VLOOKUP($A39,CURVAS_INTRA!$A$53:$B$100,2,0),HLOOKUP($C$14,CURVAS_INTRA!$1:$2,2,0)))*$C$6,C38)</f>
        <v>587.35642304553107</v>
      </c>
      <c r="D39" s="183">
        <f ca="1">IFERROR(ROUNDUP(IF(B39=0,0,Agents(B39*C39/600,$C$7,$C$8,C39))/(1-($H$7*(IFERROR(INDIRECT("CURVAS_INTRA!"&amp;ADDRESS(VLOOKUP($A38,CURVAS_INTRA!$A$103:$B$150,2,0),HLOOKUP($C$14,CURVAS_INTRA!$1:$2,2,0))),0)))),0),0)</f>
        <v>2</v>
      </c>
      <c r="E39" s="183">
        <f t="shared" si="11"/>
        <v>4</v>
      </c>
      <c r="F39" s="241">
        <f t="shared" ca="1" si="12"/>
        <v>2</v>
      </c>
      <c r="G39" s="185">
        <f ca="1">IFERROR(DelayQ(B39*C39/600,E39*((1-$H$7*VLOOKUP(A38,CURVAS_INTRA!$A$103:$AD$150,HLOOKUP($C$14,CURVAS_INTRA!$A$101:$AD$102,2,0),0))),$C$8,C39),0)</f>
        <v>0.99980000000000002</v>
      </c>
      <c r="H39" s="221">
        <v>0</v>
      </c>
      <c r="I39" s="221">
        <v>0</v>
      </c>
      <c r="J39" s="221">
        <v>0</v>
      </c>
      <c r="K39" s="221">
        <v>0</v>
      </c>
      <c r="L39" s="137">
        <f>SUM(H$20:H39)+SUM(H160:$H$163)</f>
        <v>0</v>
      </c>
      <c r="M39" s="186">
        <f>SUM(I$20:I39)+SUM(I152:$I$163)</f>
        <v>0</v>
      </c>
      <c r="N39" s="137">
        <f>SUM(J$20:J39)+SUM(J146:$J$163)</f>
        <v>4</v>
      </c>
      <c r="O39" s="188">
        <f>SUM($K$20:K39)+SUM(K135:$K$163)</f>
        <v>0</v>
      </c>
      <c r="P39" s="201">
        <f t="shared" ca="1" si="13"/>
        <v>3.1177838424552573E-2</v>
      </c>
      <c r="Q39" s="202">
        <f t="shared" ca="1" si="14"/>
        <v>6.2355676849105146E-2</v>
      </c>
      <c r="R39" s="174">
        <f t="shared" ca="1" si="15"/>
        <v>10</v>
      </c>
      <c r="S39" s="246"/>
      <c r="T39" s="241">
        <f t="shared" ca="1" si="16"/>
        <v>2</v>
      </c>
      <c r="U39" s="247">
        <f ca="1">IF(IFERROR(DelayQ(B39*C39/600,(S39/(1-$H$5))+E39*((1-$H$7)*VLOOKUP(A38,CURVAS_INTRA!$A$103:$AD$150,HLOOKUP($C$14,CURVAS_INTRA!$A$101:$AD$102,2,0),0)),$C$8,C39),0)=0,"",IFERROR(DelayQ(B39*C39/600,S39+E39*((1-$H$7)*VLOOKUP(A38,CURVAS_INTRA!$A$103:$AD$150,HLOOKUP($C$14,CURVAS_INTRA!$A$101:$AD$102,2,0),0)),$C$8,C39),0))</f>
        <v>0.99980000000000002</v>
      </c>
      <c r="V39" s="281">
        <f t="shared" ca="1" si="17"/>
        <v>0.99980000000000002</v>
      </c>
      <c r="W39" s="174">
        <f t="shared" si="20"/>
        <v>4</v>
      </c>
      <c r="X39" s="227">
        <v>0.131944444444444</v>
      </c>
      <c r="Y39" s="220">
        <f t="shared" si="21"/>
        <v>4</v>
      </c>
      <c r="Z39" s="221">
        <f t="shared" si="2"/>
        <v>0</v>
      </c>
      <c r="AA39" s="221">
        <f t="shared" si="3"/>
        <v>0</v>
      </c>
      <c r="AB39" s="221">
        <f t="shared" si="4"/>
        <v>0</v>
      </c>
      <c r="AC39" s="221">
        <f t="shared" si="5"/>
        <v>0</v>
      </c>
      <c r="AD39" s="221">
        <f t="shared" si="6"/>
        <v>0</v>
      </c>
      <c r="AE39" s="221">
        <f t="shared" si="7"/>
        <v>0</v>
      </c>
      <c r="AF39" s="221">
        <f t="shared" si="8"/>
        <v>0</v>
      </c>
      <c r="AG39" s="222">
        <f t="shared" si="18"/>
        <v>4</v>
      </c>
      <c r="AH39" s="222">
        <f t="shared" si="9"/>
        <v>4</v>
      </c>
      <c r="AJ39" s="291">
        <f t="shared" ca="1" si="10"/>
        <v>1</v>
      </c>
      <c r="AK39" s="291">
        <f ca="1">IFERROR(ROUNDUP(IF(B39=0,0,Agents(B39*C39/600,$C$7,$C$8,C39))/(1-($J$12*(IFERROR(INDIRECT("CURVAS_INTRA!"&amp;ADDRESS(VLOOKUP($A39,CURVAS_INTRA!$A$103:$B$150,2,0),HLOOKUP($C$14,CURVAS_INTRA!$1:$2,2,0))),0)+IFERROR(INDIRECT("CURVAS_INTRA!"&amp;ADDRESS(VLOOKUP($A38,CURVAS_INTRA!$A$103:$B$150,2,0),HLOOKUP($C$14,CURVAS_INTRA!$1:$2,2,0))),0)))),0),0)</f>
        <v>2</v>
      </c>
      <c r="AM39" s="488">
        <f t="shared" si="19"/>
        <v>0</v>
      </c>
    </row>
    <row r="40" spans="1:52" ht="11.25" customHeight="1">
      <c r="A40" s="599">
        <v>0.13888888888888901</v>
      </c>
      <c r="B40" s="183">
        <f ca="1">IFERROR(INDIRECT("CURVAS_INTRA!"&amp;ADDRESS(VLOOKUP($A38,CURVAS_INTRA!$A$3:$B$50,2,0),HLOOKUP($C$14,CURVAS_INTRA!$1:$2,2,0)))/3*$C$5,B37)</f>
        <v>0.10384916580770256</v>
      </c>
      <c r="C40" s="183">
        <f ca="1">IFERROR(INDIRECT("CURVAS_INTRA!"&amp;ADDRESS(VLOOKUP($A40,CURVAS_INTRA!$A$53:$B$100,2,0),HLOOKUP($C$14,CURVAS_INTRA!$1:$2,2,0)))*$C$6,C39)</f>
        <v>587.35642304553107</v>
      </c>
      <c r="D40" s="183">
        <f ca="1">IFERROR(ROUNDUP(IF(B40=0,0,Agents(B40*C40/600,$C$7,$C$8,C40))/(1-($H$7*(IFERROR(INDIRECT("CURVAS_INTRA!"&amp;ADDRESS(VLOOKUP($A38,CURVAS_INTRA!$A$103:$B$150,2,0),HLOOKUP($C$14,CURVAS_INTRA!$1:$2,2,0))),0)))),0),0)</f>
        <v>2</v>
      </c>
      <c r="E40" s="183">
        <f t="shared" si="11"/>
        <v>4</v>
      </c>
      <c r="F40" s="241">
        <f t="shared" ca="1" si="12"/>
        <v>2</v>
      </c>
      <c r="G40" s="185">
        <f ca="1">IFERROR(DelayQ(B40*C40/600,E40*((1-$H$7*VLOOKUP(A38,CURVAS_INTRA!$A$103:$AD$150,HLOOKUP($C$14,CURVAS_INTRA!$A$101:$AD$102,2,0),0))),$C$8,C40),0)</f>
        <v>0.99980000000000002</v>
      </c>
      <c r="H40" s="221">
        <v>0</v>
      </c>
      <c r="I40" s="221">
        <v>0</v>
      </c>
      <c r="J40" s="221">
        <v>0</v>
      </c>
      <c r="K40" s="221">
        <v>0</v>
      </c>
      <c r="L40" s="137">
        <f>SUM(H$20:H40)+SUM(H161:$H$163)</f>
        <v>0</v>
      </c>
      <c r="M40" s="186">
        <f>SUM(I$20:I40)+SUM(I153:$I$163)</f>
        <v>0</v>
      </c>
      <c r="N40" s="137">
        <f>SUM(J$20:J40)+SUM(J147:$J$163)</f>
        <v>4</v>
      </c>
      <c r="O40" s="188">
        <f>SUM($K$20:K40)+SUM(K136:$K$163)</f>
        <v>0</v>
      </c>
      <c r="P40" s="201">
        <f t="shared" ca="1" si="13"/>
        <v>3.1177838424552573E-2</v>
      </c>
      <c r="Q40" s="202">
        <f t="shared" ca="1" si="14"/>
        <v>6.2355676849105146E-2</v>
      </c>
      <c r="R40" s="174">
        <f t="shared" ca="1" si="15"/>
        <v>7</v>
      </c>
      <c r="S40" s="246"/>
      <c r="T40" s="241">
        <f t="shared" ca="1" si="16"/>
        <v>2</v>
      </c>
      <c r="U40" s="247">
        <f ca="1">IF(IFERROR(DelayQ(B40*C40/600,(S40/(1-$H$5))+E40*((1-$H$7)*VLOOKUP(A38,CURVAS_INTRA!$A$103:$AD$150,HLOOKUP($C$14,CURVAS_INTRA!$A$101:$AD$102,2,0),0)),$C$8,C40),0)=0,"",IFERROR(DelayQ(B40*C40/600,S40+E40*((1-$H$7)*VLOOKUP(A38,CURVAS_INTRA!$A$103:$AD$150,HLOOKUP($C$14,CURVAS_INTRA!$A$101:$AD$102,2,0),0)),$C$8,C40),0))</f>
        <v>0.99980000000000002</v>
      </c>
      <c r="V40" s="281">
        <f t="shared" ca="1" si="17"/>
        <v>0.99980000000000002</v>
      </c>
      <c r="W40" s="174">
        <f t="shared" si="20"/>
        <v>4</v>
      </c>
      <c r="X40" s="227">
        <v>0.13888888888888901</v>
      </c>
      <c r="Y40" s="220">
        <f t="shared" si="21"/>
        <v>4</v>
      </c>
      <c r="Z40" s="221">
        <f t="shared" si="2"/>
        <v>0</v>
      </c>
      <c r="AA40" s="221">
        <f t="shared" si="3"/>
        <v>0</v>
      </c>
      <c r="AB40" s="221">
        <f t="shared" si="4"/>
        <v>0</v>
      </c>
      <c r="AC40" s="221">
        <f t="shared" si="5"/>
        <v>0</v>
      </c>
      <c r="AD40" s="221">
        <f t="shared" si="6"/>
        <v>0</v>
      </c>
      <c r="AE40" s="221">
        <f t="shared" si="7"/>
        <v>0</v>
      </c>
      <c r="AF40" s="221">
        <f t="shared" si="8"/>
        <v>0</v>
      </c>
      <c r="AG40" s="222">
        <f t="shared" si="18"/>
        <v>4</v>
      </c>
      <c r="AH40" s="222">
        <f t="shared" si="9"/>
        <v>4</v>
      </c>
      <c r="AJ40" s="291">
        <f t="shared" ca="1" si="10"/>
        <v>1</v>
      </c>
      <c r="AK40" s="291">
        <f ca="1">IFERROR(ROUNDUP(IF(B40=0,0,Agents(B40*C40/600,$C$7,$C$8,C40))/(1-($J$12*(IFERROR(INDIRECT("CURVAS_INTRA!"&amp;ADDRESS(VLOOKUP($A40,CURVAS_INTRA!$A$103:$B$150,2,0),HLOOKUP($C$14,CURVAS_INTRA!$1:$2,2,0))),0)+IFERROR(INDIRECT("CURVAS_INTRA!"&amp;ADDRESS(VLOOKUP($A39,CURVAS_INTRA!$A$103:$B$150,2,0),HLOOKUP($C$14,CURVAS_INTRA!$1:$2,2,0))),0)+IFERROR(INDIRECT("CURVAS_INTRA!"&amp;ADDRESS(VLOOKUP($A38,CURVAS_INTRA!$A$103:$B$150,2,0),HLOOKUP($C$14,CURVAS_INTRA!$1:$2,2,0))),0)))),0),0)</f>
        <v>2</v>
      </c>
      <c r="AM40" s="488">
        <f t="shared" si="19"/>
        <v>0</v>
      </c>
    </row>
    <row r="41" spans="1:52" ht="11.25" customHeight="1">
      <c r="A41" s="599">
        <v>0.14583333333333301</v>
      </c>
      <c r="B41" s="183">
        <f ca="1">IFERROR(INDIRECT("CURVAS_INTRA!"&amp;ADDRESS(VLOOKUP($A41,CURVAS_INTRA!$A$3:$B$50,2,0),HLOOKUP($C$14,CURVAS_INTRA!$1:$2,2,0)))/3*$C$5,$B$19)</f>
        <v>0.10462944357400966</v>
      </c>
      <c r="C41" s="183">
        <f ca="1">IFERROR(INDIRECT("CURVAS_INTRA!"&amp;ADDRESS(VLOOKUP($A41,CURVAS_INTRA!$A$53:$B$100,2,0),HLOOKUP($C$14,CURVAS_INTRA!$1:$2,2,0)))*$C$6,C40)</f>
        <v>621.95528307728978</v>
      </c>
      <c r="D41" s="183">
        <f ca="1">IFERROR(ROUNDUP(IF(B41=0,0,Agents(B41*C41/600,$C$7,$C$8,C41))/(1-($H$7*(IFERROR(INDIRECT("CURVAS_INTRA!"&amp;ADDRESS(VLOOKUP($A41,CURVAS_INTRA!$A$103:$B$150,2,0),HLOOKUP($C$14,CURVAS_INTRA!$1:$2,2,0))),0)))),0),0)</f>
        <v>2</v>
      </c>
      <c r="E41" s="183">
        <f t="shared" si="11"/>
        <v>4</v>
      </c>
      <c r="F41" s="241">
        <f t="shared" ca="1" si="12"/>
        <v>2</v>
      </c>
      <c r="G41" s="185">
        <f ca="1">IFERROR(DelayQ(B41*C41/600,E41*((1-$H$7*VLOOKUP(A41,CURVAS_INTRA!$A$103:$AD$150,HLOOKUP($C$14,CURVAS_INTRA!$A$101:$AD$102,2,0),0))),$C$8,C41),0)</f>
        <v>0.99980000000000002</v>
      </c>
      <c r="H41" s="221">
        <v>0</v>
      </c>
      <c r="I41" s="221">
        <v>0</v>
      </c>
      <c r="J41" s="221">
        <v>0</v>
      </c>
      <c r="K41" s="221">
        <v>0</v>
      </c>
      <c r="L41" s="137">
        <f>SUM(H$20:H41)+SUM(H162:$H$163)</f>
        <v>0</v>
      </c>
      <c r="M41" s="186">
        <f>SUM(I$20:I41)+SUM(I154:$I$163)</f>
        <v>0</v>
      </c>
      <c r="N41" s="137">
        <f>SUM(J$20:J41)+SUM(J148:$J$163)</f>
        <v>4</v>
      </c>
      <c r="O41" s="188">
        <f>SUM($K$20:K41)+SUM(K137:$K$163)</f>
        <v>0</v>
      </c>
      <c r="P41" s="201">
        <f t="shared" ca="1" si="13"/>
        <v>3.3262458391588819E-2</v>
      </c>
      <c r="Q41" s="202">
        <f t="shared" ca="1" si="14"/>
        <v>6.6524916783177637E-2</v>
      </c>
      <c r="R41" s="174">
        <f t="shared" ca="1" si="15"/>
        <v>4</v>
      </c>
      <c r="S41" s="246"/>
      <c r="T41" s="241">
        <f t="shared" ca="1" si="16"/>
        <v>2</v>
      </c>
      <c r="U41" s="247">
        <f ca="1">IF(IFERROR(DelayQ(B41*C41/600,(S41/(1-$H$5))+E41*((1-$H$7)*VLOOKUP(A41,CURVAS_INTRA!$A$103:$AD$150,HLOOKUP($C$14,CURVAS_INTRA!$A$101:$AD$102,2,0),0)),$C$8,C41),0)=0,"",IFERROR(DelayQ(B41*C41/600,S41+E41*((1-$H$7)*VLOOKUP(A41,CURVAS_INTRA!$A$103:$AD$150,HLOOKUP($C$14,CURVAS_INTRA!$A$101:$AD$102,2,0),0)),$C$8,C41),0))</f>
        <v>0.99980000000000002</v>
      </c>
      <c r="V41" s="281">
        <f t="shared" ca="1" si="17"/>
        <v>0.99980000000000002</v>
      </c>
      <c r="W41" s="174">
        <f t="shared" si="20"/>
        <v>4</v>
      </c>
      <c r="X41" s="227">
        <v>0.14583333333333301</v>
      </c>
      <c r="Y41" s="220">
        <f t="shared" si="21"/>
        <v>4</v>
      </c>
      <c r="Z41" s="221">
        <f t="shared" si="2"/>
        <v>0</v>
      </c>
      <c r="AA41" s="221">
        <f t="shared" si="3"/>
        <v>0</v>
      </c>
      <c r="AB41" s="221">
        <f t="shared" si="4"/>
        <v>0</v>
      </c>
      <c r="AC41" s="221">
        <f t="shared" si="5"/>
        <v>0</v>
      </c>
      <c r="AD41" s="221">
        <f t="shared" si="6"/>
        <v>0</v>
      </c>
      <c r="AE41" s="221">
        <f t="shared" si="7"/>
        <v>0</v>
      </c>
      <c r="AF41" s="221">
        <f t="shared" si="8"/>
        <v>0</v>
      </c>
      <c r="AG41" s="222">
        <f t="shared" si="18"/>
        <v>4</v>
      </c>
      <c r="AH41" s="222">
        <f t="shared" si="9"/>
        <v>4</v>
      </c>
      <c r="AJ41" s="291">
        <f t="shared" ca="1" si="10"/>
        <v>1</v>
      </c>
      <c r="AK41" s="291">
        <f ca="1">IFERROR(ROUNDUP(IF(B41=0,0,Agents(B41*C41/600,$C$7,$C$8,C41))/(1-($J$12*(IFERROR(INDIRECT("CURVAS_INTRA!"&amp;ADDRESS(VLOOKUP($A41,CURVAS_INTRA!$A$103:$B$150,2,0),HLOOKUP($C$14,CURVAS_INTRA!$1:$2,2,0))),0)))),0),0)</f>
        <v>2</v>
      </c>
      <c r="AM41" s="488">
        <f t="shared" si="19"/>
        <v>0</v>
      </c>
    </row>
    <row r="42" spans="1:52" ht="11.25" customHeight="1">
      <c r="A42" s="599">
        <v>0.15277777777777801</v>
      </c>
      <c r="B42" s="183">
        <f ca="1">IFERROR(INDIRECT("CURVAS_INTRA!"&amp;ADDRESS(VLOOKUP($A41,CURVAS_INTRA!$A$3:$B$50,2,0),HLOOKUP($C$14,CURVAS_INTRA!$1:$2,2,0)))/3*$C$5,$B$19)</f>
        <v>0.10462944357400966</v>
      </c>
      <c r="C42" s="183">
        <f ca="1">IFERROR(INDIRECT("CURVAS_INTRA!"&amp;ADDRESS(VLOOKUP($A42,CURVAS_INTRA!$A$53:$B$100,2,0),HLOOKUP($C$14,CURVAS_INTRA!$1:$2,2,0)))*$C$6,C41)</f>
        <v>621.95528307728978</v>
      </c>
      <c r="D42" s="183">
        <f ca="1">IFERROR(ROUNDUP(IF(B42=0,0,Agents(B42*C42/600,$C$7,$C$8,C42))/(1-($H$7*(IFERROR(INDIRECT("CURVAS_INTRA!"&amp;ADDRESS(VLOOKUP($A41,CURVAS_INTRA!$A$103:$B$150,2,0),HLOOKUP($C$14,CURVAS_INTRA!$1:$2,2,0))),0)))),0),0)</f>
        <v>2</v>
      </c>
      <c r="E42" s="183">
        <f t="shared" si="11"/>
        <v>4</v>
      </c>
      <c r="F42" s="241">
        <f t="shared" ca="1" si="12"/>
        <v>2</v>
      </c>
      <c r="G42" s="185">
        <f ca="1">IFERROR(DelayQ(B42*C42/600,E42*((1-$H$7*VLOOKUP(A41,CURVAS_INTRA!$A$103:$AD$150,HLOOKUP($C$14,CURVAS_INTRA!$A$101:$AD$102,2,0),0))),$C$8,C42),0)</f>
        <v>0.99980000000000002</v>
      </c>
      <c r="H42" s="221">
        <v>0</v>
      </c>
      <c r="I42" s="221">
        <v>0</v>
      </c>
      <c r="J42" s="221">
        <v>0</v>
      </c>
      <c r="K42" s="221">
        <v>0</v>
      </c>
      <c r="L42" s="137">
        <f>SUM(H$20:H42)+SUM(H163:$H$163)</f>
        <v>0</v>
      </c>
      <c r="M42" s="186">
        <f>SUM(I$20:I42)+SUM(I155:$I$163)</f>
        <v>0</v>
      </c>
      <c r="N42" s="137">
        <f>SUM(J$20:J42)+SUM(J149:$J$163)</f>
        <v>4</v>
      </c>
      <c r="O42" s="188">
        <f>SUM($K$20:K42)+SUM(K138:$K$163)</f>
        <v>0</v>
      </c>
      <c r="P42" s="201">
        <f t="shared" ca="1" si="13"/>
        <v>3.3262458391588819E-2</v>
      </c>
      <c r="Q42" s="202">
        <f t="shared" ca="1" si="14"/>
        <v>6.6524916783177637E-2</v>
      </c>
      <c r="R42" s="174">
        <f t="shared" ca="1" si="15"/>
        <v>1</v>
      </c>
      <c r="S42" s="246"/>
      <c r="T42" s="241">
        <f t="shared" ca="1" si="16"/>
        <v>2</v>
      </c>
      <c r="U42" s="247">
        <f ca="1">IF(IFERROR(DelayQ(B42*C42/600,(S42/(1-$H$5))+E42*((1-$H$7)*VLOOKUP(A41,CURVAS_INTRA!$A$103:$AD$150,HLOOKUP($C$14,CURVAS_INTRA!$A$101:$AD$102,2,0),0)),$C$8,C42),0)=0,"",IFERROR(DelayQ(B42*C42/600,S42+E42*((1-$H$7)*VLOOKUP(A41,CURVAS_INTRA!$A$103:$AD$150,HLOOKUP($C$14,CURVAS_INTRA!$A$101:$AD$102,2,0),0)),$C$8,C42),0))</f>
        <v>0.99980000000000002</v>
      </c>
      <c r="V42" s="281">
        <f t="shared" ca="1" si="17"/>
        <v>0.99980000000000002</v>
      </c>
      <c r="W42" s="174">
        <f t="shared" si="20"/>
        <v>4</v>
      </c>
      <c r="X42" s="227">
        <v>0.15277777777777801</v>
      </c>
      <c r="Y42" s="220">
        <f t="shared" si="21"/>
        <v>4</v>
      </c>
      <c r="Z42" s="221">
        <f t="shared" si="2"/>
        <v>0</v>
      </c>
      <c r="AA42" s="221">
        <f t="shared" si="3"/>
        <v>0</v>
      </c>
      <c r="AB42" s="221">
        <f t="shared" si="4"/>
        <v>0</v>
      </c>
      <c r="AC42" s="221">
        <f t="shared" si="5"/>
        <v>0</v>
      </c>
      <c r="AD42" s="221">
        <f t="shared" si="6"/>
        <v>0</v>
      </c>
      <c r="AE42" s="221">
        <f t="shared" si="7"/>
        <v>0</v>
      </c>
      <c r="AF42" s="221">
        <f t="shared" si="8"/>
        <v>0</v>
      </c>
      <c r="AG42" s="222">
        <f t="shared" si="18"/>
        <v>4</v>
      </c>
      <c r="AH42" s="222">
        <f t="shared" si="9"/>
        <v>4</v>
      </c>
      <c r="AJ42" s="291">
        <f t="shared" ca="1" si="10"/>
        <v>1</v>
      </c>
      <c r="AK42" s="291">
        <f ca="1">IFERROR(ROUNDUP(IF(B42=0,0,Agents(B42*C42/600,$C$7,$C$8,C42))/(1-($J$12*(IFERROR(INDIRECT("CURVAS_INTRA!"&amp;ADDRESS(VLOOKUP($A42,CURVAS_INTRA!$A$103:$B$150,2,0),HLOOKUP($C$14,CURVAS_INTRA!$1:$2,2,0))),0)+IFERROR(INDIRECT("CURVAS_INTRA!"&amp;ADDRESS(VLOOKUP($A41,CURVAS_INTRA!$A$103:$B$150,2,0),HLOOKUP($C$14,CURVAS_INTRA!$1:$2,2,0))),0)))),0),0)</f>
        <v>2</v>
      </c>
      <c r="AM42" s="488">
        <f t="shared" si="19"/>
        <v>0</v>
      </c>
    </row>
    <row r="43" spans="1:52" ht="11.25" customHeight="1">
      <c r="A43" s="599">
        <v>0.15972222222222199</v>
      </c>
      <c r="B43" s="183">
        <f ca="1">IFERROR(INDIRECT("CURVAS_INTRA!"&amp;ADDRESS(VLOOKUP($A41,CURVAS_INTRA!$A$3:$B$50,2,0),HLOOKUP($C$14,CURVAS_INTRA!$1:$2,2,0)))/3*$C$5,B40)</f>
        <v>0.10462944357400966</v>
      </c>
      <c r="C43" s="183">
        <f ca="1">IFERROR(INDIRECT("CURVAS_INTRA!"&amp;ADDRESS(VLOOKUP($A43,CURVAS_INTRA!$A$53:$B$100,2,0),HLOOKUP($C$14,CURVAS_INTRA!$1:$2,2,0)))*$C$6,C42)</f>
        <v>621.95528307728978</v>
      </c>
      <c r="D43" s="183">
        <f ca="1">IFERROR(ROUNDUP(IF(B43=0,0,Agents(B43*C43/600,$C$7,$C$8,C43))/(1-($H$7*(IFERROR(INDIRECT("CURVAS_INTRA!"&amp;ADDRESS(VLOOKUP($A41,CURVAS_INTRA!$A$103:$B$150,2,0),HLOOKUP($C$14,CURVAS_INTRA!$1:$2,2,0))),0)))),0),0)</f>
        <v>2</v>
      </c>
      <c r="E43" s="183">
        <f t="shared" si="11"/>
        <v>4</v>
      </c>
      <c r="F43" s="241">
        <f t="shared" ca="1" si="12"/>
        <v>2</v>
      </c>
      <c r="G43" s="185">
        <f ca="1">IFERROR(DelayQ(B43*C43/600,E43*((1-$H$7*VLOOKUP(A41,CURVAS_INTRA!$A$103:$AD$150,HLOOKUP($C$14,CURVAS_INTRA!$A$101:$AD$102,2,0),0))),$C$8,C43),0)</f>
        <v>0.99980000000000002</v>
      </c>
      <c r="H43" s="221">
        <v>0</v>
      </c>
      <c r="I43" s="221">
        <v>0</v>
      </c>
      <c r="J43" s="221">
        <v>0</v>
      </c>
      <c r="K43" s="221">
        <v>0</v>
      </c>
      <c r="L43" s="137">
        <f>SUM(H20:H43)</f>
        <v>0</v>
      </c>
      <c r="M43" s="186">
        <f>SUM(I$20:I43)+SUM(I156:$I$163)</f>
        <v>0</v>
      </c>
      <c r="N43" s="137">
        <f>SUM(J$20:J43)+SUM(J150:$J$163)</f>
        <v>4</v>
      </c>
      <c r="O43" s="188">
        <f>SUM($K$20:K43)+SUM(K139:$K$163)</f>
        <v>0</v>
      </c>
      <c r="P43" s="201">
        <f t="shared" ca="1" si="13"/>
        <v>3.3262458391588819E-2</v>
      </c>
      <c r="Q43" s="202">
        <f t="shared" ca="1" si="14"/>
        <v>6.6524916783177637E-2</v>
      </c>
      <c r="R43" s="174">
        <f t="shared" ca="1" si="15"/>
        <v>-3</v>
      </c>
      <c r="S43" s="246"/>
      <c r="T43" s="241">
        <f t="shared" ca="1" si="16"/>
        <v>2</v>
      </c>
      <c r="U43" s="247">
        <f ca="1">IF(IFERROR(DelayQ(B43*C43/600,(S43/(1-$H$5))+E43*((1-$H$7)*VLOOKUP(A41,CURVAS_INTRA!$A$103:$AD$150,HLOOKUP($C$14,CURVAS_INTRA!$A$101:$AD$102,2,0),0)),$C$8,C43),0)=0,"",IFERROR(DelayQ(B43*C43/600,S43+E43*((1-$H$7)*VLOOKUP(A41,CURVAS_INTRA!$A$103:$AD$150,HLOOKUP($C$14,CURVAS_INTRA!$A$101:$AD$102,2,0),0)),$C$8,C43),0))</f>
        <v>0.99980000000000002</v>
      </c>
      <c r="V43" s="281">
        <f t="shared" ca="1" si="17"/>
        <v>0.99980000000000002</v>
      </c>
      <c r="W43" s="174">
        <f t="shared" si="20"/>
        <v>4</v>
      </c>
      <c r="X43" s="227">
        <v>0.15972222222222199</v>
      </c>
      <c r="Y43" s="220">
        <f t="shared" si="21"/>
        <v>4</v>
      </c>
      <c r="Z43" s="221">
        <f t="shared" si="2"/>
        <v>0</v>
      </c>
      <c r="AA43" s="221">
        <f t="shared" si="3"/>
        <v>0</v>
      </c>
      <c r="AB43" s="221">
        <f t="shared" si="4"/>
        <v>0</v>
      </c>
      <c r="AC43" s="221">
        <f t="shared" si="5"/>
        <v>0</v>
      </c>
      <c r="AD43" s="221">
        <f t="shared" si="6"/>
        <v>0</v>
      </c>
      <c r="AE43" s="221">
        <f t="shared" si="7"/>
        <v>0</v>
      </c>
      <c r="AF43" s="221">
        <f t="shared" si="8"/>
        <v>0</v>
      </c>
      <c r="AG43" s="222">
        <f t="shared" si="18"/>
        <v>4</v>
      </c>
      <c r="AH43" s="222">
        <f t="shared" si="9"/>
        <v>4</v>
      </c>
      <c r="AJ43" s="291">
        <f t="shared" ca="1" si="10"/>
        <v>1</v>
      </c>
      <c r="AK43" s="291">
        <f ca="1">IFERROR(ROUNDUP(IF(B43=0,0,Agents(B43*C43/600,$C$7,$C$8,C43))/(1-($J$12*(IFERROR(INDIRECT("CURVAS_INTRA!"&amp;ADDRESS(VLOOKUP($A43,CURVAS_INTRA!$A$103:$B$150,2,0),HLOOKUP($C$14,CURVAS_INTRA!$1:$2,2,0))),0)+IFERROR(INDIRECT("CURVAS_INTRA!"&amp;ADDRESS(VLOOKUP($A42,CURVAS_INTRA!$A$103:$B$150,2,0),HLOOKUP($C$14,CURVAS_INTRA!$1:$2,2,0))),0)+IFERROR(INDIRECT("CURVAS_INTRA!"&amp;ADDRESS(VLOOKUP($A41,CURVAS_INTRA!$A$103:$B$150,2,0),HLOOKUP($C$14,CURVAS_INTRA!$1:$2,2,0))),0)))),0),0)</f>
        <v>2</v>
      </c>
      <c r="AM43" s="488">
        <f t="shared" si="19"/>
        <v>0</v>
      </c>
    </row>
    <row r="44" spans="1:52" ht="11.25" customHeight="1">
      <c r="A44" s="599">
        <v>0.16666666666666699</v>
      </c>
      <c r="B44" s="183">
        <f ca="1">IFERROR(INDIRECT("CURVAS_INTRA!"&amp;ADDRESS(VLOOKUP($A44,CURVAS_INTRA!$A$3:$B$50,2,0),HLOOKUP($C$14,CURVAS_INTRA!$1:$2,2,0)))/3*$C$5,$B$19)</f>
        <v>0.11767640887878675</v>
      </c>
      <c r="C44" s="183">
        <f ca="1">IFERROR(INDIRECT("CURVAS_INTRA!"&amp;ADDRESS(VLOOKUP($A44,CURVAS_INTRA!$A$53:$B$100,2,0),HLOOKUP($C$14,CURVAS_INTRA!$1:$2,2,0)))*$C$6,C43)</f>
        <v>621.95248581972214</v>
      </c>
      <c r="D44" s="183">
        <f ca="1">IFERROR(ROUNDUP(IF(B44=0,0,Agents(B44*C44/600,$C$7,$C$8,C44))/(1-($H$7*(IFERROR(INDIRECT("CURVAS_INTRA!"&amp;ADDRESS(VLOOKUP($A44,CURVAS_INTRA!$A$103:$B$150,2,0),HLOOKUP($C$14,CURVAS_INTRA!$1:$2,2,0))),0)))),0),0)</f>
        <v>2</v>
      </c>
      <c r="E44" s="183">
        <f t="shared" si="11"/>
        <v>4</v>
      </c>
      <c r="F44" s="241">
        <f t="shared" ca="1" si="12"/>
        <v>2</v>
      </c>
      <c r="G44" s="185">
        <f ca="1">IFERROR(DelayQ(B44*C44/600,E44*((1-$H$7*VLOOKUP(A44,CURVAS_INTRA!$A$103:$AD$150,HLOOKUP($C$14,CURVAS_INTRA!$A$101:$AD$102,2,0),0))),$C$8,C44),0)</f>
        <v>0.99970000000000003</v>
      </c>
      <c r="H44" s="221">
        <v>0</v>
      </c>
      <c r="I44" s="221">
        <v>0</v>
      </c>
      <c r="J44" s="221">
        <v>0</v>
      </c>
      <c r="K44" s="221">
        <v>0</v>
      </c>
      <c r="L44" s="137">
        <f>SUM(H21:H44)</f>
        <v>0</v>
      </c>
      <c r="M44" s="186">
        <f>SUM(I$20:I44)+SUM(I157:$I$163)</f>
        <v>0</v>
      </c>
      <c r="N44" s="137">
        <f>SUM(J$20:J44)+SUM(J151:$J$163)</f>
        <v>4</v>
      </c>
      <c r="O44" s="188">
        <f>SUM($K$20:K44)+SUM(K140:$K$163)</f>
        <v>0</v>
      </c>
      <c r="P44" s="201">
        <f t="shared" ca="1" si="13"/>
        <v>3.7410014963933182E-2</v>
      </c>
      <c r="Q44" s="202">
        <f t="shared" ca="1" si="14"/>
        <v>7.4820029927866363E-2</v>
      </c>
      <c r="R44" s="174">
        <f t="shared" ca="1" si="15"/>
        <v>-7</v>
      </c>
      <c r="S44" s="246"/>
      <c r="T44" s="241">
        <f t="shared" ca="1" si="16"/>
        <v>2</v>
      </c>
      <c r="U44" s="247">
        <f ca="1">IF(IFERROR(DelayQ(B44*C44/600,(S44/(1-$H$5))+E44*((1-$H$7)*VLOOKUP(A44,CURVAS_INTRA!$A$103:$AD$150,HLOOKUP($C$14,CURVAS_INTRA!$A$101:$AD$102,2,0),0)),$C$8,C44),0)=0,"",IFERROR(DelayQ(B44*C44/600,S44+E44*((1-$H$7)*VLOOKUP(A44,CURVAS_INTRA!$A$103:$AD$150,HLOOKUP($C$14,CURVAS_INTRA!$A$101:$AD$102,2,0),0)),$C$8,C44),0))</f>
        <v>0.99970000000000003</v>
      </c>
      <c r="V44" s="281">
        <f t="shared" ca="1" si="17"/>
        <v>0.99970000000000003</v>
      </c>
      <c r="W44" s="174">
        <f t="shared" si="20"/>
        <v>4</v>
      </c>
      <c r="X44" s="227">
        <v>0.16666666666666699</v>
      </c>
      <c r="Y44" s="220">
        <f t="shared" si="21"/>
        <v>4</v>
      </c>
      <c r="Z44" s="221">
        <f t="shared" si="2"/>
        <v>0</v>
      </c>
      <c r="AA44" s="221">
        <f t="shared" si="3"/>
        <v>0</v>
      </c>
      <c r="AB44" s="221">
        <f t="shared" si="4"/>
        <v>0</v>
      </c>
      <c r="AC44" s="221">
        <f t="shared" si="5"/>
        <v>0</v>
      </c>
      <c r="AD44" s="221">
        <f t="shared" si="6"/>
        <v>0</v>
      </c>
      <c r="AE44" s="221">
        <f t="shared" si="7"/>
        <v>0</v>
      </c>
      <c r="AF44" s="221">
        <f t="shared" si="8"/>
        <v>0</v>
      </c>
      <c r="AG44" s="222">
        <f t="shared" si="18"/>
        <v>4</v>
      </c>
      <c r="AH44" s="222">
        <f t="shared" si="9"/>
        <v>4</v>
      </c>
      <c r="AJ44" s="291">
        <f t="shared" ca="1" si="10"/>
        <v>1</v>
      </c>
      <c r="AK44" s="291">
        <f ca="1">IFERROR(ROUNDUP(IF(B44=0,0,Agents(B44*C44/600,$C$7,$C$8,C44))/(1-($J$12*(IFERROR(INDIRECT("CURVAS_INTRA!"&amp;ADDRESS(VLOOKUP($A44,CURVAS_INTRA!$A$103:$B$150,2,0),HLOOKUP($C$14,CURVAS_INTRA!$1:$2,2,0))),0)))),0),0)</f>
        <v>2</v>
      </c>
      <c r="AM44" s="488">
        <f t="shared" si="19"/>
        <v>0</v>
      </c>
    </row>
    <row r="45" spans="1:52" ht="11.25" customHeight="1">
      <c r="A45" s="599">
        <v>0.17361111111111099</v>
      </c>
      <c r="B45" s="183">
        <f ca="1">IFERROR(INDIRECT("CURVAS_INTRA!"&amp;ADDRESS(VLOOKUP($A44,CURVAS_INTRA!$A$3:$B$50,2,0),HLOOKUP($C$14,CURVAS_INTRA!$1:$2,2,0)))/3*$C$5,$B$19)</f>
        <v>0.11767640887878675</v>
      </c>
      <c r="C45" s="183">
        <f ca="1">IFERROR(INDIRECT("CURVAS_INTRA!"&amp;ADDRESS(VLOOKUP($A45,CURVAS_INTRA!$A$53:$B$100,2,0),HLOOKUP($C$14,CURVAS_INTRA!$1:$2,2,0)))*$C$6,C44)</f>
        <v>621.95248581972214</v>
      </c>
      <c r="D45" s="183">
        <f ca="1">IFERROR(ROUNDUP(IF(B45=0,0,Agents(B45*C45/600,$C$7,$C$8,C45))/(1-($H$7*(IFERROR(INDIRECT("CURVAS_INTRA!"&amp;ADDRESS(VLOOKUP($A44,CURVAS_INTRA!$A$103:$B$150,2,0),HLOOKUP($C$14,CURVAS_INTRA!$1:$2,2,0))),0)))),0),0)</f>
        <v>2</v>
      </c>
      <c r="E45" s="183">
        <f t="shared" si="11"/>
        <v>4</v>
      </c>
      <c r="F45" s="241">
        <f t="shared" ca="1" si="12"/>
        <v>2</v>
      </c>
      <c r="G45" s="185">
        <f ca="1">IFERROR(DelayQ(B45*C45/600,E45*((1-$H$7*VLOOKUP(A44,CURVAS_INTRA!$A$103:$AD$150,HLOOKUP($C$14,CURVAS_INTRA!$A$101:$AD$102,2,0),0))),$C$8,C45),0)</f>
        <v>0.99970000000000003</v>
      </c>
      <c r="H45" s="221">
        <v>0</v>
      </c>
      <c r="I45" s="221">
        <v>0</v>
      </c>
      <c r="J45" s="221">
        <v>0</v>
      </c>
      <c r="K45" s="221">
        <v>0</v>
      </c>
      <c r="L45" s="137">
        <f>SUM(H22:H45)</f>
        <v>0</v>
      </c>
      <c r="M45" s="186">
        <f>SUM(I$20:I45)+SUM(I158:$I$163)</f>
        <v>0</v>
      </c>
      <c r="N45" s="137">
        <f>SUM(J$20:J45)+SUM(J152:$J$163)</f>
        <v>4</v>
      </c>
      <c r="O45" s="188">
        <f>SUM($K$20:K45)+SUM(K141:$K$163)</f>
        <v>0</v>
      </c>
      <c r="P45" s="201">
        <f t="shared" ca="1" si="13"/>
        <v>3.7410014963933182E-2</v>
      </c>
      <c r="Q45" s="202">
        <f t="shared" ca="1" si="14"/>
        <v>7.4820029927866363E-2</v>
      </c>
      <c r="R45" s="174">
        <f t="shared" ca="1" si="15"/>
        <v>-11</v>
      </c>
      <c r="S45" s="246"/>
      <c r="T45" s="241">
        <f t="shared" ca="1" si="16"/>
        <v>2</v>
      </c>
      <c r="U45" s="247">
        <f ca="1">IF(IFERROR(DelayQ(B45*C45/600,(S45/(1-$H$5))+E45*((1-$H$7)*VLOOKUP(A44,CURVAS_INTRA!$A$103:$AD$150,HLOOKUP($C$14,CURVAS_INTRA!$A$101:$AD$102,2,0),0)),$C$8,C45),0)=0,"",IFERROR(DelayQ(B45*C45/600,S45+E45*((1-$H$7)*VLOOKUP(A44,CURVAS_INTRA!$A$103:$AD$150,HLOOKUP($C$14,CURVAS_INTRA!$A$101:$AD$102,2,0),0)),$C$8,C45),0))</f>
        <v>0.99970000000000003</v>
      </c>
      <c r="V45" s="281">
        <f t="shared" ca="1" si="17"/>
        <v>0.99970000000000003</v>
      </c>
      <c r="W45" s="174">
        <f t="shared" si="20"/>
        <v>4</v>
      </c>
      <c r="X45" s="227">
        <v>0.17361111111111099</v>
      </c>
      <c r="Y45" s="220">
        <f t="shared" si="21"/>
        <v>4</v>
      </c>
      <c r="Z45" s="221">
        <f t="shared" si="2"/>
        <v>0</v>
      </c>
      <c r="AA45" s="221">
        <f t="shared" si="3"/>
        <v>0</v>
      </c>
      <c r="AB45" s="221">
        <f t="shared" si="4"/>
        <v>0</v>
      </c>
      <c r="AC45" s="221">
        <f t="shared" si="5"/>
        <v>0</v>
      </c>
      <c r="AD45" s="221">
        <f t="shared" si="6"/>
        <v>0</v>
      </c>
      <c r="AE45" s="221">
        <f t="shared" si="7"/>
        <v>0</v>
      </c>
      <c r="AF45" s="221">
        <f t="shared" si="8"/>
        <v>0</v>
      </c>
      <c r="AG45" s="222">
        <f t="shared" si="18"/>
        <v>4</v>
      </c>
      <c r="AH45" s="222">
        <f t="shared" si="9"/>
        <v>4</v>
      </c>
      <c r="AJ45" s="291">
        <f t="shared" ca="1" si="10"/>
        <v>1</v>
      </c>
      <c r="AK45" s="291">
        <f ca="1">IFERROR(ROUNDUP(IF(B45=0,0,Agents(B45*C45/600,$C$7,$C$8,C45))/(1-($J$12*(IFERROR(INDIRECT("CURVAS_INTRA!"&amp;ADDRESS(VLOOKUP($A45,CURVAS_INTRA!$A$103:$B$150,2,0),HLOOKUP($C$14,CURVAS_INTRA!$1:$2,2,0))),0)+IFERROR(INDIRECT("CURVAS_INTRA!"&amp;ADDRESS(VLOOKUP($A44,CURVAS_INTRA!$A$103:$B$150,2,0),HLOOKUP($C$14,CURVAS_INTRA!$1:$2,2,0))),0)))),0),0)</f>
        <v>2</v>
      </c>
      <c r="AM45" s="488">
        <f t="shared" si="19"/>
        <v>0</v>
      </c>
    </row>
    <row r="46" spans="1:52" ht="11.25" customHeight="1">
      <c r="A46" s="599">
        <v>0.180555555555556</v>
      </c>
      <c r="B46" s="183">
        <f ca="1">IFERROR(INDIRECT("CURVAS_INTRA!"&amp;ADDRESS(VLOOKUP($A44,CURVAS_INTRA!$A$3:$B$50,2,0),HLOOKUP($C$14,CURVAS_INTRA!$1:$2,2,0)))/3*$C$5,B43)</f>
        <v>0.11767640887878675</v>
      </c>
      <c r="C46" s="183">
        <f ca="1">IFERROR(INDIRECT("CURVAS_INTRA!"&amp;ADDRESS(VLOOKUP($A46,CURVAS_INTRA!$A$53:$B$100,2,0),HLOOKUP($C$14,CURVAS_INTRA!$1:$2,2,0)))*$C$6,C45)</f>
        <v>621.95248581972214</v>
      </c>
      <c r="D46" s="183">
        <f ca="1">IFERROR(ROUNDUP(IF(B46=0,0,Agents(B46*C46/600,$C$7,$C$8,C46))/(1-($H$7*(IFERROR(INDIRECT("CURVAS_INTRA!"&amp;ADDRESS(VLOOKUP($A44,CURVAS_INTRA!$A$103:$B$150,2,0),HLOOKUP($C$14,CURVAS_INTRA!$1:$2,2,0))),0)))),0),0)</f>
        <v>2</v>
      </c>
      <c r="E46" s="183">
        <f t="shared" si="11"/>
        <v>4</v>
      </c>
      <c r="F46" s="241">
        <f t="shared" ca="1" si="12"/>
        <v>2</v>
      </c>
      <c r="G46" s="185">
        <f ca="1">IFERROR(DelayQ(B46*C46/600,E46*((1-$H$7*VLOOKUP(A44,CURVAS_INTRA!$A$103:$AD$150,HLOOKUP($C$14,CURVAS_INTRA!$A$101:$AD$102,2,0),0))),$C$8,C46),0)</f>
        <v>0.99970000000000003</v>
      </c>
      <c r="H46" s="221">
        <v>0</v>
      </c>
      <c r="I46" s="221">
        <v>0</v>
      </c>
      <c r="J46" s="221">
        <v>0</v>
      </c>
      <c r="K46" s="221">
        <v>0</v>
      </c>
      <c r="L46" s="137">
        <f t="shared" ref="L46:L109" si="22">SUM(H23:H46)</f>
        <v>0</v>
      </c>
      <c r="M46" s="186">
        <f>SUM(I$20:I46)+SUM(I159:$I$163)</f>
        <v>0</v>
      </c>
      <c r="N46" s="137">
        <f>SUM(J$20:J46)+SUM(J153:$J$163)</f>
        <v>4</v>
      </c>
      <c r="O46" s="188">
        <f>SUM($K$20:K46)+SUM(K142:$K$163)</f>
        <v>0</v>
      </c>
      <c r="P46" s="201">
        <f t="shared" ca="1" si="13"/>
        <v>3.7410014963933182E-2</v>
      </c>
      <c r="Q46" s="202">
        <f t="shared" ca="1" si="14"/>
        <v>7.4820029927866363E-2</v>
      </c>
      <c r="R46" s="174">
        <f t="shared" ca="1" si="15"/>
        <v>-14</v>
      </c>
      <c r="S46" s="246"/>
      <c r="T46" s="241">
        <f t="shared" ca="1" si="16"/>
        <v>2</v>
      </c>
      <c r="U46" s="247">
        <f ca="1">IF(IFERROR(DelayQ(B46*C46/600,(S46/(1-$H$5))+E46*((1-$H$7)*VLOOKUP(A44,CURVAS_INTRA!$A$103:$AD$150,HLOOKUP($C$14,CURVAS_INTRA!$A$101:$AD$102,2,0),0)),$C$8,C46),0)=0,"",IFERROR(DelayQ(B46*C46/600,S46+E46*((1-$H$7)*VLOOKUP(A44,CURVAS_INTRA!$A$103:$AD$150,HLOOKUP($C$14,CURVAS_INTRA!$A$101:$AD$102,2,0),0)),$C$8,C46),0))</f>
        <v>0.99970000000000003</v>
      </c>
      <c r="V46" s="281">
        <f t="shared" ca="1" si="17"/>
        <v>0.99970000000000003</v>
      </c>
      <c r="W46" s="174">
        <f t="shared" si="20"/>
        <v>4</v>
      </c>
      <c r="X46" s="227">
        <v>0.180555555555556</v>
      </c>
      <c r="Y46" s="220">
        <f t="shared" si="21"/>
        <v>4</v>
      </c>
      <c r="Z46" s="221">
        <f t="shared" si="2"/>
        <v>0</v>
      </c>
      <c r="AA46" s="221">
        <f t="shared" si="3"/>
        <v>0</v>
      </c>
      <c r="AB46" s="221">
        <f t="shared" si="4"/>
        <v>0</v>
      </c>
      <c r="AC46" s="221">
        <f t="shared" si="5"/>
        <v>0</v>
      </c>
      <c r="AD46" s="221">
        <f t="shared" si="6"/>
        <v>0</v>
      </c>
      <c r="AE46" s="221">
        <f t="shared" si="7"/>
        <v>0</v>
      </c>
      <c r="AF46" s="221">
        <f t="shared" si="8"/>
        <v>0</v>
      </c>
      <c r="AG46" s="222">
        <f t="shared" si="18"/>
        <v>4</v>
      </c>
      <c r="AH46" s="222">
        <f t="shared" si="9"/>
        <v>4</v>
      </c>
      <c r="AJ46" s="291">
        <f t="shared" ca="1" si="10"/>
        <v>1</v>
      </c>
      <c r="AK46" s="291">
        <f ca="1">IFERROR(ROUNDUP(IF(B46=0,0,Agents(B46*C46/600,$C$7,$C$8,C46))/(1-($J$12*(IFERROR(INDIRECT("CURVAS_INTRA!"&amp;ADDRESS(VLOOKUP($A46,CURVAS_INTRA!$A$103:$B$150,2,0),HLOOKUP($C$14,CURVAS_INTRA!$1:$2,2,0))),0)+IFERROR(INDIRECT("CURVAS_INTRA!"&amp;ADDRESS(VLOOKUP($A45,CURVAS_INTRA!$A$103:$B$150,2,0),HLOOKUP($C$14,CURVAS_INTRA!$1:$2,2,0))),0)+IFERROR(INDIRECT("CURVAS_INTRA!"&amp;ADDRESS(VLOOKUP($A44,CURVAS_INTRA!$A$103:$B$150,2,0),HLOOKUP($C$14,CURVAS_INTRA!$1:$2,2,0))),0)))),0),0)</f>
        <v>2</v>
      </c>
      <c r="AM46" s="488">
        <f t="shared" si="19"/>
        <v>0</v>
      </c>
    </row>
    <row r="47" spans="1:52" ht="11.25" customHeight="1">
      <c r="A47" s="599">
        <v>0.1875</v>
      </c>
      <c r="B47" s="183">
        <f ca="1">IFERROR(INDIRECT("CURVAS_INTRA!"&amp;ADDRESS(VLOOKUP($A47,CURVAS_INTRA!$A$3:$B$50,2,0),HLOOKUP($C$14,CURVAS_INTRA!$1:$2,2,0)))/3*$C$5,$B$19)</f>
        <v>0.17349051010324543</v>
      </c>
      <c r="C47" s="183">
        <f ca="1">IFERROR(INDIRECT("CURVAS_INTRA!"&amp;ADDRESS(VLOOKUP($A47,CURVAS_INTRA!$A$53:$B$100,2,0),HLOOKUP($C$14,CURVAS_INTRA!$1:$2,2,0)))*$C$6,C46)</f>
        <v>660.81078845230638</v>
      </c>
      <c r="D47" s="183">
        <f ca="1">IFERROR(ROUNDUP(IF(B47=0,0,Agents(B47*C47/600,$C$7,$C$8,C47))/(1-($H$7*(IFERROR(INDIRECT("CURVAS_INTRA!"&amp;ADDRESS(VLOOKUP($A47,CURVAS_INTRA!$A$103:$B$150,2,0),HLOOKUP($C$14,CURVAS_INTRA!$1:$2,2,0))),0)))),0),0)</f>
        <v>2</v>
      </c>
      <c r="E47" s="183">
        <f t="shared" si="11"/>
        <v>4</v>
      </c>
      <c r="F47" s="241">
        <f t="shared" ca="1" si="12"/>
        <v>2</v>
      </c>
      <c r="G47" s="185">
        <f ca="1">IFERROR(DelayQ(B47*C47/600,E47*((1-$H$7*VLOOKUP(A47,CURVAS_INTRA!$A$103:$AD$150,HLOOKUP($C$14,CURVAS_INTRA!$A$101:$AD$102,2,0),0))),$C$8,C47),0)</f>
        <v>0.99909999999999999</v>
      </c>
      <c r="H47" s="221">
        <v>0</v>
      </c>
      <c r="I47" s="221">
        <v>0</v>
      </c>
      <c r="J47" s="221">
        <v>0</v>
      </c>
      <c r="K47" s="221">
        <v>0</v>
      </c>
      <c r="L47" s="137">
        <f t="shared" si="22"/>
        <v>0</v>
      </c>
      <c r="M47" s="186">
        <f>SUM(I$20:I47)+SUM(I160:$I$163)</f>
        <v>0</v>
      </c>
      <c r="N47" s="137">
        <f>SUM(J$20:J47)+SUM(J154:$J$163)</f>
        <v>4</v>
      </c>
      <c r="O47" s="188">
        <f>SUM($K$20:K47)+SUM(K143:$K$163)</f>
        <v>0</v>
      </c>
      <c r="P47" s="201">
        <f t="shared" ca="1" si="13"/>
        <v>5.8599527742924006E-2</v>
      </c>
      <c r="Q47" s="202">
        <f t="shared" ca="1" si="14"/>
        <v>0.11719905548584801</v>
      </c>
      <c r="R47" s="174">
        <f t="shared" ca="1" si="15"/>
        <v>-17</v>
      </c>
      <c r="S47" s="246"/>
      <c r="T47" s="241">
        <f t="shared" ca="1" si="16"/>
        <v>2</v>
      </c>
      <c r="U47" s="247">
        <f ca="1">IF(IFERROR(DelayQ(B47*C47/600,(S47/(1-$H$5))+E47*((1-$H$7)*VLOOKUP(A47,CURVAS_INTRA!$A$103:$AD$150,HLOOKUP($C$14,CURVAS_INTRA!$A$101:$AD$102,2,0),0)),$C$8,C47),0)=0,"",IFERROR(DelayQ(B47*C47/600,S47+E47*((1-$H$7)*VLOOKUP(A47,CURVAS_INTRA!$A$103:$AD$150,HLOOKUP($C$14,CURVAS_INTRA!$A$101:$AD$102,2,0),0)),$C$8,C47),0))</f>
        <v>0.99909999999999999</v>
      </c>
      <c r="V47" s="281">
        <f t="shared" ca="1" si="17"/>
        <v>0.99909999999999999</v>
      </c>
      <c r="W47" s="174">
        <f t="shared" si="20"/>
        <v>4</v>
      </c>
      <c r="X47" s="227">
        <v>0.1875</v>
      </c>
      <c r="Y47" s="220">
        <f t="shared" si="21"/>
        <v>4</v>
      </c>
      <c r="Z47" s="221">
        <f t="shared" si="2"/>
        <v>0</v>
      </c>
      <c r="AA47" s="221">
        <f t="shared" si="3"/>
        <v>0</v>
      </c>
      <c r="AB47" s="221">
        <f t="shared" si="4"/>
        <v>0</v>
      </c>
      <c r="AC47" s="221">
        <f t="shared" si="5"/>
        <v>0</v>
      </c>
      <c r="AD47" s="221">
        <f t="shared" si="6"/>
        <v>0</v>
      </c>
      <c r="AE47" s="221">
        <f t="shared" si="7"/>
        <v>0</v>
      </c>
      <c r="AF47" s="221">
        <f t="shared" si="8"/>
        <v>0</v>
      </c>
      <c r="AG47" s="222">
        <f t="shared" si="18"/>
        <v>4</v>
      </c>
      <c r="AH47" s="222">
        <f t="shared" si="9"/>
        <v>4</v>
      </c>
      <c r="AJ47" s="291">
        <f t="shared" ca="1" si="10"/>
        <v>1</v>
      </c>
      <c r="AK47" s="291">
        <f ca="1">IFERROR(ROUNDUP(IF(B47=0,0,Agents(B47*C47/600,$C$7,$C$8,C47))/(1-($J$12*(IFERROR(INDIRECT("CURVAS_INTRA!"&amp;ADDRESS(VLOOKUP($A47,CURVAS_INTRA!$A$103:$B$150,2,0),HLOOKUP($C$14,CURVAS_INTRA!$1:$2,2,0))),0)))),0),0)</f>
        <v>2</v>
      </c>
      <c r="AM47" s="488">
        <f t="shared" si="19"/>
        <v>0</v>
      </c>
    </row>
    <row r="48" spans="1:52" ht="11.25" customHeight="1">
      <c r="A48" s="599">
        <v>0.194444444444444</v>
      </c>
      <c r="B48" s="183">
        <f ca="1">IFERROR(INDIRECT("CURVAS_INTRA!"&amp;ADDRESS(VLOOKUP($A47,CURVAS_INTRA!$A$3:$B$50,2,0),HLOOKUP($C$14,CURVAS_INTRA!$1:$2,2,0)))/3*$C$5,$B$19)</f>
        <v>0.17349051010324543</v>
      </c>
      <c r="C48" s="183">
        <f ca="1">IFERROR(INDIRECT("CURVAS_INTRA!"&amp;ADDRESS(VLOOKUP($A48,CURVAS_INTRA!$A$53:$B$100,2,0),HLOOKUP($C$14,CURVAS_INTRA!$1:$2,2,0)))*$C$6,C47)</f>
        <v>660.81078845230638</v>
      </c>
      <c r="D48" s="183">
        <f ca="1">IFERROR(ROUNDUP(IF(B48=0,0,Agents(B48*C48/600,$C$7,$C$8,C48))/(1-($H$7*(IFERROR(INDIRECT("CURVAS_INTRA!"&amp;ADDRESS(VLOOKUP($A47,CURVAS_INTRA!$A$103:$B$150,2,0),HLOOKUP($C$14,CURVAS_INTRA!$1:$2,2,0))),0)))),0),0)</f>
        <v>2</v>
      </c>
      <c r="E48" s="183">
        <f t="shared" si="11"/>
        <v>4</v>
      </c>
      <c r="F48" s="241">
        <f t="shared" ca="1" si="12"/>
        <v>2</v>
      </c>
      <c r="G48" s="185">
        <f ca="1">IFERROR(DelayQ(B48*C48/600,E48*((1-$H$7*VLOOKUP(A47,CURVAS_INTRA!$A$103:$AD$150,HLOOKUP($C$14,CURVAS_INTRA!$A$101:$AD$102,2,0),0))),$C$8,C48),0)</f>
        <v>0.99909999999999999</v>
      </c>
      <c r="H48" s="221">
        <v>0</v>
      </c>
      <c r="I48" s="221">
        <v>0</v>
      </c>
      <c r="J48" s="221">
        <v>0</v>
      </c>
      <c r="K48" s="221">
        <v>0</v>
      </c>
      <c r="L48" s="137">
        <f t="shared" si="22"/>
        <v>0</v>
      </c>
      <c r="M48" s="186">
        <f>SUM(I$20:I48)+SUM(I161:$I$163)</f>
        <v>0</v>
      </c>
      <c r="N48" s="137">
        <f>SUM(J$20:J48)+SUM(J155:$J$163)</f>
        <v>4</v>
      </c>
      <c r="O48" s="188">
        <f>SUM($K$20:K48)+SUM(K144:$K$163)</f>
        <v>0</v>
      </c>
      <c r="P48" s="201">
        <f t="shared" ca="1" si="13"/>
        <v>5.8599527742924006E-2</v>
      </c>
      <c r="Q48" s="202">
        <f t="shared" ca="1" si="14"/>
        <v>0.11719905548584801</v>
      </c>
      <c r="R48" s="174">
        <f t="shared" ca="1" si="15"/>
        <v>-20</v>
      </c>
      <c r="S48" s="246"/>
      <c r="T48" s="241">
        <f t="shared" ca="1" si="16"/>
        <v>2</v>
      </c>
      <c r="U48" s="247">
        <f ca="1">IF(IFERROR(DelayQ(B48*C48/600,(S48/(1-$H$5))+E48*((1-$H$7)*VLOOKUP(A47,CURVAS_INTRA!$A$103:$AD$150,HLOOKUP($C$14,CURVAS_INTRA!$A$101:$AD$102,2,0),0)),$C$8,C48),0)=0,"",IFERROR(DelayQ(B48*C48/600,S48+E48*((1-$H$7)*VLOOKUP(A47,CURVAS_INTRA!$A$103:$AD$150,HLOOKUP($C$14,CURVAS_INTRA!$A$101:$AD$102,2,0),0)),$C$8,C48),0))</f>
        <v>0.99909999999999999</v>
      </c>
      <c r="V48" s="281">
        <f t="shared" ca="1" si="17"/>
        <v>0.99909999999999999</v>
      </c>
      <c r="W48" s="174">
        <f t="shared" si="20"/>
        <v>4</v>
      </c>
      <c r="X48" s="227">
        <v>0.194444444444444</v>
      </c>
      <c r="Y48" s="220">
        <f t="shared" si="21"/>
        <v>4</v>
      </c>
      <c r="Z48" s="221">
        <f t="shared" si="2"/>
        <v>0</v>
      </c>
      <c r="AA48" s="221">
        <f t="shared" si="3"/>
        <v>0</v>
      </c>
      <c r="AB48" s="221">
        <f t="shared" si="4"/>
        <v>0</v>
      </c>
      <c r="AC48" s="221">
        <f t="shared" si="5"/>
        <v>0</v>
      </c>
      <c r="AD48" s="221">
        <f t="shared" si="6"/>
        <v>0</v>
      </c>
      <c r="AE48" s="221">
        <f t="shared" si="7"/>
        <v>0</v>
      </c>
      <c r="AF48" s="221">
        <f t="shared" si="8"/>
        <v>0</v>
      </c>
      <c r="AG48" s="222">
        <f t="shared" si="18"/>
        <v>4</v>
      </c>
      <c r="AH48" s="222">
        <f t="shared" si="9"/>
        <v>4</v>
      </c>
      <c r="AJ48" s="291">
        <f t="shared" ca="1" si="10"/>
        <v>1</v>
      </c>
      <c r="AK48" s="291">
        <f ca="1">IFERROR(ROUNDUP(IF(B48=0,0,Agents(B48*C48/600,$C$7,$C$8,C48))/(1-($J$12*(IFERROR(INDIRECT("CURVAS_INTRA!"&amp;ADDRESS(VLOOKUP($A48,CURVAS_INTRA!$A$103:$B$150,2,0),HLOOKUP($C$14,CURVAS_INTRA!$1:$2,2,0))),0)+IFERROR(INDIRECT("CURVAS_INTRA!"&amp;ADDRESS(VLOOKUP($A47,CURVAS_INTRA!$A$103:$B$150,2,0),HLOOKUP($C$14,CURVAS_INTRA!$1:$2,2,0))),0)))),0),0)</f>
        <v>2</v>
      </c>
      <c r="AM48" s="488">
        <f t="shared" si="19"/>
        <v>0</v>
      </c>
    </row>
    <row r="49" spans="1:39" ht="11.25" customHeight="1">
      <c r="A49" s="599">
        <v>0.20138888888888901</v>
      </c>
      <c r="B49" s="183">
        <f ca="1">IFERROR(INDIRECT("CURVAS_INTRA!"&amp;ADDRESS(VLOOKUP($A47,CURVAS_INTRA!$A$3:$B$50,2,0),HLOOKUP($C$14,CURVAS_INTRA!$1:$2,2,0)))/3*$C$5,B46)</f>
        <v>0.17349051010324543</v>
      </c>
      <c r="C49" s="183">
        <f ca="1">IFERROR(INDIRECT("CURVAS_INTRA!"&amp;ADDRESS(VLOOKUP($A49,CURVAS_INTRA!$A$53:$B$100,2,0),HLOOKUP($C$14,CURVAS_INTRA!$1:$2,2,0)))*$C$6,C48)</f>
        <v>660.81078845230638</v>
      </c>
      <c r="D49" s="183">
        <f ca="1">IFERROR(ROUNDUP(IF(B49=0,0,Agents(B49*C49/600,$C$7,$C$8,C49))/(1-($H$7*(IFERROR(INDIRECT("CURVAS_INTRA!"&amp;ADDRESS(VLOOKUP($A47,CURVAS_INTRA!$A$103:$B$150,2,0),HLOOKUP($C$14,CURVAS_INTRA!$1:$2,2,0))),0)))),0),0)</f>
        <v>2</v>
      </c>
      <c r="E49" s="183">
        <f t="shared" si="11"/>
        <v>4</v>
      </c>
      <c r="F49" s="241">
        <f t="shared" ca="1" si="12"/>
        <v>2</v>
      </c>
      <c r="G49" s="185">
        <f ca="1">IFERROR(DelayQ(B49*C49/600,E49*((1-$H$7*VLOOKUP(A47,CURVAS_INTRA!$A$103:$AD$150,HLOOKUP($C$14,CURVAS_INTRA!$A$101:$AD$102,2,0),0))),$C$8,C49),0)</f>
        <v>0.99909999999999999</v>
      </c>
      <c r="H49" s="221">
        <v>0</v>
      </c>
      <c r="I49" s="221">
        <v>0</v>
      </c>
      <c r="J49" s="221">
        <v>0</v>
      </c>
      <c r="K49" s="221">
        <v>0</v>
      </c>
      <c r="L49" s="137">
        <f t="shared" si="22"/>
        <v>0</v>
      </c>
      <c r="M49" s="186">
        <f>SUM(I$20:I49)+SUM(I162:$I$163)</f>
        <v>0</v>
      </c>
      <c r="N49" s="137">
        <f>SUM(J$20:J49)+SUM(J156:$J$163)</f>
        <v>4</v>
      </c>
      <c r="O49" s="188">
        <f>SUM($K$20:K49)+SUM(K145:$K$163)</f>
        <v>0</v>
      </c>
      <c r="P49" s="201">
        <f t="shared" ca="1" si="13"/>
        <v>5.8599527742924006E-2</v>
      </c>
      <c r="Q49" s="202">
        <f t="shared" ca="1" si="14"/>
        <v>0.11719905548584801</v>
      </c>
      <c r="R49" s="174">
        <f t="shared" ca="1" si="15"/>
        <v>-26</v>
      </c>
      <c r="S49" s="246"/>
      <c r="T49" s="241">
        <f t="shared" ca="1" si="16"/>
        <v>2</v>
      </c>
      <c r="U49" s="247">
        <f ca="1">IF(IFERROR(DelayQ(B49*C49/600,(S49/(1-$H$5))+E49*((1-$H$7)*VLOOKUP(A47,CURVAS_INTRA!$A$103:$AD$150,HLOOKUP($C$14,CURVAS_INTRA!$A$101:$AD$102,2,0),0)),$C$8,C49),0)=0,"",IFERROR(DelayQ(B49*C49/600,S49+E49*((1-$H$7)*VLOOKUP(A47,CURVAS_INTRA!$A$103:$AD$150,HLOOKUP($C$14,CURVAS_INTRA!$A$101:$AD$102,2,0),0)),$C$8,C49),0))</f>
        <v>0.99909999999999999</v>
      </c>
      <c r="V49" s="281">
        <f t="shared" ca="1" si="17"/>
        <v>0.99909999999999999</v>
      </c>
      <c r="W49" s="174">
        <f t="shared" si="20"/>
        <v>4</v>
      </c>
      <c r="X49" s="227">
        <v>0.20138888888888901</v>
      </c>
      <c r="Y49" s="220">
        <f t="shared" si="21"/>
        <v>4</v>
      </c>
      <c r="Z49" s="221">
        <f t="shared" si="2"/>
        <v>0</v>
      </c>
      <c r="AA49" s="221">
        <f t="shared" si="3"/>
        <v>0</v>
      </c>
      <c r="AB49" s="221">
        <f t="shared" si="4"/>
        <v>0</v>
      </c>
      <c r="AC49" s="221">
        <f t="shared" si="5"/>
        <v>0</v>
      </c>
      <c r="AD49" s="221">
        <f t="shared" si="6"/>
        <v>0</v>
      </c>
      <c r="AE49" s="221">
        <f t="shared" si="7"/>
        <v>0</v>
      </c>
      <c r="AF49" s="221">
        <f t="shared" si="8"/>
        <v>0</v>
      </c>
      <c r="AG49" s="222">
        <f t="shared" si="18"/>
        <v>4</v>
      </c>
      <c r="AH49" s="222">
        <f t="shared" si="9"/>
        <v>4</v>
      </c>
      <c r="AJ49" s="291">
        <f t="shared" ca="1" si="10"/>
        <v>1</v>
      </c>
      <c r="AK49" s="291">
        <f ca="1">IFERROR(ROUNDUP(IF(B49=0,0,Agents(B49*C49/600,$C$7,$C$8,C49))/(1-($J$12*(IFERROR(INDIRECT("CURVAS_INTRA!"&amp;ADDRESS(VLOOKUP($A49,CURVAS_INTRA!$A$103:$B$150,2,0),HLOOKUP($C$14,CURVAS_INTRA!$1:$2,2,0))),0)+IFERROR(INDIRECT("CURVAS_INTRA!"&amp;ADDRESS(VLOOKUP($A48,CURVAS_INTRA!$A$103:$B$150,2,0),HLOOKUP($C$14,CURVAS_INTRA!$1:$2,2,0))),0)+IFERROR(INDIRECT("CURVAS_INTRA!"&amp;ADDRESS(VLOOKUP($A47,CURVAS_INTRA!$A$103:$B$150,2,0),HLOOKUP($C$14,CURVAS_INTRA!$1:$2,2,0))),0)))),0),0)</f>
        <v>2</v>
      </c>
      <c r="AM49" s="488">
        <f t="shared" si="19"/>
        <v>0</v>
      </c>
    </row>
    <row r="50" spans="1:39" ht="11.25" customHeight="1">
      <c r="A50" s="599">
        <v>0.20833333333333301</v>
      </c>
      <c r="B50" s="183">
        <f ca="1">IFERROR(INDIRECT("CURVAS_INTRA!"&amp;ADDRESS(VLOOKUP($A50,CURVAS_INTRA!$A$3:$B$50,2,0),HLOOKUP($C$14,CURVAS_INTRA!$1:$2,2,0)))/3*$C$5,$B$19)</f>
        <v>0.30426420897785378</v>
      </c>
      <c r="C50" s="183">
        <f ca="1">IFERROR(INDIRECT("CURVAS_INTRA!"&amp;ADDRESS(VLOOKUP($A50,CURVAS_INTRA!$A$53:$B$100,2,0),HLOOKUP($C$14,CURVAS_INTRA!$1:$2,2,0)))*$C$6,C49)</f>
        <v>694.86894799905656</v>
      </c>
      <c r="D50" s="183">
        <f ca="1">IFERROR(ROUNDUP(IF(B50=0,0,Agents(B50*C50/600,$C$7,$C$8,C50))/(1-($H$7*(IFERROR(INDIRECT("CURVAS_INTRA!"&amp;ADDRESS(VLOOKUP($A50,CURVAS_INTRA!$A$103:$B$150,2,0),HLOOKUP($C$14,CURVAS_INTRA!$1:$2,2,0))),0)))),0),0)</f>
        <v>3</v>
      </c>
      <c r="E50" s="183">
        <f t="shared" si="11"/>
        <v>4</v>
      </c>
      <c r="F50" s="241">
        <f t="shared" ca="1" si="12"/>
        <v>1</v>
      </c>
      <c r="G50" s="185">
        <f ca="1">IFERROR(DelayQ(B50*C50/600,E50*((1-$H$7*VLOOKUP(A50,CURVAS_INTRA!$A$103:$AD$150,HLOOKUP($C$14,CURVAS_INTRA!$A$101:$AD$102,2,0),0))),$C$8,C50),0)</f>
        <v>0.99480000000000002</v>
      </c>
      <c r="H50" s="221">
        <v>0</v>
      </c>
      <c r="I50" s="221">
        <v>0</v>
      </c>
      <c r="J50" s="221">
        <v>0</v>
      </c>
      <c r="K50" s="221">
        <v>0</v>
      </c>
      <c r="L50" s="137">
        <f t="shared" si="22"/>
        <v>0</v>
      </c>
      <c r="M50" s="186">
        <f>SUM(I$20:I50)+SUM(I163:$I$163)</f>
        <v>0</v>
      </c>
      <c r="N50" s="137">
        <f>SUM(J$20:J50)+SUM(J157:$J$163)</f>
        <v>4</v>
      </c>
      <c r="O50" s="188">
        <f>SUM($K$20:K50)+SUM(K146:$K$163)</f>
        <v>0</v>
      </c>
      <c r="P50" s="201">
        <f t="shared" ca="1" si="13"/>
        <v>0.10806748404313657</v>
      </c>
      <c r="Q50" s="202">
        <f t="shared" ca="1" si="14"/>
        <v>0.14408997872418208</v>
      </c>
      <c r="R50" s="174">
        <f t="shared" ca="1" si="15"/>
        <v>-32</v>
      </c>
      <c r="S50" s="246"/>
      <c r="T50" s="241">
        <f t="shared" ca="1" si="16"/>
        <v>1</v>
      </c>
      <c r="U50" s="247">
        <f ca="1">IF(IFERROR(DelayQ(B50*C50/600,(S50/(1-$H$5))+E50*((1-$H$7)*VLOOKUP(A50,CURVAS_INTRA!$A$103:$AD$150,HLOOKUP($C$14,CURVAS_INTRA!$A$101:$AD$102,2,0),0)),$C$8,C50),0)=0,"",IFERROR(DelayQ(B50*C50/600,S50+E50*((1-$H$7)*VLOOKUP(A50,CURVAS_INTRA!$A$103:$AD$150,HLOOKUP($C$14,CURVAS_INTRA!$A$101:$AD$102,2,0),0)),$C$8,C50),0))</f>
        <v>0.99480000000000002</v>
      </c>
      <c r="V50" s="281">
        <f t="shared" ca="1" si="17"/>
        <v>0.99480000000000002</v>
      </c>
      <c r="W50" s="174">
        <f t="shared" si="20"/>
        <v>4</v>
      </c>
      <c r="X50" s="227">
        <v>0.20833333333333301</v>
      </c>
      <c r="Y50" s="220">
        <f t="shared" si="21"/>
        <v>4</v>
      </c>
      <c r="Z50" s="221">
        <f t="shared" si="2"/>
        <v>0</v>
      </c>
      <c r="AA50" s="221">
        <f t="shared" si="3"/>
        <v>0</v>
      </c>
      <c r="AB50" s="221">
        <f t="shared" si="4"/>
        <v>0</v>
      </c>
      <c r="AC50" s="221">
        <f t="shared" si="5"/>
        <v>0</v>
      </c>
      <c r="AD50" s="221">
        <f t="shared" si="6"/>
        <v>0</v>
      </c>
      <c r="AE50" s="221">
        <f t="shared" si="7"/>
        <v>0</v>
      </c>
      <c r="AF50" s="221">
        <f t="shared" si="8"/>
        <v>0</v>
      </c>
      <c r="AG50" s="222">
        <f t="shared" si="18"/>
        <v>4</v>
      </c>
      <c r="AH50" s="222">
        <f t="shared" si="9"/>
        <v>4</v>
      </c>
      <c r="AJ50" s="291">
        <f t="shared" ca="1" si="10"/>
        <v>2</v>
      </c>
      <c r="AK50" s="291">
        <f ca="1">IFERROR(ROUNDUP(IF(B50=0,0,Agents(B50*C50/600,$C$7,$C$8,C50))/(1-($J$12*(IFERROR(INDIRECT("CURVAS_INTRA!"&amp;ADDRESS(VLOOKUP($A50,CURVAS_INTRA!$A$103:$B$150,2,0),HLOOKUP($C$14,CURVAS_INTRA!$1:$2,2,0))),0)))),0),0)</f>
        <v>3</v>
      </c>
      <c r="AM50" s="488">
        <f t="shared" si="19"/>
        <v>0</v>
      </c>
    </row>
    <row r="51" spans="1:39" ht="11.25" customHeight="1">
      <c r="A51" s="599">
        <v>0.21527777777777801</v>
      </c>
      <c r="B51" s="183">
        <f ca="1">IFERROR(INDIRECT("CURVAS_INTRA!"&amp;ADDRESS(VLOOKUP($A50,CURVAS_INTRA!$A$3:$B$50,2,0),HLOOKUP($C$14,CURVAS_INTRA!$1:$2,2,0)))/3*$C$5,$B$19)</f>
        <v>0.30426420897785378</v>
      </c>
      <c r="C51" s="183">
        <f ca="1">IFERROR(INDIRECT("CURVAS_INTRA!"&amp;ADDRESS(VLOOKUP($A51,CURVAS_INTRA!$A$53:$B$100,2,0),HLOOKUP($C$14,CURVAS_INTRA!$1:$2,2,0)))*$C$6,C50)</f>
        <v>694.86894799905656</v>
      </c>
      <c r="D51" s="183">
        <f ca="1">IFERROR(ROUNDUP(IF(B51=0,0,Agents(B51*C51/600,$C$7,$C$8,C51))/(1-($H$7*(IFERROR(INDIRECT("CURVAS_INTRA!"&amp;ADDRESS(VLOOKUP($A50,CURVAS_INTRA!$A$103:$B$150,2,0),HLOOKUP($C$14,CURVAS_INTRA!$1:$2,2,0))),0)))),0),0)</f>
        <v>3</v>
      </c>
      <c r="E51" s="183">
        <f t="shared" si="11"/>
        <v>4</v>
      </c>
      <c r="F51" s="241">
        <f t="shared" ca="1" si="12"/>
        <v>1</v>
      </c>
      <c r="G51" s="185">
        <f ca="1">IFERROR(DelayQ(B51*C51/600,E51*((1-$H$7*VLOOKUP(A50,CURVAS_INTRA!$A$103:$AD$150,HLOOKUP($C$14,CURVAS_INTRA!$A$101:$AD$102,2,0),0))),$C$8,C51),0)</f>
        <v>0.99480000000000002</v>
      </c>
      <c r="H51" s="221">
        <v>0</v>
      </c>
      <c r="I51" s="221">
        <v>0</v>
      </c>
      <c r="J51" s="221">
        <v>0</v>
      </c>
      <c r="K51" s="221">
        <v>0</v>
      </c>
      <c r="L51" s="137">
        <f t="shared" si="22"/>
        <v>0</v>
      </c>
      <c r="M51" s="186">
        <f>SUM(I$20:I51)</f>
        <v>0</v>
      </c>
      <c r="N51" s="137">
        <f>SUM(J$20:J51)+SUM(J158:$J$163)</f>
        <v>4</v>
      </c>
      <c r="O51" s="188">
        <f>SUM($K$20:K51)+SUM(K147:$K$163)</f>
        <v>0</v>
      </c>
      <c r="P51" s="201">
        <f t="shared" ca="1" si="13"/>
        <v>0.10806748404313657</v>
      </c>
      <c r="Q51" s="202">
        <f t="shared" ca="1" si="14"/>
        <v>0.14408997872418208</v>
      </c>
      <c r="R51" s="174">
        <f t="shared" ca="1" si="15"/>
        <v>-37</v>
      </c>
      <c r="S51" s="246"/>
      <c r="T51" s="241">
        <f t="shared" ca="1" si="16"/>
        <v>1</v>
      </c>
      <c r="U51" s="247">
        <f ca="1">IF(IFERROR(DelayQ(B51*C51/600,(S51/(1-$H$5))+E51*((1-$H$7)*VLOOKUP(A50,CURVAS_INTRA!$A$103:$AD$150,HLOOKUP($C$14,CURVAS_INTRA!$A$101:$AD$102,2,0),0)),$C$8,C51),0)=0,"",IFERROR(DelayQ(B51*C51/600,S51+E51*((1-$H$7)*VLOOKUP(A50,CURVAS_INTRA!$A$103:$AD$150,HLOOKUP($C$14,CURVAS_INTRA!$A$101:$AD$102,2,0),0)),$C$8,C51),0))</f>
        <v>0.99480000000000002</v>
      </c>
      <c r="V51" s="281">
        <f t="shared" ca="1" si="17"/>
        <v>0.99480000000000002</v>
      </c>
      <c r="W51" s="174">
        <f t="shared" si="20"/>
        <v>4</v>
      </c>
      <c r="X51" s="227">
        <v>0.21527777777777801</v>
      </c>
      <c r="Y51" s="220">
        <f t="shared" si="21"/>
        <v>4</v>
      </c>
      <c r="Z51" s="221">
        <f t="shared" si="2"/>
        <v>0</v>
      </c>
      <c r="AA51" s="221">
        <f t="shared" si="3"/>
        <v>0</v>
      </c>
      <c r="AB51" s="221">
        <f t="shared" si="4"/>
        <v>0</v>
      </c>
      <c r="AC51" s="221">
        <f t="shared" si="5"/>
        <v>0</v>
      </c>
      <c r="AD51" s="221">
        <f t="shared" si="6"/>
        <v>0</v>
      </c>
      <c r="AE51" s="221">
        <f t="shared" si="7"/>
        <v>0</v>
      </c>
      <c r="AF51" s="221">
        <f t="shared" si="8"/>
        <v>0</v>
      </c>
      <c r="AG51" s="222">
        <f t="shared" si="18"/>
        <v>4</v>
      </c>
      <c r="AH51" s="222">
        <f t="shared" si="9"/>
        <v>4</v>
      </c>
      <c r="AJ51" s="291">
        <f t="shared" ca="1" si="10"/>
        <v>2</v>
      </c>
      <c r="AK51" s="291">
        <f ca="1">IFERROR(ROUNDUP(IF(B51=0,0,Agents(B51*C51/600,$C$7,$C$8,C51))/(1-($J$12*(IFERROR(INDIRECT("CURVAS_INTRA!"&amp;ADDRESS(VLOOKUP($A51,CURVAS_INTRA!$A$103:$B$150,2,0),HLOOKUP($C$14,CURVAS_INTRA!$1:$2,2,0))),0)+IFERROR(INDIRECT("CURVAS_INTRA!"&amp;ADDRESS(VLOOKUP($A50,CURVAS_INTRA!$A$103:$B$150,2,0),HLOOKUP($C$14,CURVAS_INTRA!$1:$2,2,0))),0)))),0),0)</f>
        <v>3</v>
      </c>
      <c r="AM51" s="488">
        <f t="shared" si="19"/>
        <v>0</v>
      </c>
    </row>
    <row r="52" spans="1:39" ht="11.25" customHeight="1">
      <c r="A52" s="599">
        <v>0.22222222222222199</v>
      </c>
      <c r="B52" s="183">
        <f ca="1">IFERROR(INDIRECT("CURVAS_INTRA!"&amp;ADDRESS(VLOOKUP($A50,CURVAS_INTRA!$A$3:$B$50,2,0),HLOOKUP($C$14,CURVAS_INTRA!$1:$2,2,0)))/3*$C$5,B49)</f>
        <v>0.30426420897785378</v>
      </c>
      <c r="C52" s="183">
        <f ca="1">IFERROR(INDIRECT("CURVAS_INTRA!"&amp;ADDRESS(VLOOKUP($A52,CURVAS_INTRA!$A$53:$B$100,2,0),HLOOKUP($C$14,CURVAS_INTRA!$1:$2,2,0)))*$C$6,C51)</f>
        <v>694.86894799905656</v>
      </c>
      <c r="D52" s="183">
        <f ca="1">IFERROR(ROUNDUP(IF(B52=0,0,Agents(B52*C52/600,$C$7,$C$8,C52))/(1-($H$7*(IFERROR(INDIRECT("CURVAS_INTRA!"&amp;ADDRESS(VLOOKUP($A50,CURVAS_INTRA!$A$103:$B$150,2,0),HLOOKUP($C$14,CURVAS_INTRA!$1:$2,2,0))),0)))),0),0)</f>
        <v>3</v>
      </c>
      <c r="E52" s="183">
        <f t="shared" si="11"/>
        <v>4</v>
      </c>
      <c r="F52" s="241">
        <f t="shared" ca="1" si="12"/>
        <v>1</v>
      </c>
      <c r="G52" s="185">
        <f ca="1">IFERROR(DelayQ(B52*C52/600,E52*((1-$H$7*VLOOKUP(A50,CURVAS_INTRA!$A$103:$AD$150,HLOOKUP($C$14,CURVAS_INTRA!$A$101:$AD$102,2,0),0))),$C$8,C52),0)</f>
        <v>0.99480000000000002</v>
      </c>
      <c r="H52" s="221">
        <v>0</v>
      </c>
      <c r="I52" s="221">
        <v>0</v>
      </c>
      <c r="J52" s="221">
        <v>0</v>
      </c>
      <c r="K52" s="221">
        <v>0</v>
      </c>
      <c r="L52" s="137">
        <f t="shared" si="22"/>
        <v>0</v>
      </c>
      <c r="M52" s="186">
        <f>SUM(I21:I52)</f>
        <v>0</v>
      </c>
      <c r="N52" s="137">
        <f>SUM(J$20:J52)+SUM(J159:$J$163)</f>
        <v>4</v>
      </c>
      <c r="O52" s="188">
        <f>SUM($K$20:K52)+SUM(K148:$K$163)</f>
        <v>0</v>
      </c>
      <c r="P52" s="201">
        <f t="shared" ca="1" si="13"/>
        <v>0.10806748404313657</v>
      </c>
      <c r="Q52" s="202">
        <f t="shared" ca="1" si="14"/>
        <v>0.14408997872418208</v>
      </c>
      <c r="R52" s="174">
        <f t="shared" ca="1" si="15"/>
        <v>-39</v>
      </c>
      <c r="S52" s="246"/>
      <c r="T52" s="241">
        <f t="shared" ca="1" si="16"/>
        <v>1</v>
      </c>
      <c r="U52" s="247">
        <f ca="1">IF(IFERROR(DelayQ(B52*C52/600,(S52/(1-$H$5))+E52*((1-$H$7)*VLOOKUP(A50,CURVAS_INTRA!$A$103:$AD$150,HLOOKUP($C$14,CURVAS_INTRA!$A$101:$AD$102,2,0),0)),$C$8,C52),0)=0,"",IFERROR(DelayQ(B52*C52/600,S52+E52*((1-$H$7)*VLOOKUP(A50,CURVAS_INTRA!$A$103:$AD$150,HLOOKUP($C$14,CURVAS_INTRA!$A$101:$AD$102,2,0),0)),$C$8,C52),0))</f>
        <v>0.99480000000000002</v>
      </c>
      <c r="V52" s="281">
        <f t="shared" ca="1" si="17"/>
        <v>0.99480000000000002</v>
      </c>
      <c r="W52" s="174">
        <f t="shared" si="20"/>
        <v>4</v>
      </c>
      <c r="X52" s="227">
        <v>0.22222222222222199</v>
      </c>
      <c r="Y52" s="220">
        <f t="shared" si="21"/>
        <v>4</v>
      </c>
      <c r="Z52" s="221">
        <f t="shared" ref="Z52:Z83" si="23">IFERROR(((IF($Z$17="Não",$H$8,0)*$E$6+IF($Z$17="Não",$I$8,0)*$E$7+IF($Z$17="Não",$J$8,0)*$E$8+IF($Z$17="Não",$K$8,0)*$E$9)/SUM($E$6:$E$9))*SUM(L52:O52),0)</f>
        <v>0</v>
      </c>
      <c r="AA52" s="221">
        <f t="shared" ref="AA52:AA83" si="24">IFERROR(((IF($AA$17="Não",$H$9,0)*$E$6+IF($AA$17="Não",$I$9,0)*$E$7+IF($AA$17="Não",$J$9,0)*$E$8+IF($AA$17="Não",$K$9,0)*$E$9)/SUM($E$6:$E$9))*SUM(L52:O52),0)</f>
        <v>0</v>
      </c>
      <c r="AB52" s="221">
        <f t="shared" ref="AB52:AB83" si="25">IFERROR(((IF($AB$17="Não",$H$10,0)*$E$6+IF($AB$17="Não",$I$10,0)*$E$7+IF($AB$17="Não",$J$10,0)*$E$8+IF($AB$17="Não",$K$10,0)*$E$9)/SUM($E$6:$E$9))*SUM(L52:O52),0)</f>
        <v>0</v>
      </c>
      <c r="AC52" s="221">
        <f t="shared" ref="AC52:AC83" si="26">IFERROR(((IF($AC$17="Não",$H$11,0)*$E$6+IF($AC$17="Não",$I$11,0)*$E$7+IF($AC$17="Não",$J$11,0)*$E$8+IF($AC$17="Não",$K$11,0)*$E$9)/SUM($E$6:$E$9))*SUM(L52:O52),0)</f>
        <v>0</v>
      </c>
      <c r="AD52" s="221">
        <f t="shared" ref="AD52:AD83" si="27">IFERROR(((IF($AD$17="Não",$H$12,0)*$E$6+IF($AD$17="Não",$I$12,0)*$E$7+IF($AD$17="Não",$J$12,0)*$E$8+IF($AD$17="Não",$K$12,0)*$E$9)/SUM($E$6:$E$9))*SUM(L52:O52),0)</f>
        <v>0</v>
      </c>
      <c r="AE52" s="221">
        <f t="shared" ref="AE52:AE83" si="28">IFERROR(((IF($AE$17="Não",$H$13,0)*$E$6+IF($AE$17="Não",$I$13,0)*$E$7+IF($AE$17="Não",$J$13,0)*$E$8+IF($AE$17="Não",$K$13,0)*$E$9)/SUM($E$6:$E$9))*SUM(L52:O52),0)</f>
        <v>0</v>
      </c>
      <c r="AF52" s="221">
        <f t="shared" ref="AF52:AF83" si="29">IFERROR(((IF($AF$17="Não",$H$14,0)*$E$6+IF($AF$17="Não",$I$14,0)*$E$7+IF($AF$17="Não",$J$14,0)*$E$8+IF($AF$17="Não",$K$14,0)*$E$9)/SUM($E$6:$E$9))*SUM(L52:O52),0)</f>
        <v>0</v>
      </c>
      <c r="AG52" s="222">
        <f t="shared" si="18"/>
        <v>4</v>
      </c>
      <c r="AH52" s="222">
        <f t="shared" ref="AH52:AH83" si="30">AG52+S52</f>
        <v>4</v>
      </c>
      <c r="AJ52" s="291">
        <f t="shared" ref="AJ52:AJ83" ca="1" si="31">IF(B52+C52=0,0,(Agents(B52*C52/600,$C$7,$C$8,C52)))</f>
        <v>2</v>
      </c>
      <c r="AK52" s="291">
        <f ca="1">IFERROR(ROUNDUP(IF(B52=0,0,Agents(B52*C52/600,$C$7,$C$8,C52))/(1-($J$12*(IFERROR(INDIRECT("CURVAS_INTRA!"&amp;ADDRESS(VLOOKUP($A52,CURVAS_INTRA!$A$103:$B$150,2,0),HLOOKUP($C$14,CURVAS_INTRA!$1:$2,2,0))),0)+IFERROR(INDIRECT("CURVAS_INTRA!"&amp;ADDRESS(VLOOKUP($A51,CURVAS_INTRA!$A$103:$B$150,2,0),HLOOKUP($C$14,CURVAS_INTRA!$1:$2,2,0))),0)+IFERROR(INDIRECT("CURVAS_INTRA!"&amp;ADDRESS(VLOOKUP($A50,CURVAS_INTRA!$A$103:$B$150,2,0),HLOOKUP($C$14,CURVAS_INTRA!$1:$2,2,0))),0)))),0),0)</f>
        <v>3</v>
      </c>
      <c r="AM52" s="488">
        <f t="shared" si="19"/>
        <v>0</v>
      </c>
    </row>
    <row r="53" spans="1:39" ht="11.25" customHeight="1">
      <c r="A53" s="599">
        <v>0.22916666666666699</v>
      </c>
      <c r="B53" s="183">
        <f ca="1">IFERROR(INDIRECT("CURVAS_INTRA!"&amp;ADDRESS(VLOOKUP($A53,CURVAS_INTRA!$A$3:$B$50,2,0),HLOOKUP($C$14,CURVAS_INTRA!$1:$2,2,0)))/3*$C$5,$B$19)</f>
        <v>0.50905707876849571</v>
      </c>
      <c r="C53" s="183">
        <f ca="1">IFERROR(INDIRECT("CURVAS_INTRA!"&amp;ADDRESS(VLOOKUP($A53,CURVAS_INTRA!$A$53:$B$100,2,0),HLOOKUP($C$14,CURVAS_INTRA!$1:$2,2,0)))*$C$6,C52)</f>
        <v>710.22417013717165</v>
      </c>
      <c r="D53" s="183">
        <f ca="1">IFERROR(ROUNDUP(IF(B53=0,0,Agents(B53*C53/600,$C$7,$C$8,C53))/(1-($H$7*(IFERROR(INDIRECT("CURVAS_INTRA!"&amp;ADDRESS(VLOOKUP($A53,CURVAS_INTRA!$A$103:$B$150,2,0),HLOOKUP($C$14,CURVAS_INTRA!$1:$2,2,0))),0)))),0),0)</f>
        <v>3</v>
      </c>
      <c r="E53" s="183">
        <f t="shared" si="11"/>
        <v>4</v>
      </c>
      <c r="F53" s="241">
        <f t="shared" ca="1" si="12"/>
        <v>1</v>
      </c>
      <c r="G53" s="185">
        <f ca="1">IFERROR(DelayQ(B53*C53/600,E53*((1-$H$7*VLOOKUP(A53,CURVAS_INTRA!$A$103:$AD$150,HLOOKUP($C$14,CURVAS_INTRA!$A$101:$AD$102,2,0),0))),$C$8,C53),0)</f>
        <v>0.97729999999999995</v>
      </c>
      <c r="H53" s="221">
        <v>0</v>
      </c>
      <c r="I53" s="221">
        <v>0</v>
      </c>
      <c r="J53" s="221">
        <v>0</v>
      </c>
      <c r="K53" s="221">
        <v>0</v>
      </c>
      <c r="L53" s="137">
        <f t="shared" si="22"/>
        <v>0</v>
      </c>
      <c r="M53" s="186">
        <f t="shared" ref="M53:M116" si="32">SUM(I22:I53)</f>
        <v>0</v>
      </c>
      <c r="N53" s="137">
        <f>SUM(J$20:J53)+SUM(J160:$J$163)</f>
        <v>4</v>
      </c>
      <c r="O53" s="188">
        <f>SUM($K$20:K53)+SUM(K149:$K$163)</f>
        <v>0</v>
      </c>
      <c r="P53" s="201">
        <f t="shared" ca="1" si="13"/>
        <v>0.18480052315707465</v>
      </c>
      <c r="Q53" s="202">
        <f t="shared" ca="1" si="14"/>
        <v>0.24640069754276617</v>
      </c>
      <c r="R53" s="174">
        <f t="shared" ca="1" si="15"/>
        <v>-41</v>
      </c>
      <c r="S53" s="246"/>
      <c r="T53" s="241">
        <f t="shared" ca="1" si="16"/>
        <v>1</v>
      </c>
      <c r="U53" s="247">
        <f ca="1">IF(IFERROR(DelayQ(B53*C53/600,(S53/(1-$H$5))+E53*((1-$H$7)*VLOOKUP(A53,CURVAS_INTRA!$A$103:$AD$150,HLOOKUP($C$14,CURVAS_INTRA!$A$101:$AD$102,2,0),0)),$C$8,C53),0)=0,"",IFERROR(DelayQ(B53*C53/600,S53+E53*((1-$H$7)*VLOOKUP(A53,CURVAS_INTRA!$A$103:$AD$150,HLOOKUP($C$14,CURVAS_INTRA!$A$101:$AD$102,2,0),0)),$C$8,C53),0))</f>
        <v>0.97729999999999995</v>
      </c>
      <c r="V53" s="281">
        <f t="shared" ca="1" si="17"/>
        <v>0.97729999999999995</v>
      </c>
      <c r="W53" s="174">
        <f t="shared" si="20"/>
        <v>4</v>
      </c>
      <c r="X53" s="227">
        <v>0.22916666666666699</v>
      </c>
      <c r="Y53" s="220">
        <f t="shared" si="21"/>
        <v>4</v>
      </c>
      <c r="Z53" s="221">
        <f t="shared" si="23"/>
        <v>0</v>
      </c>
      <c r="AA53" s="221">
        <f t="shared" si="24"/>
        <v>0</v>
      </c>
      <c r="AB53" s="221">
        <f t="shared" si="25"/>
        <v>0</v>
      </c>
      <c r="AC53" s="221">
        <f t="shared" si="26"/>
        <v>0</v>
      </c>
      <c r="AD53" s="221">
        <f t="shared" si="27"/>
        <v>0</v>
      </c>
      <c r="AE53" s="221">
        <f t="shared" si="28"/>
        <v>0</v>
      </c>
      <c r="AF53" s="221">
        <f t="shared" si="29"/>
        <v>0</v>
      </c>
      <c r="AG53" s="222">
        <f t="shared" si="18"/>
        <v>4</v>
      </c>
      <c r="AH53" s="222">
        <f t="shared" si="30"/>
        <v>4</v>
      </c>
      <c r="AJ53" s="291">
        <f t="shared" ca="1" si="31"/>
        <v>2</v>
      </c>
      <c r="AK53" s="291">
        <f ca="1">IFERROR(ROUNDUP(IF(B53=0,0,Agents(B53*C53/600,$C$7,$C$8,C53))/(1-($J$12*(IFERROR(INDIRECT("CURVAS_INTRA!"&amp;ADDRESS(VLOOKUP($A53,CURVAS_INTRA!$A$103:$B$150,2,0),HLOOKUP($C$14,CURVAS_INTRA!$1:$2,2,0))),0)))),0),0)</f>
        <v>3</v>
      </c>
      <c r="AM53" s="488">
        <f t="shared" si="19"/>
        <v>0</v>
      </c>
    </row>
    <row r="54" spans="1:39" ht="11.25" customHeight="1">
      <c r="A54" s="599">
        <v>0.23611111111111099</v>
      </c>
      <c r="B54" s="183">
        <f ca="1">IFERROR(INDIRECT("CURVAS_INTRA!"&amp;ADDRESS(VLOOKUP($A53,CURVAS_INTRA!$A$3:$B$50,2,0),HLOOKUP($C$14,CURVAS_INTRA!$1:$2,2,0)))/3*$C$5,$B$19)</f>
        <v>0.50905707876849571</v>
      </c>
      <c r="C54" s="183">
        <f ca="1">IFERROR(INDIRECT("CURVAS_INTRA!"&amp;ADDRESS(VLOOKUP($A54,CURVAS_INTRA!$A$53:$B$100,2,0),HLOOKUP($C$14,CURVAS_INTRA!$1:$2,2,0)))*$C$6,C53)</f>
        <v>710.22417013717165</v>
      </c>
      <c r="D54" s="183">
        <f ca="1">IFERROR(ROUNDUP(IF(B54=0,0,Agents(B54*C54/600,$C$7,$C$8,C54))/(1-($H$7*(IFERROR(INDIRECT("CURVAS_INTRA!"&amp;ADDRESS(VLOOKUP($A53,CURVAS_INTRA!$A$103:$B$150,2,0),HLOOKUP($C$14,CURVAS_INTRA!$1:$2,2,0))),0)))),0),0)</f>
        <v>3</v>
      </c>
      <c r="E54" s="183">
        <f t="shared" si="11"/>
        <v>4</v>
      </c>
      <c r="F54" s="241">
        <f t="shared" ca="1" si="12"/>
        <v>1</v>
      </c>
      <c r="G54" s="185">
        <f ca="1">IFERROR(DelayQ(B54*C54/600,E54*((1-$H$7*VLOOKUP(A53,CURVAS_INTRA!$A$103:$AD$150,HLOOKUP($C$14,CURVAS_INTRA!$A$101:$AD$102,2,0),0))),$C$8,C54),0)</f>
        <v>0.97729999999999995</v>
      </c>
      <c r="H54" s="221">
        <v>0</v>
      </c>
      <c r="I54" s="221">
        <v>0</v>
      </c>
      <c r="J54" s="221">
        <v>0</v>
      </c>
      <c r="K54" s="221">
        <v>0</v>
      </c>
      <c r="L54" s="137">
        <f t="shared" si="22"/>
        <v>0</v>
      </c>
      <c r="M54" s="186">
        <f t="shared" si="32"/>
        <v>0</v>
      </c>
      <c r="N54" s="137">
        <f>SUM(J$20:J54)+SUM(J161:$J$163)</f>
        <v>4</v>
      </c>
      <c r="O54" s="188">
        <f>SUM($K$20:K54)+SUM(K150:$K$163)</f>
        <v>0</v>
      </c>
      <c r="P54" s="201">
        <f t="shared" ca="1" si="13"/>
        <v>0.18480052315707465</v>
      </c>
      <c r="Q54" s="202">
        <f t="shared" ca="1" si="14"/>
        <v>0.24640069754276617</v>
      </c>
      <c r="R54" s="174">
        <f t="shared" ca="1" si="15"/>
        <v>-43</v>
      </c>
      <c r="S54" s="246"/>
      <c r="T54" s="241">
        <f t="shared" ca="1" si="16"/>
        <v>1</v>
      </c>
      <c r="U54" s="247">
        <f ca="1">IF(IFERROR(DelayQ(B54*C54/600,(S54/(1-$H$5))+E54*((1-$H$7)*VLOOKUP(A53,CURVAS_INTRA!$A$103:$AD$150,HLOOKUP($C$14,CURVAS_INTRA!$A$101:$AD$102,2,0),0)),$C$8,C54),0)=0,"",IFERROR(DelayQ(B54*C54/600,S54+E54*((1-$H$7)*VLOOKUP(A53,CURVAS_INTRA!$A$103:$AD$150,HLOOKUP($C$14,CURVAS_INTRA!$A$101:$AD$102,2,0),0)),$C$8,C54),0))</f>
        <v>0.97729999999999995</v>
      </c>
      <c r="V54" s="281">
        <f t="shared" ca="1" si="17"/>
        <v>0.97729999999999995</v>
      </c>
      <c r="W54" s="174">
        <f t="shared" si="20"/>
        <v>4</v>
      </c>
      <c r="X54" s="227">
        <v>0.23611111111111099</v>
      </c>
      <c r="Y54" s="220">
        <f t="shared" si="21"/>
        <v>4</v>
      </c>
      <c r="Z54" s="221">
        <f t="shared" si="23"/>
        <v>0</v>
      </c>
      <c r="AA54" s="221">
        <f t="shared" si="24"/>
        <v>0</v>
      </c>
      <c r="AB54" s="221">
        <f t="shared" si="25"/>
        <v>0</v>
      </c>
      <c r="AC54" s="221">
        <f t="shared" si="26"/>
        <v>0</v>
      </c>
      <c r="AD54" s="221">
        <f t="shared" si="27"/>
        <v>0</v>
      </c>
      <c r="AE54" s="221">
        <f t="shared" si="28"/>
        <v>0</v>
      </c>
      <c r="AF54" s="221">
        <f t="shared" si="29"/>
        <v>0</v>
      </c>
      <c r="AG54" s="222">
        <f t="shared" si="18"/>
        <v>4</v>
      </c>
      <c r="AH54" s="222">
        <f t="shared" si="30"/>
        <v>4</v>
      </c>
      <c r="AJ54" s="291">
        <f t="shared" ca="1" si="31"/>
        <v>2</v>
      </c>
      <c r="AK54" s="291">
        <f ca="1">IFERROR(ROUNDUP(IF(B54=0,0,Agents(B54*C54/600,$C$7,$C$8,C54))/(1-($J$12*(IFERROR(INDIRECT("CURVAS_INTRA!"&amp;ADDRESS(VLOOKUP($A54,CURVAS_INTRA!$A$103:$B$150,2,0),HLOOKUP($C$14,CURVAS_INTRA!$1:$2,2,0))),0)+IFERROR(INDIRECT("CURVAS_INTRA!"&amp;ADDRESS(VLOOKUP($A53,CURVAS_INTRA!$A$103:$B$150,2,0),HLOOKUP($C$14,CURVAS_INTRA!$1:$2,2,0))),0)))),0),0)</f>
        <v>3</v>
      </c>
      <c r="AM54" s="488">
        <f t="shared" si="19"/>
        <v>0</v>
      </c>
    </row>
    <row r="55" spans="1:39" ht="11.25" customHeight="1">
      <c r="A55" s="599">
        <v>0.243055555555556</v>
      </c>
      <c r="B55" s="183">
        <f ca="1">IFERROR(INDIRECT("CURVAS_INTRA!"&amp;ADDRESS(VLOOKUP($A53,CURVAS_INTRA!$A$3:$B$50,2,0),HLOOKUP($C$14,CURVAS_INTRA!$1:$2,2,0)))/3*$C$5,B52)</f>
        <v>0.50905707876849571</v>
      </c>
      <c r="C55" s="183">
        <f ca="1">IFERROR(INDIRECT("CURVAS_INTRA!"&amp;ADDRESS(VLOOKUP($A55,CURVAS_INTRA!$A$53:$B$100,2,0),HLOOKUP($C$14,CURVAS_INTRA!$1:$2,2,0)))*$C$6,C54)</f>
        <v>710.22417013717165</v>
      </c>
      <c r="D55" s="183">
        <f ca="1">IFERROR(ROUNDUP(IF(B55=0,0,Agents(B55*C55/600,$C$7,$C$8,C55))/(1-($H$7*(IFERROR(INDIRECT("CURVAS_INTRA!"&amp;ADDRESS(VLOOKUP($A53,CURVAS_INTRA!$A$103:$B$150,2,0),HLOOKUP($C$14,CURVAS_INTRA!$1:$2,2,0))),0)))),0),0)</f>
        <v>3</v>
      </c>
      <c r="E55" s="183">
        <f t="shared" si="11"/>
        <v>4</v>
      </c>
      <c r="F55" s="241">
        <f t="shared" ca="1" si="12"/>
        <v>1</v>
      </c>
      <c r="G55" s="185">
        <f ca="1">IFERROR(DelayQ(B55*C55/600,E55*((1-$H$7*VLOOKUP(A53,CURVAS_INTRA!$A$103:$AD$150,HLOOKUP($C$14,CURVAS_INTRA!$A$101:$AD$102,2,0),0))),$C$8,C55),0)</f>
        <v>0.97729999999999995</v>
      </c>
      <c r="H55" s="221">
        <v>0</v>
      </c>
      <c r="I55" s="221">
        <v>0</v>
      </c>
      <c r="J55" s="221">
        <v>0</v>
      </c>
      <c r="K55" s="221">
        <v>0</v>
      </c>
      <c r="L55" s="137">
        <f t="shared" si="22"/>
        <v>0</v>
      </c>
      <c r="M55" s="186">
        <f t="shared" si="32"/>
        <v>0</v>
      </c>
      <c r="N55" s="137">
        <f>SUM(J$20:J55)+SUM(J162:$J$163)</f>
        <v>4</v>
      </c>
      <c r="O55" s="188">
        <f>SUM($K$20:K55)+SUM(K151:$K$163)</f>
        <v>0</v>
      </c>
      <c r="P55" s="201">
        <f t="shared" ca="1" si="13"/>
        <v>0.18480052315707465</v>
      </c>
      <c r="Q55" s="202">
        <f t="shared" ca="1" si="14"/>
        <v>0.24640069754276617</v>
      </c>
      <c r="R55" s="174">
        <f t="shared" ca="1" si="15"/>
        <v>-46</v>
      </c>
      <c r="S55" s="246"/>
      <c r="T55" s="241">
        <f t="shared" ca="1" si="16"/>
        <v>1</v>
      </c>
      <c r="U55" s="247">
        <f ca="1">IF(IFERROR(DelayQ(B55*C55/600,(S55/(1-$H$5))+E55*((1-$H$7)*VLOOKUP(A53,CURVAS_INTRA!$A$103:$AD$150,HLOOKUP($C$14,CURVAS_INTRA!$A$101:$AD$102,2,0),0)),$C$8,C55),0)=0,"",IFERROR(DelayQ(B55*C55/600,S55+E55*((1-$H$7)*VLOOKUP(A53,CURVAS_INTRA!$A$103:$AD$150,HLOOKUP($C$14,CURVAS_INTRA!$A$101:$AD$102,2,0),0)),$C$8,C55),0))</f>
        <v>0.97729999999999995</v>
      </c>
      <c r="V55" s="281">
        <f t="shared" ca="1" si="17"/>
        <v>0.97729999999999995</v>
      </c>
      <c r="W55" s="174">
        <f t="shared" si="20"/>
        <v>4</v>
      </c>
      <c r="X55" s="227">
        <v>0.243055555555556</v>
      </c>
      <c r="Y55" s="220">
        <f t="shared" si="21"/>
        <v>4</v>
      </c>
      <c r="Z55" s="221">
        <f t="shared" si="23"/>
        <v>0</v>
      </c>
      <c r="AA55" s="221">
        <f t="shared" si="24"/>
        <v>0</v>
      </c>
      <c r="AB55" s="221">
        <f t="shared" si="25"/>
        <v>0</v>
      </c>
      <c r="AC55" s="221">
        <f t="shared" si="26"/>
        <v>0</v>
      </c>
      <c r="AD55" s="221">
        <f t="shared" si="27"/>
        <v>0</v>
      </c>
      <c r="AE55" s="221">
        <f t="shared" si="28"/>
        <v>0</v>
      </c>
      <c r="AF55" s="221">
        <f t="shared" si="29"/>
        <v>0</v>
      </c>
      <c r="AG55" s="222">
        <f t="shared" si="18"/>
        <v>4</v>
      </c>
      <c r="AH55" s="222">
        <f t="shared" si="30"/>
        <v>4</v>
      </c>
      <c r="AJ55" s="291">
        <f t="shared" ca="1" si="31"/>
        <v>2</v>
      </c>
      <c r="AK55" s="291">
        <f ca="1">IFERROR(ROUNDUP(IF(B55=0,0,Agents(B55*C55/600,$C$7,$C$8,C55))/(1-($J$12*(IFERROR(INDIRECT("CURVAS_INTRA!"&amp;ADDRESS(VLOOKUP($A55,CURVAS_INTRA!$A$103:$B$150,2,0),HLOOKUP($C$14,CURVAS_INTRA!$1:$2,2,0))),0)+IFERROR(INDIRECT("CURVAS_INTRA!"&amp;ADDRESS(VLOOKUP($A54,CURVAS_INTRA!$A$103:$B$150,2,0),HLOOKUP($C$14,CURVAS_INTRA!$1:$2,2,0))),0)+IFERROR(INDIRECT("CURVAS_INTRA!"&amp;ADDRESS(VLOOKUP($A53,CURVAS_INTRA!$A$103:$B$150,2,0),HLOOKUP($C$14,CURVAS_INTRA!$1:$2,2,0))),0)))),0),0)</f>
        <v>3</v>
      </c>
      <c r="AM55" s="488">
        <f t="shared" si="19"/>
        <v>0</v>
      </c>
    </row>
    <row r="56" spans="1:39" ht="11.25" customHeight="1">
      <c r="A56" s="599">
        <v>0.25</v>
      </c>
      <c r="B56" s="183">
        <f ca="1">IFERROR(INDIRECT("CURVAS_INTRA!"&amp;ADDRESS(VLOOKUP($A56,CURVAS_INTRA!$A$3:$B$50,2,0),HLOOKUP($C$14,CURVAS_INTRA!$1:$2,2,0)))/3*$C$5,$B$19)</f>
        <v>0.78210546221846422</v>
      </c>
      <c r="C56" s="183">
        <f ca="1">IFERROR(INDIRECT("CURVAS_INTRA!"&amp;ADDRESS(VLOOKUP($A56,CURVAS_INTRA!$A$53:$B$100,2,0),HLOOKUP($C$14,CURVAS_INTRA!$1:$2,2,0)))*$C$6,C55)</f>
        <v>717.65644919187741</v>
      </c>
      <c r="D56" s="183">
        <f ca="1">IFERROR(ROUNDUP(IF(B56=0,0,Agents(B56*C56/600,$C$7,$C$8,C56))/(1-($H$7*(IFERROR(INDIRECT("CURVAS_INTRA!"&amp;ADDRESS(VLOOKUP($A56,CURVAS_INTRA!$A$103:$B$150,2,0),HLOOKUP($C$14,CURVAS_INTRA!$1:$2,2,0))),0)))),0),0)</f>
        <v>4</v>
      </c>
      <c r="E56" s="183">
        <f t="shared" si="11"/>
        <v>4</v>
      </c>
      <c r="F56" s="241">
        <f t="shared" ca="1" si="12"/>
        <v>0</v>
      </c>
      <c r="G56" s="185">
        <f ca="1">IFERROR(DelayQ(B56*C56/600,E56*((1-$H$7*VLOOKUP(A56,CURVAS_INTRA!$A$103:$AD$150,HLOOKUP($C$14,CURVAS_INTRA!$A$101:$AD$102,2,0),0))),$C$8,C56),0)</f>
        <v>0.93010000000000004</v>
      </c>
      <c r="H56" s="221">
        <v>0</v>
      </c>
      <c r="I56" s="221">
        <v>0</v>
      </c>
      <c r="J56" s="221">
        <v>0</v>
      </c>
      <c r="K56" s="221">
        <v>0</v>
      </c>
      <c r="L56" s="137">
        <f t="shared" si="22"/>
        <v>0</v>
      </c>
      <c r="M56" s="186">
        <f t="shared" si="32"/>
        <v>0</v>
      </c>
      <c r="N56" s="137">
        <f>SUM(J$20:J56)+SUM(J163:$J$163)</f>
        <v>4</v>
      </c>
      <c r="O56" s="188">
        <f>SUM($K$20:K56)+SUM(K152:$K$163)</f>
        <v>0</v>
      </c>
      <c r="P56" s="201">
        <f t="shared" ca="1" si="13"/>
        <v>0.28689513140808337</v>
      </c>
      <c r="Q56" s="202">
        <f t="shared" ca="1" si="14"/>
        <v>0.28689513140808337</v>
      </c>
      <c r="R56" s="174">
        <f t="shared" ca="1" si="15"/>
        <v>-49</v>
      </c>
      <c r="S56" s="246"/>
      <c r="T56" s="241">
        <f t="shared" ca="1" si="16"/>
        <v>0</v>
      </c>
      <c r="U56" s="247">
        <f ca="1">IF(IFERROR(DelayQ(B56*C56/600,(S56/(1-$H$5))+E56*((1-$H$7)*VLOOKUP(A56,CURVAS_INTRA!$A$103:$AD$150,HLOOKUP($C$14,CURVAS_INTRA!$A$101:$AD$102,2,0),0)),$C$8,C56),0)=0,"",IFERROR(DelayQ(B56*C56/600,S56+E56*((1-$H$7)*VLOOKUP(A56,CURVAS_INTRA!$A$103:$AD$150,HLOOKUP($C$14,CURVAS_INTRA!$A$101:$AD$102,2,0),0)),$C$8,C56),0))</f>
        <v>0.93010000000000004</v>
      </c>
      <c r="V56" s="281">
        <f t="shared" ca="1" si="17"/>
        <v>0.93010000000000004</v>
      </c>
      <c r="W56" s="174">
        <f t="shared" si="20"/>
        <v>4</v>
      </c>
      <c r="X56" s="227">
        <v>0.25</v>
      </c>
      <c r="Y56" s="220">
        <f t="shared" si="21"/>
        <v>4</v>
      </c>
      <c r="Z56" s="221">
        <f t="shared" si="23"/>
        <v>0</v>
      </c>
      <c r="AA56" s="221">
        <f t="shared" si="24"/>
        <v>0</v>
      </c>
      <c r="AB56" s="221">
        <f t="shared" si="25"/>
        <v>0</v>
      </c>
      <c r="AC56" s="221">
        <f t="shared" si="26"/>
        <v>0</v>
      </c>
      <c r="AD56" s="221">
        <f t="shared" si="27"/>
        <v>0</v>
      </c>
      <c r="AE56" s="221">
        <f t="shared" si="28"/>
        <v>0</v>
      </c>
      <c r="AF56" s="221">
        <f t="shared" si="29"/>
        <v>0</v>
      </c>
      <c r="AG56" s="222">
        <f t="shared" si="18"/>
        <v>4</v>
      </c>
      <c r="AH56" s="222">
        <f t="shared" si="30"/>
        <v>4</v>
      </c>
      <c r="AJ56" s="291">
        <f t="shared" ca="1" si="31"/>
        <v>3</v>
      </c>
      <c r="AK56" s="291">
        <f ca="1">IFERROR(ROUNDUP(IF(B56=0,0,Agents(B56*C56/600,$C$7,$C$8,C56))/(1-($J$12*(IFERROR(INDIRECT("CURVAS_INTRA!"&amp;ADDRESS(VLOOKUP($A56,CURVAS_INTRA!$A$103:$B$150,2,0),HLOOKUP($C$14,CURVAS_INTRA!$1:$2,2,0))),0)))),0),0)</f>
        <v>4</v>
      </c>
      <c r="AM56" s="488">
        <f t="shared" si="19"/>
        <v>0</v>
      </c>
    </row>
    <row r="57" spans="1:39" ht="11.25" customHeight="1">
      <c r="A57" s="599">
        <v>0.25694444444444398</v>
      </c>
      <c r="B57" s="183">
        <f ca="1">IFERROR(INDIRECT("CURVAS_INTRA!"&amp;ADDRESS(VLOOKUP($A56,CURVAS_INTRA!$A$3:$B$50,2,0),HLOOKUP($C$14,CURVAS_INTRA!$1:$2,2,0)))/3*$C$5,$B$19)</f>
        <v>0.78210546221846422</v>
      </c>
      <c r="C57" s="183">
        <f ca="1">IFERROR(INDIRECT("CURVAS_INTRA!"&amp;ADDRESS(VLOOKUP($A57,CURVAS_INTRA!$A$53:$B$100,2,0),HLOOKUP($C$14,CURVAS_INTRA!$1:$2,2,0)))*$C$6,C56)</f>
        <v>717.65644919187741</v>
      </c>
      <c r="D57" s="183">
        <f ca="1">IFERROR(ROUNDUP(IF(B57=0,0,Agents(B57*C57/600,$C$7,$C$8,C57))/(1-($H$7*(IFERROR(INDIRECT("CURVAS_INTRA!"&amp;ADDRESS(VLOOKUP($A56,CURVAS_INTRA!$A$103:$B$150,2,0),HLOOKUP($C$14,CURVAS_INTRA!$1:$2,2,0))),0)))),0),0)</f>
        <v>4</v>
      </c>
      <c r="E57" s="183">
        <f t="shared" si="11"/>
        <v>4</v>
      </c>
      <c r="F57" s="241">
        <f t="shared" ca="1" si="12"/>
        <v>0</v>
      </c>
      <c r="G57" s="185">
        <f ca="1">IFERROR(DelayQ(B57*C57/600,E57*((1-$H$7*VLOOKUP(A56,CURVAS_INTRA!$A$103:$AD$150,HLOOKUP($C$14,CURVAS_INTRA!$A$101:$AD$102,2,0),0))),$C$8,C57),0)</f>
        <v>0.93010000000000004</v>
      </c>
      <c r="H57" s="221">
        <v>0</v>
      </c>
      <c r="I57" s="221">
        <v>0</v>
      </c>
      <c r="J57" s="221">
        <v>0</v>
      </c>
      <c r="K57" s="221">
        <v>0</v>
      </c>
      <c r="L57" s="137">
        <f t="shared" si="22"/>
        <v>0</v>
      </c>
      <c r="M57" s="186">
        <f t="shared" si="32"/>
        <v>0</v>
      </c>
      <c r="N57" s="137">
        <f>SUM(J20:J57)</f>
        <v>4</v>
      </c>
      <c r="O57" s="188">
        <f>SUM($K$20:K57)+SUM(K153:$K$163)</f>
        <v>0</v>
      </c>
      <c r="P57" s="201">
        <f t="shared" ca="1" si="13"/>
        <v>0.28689513140808337</v>
      </c>
      <c r="Q57" s="202">
        <f t="shared" ca="1" si="14"/>
        <v>0.28689513140808337</v>
      </c>
      <c r="R57" s="174">
        <f t="shared" ca="1" si="15"/>
        <v>-51</v>
      </c>
      <c r="S57" s="246"/>
      <c r="T57" s="241">
        <f t="shared" ca="1" si="16"/>
        <v>0</v>
      </c>
      <c r="U57" s="247">
        <f ca="1">IF(IFERROR(DelayQ(B57*C57/600,(S57/(1-$H$5))+E57*((1-$H$7)*VLOOKUP(A56,CURVAS_INTRA!$A$103:$AD$150,HLOOKUP($C$14,CURVAS_INTRA!$A$101:$AD$102,2,0),0)),$C$8,C57),0)=0,"",IFERROR(DelayQ(B57*C57/600,S57+E57*((1-$H$7)*VLOOKUP(A56,CURVAS_INTRA!$A$103:$AD$150,HLOOKUP($C$14,CURVAS_INTRA!$A$101:$AD$102,2,0),0)),$C$8,C57),0))</f>
        <v>0.93010000000000004</v>
      </c>
      <c r="V57" s="281">
        <f t="shared" ca="1" si="17"/>
        <v>0.93010000000000004</v>
      </c>
      <c r="W57" s="174">
        <f t="shared" si="20"/>
        <v>4</v>
      </c>
      <c r="X57" s="227">
        <v>0.25694444444444398</v>
      </c>
      <c r="Y57" s="220">
        <f t="shared" si="21"/>
        <v>4</v>
      </c>
      <c r="Z57" s="221">
        <f t="shared" si="23"/>
        <v>0</v>
      </c>
      <c r="AA57" s="221">
        <f t="shared" si="24"/>
        <v>0</v>
      </c>
      <c r="AB57" s="221">
        <f t="shared" si="25"/>
        <v>0</v>
      </c>
      <c r="AC57" s="221">
        <f t="shared" si="26"/>
        <v>0</v>
      </c>
      <c r="AD57" s="221">
        <f t="shared" si="27"/>
        <v>0</v>
      </c>
      <c r="AE57" s="221">
        <f t="shared" si="28"/>
        <v>0</v>
      </c>
      <c r="AF57" s="221">
        <f t="shared" si="29"/>
        <v>0</v>
      </c>
      <c r="AG57" s="222">
        <f t="shared" si="18"/>
        <v>4</v>
      </c>
      <c r="AH57" s="222">
        <f t="shared" si="30"/>
        <v>4</v>
      </c>
      <c r="AJ57" s="291">
        <f t="shared" ca="1" si="31"/>
        <v>3</v>
      </c>
      <c r="AK57" s="291">
        <f ca="1">IFERROR(ROUNDUP(IF(B57=0,0,Agents(B57*C57/600,$C$7,$C$8,C57))/(1-($J$12*(IFERROR(INDIRECT("CURVAS_INTRA!"&amp;ADDRESS(VLOOKUP($A57,CURVAS_INTRA!$A$103:$B$150,2,0),HLOOKUP($C$14,CURVAS_INTRA!$1:$2,2,0))),0)+IFERROR(INDIRECT("CURVAS_INTRA!"&amp;ADDRESS(VLOOKUP($A56,CURVAS_INTRA!$A$103:$B$150,2,0),HLOOKUP($C$14,CURVAS_INTRA!$1:$2,2,0))),0)))),0),0)</f>
        <v>4</v>
      </c>
      <c r="AM57" s="488">
        <f t="shared" si="19"/>
        <v>0</v>
      </c>
    </row>
    <row r="58" spans="1:39" ht="11.25" customHeight="1">
      <c r="A58" s="599">
        <v>0.26388888888888901</v>
      </c>
      <c r="B58" s="183">
        <f ca="1">IFERROR(INDIRECT("CURVAS_INTRA!"&amp;ADDRESS(VLOOKUP($A56,CURVAS_INTRA!$A$3:$B$50,2,0),HLOOKUP($C$14,CURVAS_INTRA!$1:$2,2,0)))/3*$C$5,B55)</f>
        <v>0.78210546221846422</v>
      </c>
      <c r="C58" s="183">
        <f ca="1">IFERROR(INDIRECT("CURVAS_INTRA!"&amp;ADDRESS(VLOOKUP($A58,CURVAS_INTRA!$A$53:$B$100,2,0),HLOOKUP($C$14,CURVAS_INTRA!$1:$2,2,0)))*$C$6,C57)</f>
        <v>717.65644919187741</v>
      </c>
      <c r="D58" s="183">
        <f ca="1">IFERROR(ROUNDUP(IF(B58=0,0,Agents(B58*C58/600,$C$7,$C$8,C58))/(1-($H$7*(IFERROR(INDIRECT("CURVAS_INTRA!"&amp;ADDRESS(VLOOKUP($A56,CURVAS_INTRA!$A$103:$B$150,2,0),HLOOKUP($C$14,CURVAS_INTRA!$1:$2,2,0))),0)))),0),0)</f>
        <v>4</v>
      </c>
      <c r="E58" s="183">
        <f t="shared" si="11"/>
        <v>4</v>
      </c>
      <c r="F58" s="241">
        <f t="shared" ca="1" si="12"/>
        <v>0</v>
      </c>
      <c r="G58" s="185">
        <f ca="1">IFERROR(DelayQ(B58*C58/600,E58*((1-$H$7*VLOOKUP(A56,CURVAS_INTRA!$A$103:$AD$150,HLOOKUP($C$14,CURVAS_INTRA!$A$101:$AD$102,2,0),0))),$C$8,C58),0)</f>
        <v>0.93010000000000004</v>
      </c>
      <c r="H58" s="221">
        <v>0</v>
      </c>
      <c r="I58" s="221">
        <v>0</v>
      </c>
      <c r="J58" s="221">
        <v>4</v>
      </c>
      <c r="K58" s="221">
        <v>0</v>
      </c>
      <c r="L58" s="137">
        <f t="shared" si="22"/>
        <v>0</v>
      </c>
      <c r="M58" s="186">
        <f t="shared" si="32"/>
        <v>0</v>
      </c>
      <c r="N58" s="137">
        <f>SUM(J21:J58)</f>
        <v>4</v>
      </c>
      <c r="O58" s="188">
        <f>SUM($K$20:K58)+SUM(K154:$K$163)</f>
        <v>0</v>
      </c>
      <c r="P58" s="201">
        <f t="shared" ca="1" si="13"/>
        <v>0.28689513140808337</v>
      </c>
      <c r="Q58" s="202">
        <f t="shared" ca="1" si="14"/>
        <v>0.28689513140808337</v>
      </c>
      <c r="R58" s="174">
        <f t="shared" ca="1" si="15"/>
        <v>-51</v>
      </c>
      <c r="S58" s="246"/>
      <c r="T58" s="241">
        <f t="shared" ca="1" si="16"/>
        <v>0</v>
      </c>
      <c r="U58" s="247">
        <f ca="1">IF(IFERROR(DelayQ(B58*C58/600,(S58/(1-$H$5))+E58*((1-$H$7)*VLOOKUP(A56,CURVAS_INTRA!$A$103:$AD$150,HLOOKUP($C$14,CURVAS_INTRA!$A$101:$AD$102,2,0),0)),$C$8,C58),0)=0,"",IFERROR(DelayQ(B58*C58/600,S58+E58*((1-$H$7)*VLOOKUP(A56,CURVAS_INTRA!$A$103:$AD$150,HLOOKUP($C$14,CURVAS_INTRA!$A$101:$AD$102,2,0),0)),$C$8,C58),0))</f>
        <v>0.93010000000000004</v>
      </c>
      <c r="V58" s="281">
        <f t="shared" ca="1" si="17"/>
        <v>0.93010000000000004</v>
      </c>
      <c r="W58" s="174">
        <f t="shared" si="20"/>
        <v>4</v>
      </c>
      <c r="X58" s="227">
        <v>0.26388888888888901</v>
      </c>
      <c r="Y58" s="220">
        <f t="shared" si="21"/>
        <v>4</v>
      </c>
      <c r="Z58" s="221">
        <f t="shared" si="23"/>
        <v>0</v>
      </c>
      <c r="AA58" s="221">
        <f t="shared" si="24"/>
        <v>0</v>
      </c>
      <c r="AB58" s="221">
        <f t="shared" si="25"/>
        <v>0</v>
      </c>
      <c r="AC58" s="221">
        <f t="shared" si="26"/>
        <v>0</v>
      </c>
      <c r="AD58" s="221">
        <f t="shared" si="27"/>
        <v>0</v>
      </c>
      <c r="AE58" s="221">
        <f t="shared" si="28"/>
        <v>0</v>
      </c>
      <c r="AF58" s="221">
        <f t="shared" si="29"/>
        <v>0</v>
      </c>
      <c r="AG58" s="222">
        <f t="shared" si="18"/>
        <v>4</v>
      </c>
      <c r="AH58" s="222">
        <f t="shared" si="30"/>
        <v>4</v>
      </c>
      <c r="AJ58" s="291">
        <f t="shared" ca="1" si="31"/>
        <v>3</v>
      </c>
      <c r="AK58" s="291">
        <f ca="1">IFERROR(ROUNDUP(IF(B58=0,0,Agents(B58*C58/600,$C$7,$C$8,C58))/(1-($J$12*(IFERROR(INDIRECT("CURVAS_INTRA!"&amp;ADDRESS(VLOOKUP($A58,CURVAS_INTRA!$A$103:$B$150,2,0),HLOOKUP($C$14,CURVAS_INTRA!$1:$2,2,0))),0)+IFERROR(INDIRECT("CURVAS_INTRA!"&amp;ADDRESS(VLOOKUP($A57,CURVAS_INTRA!$A$103:$B$150,2,0),HLOOKUP($C$14,CURVAS_INTRA!$1:$2,2,0))),0)+IFERROR(INDIRECT("CURVAS_INTRA!"&amp;ADDRESS(VLOOKUP($A56,CURVAS_INTRA!$A$103:$B$150,2,0),HLOOKUP($C$14,CURVAS_INTRA!$1:$2,2,0))),0)))),0),0)</f>
        <v>4</v>
      </c>
      <c r="AM58" s="488">
        <f t="shared" si="19"/>
        <v>4</v>
      </c>
    </row>
    <row r="59" spans="1:39" ht="11.25" customHeight="1">
      <c r="A59" s="599">
        <v>0.27083333333333298</v>
      </c>
      <c r="B59" s="183">
        <f ca="1">IFERROR(INDIRECT("CURVAS_INTRA!"&amp;ADDRESS(VLOOKUP($A59,CURVAS_INTRA!$A$3:$B$50,2,0),HLOOKUP($C$14,CURVAS_INTRA!$1:$2,2,0)))/3*$C$5,$B$19)</f>
        <v>1.1304502090138739</v>
      </c>
      <c r="C59" s="183">
        <f ca="1">IFERROR(INDIRECT("CURVAS_INTRA!"&amp;ADDRESS(VLOOKUP($A59,CURVAS_INTRA!$A$53:$B$100,2,0),HLOOKUP($C$14,CURVAS_INTRA!$1:$2,2,0)))*$C$6,C58)</f>
        <v>786.53415661193583</v>
      </c>
      <c r="D59" s="183">
        <f ca="1">IFERROR(ROUNDUP(IF(B59=0,0,Agents(B59*C59/600,$C$7,$C$8,C59))/(1-($H$7*(IFERROR(INDIRECT("CURVAS_INTRA!"&amp;ADDRESS(VLOOKUP($A59,CURVAS_INTRA!$A$103:$B$150,2,0),HLOOKUP($C$14,CURVAS_INTRA!$1:$2,2,0))),0)))),0),0)</f>
        <v>5</v>
      </c>
      <c r="E59" s="183">
        <f t="shared" si="11"/>
        <v>4</v>
      </c>
      <c r="F59" s="241">
        <f t="shared" ca="1" si="12"/>
        <v>-1</v>
      </c>
      <c r="G59" s="185">
        <f ca="1">IFERROR(DelayQ(B59*C59/600,E59*((1-$H$7*VLOOKUP(A59,CURVAS_INTRA!$A$103:$AD$150,HLOOKUP($C$14,CURVAS_INTRA!$A$101:$AD$102,2,0),0))),$C$8,C59),0)</f>
        <v>0.79220000000000002</v>
      </c>
      <c r="H59" s="221">
        <v>0</v>
      </c>
      <c r="I59" s="221">
        <v>0</v>
      </c>
      <c r="J59" s="221">
        <v>0</v>
      </c>
      <c r="K59" s="221">
        <v>0</v>
      </c>
      <c r="L59" s="137">
        <f t="shared" si="22"/>
        <v>0</v>
      </c>
      <c r="M59" s="186">
        <f t="shared" si="32"/>
        <v>0</v>
      </c>
      <c r="N59" s="137">
        <f t="shared" ref="N59:N122" si="33">SUM(J22:J59)</f>
        <v>4</v>
      </c>
      <c r="O59" s="188">
        <f>SUM($K$20:K59)+SUM(K155:$K$163)</f>
        <v>0</v>
      </c>
      <c r="P59" s="201">
        <f t="shared" ca="1" si="13"/>
        <v>0.45447530860831431</v>
      </c>
      <c r="Q59" s="202">
        <f t="shared" ca="1" si="14"/>
        <v>0.36358024688665147</v>
      </c>
      <c r="R59" s="174">
        <f t="shared" ca="1" si="15"/>
        <v>-53</v>
      </c>
      <c r="S59" s="246"/>
      <c r="T59" s="241">
        <f t="shared" ca="1" si="16"/>
        <v>-1</v>
      </c>
      <c r="U59" s="247">
        <f ca="1">IF(IFERROR(DelayQ(B59*C59/600,(S59/(1-$H$5))+E59*((1-$H$7)*VLOOKUP(A59,CURVAS_INTRA!$A$103:$AD$150,HLOOKUP($C$14,CURVAS_INTRA!$A$101:$AD$102,2,0),0)),$C$8,C59),0)=0,"",IFERROR(DelayQ(B59*C59/600,S59+E59*((1-$H$7)*VLOOKUP(A59,CURVAS_INTRA!$A$103:$AD$150,HLOOKUP($C$14,CURVAS_INTRA!$A$101:$AD$102,2,0),0)),$C$8,C59),0))</f>
        <v>0.79220000000000002</v>
      </c>
      <c r="V59" s="281">
        <f t="shared" ca="1" si="17"/>
        <v>0.79220000000000002</v>
      </c>
      <c r="W59" s="174">
        <f t="shared" si="20"/>
        <v>4</v>
      </c>
      <c r="X59" s="227">
        <v>0.27083333333333298</v>
      </c>
      <c r="Y59" s="220">
        <f t="shared" si="21"/>
        <v>4</v>
      </c>
      <c r="Z59" s="221">
        <f t="shared" si="23"/>
        <v>0</v>
      </c>
      <c r="AA59" s="221">
        <f t="shared" si="24"/>
        <v>0</v>
      </c>
      <c r="AB59" s="221">
        <f t="shared" si="25"/>
        <v>0</v>
      </c>
      <c r="AC59" s="221">
        <f t="shared" si="26"/>
        <v>0</v>
      </c>
      <c r="AD59" s="221">
        <f t="shared" si="27"/>
        <v>0</v>
      </c>
      <c r="AE59" s="221">
        <f t="shared" si="28"/>
        <v>0</v>
      </c>
      <c r="AF59" s="221">
        <f t="shared" si="29"/>
        <v>0</v>
      </c>
      <c r="AG59" s="222">
        <f t="shared" si="18"/>
        <v>4</v>
      </c>
      <c r="AH59" s="222">
        <f t="shared" si="30"/>
        <v>4</v>
      </c>
      <c r="AJ59" s="291">
        <f t="shared" ca="1" si="31"/>
        <v>4</v>
      </c>
      <c r="AK59" s="291">
        <f ca="1">IFERROR(ROUNDUP(IF(B59=0,0,Agents(B59*C59/600,$C$7,$C$8,C59))/(1-($J$12*(IFERROR(INDIRECT("CURVAS_INTRA!"&amp;ADDRESS(VLOOKUP($A59,CURVAS_INTRA!$A$103:$B$150,2,0),HLOOKUP($C$14,CURVAS_INTRA!$1:$2,2,0))),0)))),0),0)</f>
        <v>5</v>
      </c>
      <c r="AM59" s="488">
        <f t="shared" si="19"/>
        <v>0</v>
      </c>
    </row>
    <row r="60" spans="1:39" ht="11.25" customHeight="1">
      <c r="A60" s="599">
        <v>0.27777777777777801</v>
      </c>
      <c r="B60" s="183">
        <f ca="1">IFERROR(INDIRECT("CURVAS_INTRA!"&amp;ADDRESS(VLOOKUP($A59,CURVAS_INTRA!$A$3:$B$50,2,0),HLOOKUP($C$14,CURVAS_INTRA!$1:$2,2,0)))/3*$C$5,$B$19)</f>
        <v>1.1304502090138739</v>
      </c>
      <c r="C60" s="183">
        <f ca="1">IFERROR(INDIRECT("CURVAS_INTRA!"&amp;ADDRESS(VLOOKUP($A60,CURVAS_INTRA!$A$53:$B$100,2,0),HLOOKUP($C$14,CURVAS_INTRA!$1:$2,2,0)))*$C$6,C59)</f>
        <v>786.53415661193583</v>
      </c>
      <c r="D60" s="183">
        <f ca="1">IFERROR(ROUNDUP(IF(B60=0,0,Agents(B60*C60/600,$C$7,$C$8,C60))/(1-($H$7*(IFERROR(INDIRECT("CURVAS_INTRA!"&amp;ADDRESS(VLOOKUP($A59,CURVAS_INTRA!$A$103:$B$150,2,0),HLOOKUP($C$14,CURVAS_INTRA!$1:$2,2,0))),0)))),0),0)</f>
        <v>5</v>
      </c>
      <c r="E60" s="183">
        <f t="shared" si="11"/>
        <v>4</v>
      </c>
      <c r="F60" s="241">
        <f t="shared" ca="1" si="12"/>
        <v>-1</v>
      </c>
      <c r="G60" s="185">
        <f ca="1">IFERROR(DelayQ(B60*C60/600,E60*((1-$H$7*VLOOKUP(A59,CURVAS_INTRA!$A$103:$AD$150,HLOOKUP($C$14,CURVAS_INTRA!$A$101:$AD$102,2,0),0))),$C$8,C60),0)</f>
        <v>0.79220000000000002</v>
      </c>
      <c r="H60" s="221">
        <v>0</v>
      </c>
      <c r="I60" s="221">
        <v>0</v>
      </c>
      <c r="J60" s="221">
        <v>0</v>
      </c>
      <c r="K60" s="221">
        <v>0</v>
      </c>
      <c r="L60" s="137">
        <f t="shared" si="22"/>
        <v>0</v>
      </c>
      <c r="M60" s="186">
        <f t="shared" si="32"/>
        <v>0</v>
      </c>
      <c r="N60" s="137">
        <f t="shared" si="33"/>
        <v>4</v>
      </c>
      <c r="O60" s="188">
        <f>SUM($K$20:K60)+SUM(K156:$K$163)</f>
        <v>0</v>
      </c>
      <c r="P60" s="201">
        <f t="shared" ca="1" si="13"/>
        <v>0.45447530860831431</v>
      </c>
      <c r="Q60" s="202">
        <f t="shared" ca="1" si="14"/>
        <v>0.36358024688665147</v>
      </c>
      <c r="R60" s="174">
        <f t="shared" ca="1" si="15"/>
        <v>-54</v>
      </c>
      <c r="S60" s="339"/>
      <c r="T60" s="241">
        <f t="shared" ca="1" si="16"/>
        <v>-1</v>
      </c>
      <c r="U60" s="247">
        <f ca="1">IF(IFERROR(DelayQ(B60*C60/600,(S60/(1-$H$5))+E60*((1-$H$7)*VLOOKUP(A59,CURVAS_INTRA!$A$103:$AD$150,HLOOKUP($C$14,CURVAS_INTRA!$A$101:$AD$102,2,0),0)),$C$8,C60),0)=0,"",IFERROR(DelayQ(B60*C60/600,S60+E60*((1-$H$7)*VLOOKUP(A59,CURVAS_INTRA!$A$103:$AD$150,HLOOKUP($C$14,CURVAS_INTRA!$A$101:$AD$102,2,0),0)),$C$8,C60),0))</f>
        <v>0.79220000000000002</v>
      </c>
      <c r="V60" s="281">
        <f t="shared" ca="1" si="17"/>
        <v>0.79220000000000002</v>
      </c>
      <c r="W60" s="174">
        <f t="shared" si="20"/>
        <v>4</v>
      </c>
      <c r="X60" s="227">
        <v>0.27777777777777801</v>
      </c>
      <c r="Y60" s="220">
        <f t="shared" si="21"/>
        <v>4</v>
      </c>
      <c r="Z60" s="221">
        <f t="shared" si="23"/>
        <v>0</v>
      </c>
      <c r="AA60" s="221">
        <f t="shared" si="24"/>
        <v>0</v>
      </c>
      <c r="AB60" s="221">
        <f t="shared" si="25"/>
        <v>0</v>
      </c>
      <c r="AC60" s="221">
        <f t="shared" si="26"/>
        <v>0</v>
      </c>
      <c r="AD60" s="221">
        <f t="shared" si="27"/>
        <v>0</v>
      </c>
      <c r="AE60" s="221">
        <f t="shared" si="28"/>
        <v>0</v>
      </c>
      <c r="AF60" s="221">
        <f t="shared" si="29"/>
        <v>0</v>
      </c>
      <c r="AG60" s="222">
        <f t="shared" si="18"/>
        <v>4</v>
      </c>
      <c r="AH60" s="222">
        <f t="shared" si="30"/>
        <v>4</v>
      </c>
      <c r="AJ60" s="291">
        <f t="shared" ca="1" si="31"/>
        <v>4</v>
      </c>
      <c r="AK60" s="291">
        <f ca="1">IFERROR(ROUNDUP(IF(B60=0,0,Agents(B60*C60/600,$C$7,$C$8,C60))/(1-($J$12*(IFERROR(INDIRECT("CURVAS_INTRA!"&amp;ADDRESS(VLOOKUP($A60,CURVAS_INTRA!$A$103:$B$150,2,0),HLOOKUP($C$14,CURVAS_INTRA!$1:$2,2,0))),0)+IFERROR(INDIRECT("CURVAS_INTRA!"&amp;ADDRESS(VLOOKUP($A59,CURVAS_INTRA!$A$103:$B$150,2,0),HLOOKUP($C$14,CURVAS_INTRA!$1:$2,2,0))),0)))),0),0)</f>
        <v>5</v>
      </c>
      <c r="AM60" s="488">
        <f t="shared" si="19"/>
        <v>0</v>
      </c>
    </row>
    <row r="61" spans="1:39" ht="11.25" customHeight="1">
      <c r="A61" s="599">
        <v>0.28472222222222199</v>
      </c>
      <c r="B61" s="183">
        <f ca="1">IFERROR(INDIRECT("CURVAS_INTRA!"&amp;ADDRESS(VLOOKUP($A59,CURVAS_INTRA!$A$3:$B$50,2,0),HLOOKUP($C$14,CURVAS_INTRA!$1:$2,2,0)))/3*$C$5,B58)</f>
        <v>1.1304502090138739</v>
      </c>
      <c r="C61" s="183">
        <f ca="1">IFERROR(INDIRECT("CURVAS_INTRA!"&amp;ADDRESS(VLOOKUP($A61,CURVAS_INTRA!$A$53:$B$100,2,0),HLOOKUP($C$14,CURVAS_INTRA!$1:$2,2,0)))*$C$6,C60)</f>
        <v>786.53415661193583</v>
      </c>
      <c r="D61" s="183">
        <f ca="1">IFERROR(ROUNDUP(IF(B61=0,0,Agents(B61*C61/600,$C$7,$C$8,C61))/(1-($H$7*(IFERROR(INDIRECT("CURVAS_INTRA!"&amp;ADDRESS(VLOOKUP($A59,CURVAS_INTRA!$A$103:$B$150,2,0),HLOOKUP($C$14,CURVAS_INTRA!$1:$2,2,0))),0)))),0),0)</f>
        <v>5</v>
      </c>
      <c r="E61" s="183">
        <f t="shared" si="11"/>
        <v>4</v>
      </c>
      <c r="F61" s="241">
        <f t="shared" ca="1" si="12"/>
        <v>-1</v>
      </c>
      <c r="G61" s="185">
        <f ca="1">IFERROR(DelayQ(B61*C61/600,E61*((1-$H$7*VLOOKUP(A59,CURVAS_INTRA!$A$103:$AD$150,HLOOKUP($C$14,CURVAS_INTRA!$A$101:$AD$102,2,0),0))),$C$8,C61),0)</f>
        <v>0.79220000000000002</v>
      </c>
      <c r="H61" s="221">
        <v>0</v>
      </c>
      <c r="I61" s="221">
        <v>0</v>
      </c>
      <c r="J61" s="221">
        <v>0</v>
      </c>
      <c r="K61" s="221">
        <v>0</v>
      </c>
      <c r="L61" s="137">
        <f t="shared" si="22"/>
        <v>0</v>
      </c>
      <c r="M61" s="186">
        <f t="shared" si="32"/>
        <v>0</v>
      </c>
      <c r="N61" s="137">
        <f t="shared" si="33"/>
        <v>4</v>
      </c>
      <c r="O61" s="188">
        <f>SUM($K$20:K61)+SUM(K157:$K$163)</f>
        <v>0</v>
      </c>
      <c r="P61" s="201">
        <f t="shared" ca="1" si="13"/>
        <v>0.45447530860831431</v>
      </c>
      <c r="Q61" s="202">
        <f t="shared" ca="1" si="14"/>
        <v>0.36358024688665147</v>
      </c>
      <c r="R61" s="174">
        <f t="shared" ca="1" si="15"/>
        <v>-55</v>
      </c>
      <c r="S61" s="339"/>
      <c r="T61" s="241">
        <f t="shared" ca="1" si="16"/>
        <v>-1</v>
      </c>
      <c r="U61" s="247">
        <f ca="1">IF(IFERROR(DelayQ(B61*C61/600,(S61/(1-$H$5))+E61*((1-$H$7)*VLOOKUP(A59,CURVAS_INTRA!$A$103:$AD$150,HLOOKUP($C$14,CURVAS_INTRA!$A$101:$AD$102,2,0),0)),$C$8,C61),0)=0,"",IFERROR(DelayQ(B61*C61/600,S61+E61*((1-$H$7)*VLOOKUP(A59,CURVAS_INTRA!$A$103:$AD$150,HLOOKUP($C$14,CURVAS_INTRA!$A$101:$AD$102,2,0),0)),$C$8,C61),0))</f>
        <v>0.79220000000000002</v>
      </c>
      <c r="V61" s="281">
        <f t="shared" ca="1" si="17"/>
        <v>0.79220000000000002</v>
      </c>
      <c r="W61" s="174">
        <f t="shared" si="20"/>
        <v>4</v>
      </c>
      <c r="X61" s="227">
        <v>0.28472222222222199</v>
      </c>
      <c r="Y61" s="220">
        <f t="shared" si="21"/>
        <v>4</v>
      </c>
      <c r="Z61" s="221">
        <f t="shared" si="23"/>
        <v>0</v>
      </c>
      <c r="AA61" s="221">
        <f t="shared" si="24"/>
        <v>0</v>
      </c>
      <c r="AB61" s="221">
        <f t="shared" si="25"/>
        <v>0</v>
      </c>
      <c r="AC61" s="221">
        <f t="shared" si="26"/>
        <v>0</v>
      </c>
      <c r="AD61" s="221">
        <f t="shared" si="27"/>
        <v>0</v>
      </c>
      <c r="AE61" s="221">
        <f t="shared" si="28"/>
        <v>0</v>
      </c>
      <c r="AF61" s="221">
        <f t="shared" si="29"/>
        <v>0</v>
      </c>
      <c r="AG61" s="222">
        <f t="shared" si="18"/>
        <v>4</v>
      </c>
      <c r="AH61" s="222">
        <f t="shared" si="30"/>
        <v>4</v>
      </c>
      <c r="AJ61" s="291">
        <f t="shared" ca="1" si="31"/>
        <v>4</v>
      </c>
      <c r="AK61" s="291">
        <f ca="1">IFERROR(ROUNDUP(IF(B61=0,0,Agents(B61*C61/600,$C$7,$C$8,C61))/(1-($J$12*(IFERROR(INDIRECT("CURVAS_INTRA!"&amp;ADDRESS(VLOOKUP($A61,CURVAS_INTRA!$A$103:$B$150,2,0),HLOOKUP($C$14,CURVAS_INTRA!$1:$2,2,0))),0)+IFERROR(INDIRECT("CURVAS_INTRA!"&amp;ADDRESS(VLOOKUP($A60,CURVAS_INTRA!$A$103:$B$150,2,0),HLOOKUP($C$14,CURVAS_INTRA!$1:$2,2,0))),0)+IFERROR(INDIRECT("CURVAS_INTRA!"&amp;ADDRESS(VLOOKUP($A59,CURVAS_INTRA!$A$103:$B$150,2,0),HLOOKUP($C$14,CURVAS_INTRA!$1:$2,2,0))),0)))),0),0)</f>
        <v>5</v>
      </c>
      <c r="AM61" s="488">
        <f t="shared" si="19"/>
        <v>0</v>
      </c>
    </row>
    <row r="62" spans="1:39" ht="11.25" customHeight="1">
      <c r="A62" s="599">
        <v>0.29166666666666702</v>
      </c>
      <c r="B62" s="183">
        <f ca="1">IFERROR(INDIRECT("CURVAS_INTRA!"&amp;ADDRESS(VLOOKUP($A62,CURVAS_INTRA!$A$3:$B$50,2,0),HLOOKUP($C$14,CURVAS_INTRA!$1:$2,2,0)))/3*$C$5,$B$19)</f>
        <v>2.9787881186021794</v>
      </c>
      <c r="C62" s="183">
        <f ca="1">IFERROR(INDIRECT("CURVAS_INTRA!"&amp;ADDRESS(VLOOKUP($A62,CURVAS_INTRA!$A$53:$B$100,2,0),HLOOKUP($C$14,CURVAS_INTRA!$1:$2,2,0)))*$C$6,C61)</f>
        <v>822.83290771132397</v>
      </c>
      <c r="D62" s="183">
        <f ca="1">IFERROR(ROUNDUP(IF(B62=0,0,Agents(B62*C62/600,$C$7,$C$8,C62))/(1-($H$7*(IFERROR(INDIRECT("CURVAS_INTRA!"&amp;ADDRESS(VLOOKUP($A62,CURVAS_INTRA!$A$103:$B$150,2,0),HLOOKUP($C$14,CURVAS_INTRA!$1:$2,2,0))),0)))),0),0)</f>
        <v>9</v>
      </c>
      <c r="E62" s="183">
        <f t="shared" si="11"/>
        <v>7</v>
      </c>
      <c r="F62" s="241">
        <f t="shared" ca="1" si="12"/>
        <v>-2</v>
      </c>
      <c r="G62" s="185">
        <f ca="1">IFERROR(DelayQ(B62*C62/600,E62*((1-$H$7*VLOOKUP(A62,CURVAS_INTRA!$A$103:$AD$150,HLOOKUP($C$14,CURVAS_INTRA!$A$101:$AD$102,2,0),0))),$C$8,C62),0)</f>
        <v>0.54020000000000001</v>
      </c>
      <c r="H62" s="221">
        <v>0</v>
      </c>
      <c r="I62" s="221">
        <v>0</v>
      </c>
      <c r="J62" s="221">
        <v>0</v>
      </c>
      <c r="K62" s="221">
        <v>3</v>
      </c>
      <c r="L62" s="137">
        <f t="shared" si="22"/>
        <v>0</v>
      </c>
      <c r="M62" s="186">
        <f t="shared" si="32"/>
        <v>0</v>
      </c>
      <c r="N62" s="137">
        <f t="shared" si="33"/>
        <v>4</v>
      </c>
      <c r="O62" s="188">
        <f>SUM($K$20:K62)+SUM(K158:$K$163)</f>
        <v>3</v>
      </c>
      <c r="P62" s="201">
        <f t="shared" ca="1" si="13"/>
        <v>0.71590349693502764</v>
      </c>
      <c r="Q62" s="202">
        <f t="shared" ca="1" si="14"/>
        <v>0.5568138309494659</v>
      </c>
      <c r="R62" s="174">
        <f t="shared" ca="1" si="15"/>
        <v>-56</v>
      </c>
      <c r="S62" s="339"/>
      <c r="T62" s="241">
        <f t="shared" ca="1" si="16"/>
        <v>-2</v>
      </c>
      <c r="U62" s="247">
        <f ca="1">IF(IFERROR(DelayQ(B62*C62/600,(S62/(1-$H$5))+E62*((1-$H$7)*VLOOKUP(A62,CURVAS_INTRA!$A$103:$AD$150,HLOOKUP($C$14,CURVAS_INTRA!$A$101:$AD$102,2,0),0)),$C$8,C62),0)=0,"",IFERROR(DelayQ(B62*C62/600,S62+E62*((1-$H$7)*VLOOKUP(A62,CURVAS_INTRA!$A$103:$AD$150,HLOOKUP($C$14,CURVAS_INTRA!$A$101:$AD$102,2,0),0)),$C$8,C62),0))</f>
        <v>0.54020000000000001</v>
      </c>
      <c r="V62" s="281">
        <f t="shared" ca="1" si="17"/>
        <v>0.54020000000000001</v>
      </c>
      <c r="W62" s="174">
        <f t="shared" si="20"/>
        <v>7</v>
      </c>
      <c r="X62" s="227">
        <v>0.29166666666666702</v>
      </c>
      <c r="Y62" s="220">
        <f t="shared" si="21"/>
        <v>7</v>
      </c>
      <c r="Z62" s="221">
        <f t="shared" si="23"/>
        <v>0</v>
      </c>
      <c r="AA62" s="221">
        <f t="shared" si="24"/>
        <v>0</v>
      </c>
      <c r="AB62" s="221">
        <f t="shared" si="25"/>
        <v>0</v>
      </c>
      <c r="AC62" s="221">
        <f t="shared" si="26"/>
        <v>0</v>
      </c>
      <c r="AD62" s="221">
        <f t="shared" si="27"/>
        <v>0</v>
      </c>
      <c r="AE62" s="221">
        <f t="shared" si="28"/>
        <v>0</v>
      </c>
      <c r="AF62" s="221">
        <f t="shared" si="29"/>
        <v>0</v>
      </c>
      <c r="AG62" s="222">
        <f t="shared" si="18"/>
        <v>7</v>
      </c>
      <c r="AH62" s="222">
        <f t="shared" si="30"/>
        <v>7</v>
      </c>
      <c r="AJ62" s="291">
        <f t="shared" ca="1" si="31"/>
        <v>7</v>
      </c>
      <c r="AK62" s="291">
        <f ca="1">IFERROR(ROUNDUP(IF(B62=0,0,Agents(B62*C62/600,$C$7,$C$8,C62))/(1-($J$12*(IFERROR(INDIRECT("CURVAS_INTRA!"&amp;ADDRESS(VLOOKUP($A62,CURVAS_INTRA!$A$103:$B$150,2,0),HLOOKUP($C$14,CURVAS_INTRA!$1:$2,2,0))),0)))),0),0)</f>
        <v>8</v>
      </c>
      <c r="AM62" s="488">
        <f t="shared" si="19"/>
        <v>3</v>
      </c>
    </row>
    <row r="63" spans="1:39" ht="11.25" customHeight="1">
      <c r="A63" s="570">
        <v>0.29861111111111099</v>
      </c>
      <c r="B63" s="183">
        <f ca="1">IFERROR(INDIRECT("CURVAS_INTRA!"&amp;ADDRESS(VLOOKUP($A62,CURVAS_INTRA!$A$3:$B$50,2,0),HLOOKUP($C$14,CURVAS_INTRA!$1:$2,2,0)))/3*$C$5,$B$19)</f>
        <v>2.9787881186021794</v>
      </c>
      <c r="C63" s="183">
        <f ca="1">IFERROR(INDIRECT("CURVAS_INTRA!"&amp;ADDRESS(VLOOKUP($A63,CURVAS_INTRA!$A$53:$B$100,2,0),HLOOKUP($C$14,CURVAS_INTRA!$1:$2,2,0)))*$C$6,C62)</f>
        <v>822.83290771132397</v>
      </c>
      <c r="D63" s="183">
        <f ca="1">IFERROR(ROUNDUP(IF(B63=0,0,Agents(B63*C63/600,$C$7,$C$8,C63))/(1-($H$7*(IFERROR(INDIRECT("CURVAS_INTRA!"&amp;ADDRESS(VLOOKUP($A62,CURVAS_INTRA!$A$103:$B$150,2,0),HLOOKUP($C$14,CURVAS_INTRA!$1:$2,2,0))),0)))),0),0)</f>
        <v>9</v>
      </c>
      <c r="E63" s="183">
        <f t="shared" si="11"/>
        <v>7</v>
      </c>
      <c r="F63" s="241">
        <f t="shared" ca="1" si="12"/>
        <v>-2</v>
      </c>
      <c r="G63" s="185">
        <f ca="1">IFERROR(DelayQ(B63*C63/600,E63*((1-$H$7*VLOOKUP(A62,CURVAS_INTRA!$A$103:$AD$150,HLOOKUP($C$14,CURVAS_INTRA!$A$101:$AD$102,2,0),0))),$C$8,C63),0)</f>
        <v>0.54020000000000001</v>
      </c>
      <c r="H63" s="221">
        <v>0</v>
      </c>
      <c r="I63" s="221">
        <v>0</v>
      </c>
      <c r="J63" s="221">
        <v>0</v>
      </c>
      <c r="K63" s="221">
        <v>0</v>
      </c>
      <c r="L63" s="137">
        <f t="shared" si="22"/>
        <v>0</v>
      </c>
      <c r="M63" s="186">
        <f t="shared" si="32"/>
        <v>0</v>
      </c>
      <c r="N63" s="137">
        <f t="shared" si="33"/>
        <v>4</v>
      </c>
      <c r="O63" s="188">
        <f>SUM($K$20:K63)+SUM(K159:$K$163)</f>
        <v>3</v>
      </c>
      <c r="P63" s="201">
        <f t="shared" ca="1" si="13"/>
        <v>0.71590349693502764</v>
      </c>
      <c r="Q63" s="202">
        <f t="shared" ca="1" si="14"/>
        <v>0.5568138309494659</v>
      </c>
      <c r="R63" s="174">
        <f t="shared" ca="1" si="15"/>
        <v>-56</v>
      </c>
      <c r="S63" s="339"/>
      <c r="T63" s="241">
        <f t="shared" ca="1" si="16"/>
        <v>-2</v>
      </c>
      <c r="U63" s="247">
        <f ca="1">IF(IFERROR(DelayQ(B63*C63/600,(S63/(1-$H$5))+E63*((1-$H$7)*VLOOKUP(A62,CURVAS_INTRA!$A$103:$AD$150,HLOOKUP($C$14,CURVAS_INTRA!$A$101:$AD$102,2,0),0)),$C$8,C63),0)=0,"",IFERROR(DelayQ(B63*C63/600,S63+E63*((1-$H$7)*VLOOKUP(A62,CURVAS_INTRA!$A$103:$AD$150,HLOOKUP($C$14,CURVAS_INTRA!$A$101:$AD$102,2,0),0)),$C$8,C63),0))</f>
        <v>0.54020000000000001</v>
      </c>
      <c r="V63" s="281">
        <f t="shared" ca="1" si="17"/>
        <v>0.54020000000000001</v>
      </c>
      <c r="W63" s="174">
        <f t="shared" si="20"/>
        <v>7</v>
      </c>
      <c r="X63" s="227">
        <v>0.29861111111111099</v>
      </c>
      <c r="Y63" s="220">
        <f t="shared" si="21"/>
        <v>7</v>
      </c>
      <c r="Z63" s="221">
        <f t="shared" si="23"/>
        <v>0</v>
      </c>
      <c r="AA63" s="221">
        <f t="shared" si="24"/>
        <v>0</v>
      </c>
      <c r="AB63" s="221">
        <f t="shared" si="25"/>
        <v>0</v>
      </c>
      <c r="AC63" s="221">
        <f t="shared" si="26"/>
        <v>0</v>
      </c>
      <c r="AD63" s="221">
        <f t="shared" si="27"/>
        <v>0</v>
      </c>
      <c r="AE63" s="221">
        <f t="shared" si="28"/>
        <v>0</v>
      </c>
      <c r="AF63" s="221">
        <f t="shared" si="29"/>
        <v>0</v>
      </c>
      <c r="AG63" s="222">
        <f t="shared" si="18"/>
        <v>7</v>
      </c>
      <c r="AH63" s="222">
        <f t="shared" si="30"/>
        <v>7</v>
      </c>
      <c r="AJ63" s="291">
        <f t="shared" ca="1" si="31"/>
        <v>7</v>
      </c>
      <c r="AK63" s="291">
        <f ca="1">IFERROR(ROUNDUP(IF(B63=0,0,Agents(B63*C63/600,$C$7,$C$8,C63))/(1-($J$12*(IFERROR(INDIRECT("CURVAS_INTRA!"&amp;ADDRESS(VLOOKUP($A63,CURVAS_INTRA!$A$103:$B$150,2,0),HLOOKUP($C$14,CURVAS_INTRA!$1:$2,2,0))),0)+IFERROR(INDIRECT("CURVAS_INTRA!"&amp;ADDRESS(VLOOKUP($A62,CURVAS_INTRA!$A$103:$B$150,2,0),HLOOKUP($C$14,CURVAS_INTRA!$1:$2,2,0))),0)))),0),0)</f>
        <v>8</v>
      </c>
      <c r="AM63" s="488">
        <f t="shared" si="19"/>
        <v>0</v>
      </c>
    </row>
    <row r="64" spans="1:39" ht="11.25" customHeight="1">
      <c r="A64" s="570">
        <v>0.30555555555555602</v>
      </c>
      <c r="B64" s="183">
        <f ca="1">IFERROR(INDIRECT("CURVAS_INTRA!"&amp;ADDRESS(VLOOKUP($A62,CURVAS_INTRA!$A$3:$B$50,2,0),HLOOKUP($C$14,CURVAS_INTRA!$1:$2,2,0)))/3*$C$5,B61)</f>
        <v>2.9787881186021794</v>
      </c>
      <c r="C64" s="183">
        <f ca="1">IFERROR(INDIRECT("CURVAS_INTRA!"&amp;ADDRESS(VLOOKUP($A64,CURVAS_INTRA!$A$53:$B$100,2,0),HLOOKUP($C$14,CURVAS_INTRA!$1:$2,2,0)))*$C$6,C63)</f>
        <v>822.83290771132397</v>
      </c>
      <c r="D64" s="183">
        <f ca="1">IFERROR(ROUNDUP(IF(B64=0,0,Agents(B64*C64/600,$C$7,$C$8,C64))/(1-($H$7*(IFERROR(INDIRECT("CURVAS_INTRA!"&amp;ADDRESS(VLOOKUP($A62,CURVAS_INTRA!$A$103:$B$150,2,0),HLOOKUP($C$14,CURVAS_INTRA!$1:$2,2,0))),0)))),0),0)</f>
        <v>9</v>
      </c>
      <c r="E64" s="183">
        <f t="shared" si="11"/>
        <v>7</v>
      </c>
      <c r="F64" s="241">
        <f t="shared" ca="1" si="12"/>
        <v>-2</v>
      </c>
      <c r="G64" s="185">
        <f ca="1">IFERROR(DelayQ(B64*C64/600,E64*((1-$H$7*VLOOKUP(A62,CURVAS_INTRA!$A$103:$AD$150,HLOOKUP($C$14,CURVAS_INTRA!$A$101:$AD$102,2,0),0))),$C$8,C64),0)</f>
        <v>0.54020000000000001</v>
      </c>
      <c r="H64" s="221">
        <v>0</v>
      </c>
      <c r="I64" s="221">
        <v>0</v>
      </c>
      <c r="J64" s="221">
        <v>0</v>
      </c>
      <c r="K64" s="221">
        <v>0</v>
      </c>
      <c r="L64" s="137">
        <f t="shared" si="22"/>
        <v>0</v>
      </c>
      <c r="M64" s="186">
        <f t="shared" si="32"/>
        <v>0</v>
      </c>
      <c r="N64" s="137">
        <f t="shared" si="33"/>
        <v>4</v>
      </c>
      <c r="O64" s="188">
        <f>SUM($K$20:K64)+SUM(K160:$K$163)</f>
        <v>3</v>
      </c>
      <c r="P64" s="201">
        <f t="shared" ca="1" si="13"/>
        <v>0.71590349693502764</v>
      </c>
      <c r="Q64" s="202">
        <f t="shared" ca="1" si="14"/>
        <v>0.5568138309494659</v>
      </c>
      <c r="R64" s="174">
        <f t="shared" ca="1" si="15"/>
        <v>-53</v>
      </c>
      <c r="S64" s="339"/>
      <c r="T64" s="241">
        <f t="shared" ca="1" si="16"/>
        <v>-2</v>
      </c>
      <c r="U64" s="247">
        <f ca="1">IF(IFERROR(DelayQ(B64*C64/600,(S64/(1-$H$5))+E64*((1-$H$7)*VLOOKUP(A62,CURVAS_INTRA!$A$103:$AD$150,HLOOKUP($C$14,CURVAS_INTRA!$A$101:$AD$102,2,0),0)),$C$8,C64),0)=0,"",IFERROR(DelayQ(B64*C64/600,S64+E64*((1-$H$7)*VLOOKUP(A62,CURVAS_INTRA!$A$103:$AD$150,HLOOKUP($C$14,CURVAS_INTRA!$A$101:$AD$102,2,0),0)),$C$8,C64),0))</f>
        <v>0.54020000000000001</v>
      </c>
      <c r="V64" s="281">
        <f t="shared" ca="1" si="17"/>
        <v>0.54020000000000001</v>
      </c>
      <c r="W64" s="174">
        <f t="shared" si="20"/>
        <v>7</v>
      </c>
      <c r="X64" s="227">
        <v>0.30555555555555602</v>
      </c>
      <c r="Y64" s="220">
        <f t="shared" si="21"/>
        <v>7</v>
      </c>
      <c r="Z64" s="221">
        <f t="shared" si="23"/>
        <v>0</v>
      </c>
      <c r="AA64" s="221">
        <f t="shared" si="24"/>
        <v>0</v>
      </c>
      <c r="AB64" s="221">
        <f t="shared" si="25"/>
        <v>0</v>
      </c>
      <c r="AC64" s="221">
        <f t="shared" si="26"/>
        <v>0</v>
      </c>
      <c r="AD64" s="221">
        <f t="shared" si="27"/>
        <v>0</v>
      </c>
      <c r="AE64" s="221">
        <f t="shared" si="28"/>
        <v>0</v>
      </c>
      <c r="AF64" s="221">
        <f t="shared" si="29"/>
        <v>0</v>
      </c>
      <c r="AG64" s="222">
        <f t="shared" si="18"/>
        <v>7</v>
      </c>
      <c r="AH64" s="222">
        <f t="shared" si="30"/>
        <v>7</v>
      </c>
      <c r="AJ64" s="291">
        <f t="shared" ca="1" si="31"/>
        <v>7</v>
      </c>
      <c r="AK64" s="291">
        <f ca="1">IFERROR(ROUNDUP(IF(B64=0,0,Agents(B64*C64/600,$C$7,$C$8,C64))/(1-($J$12*(IFERROR(INDIRECT("CURVAS_INTRA!"&amp;ADDRESS(VLOOKUP($A64,CURVAS_INTRA!$A$103:$B$150,2,0),HLOOKUP($C$14,CURVAS_INTRA!$1:$2,2,0))),0)+IFERROR(INDIRECT("CURVAS_INTRA!"&amp;ADDRESS(VLOOKUP($A63,CURVAS_INTRA!$A$103:$B$150,2,0),HLOOKUP($C$14,CURVAS_INTRA!$1:$2,2,0))),0)+IFERROR(INDIRECT("CURVAS_INTRA!"&amp;ADDRESS(VLOOKUP($A62,CURVAS_INTRA!$A$103:$B$150,2,0),HLOOKUP($C$14,CURVAS_INTRA!$1:$2,2,0))),0)))),0),0)</f>
        <v>8</v>
      </c>
      <c r="AM64" s="488">
        <f t="shared" si="19"/>
        <v>0</v>
      </c>
    </row>
    <row r="65" spans="1:44" ht="11.25" customHeight="1">
      <c r="A65" s="570">
        <v>0.3125</v>
      </c>
      <c r="B65" s="183">
        <f ca="1">IFERROR(INDIRECT("CURVAS_INTRA!"&amp;ADDRESS(VLOOKUP($A65,CURVAS_INTRA!$A$3:$B$50,2,0),HLOOKUP($C$14,CURVAS_INTRA!$1:$2,2,0)))/3*$C$5,$B$19)</f>
        <v>3.4926111889637785</v>
      </c>
      <c r="C65" s="183">
        <f ca="1">IFERROR(INDIRECT("CURVAS_INTRA!"&amp;ADDRESS(VLOOKUP($A65,CURVAS_INTRA!$A$53:$B$100,2,0),HLOOKUP($C$14,CURVAS_INTRA!$1:$2,2,0)))*$C$6,C64)</f>
        <v>792.88006850739657</v>
      </c>
      <c r="D65" s="183">
        <f ca="1">IFERROR(ROUNDUP(IF(B65=0,0,Agents(B65*C65/600,$C$7,$C$8,C65))/(1-($H$7*(IFERROR(INDIRECT("CURVAS_INTRA!"&amp;ADDRESS(VLOOKUP($A65,CURVAS_INTRA!$A$103:$B$150,2,0),HLOOKUP($C$14,CURVAS_INTRA!$1:$2,2,0))),0)))),0),0)</f>
        <v>10</v>
      </c>
      <c r="E65" s="183">
        <f t="shared" si="11"/>
        <v>11</v>
      </c>
      <c r="F65" s="241">
        <f t="shared" ca="1" si="12"/>
        <v>1</v>
      </c>
      <c r="G65" s="185">
        <f ca="1">IFERROR(DelayQ(B65*C65/600,E65*((1-$H$7*VLOOKUP(A65,CURVAS_INTRA!$A$103:$AD$150,HLOOKUP($C$14,CURVAS_INTRA!$A$101:$AD$102,2,0),0))),$C$8,C65),0)</f>
        <v>0.9073</v>
      </c>
      <c r="H65" s="221">
        <v>0</v>
      </c>
      <c r="I65" s="221">
        <v>0</v>
      </c>
      <c r="J65" s="221">
        <v>4</v>
      </c>
      <c r="K65" s="221">
        <v>0</v>
      </c>
      <c r="L65" s="137">
        <f t="shared" si="22"/>
        <v>0</v>
      </c>
      <c r="M65" s="186">
        <f t="shared" si="32"/>
        <v>0</v>
      </c>
      <c r="N65" s="137">
        <f t="shared" si="33"/>
        <v>8</v>
      </c>
      <c r="O65" s="188">
        <f>SUM($K$20:K65)+SUM(K161:$K$163)</f>
        <v>3</v>
      </c>
      <c r="P65" s="201">
        <f t="shared" ca="1" si="13"/>
        <v>0.51471439601945324</v>
      </c>
      <c r="Q65" s="202">
        <f t="shared" ca="1" si="14"/>
        <v>0.56618583562139868</v>
      </c>
      <c r="R65" s="174">
        <f t="shared" ca="1" si="15"/>
        <v>-50</v>
      </c>
      <c r="S65" s="339"/>
      <c r="T65" s="241">
        <f t="shared" ca="1" si="16"/>
        <v>1</v>
      </c>
      <c r="U65" s="247">
        <f ca="1">IF(IFERROR(DelayQ(B65*C65/600,(S65/(1-$H$5))+E65*((1-$H$7)*VLOOKUP(A65,CURVAS_INTRA!$A$103:$AD$150,HLOOKUP($C$14,CURVAS_INTRA!$A$101:$AD$102,2,0),0)),$C$8,C65),0)=0,"",IFERROR(DelayQ(B65*C65/600,S65+E65*((1-$H$7)*VLOOKUP(A65,CURVAS_INTRA!$A$103:$AD$150,HLOOKUP($C$14,CURVAS_INTRA!$A$101:$AD$102,2,0),0)),$C$8,C65),0))</f>
        <v>0.9073</v>
      </c>
      <c r="V65" s="281">
        <f t="shared" ca="1" si="17"/>
        <v>0.9073</v>
      </c>
      <c r="W65" s="174">
        <f t="shared" si="20"/>
        <v>11</v>
      </c>
      <c r="X65" s="227">
        <v>0.3125</v>
      </c>
      <c r="Y65" s="220">
        <f t="shared" si="21"/>
        <v>11</v>
      </c>
      <c r="Z65" s="221">
        <f t="shared" si="23"/>
        <v>0</v>
      </c>
      <c r="AA65" s="221">
        <f t="shared" si="24"/>
        <v>0</v>
      </c>
      <c r="AB65" s="221">
        <f t="shared" si="25"/>
        <v>0</v>
      </c>
      <c r="AC65" s="221">
        <f t="shared" si="26"/>
        <v>0</v>
      </c>
      <c r="AD65" s="221">
        <f t="shared" si="27"/>
        <v>0</v>
      </c>
      <c r="AE65" s="221">
        <f t="shared" si="28"/>
        <v>0</v>
      </c>
      <c r="AF65" s="221">
        <f t="shared" si="29"/>
        <v>0</v>
      </c>
      <c r="AG65" s="222">
        <f t="shared" si="18"/>
        <v>11</v>
      </c>
      <c r="AH65" s="222">
        <f t="shared" si="30"/>
        <v>11</v>
      </c>
      <c r="AJ65" s="291">
        <f t="shared" ca="1" si="31"/>
        <v>8</v>
      </c>
      <c r="AK65" s="291">
        <f ca="1">IFERROR(ROUNDUP(IF(B65=0,0,Agents(B65*C65/600,$C$7,$C$8,C65))/(1-($J$12*(IFERROR(INDIRECT("CURVAS_INTRA!"&amp;ADDRESS(VLOOKUP($A65,CURVAS_INTRA!$A$103:$B$150,2,0),HLOOKUP($C$14,CURVAS_INTRA!$1:$2,2,0))),0)))),0),0)</f>
        <v>9</v>
      </c>
      <c r="AM65" s="488">
        <f t="shared" si="19"/>
        <v>4</v>
      </c>
    </row>
    <row r="66" spans="1:44" ht="11.25" customHeight="1">
      <c r="A66" s="570">
        <v>0.31944444444444398</v>
      </c>
      <c r="B66" s="183">
        <f ca="1">IFERROR(INDIRECT("CURVAS_INTRA!"&amp;ADDRESS(VLOOKUP($A65,CURVAS_INTRA!$A$3:$B$50,2,0),HLOOKUP($C$14,CURVAS_INTRA!$1:$2,2,0)))/3*$C$5,$B$19)</f>
        <v>3.4926111889637785</v>
      </c>
      <c r="C66" s="183">
        <f ca="1">IFERROR(INDIRECT("CURVAS_INTRA!"&amp;ADDRESS(VLOOKUP($A66,CURVAS_INTRA!$A$53:$B$100,2,0),HLOOKUP($C$14,CURVAS_INTRA!$1:$2,2,0)))*$C$6,C65)</f>
        <v>792.88006850739657</v>
      </c>
      <c r="D66" s="183">
        <f ca="1">IFERROR(ROUNDUP(IF(B66=0,0,Agents(B66*C66/600,$C$7,$C$8,C66))/(1-($H$7*(IFERROR(INDIRECT("CURVAS_INTRA!"&amp;ADDRESS(VLOOKUP($A65,CURVAS_INTRA!$A$103:$B$150,2,0),HLOOKUP($C$14,CURVAS_INTRA!$1:$2,2,0))),0)))),0),0)</f>
        <v>10</v>
      </c>
      <c r="E66" s="183">
        <f>ROUNDUP(SUM(L66:O66),0)</f>
        <v>11</v>
      </c>
      <c r="F66" s="241">
        <f t="shared" ca="1" si="12"/>
        <v>1</v>
      </c>
      <c r="G66" s="185">
        <f ca="1">IFERROR(DelayQ(B66*C66/600,E66*((1-$H$7*VLOOKUP(A65,CURVAS_INTRA!$A$103:$AD$150,HLOOKUP($C$14,CURVAS_INTRA!$A$101:$AD$102,2,0),0))),$C$8,C66),0)</f>
        <v>0.9073</v>
      </c>
      <c r="H66" s="221">
        <v>0</v>
      </c>
      <c r="I66" s="221">
        <v>0</v>
      </c>
      <c r="J66" s="221">
        <v>0</v>
      </c>
      <c r="K66" s="221">
        <v>0</v>
      </c>
      <c r="L66" s="137">
        <f t="shared" si="22"/>
        <v>0</v>
      </c>
      <c r="M66" s="186">
        <f t="shared" si="32"/>
        <v>0</v>
      </c>
      <c r="N66" s="137">
        <f t="shared" si="33"/>
        <v>8</v>
      </c>
      <c r="O66" s="188">
        <f>SUM($K$20:K66)+SUM(K162:$K$163)</f>
        <v>3</v>
      </c>
      <c r="P66" s="201">
        <f t="shared" ca="1" si="13"/>
        <v>0.51471439601945324</v>
      </c>
      <c r="Q66" s="202">
        <f t="shared" ca="1" si="14"/>
        <v>0.56618583562139868</v>
      </c>
      <c r="R66" s="174">
        <f t="shared" ca="1" si="15"/>
        <v>-50</v>
      </c>
      <c r="S66" s="339"/>
      <c r="T66" s="241">
        <f t="shared" ca="1" si="16"/>
        <v>1</v>
      </c>
      <c r="U66" s="247">
        <f ca="1">IF(IFERROR(DelayQ(B66*C66/600,(S66/(1-$H$5))+E66*((1-$H$7)*VLOOKUP(A65,CURVAS_INTRA!$A$103:$AD$150,HLOOKUP($C$14,CURVAS_INTRA!$A$101:$AD$102,2,0),0)),$C$8,C66),0)=0,"",IFERROR(DelayQ(B66*C66/600,S66+E66*((1-$H$7)*VLOOKUP(A65,CURVAS_INTRA!$A$103:$AD$150,HLOOKUP($C$14,CURVAS_INTRA!$A$101:$AD$102,2,0),0)),$C$8,C66),0))</f>
        <v>0.9073</v>
      </c>
      <c r="V66" s="281">
        <f t="shared" ca="1" si="17"/>
        <v>0.9073</v>
      </c>
      <c r="W66" s="174">
        <f t="shared" si="20"/>
        <v>11</v>
      </c>
      <c r="X66" s="227">
        <v>0.31944444444444398</v>
      </c>
      <c r="Y66" s="220">
        <f t="shared" si="21"/>
        <v>11</v>
      </c>
      <c r="Z66" s="221">
        <f t="shared" si="23"/>
        <v>0</v>
      </c>
      <c r="AA66" s="221">
        <f t="shared" si="24"/>
        <v>0</v>
      </c>
      <c r="AB66" s="221">
        <f t="shared" si="25"/>
        <v>0</v>
      </c>
      <c r="AC66" s="221">
        <f t="shared" si="26"/>
        <v>0</v>
      </c>
      <c r="AD66" s="221">
        <f t="shared" si="27"/>
        <v>0</v>
      </c>
      <c r="AE66" s="221">
        <f t="shared" si="28"/>
        <v>0</v>
      </c>
      <c r="AF66" s="221">
        <f t="shared" si="29"/>
        <v>0</v>
      </c>
      <c r="AG66" s="222">
        <f t="shared" si="18"/>
        <v>11</v>
      </c>
      <c r="AH66" s="222">
        <f t="shared" si="30"/>
        <v>11</v>
      </c>
      <c r="AJ66" s="291">
        <f t="shared" ca="1" si="31"/>
        <v>8</v>
      </c>
      <c r="AK66" s="291">
        <f ca="1">IFERROR(ROUNDUP(IF(B66=0,0,Agents(B66*C66/600,$C$7,$C$8,C66))/(1-($J$12*(IFERROR(INDIRECT("CURVAS_INTRA!"&amp;ADDRESS(VLOOKUP($A66,CURVAS_INTRA!$A$103:$B$150,2,0),HLOOKUP($C$14,CURVAS_INTRA!$1:$2,2,0))),0)+IFERROR(INDIRECT("CURVAS_INTRA!"&amp;ADDRESS(VLOOKUP($A65,CURVAS_INTRA!$A$103:$B$150,2,0),HLOOKUP($C$14,CURVAS_INTRA!$1:$2,2,0))),0)))),0),0)</f>
        <v>9</v>
      </c>
      <c r="AM66" s="488">
        <f t="shared" si="19"/>
        <v>0</v>
      </c>
    </row>
    <row r="67" spans="1:44" ht="11.25" customHeight="1">
      <c r="A67" s="570">
        <v>0.32638888888888901</v>
      </c>
      <c r="B67" s="183">
        <f ca="1">IFERROR(INDIRECT("CURVAS_INTRA!"&amp;ADDRESS(VLOOKUP($A65,CURVAS_INTRA!$A$3:$B$50,2,0),HLOOKUP($C$14,CURVAS_INTRA!$1:$2,2,0)))/3*$C$5,B64)</f>
        <v>3.4926111889637785</v>
      </c>
      <c r="C67" s="183">
        <f ca="1">IFERROR(INDIRECT("CURVAS_INTRA!"&amp;ADDRESS(VLOOKUP($A67,CURVAS_INTRA!$A$53:$B$100,2,0),HLOOKUP($C$14,CURVAS_INTRA!$1:$2,2,0)))*$C$6,C66)</f>
        <v>792.88006850739657</v>
      </c>
      <c r="D67" s="183">
        <f ca="1">IFERROR(ROUNDUP(IF(B67=0,0,Agents(B67*C67/600,$C$7,$C$8,C67))/(1-($H$7*(IFERROR(INDIRECT("CURVAS_INTRA!"&amp;ADDRESS(VLOOKUP($A65,CURVAS_INTRA!$A$103:$B$150,2,0),HLOOKUP($C$14,CURVAS_INTRA!$1:$2,2,0))),0)))),0),0)</f>
        <v>10</v>
      </c>
      <c r="E67" s="183">
        <f t="shared" si="11"/>
        <v>11</v>
      </c>
      <c r="F67" s="241">
        <f t="shared" ca="1" si="12"/>
        <v>1</v>
      </c>
      <c r="G67" s="185">
        <f ca="1">IFERROR(DelayQ(B67*C67/600,E67*((1-$H$7*VLOOKUP(A65,CURVAS_INTRA!$A$103:$AD$150,HLOOKUP($C$14,CURVAS_INTRA!$A$101:$AD$102,2,0),0))),$C$8,C67),0)</f>
        <v>0.9073</v>
      </c>
      <c r="H67" s="221">
        <v>0</v>
      </c>
      <c r="I67" s="221">
        <v>0</v>
      </c>
      <c r="J67" s="221">
        <v>0</v>
      </c>
      <c r="K67" s="221">
        <v>0</v>
      </c>
      <c r="L67" s="137">
        <f t="shared" si="22"/>
        <v>0</v>
      </c>
      <c r="M67" s="186">
        <f t="shared" si="32"/>
        <v>0</v>
      </c>
      <c r="N67" s="137">
        <f t="shared" si="33"/>
        <v>8</v>
      </c>
      <c r="O67" s="188">
        <f>SUM($K$20:K67)+SUM(K163:$K$163)</f>
        <v>3</v>
      </c>
      <c r="P67" s="201">
        <f t="shared" ca="1" si="13"/>
        <v>0.51471439601945324</v>
      </c>
      <c r="Q67" s="202">
        <f t="shared" ca="1" si="14"/>
        <v>0.56618583562139868</v>
      </c>
      <c r="R67" s="174">
        <f t="shared" ca="1" si="15"/>
        <v>-52</v>
      </c>
      <c r="S67" s="339"/>
      <c r="T67" s="241">
        <f t="shared" ca="1" si="16"/>
        <v>1</v>
      </c>
      <c r="U67" s="247">
        <f ca="1">IF(IFERROR(DelayQ(B67*C67/600,(S67/(1-$H$5))+E67*((1-$H$7)*VLOOKUP(A65,CURVAS_INTRA!$A$103:$AD$150,HLOOKUP($C$14,CURVAS_INTRA!$A$101:$AD$102,2,0),0)),$C$8,C67),0)=0,"",IFERROR(DelayQ(B67*C67/600,S67+E67*((1-$H$7)*VLOOKUP(A65,CURVAS_INTRA!$A$103:$AD$150,HLOOKUP($C$14,CURVAS_INTRA!$A$101:$AD$102,2,0),0)),$C$8,C67),0))</f>
        <v>0.9073</v>
      </c>
      <c r="V67" s="281">
        <f t="shared" ca="1" si="17"/>
        <v>0.9073</v>
      </c>
      <c r="W67" s="174">
        <f t="shared" si="20"/>
        <v>11</v>
      </c>
      <c r="X67" s="227">
        <v>0.32638888888888901</v>
      </c>
      <c r="Y67" s="220">
        <f t="shared" si="21"/>
        <v>11</v>
      </c>
      <c r="Z67" s="221">
        <f t="shared" si="23"/>
        <v>0</v>
      </c>
      <c r="AA67" s="221">
        <f t="shared" si="24"/>
        <v>0</v>
      </c>
      <c r="AB67" s="221">
        <f t="shared" si="25"/>
        <v>0</v>
      </c>
      <c r="AC67" s="221">
        <f t="shared" si="26"/>
        <v>0</v>
      </c>
      <c r="AD67" s="221">
        <f t="shared" si="27"/>
        <v>0</v>
      </c>
      <c r="AE67" s="221">
        <f t="shared" si="28"/>
        <v>0</v>
      </c>
      <c r="AF67" s="221">
        <f t="shared" si="29"/>
        <v>0</v>
      </c>
      <c r="AG67" s="222">
        <f t="shared" si="18"/>
        <v>11</v>
      </c>
      <c r="AH67" s="222">
        <f t="shared" si="30"/>
        <v>11</v>
      </c>
      <c r="AJ67" s="291">
        <f t="shared" ca="1" si="31"/>
        <v>8</v>
      </c>
      <c r="AK67" s="291">
        <f ca="1">IFERROR(ROUNDUP(IF(B67=0,0,Agents(B67*C67/600,$C$7,$C$8,C67))/(1-($J$12*(IFERROR(INDIRECT("CURVAS_INTRA!"&amp;ADDRESS(VLOOKUP($A67,CURVAS_INTRA!$A$103:$B$150,2,0),HLOOKUP($C$14,CURVAS_INTRA!$1:$2,2,0))),0)+IFERROR(INDIRECT("CURVAS_INTRA!"&amp;ADDRESS(VLOOKUP($A66,CURVAS_INTRA!$A$103:$B$150,2,0),HLOOKUP($C$14,CURVAS_INTRA!$1:$2,2,0))),0)+IFERROR(INDIRECT("CURVAS_INTRA!"&amp;ADDRESS(VLOOKUP($A65,CURVAS_INTRA!$A$103:$B$150,2,0),HLOOKUP($C$14,CURVAS_INTRA!$1:$2,2,0))),0)))),0),0)</f>
        <v>9</v>
      </c>
      <c r="AM67" s="488">
        <f t="shared" si="19"/>
        <v>0</v>
      </c>
    </row>
    <row r="68" spans="1:44" ht="11.25" customHeight="1">
      <c r="A68" s="570">
        <v>0.33333333333333298</v>
      </c>
      <c r="B68" s="183">
        <f ca="1">IFERROR(INDIRECT("CURVAS_INTRA!"&amp;ADDRESS(VLOOKUP($A68,CURVAS_INTRA!$A$3:$B$50,2,0),HLOOKUP($C$14,CURVAS_INTRA!$1:$2,2,0)))/3*$C$5,$B$19)</f>
        <v>5.1499561728200653</v>
      </c>
      <c r="C68" s="183">
        <f ca="1">IFERROR(INDIRECT("CURVAS_INTRA!"&amp;ADDRESS(VLOOKUP($A68,CURVAS_INTRA!$A$53:$B$100,2,0),HLOOKUP($C$14,CURVAS_INTRA!$1:$2,2,0)))*$C$6,C67)</f>
        <v>835.87740387223232</v>
      </c>
      <c r="D68" s="183">
        <f ca="1">IFERROR(ROUNDUP(IF(B68=0,0,Agents(B68*C68/600,$C$7,$C$8,C68))/(1-($H$7*(IFERROR(INDIRECT("CURVAS_INTRA!"&amp;ADDRESS(VLOOKUP($A68,CURVAS_INTRA!$A$103:$B$150,2,0),HLOOKUP($C$14,CURVAS_INTRA!$1:$2,2,0))),0)))),0),0)</f>
        <v>14</v>
      </c>
      <c r="E68" s="183">
        <f t="shared" si="11"/>
        <v>13</v>
      </c>
      <c r="F68" s="241">
        <f t="shared" ca="1" si="12"/>
        <v>-1</v>
      </c>
      <c r="G68" s="185">
        <f ca="1">IFERROR(DelayQ(B68*C68/600,E68*((1-$H$7*VLOOKUP(A68,CURVAS_INTRA!$A$103:$AD$150,HLOOKUP($C$14,CURVAS_INTRA!$A$101:$AD$102,2,0),0))),$C$8,C68),0)</f>
        <v>0.79249999999999998</v>
      </c>
      <c r="H68" s="221">
        <v>0</v>
      </c>
      <c r="I68" s="221">
        <v>0</v>
      </c>
      <c r="J68" s="221">
        <v>2</v>
      </c>
      <c r="K68" s="221">
        <v>0</v>
      </c>
      <c r="L68" s="137">
        <f t="shared" si="22"/>
        <v>0</v>
      </c>
      <c r="M68" s="186">
        <f t="shared" si="32"/>
        <v>0</v>
      </c>
      <c r="N68" s="137">
        <f t="shared" si="33"/>
        <v>10</v>
      </c>
      <c r="O68" s="188">
        <f t="shared" ref="O68:O132" si="34">SUM(K20:K68)</f>
        <v>3</v>
      </c>
      <c r="P68" s="201">
        <f t="shared" ca="1" si="13"/>
        <v>0.67702393815028528</v>
      </c>
      <c r="Q68" s="202">
        <f t="shared" ca="1" si="14"/>
        <v>0.62866508542526489</v>
      </c>
      <c r="R68" s="174">
        <f t="shared" ca="1" si="15"/>
        <v>-54</v>
      </c>
      <c r="S68" s="339"/>
      <c r="T68" s="241">
        <f t="shared" ca="1" si="16"/>
        <v>-1</v>
      </c>
      <c r="U68" s="247">
        <f ca="1">IF(IFERROR(DelayQ(B68*C68/600,(S68/(1-$H$5))+E68*((1-$H$7)*VLOOKUP(A68,CURVAS_INTRA!$A$103:$AD$150,HLOOKUP($C$14,CURVAS_INTRA!$A$101:$AD$102,2,0),0)),$C$8,C68),0)=0,"",IFERROR(DelayQ(B68*C68/600,S68+E68*((1-$H$7)*VLOOKUP(A68,CURVAS_INTRA!$A$103:$AD$150,HLOOKUP($C$14,CURVAS_INTRA!$A$101:$AD$102,2,0),0)),$C$8,C68),0))</f>
        <v>0.79249999999999998</v>
      </c>
      <c r="V68" s="281">
        <f t="shared" ca="1" si="17"/>
        <v>0.79249999999999998</v>
      </c>
      <c r="W68" s="174">
        <f t="shared" si="20"/>
        <v>13</v>
      </c>
      <c r="X68" s="227">
        <v>0.33333333333333298</v>
      </c>
      <c r="Y68" s="220">
        <f t="shared" si="21"/>
        <v>13</v>
      </c>
      <c r="Z68" s="221">
        <f t="shared" si="23"/>
        <v>0</v>
      </c>
      <c r="AA68" s="221">
        <f t="shared" si="24"/>
        <v>0</v>
      </c>
      <c r="AB68" s="221">
        <f t="shared" si="25"/>
        <v>0</v>
      </c>
      <c r="AC68" s="221">
        <f t="shared" si="26"/>
        <v>0</v>
      </c>
      <c r="AD68" s="221">
        <f t="shared" si="27"/>
        <v>0</v>
      </c>
      <c r="AE68" s="221">
        <f t="shared" si="28"/>
        <v>0</v>
      </c>
      <c r="AF68" s="221">
        <f t="shared" si="29"/>
        <v>0</v>
      </c>
      <c r="AG68" s="222">
        <f>Y68-SUM(Z68:AF68)</f>
        <v>13</v>
      </c>
      <c r="AH68" s="222">
        <f>AG68+S68</f>
        <v>13</v>
      </c>
      <c r="AJ68" s="291">
        <f t="shared" ca="1" si="31"/>
        <v>11</v>
      </c>
      <c r="AK68" s="291">
        <f ca="1">IFERROR(ROUNDUP(IF(B68=0,0,Agents(B68*C68/600,$C$7,$C$8,C68))/(1-($J$12*(IFERROR(INDIRECT("CURVAS_INTRA!"&amp;ADDRESS(VLOOKUP($A68,CURVAS_INTRA!$A$103:$B$150,2,0),HLOOKUP($C$14,CURVAS_INTRA!$1:$2,2,0))),0)))),0),0)</f>
        <v>13</v>
      </c>
      <c r="AM68" s="488">
        <f t="shared" si="19"/>
        <v>2</v>
      </c>
      <c r="AN68" s="174"/>
      <c r="AO68" s="174"/>
      <c r="AP68" s="174"/>
      <c r="AQ68" s="174"/>
      <c r="AR68" s="174"/>
    </row>
    <row r="69" spans="1:44" ht="11.25" customHeight="1">
      <c r="A69" s="570">
        <v>0.34027777777777801</v>
      </c>
      <c r="B69" s="183">
        <f ca="1">IFERROR(INDIRECT("CURVAS_INTRA!"&amp;ADDRESS(VLOOKUP($A68,CURVAS_INTRA!$A$3:$B$50,2,0),HLOOKUP($C$14,CURVAS_INTRA!$1:$2,2,0)))/3*$C$5,$B$19)</f>
        <v>5.1499561728200653</v>
      </c>
      <c r="C69" s="183">
        <f ca="1">IFERROR(INDIRECT("CURVAS_INTRA!"&amp;ADDRESS(VLOOKUP($A69,CURVAS_INTRA!$A$53:$B$100,2,0),HLOOKUP($C$14,CURVAS_INTRA!$1:$2,2,0)))*$C$6,C68)</f>
        <v>835.87740387223232</v>
      </c>
      <c r="D69" s="183">
        <f ca="1">IFERROR(ROUNDUP(IF(B69=0,0,Agents(B69*C69/600,$C$7,$C$8,C69))/(1-($H$7*(IFERROR(INDIRECT("CURVAS_INTRA!"&amp;ADDRESS(VLOOKUP($A68,CURVAS_INTRA!$A$103:$B$150,2,0),HLOOKUP($C$14,CURVAS_INTRA!$1:$2,2,0))),0)))),0),0)</f>
        <v>14</v>
      </c>
      <c r="E69" s="183">
        <f t="shared" si="11"/>
        <v>13</v>
      </c>
      <c r="F69" s="241">
        <f t="shared" ca="1" si="12"/>
        <v>-1</v>
      </c>
      <c r="G69" s="185">
        <f ca="1">IFERROR(DelayQ(B69*C69/600,E69*((1-$H$7*VLOOKUP(A68,CURVAS_INTRA!$A$103:$AD$150,HLOOKUP($C$14,CURVAS_INTRA!$A$101:$AD$102,2,0),0))),$C$8,C69),0)</f>
        <v>0.79249999999999998</v>
      </c>
      <c r="H69" s="221">
        <v>0</v>
      </c>
      <c r="I69" s="221">
        <v>0</v>
      </c>
      <c r="J69" s="221">
        <v>0</v>
      </c>
      <c r="K69" s="221">
        <v>0</v>
      </c>
      <c r="L69" s="137">
        <f t="shared" si="22"/>
        <v>0</v>
      </c>
      <c r="M69" s="186">
        <f t="shared" si="32"/>
        <v>0</v>
      </c>
      <c r="N69" s="137">
        <f t="shared" si="33"/>
        <v>10</v>
      </c>
      <c r="O69" s="188">
        <f t="shared" si="34"/>
        <v>3</v>
      </c>
      <c r="P69" s="201">
        <f t="shared" ca="1" si="13"/>
        <v>0.67702393815028528</v>
      </c>
      <c r="Q69" s="202">
        <f t="shared" ca="1" si="14"/>
        <v>0.62866508542526489</v>
      </c>
      <c r="R69" s="174">
        <f t="shared" ca="1" si="15"/>
        <v>-54</v>
      </c>
      <c r="S69" s="339"/>
      <c r="T69" s="241">
        <f ca="1">S69+F69</f>
        <v>-1</v>
      </c>
      <c r="U69" s="247">
        <f ca="1">IF(IFERROR(DelayQ(B69*C69/600,(S69/(1-$H$5))+E69*((1-$H$7)*VLOOKUP(A68,CURVAS_INTRA!$A$103:$AD$150,HLOOKUP($C$14,CURVAS_INTRA!$A$101:$AD$102,2,0),0)),$C$8,C69),0)=0,"",IFERROR(DelayQ(B69*C69/600,S69+E69*((1-$H$7)*VLOOKUP(A68,CURVAS_INTRA!$A$103:$AD$150,HLOOKUP($C$14,CURVAS_INTRA!$A$101:$AD$102,2,0),0)),$C$8,C69),0))</f>
        <v>0.79249999999999998</v>
      </c>
      <c r="V69" s="281">
        <f t="shared" ca="1" si="17"/>
        <v>0.79249999999999998</v>
      </c>
      <c r="W69" s="174">
        <f t="shared" si="20"/>
        <v>13</v>
      </c>
      <c r="X69" s="227">
        <v>0.34027777777777801</v>
      </c>
      <c r="Y69" s="220">
        <f t="shared" si="21"/>
        <v>13</v>
      </c>
      <c r="Z69" s="221">
        <f t="shared" si="23"/>
        <v>0</v>
      </c>
      <c r="AA69" s="221">
        <f t="shared" si="24"/>
        <v>0</v>
      </c>
      <c r="AB69" s="221">
        <f t="shared" si="25"/>
        <v>0</v>
      </c>
      <c r="AC69" s="221">
        <f t="shared" si="26"/>
        <v>0</v>
      </c>
      <c r="AD69" s="221">
        <f t="shared" si="27"/>
        <v>0</v>
      </c>
      <c r="AE69" s="221">
        <f t="shared" si="28"/>
        <v>0</v>
      </c>
      <c r="AF69" s="221">
        <f t="shared" si="29"/>
        <v>0</v>
      </c>
      <c r="AG69" s="222">
        <f t="shared" si="18"/>
        <v>13</v>
      </c>
      <c r="AH69" s="222">
        <f t="shared" si="30"/>
        <v>13</v>
      </c>
      <c r="AJ69" s="291">
        <f t="shared" ca="1" si="31"/>
        <v>11</v>
      </c>
      <c r="AK69" s="291">
        <f ca="1">IFERROR(ROUNDUP(IF(B69=0,0,Agents(B69*C69/600,$C$7,$C$8,C69))/(1-($J$12*(IFERROR(INDIRECT("CURVAS_INTRA!"&amp;ADDRESS(VLOOKUP($A69,CURVAS_INTRA!$A$103:$B$150,2,0),HLOOKUP($C$14,CURVAS_INTRA!$1:$2,2,0))),0)+IFERROR(INDIRECT("CURVAS_INTRA!"&amp;ADDRESS(VLOOKUP($A68,CURVAS_INTRA!$A$103:$B$150,2,0),HLOOKUP($C$14,CURVAS_INTRA!$1:$2,2,0))),0)))),0),0)</f>
        <v>13</v>
      </c>
      <c r="AM69" s="488">
        <f t="shared" si="19"/>
        <v>0</v>
      </c>
      <c r="AN69" s="174"/>
      <c r="AO69" s="174"/>
      <c r="AP69" s="174"/>
      <c r="AQ69" s="174"/>
      <c r="AR69" s="174"/>
    </row>
    <row r="70" spans="1:44" ht="11.25" customHeight="1">
      <c r="A70" s="570">
        <v>0.34722222222222199</v>
      </c>
      <c r="B70" s="183">
        <f ca="1">IFERROR(INDIRECT("CURVAS_INTRA!"&amp;ADDRESS(VLOOKUP($A68,CURVAS_INTRA!$A$3:$B$50,2,0),HLOOKUP($C$14,CURVAS_INTRA!$1:$2,2,0)))/3*$C$5,B67)</f>
        <v>5.1499561728200653</v>
      </c>
      <c r="C70" s="183">
        <f ca="1">IFERROR(INDIRECT("CURVAS_INTRA!"&amp;ADDRESS(VLOOKUP($A70,CURVAS_INTRA!$A$53:$B$100,2,0),HLOOKUP($C$14,CURVAS_INTRA!$1:$2,2,0)))*$C$6,C69)</f>
        <v>835.87740387223232</v>
      </c>
      <c r="D70" s="183">
        <f ca="1">IFERROR(ROUNDUP(IF(B70=0,0,Agents(B70*C70/600,$C$7,$C$8,C70))/(1-($H$7*(IFERROR(INDIRECT("CURVAS_INTRA!"&amp;ADDRESS(VLOOKUP($A68,CURVAS_INTRA!$A$103:$B$150,2,0),HLOOKUP($C$14,CURVAS_INTRA!$1:$2,2,0))),0)))),0),0)</f>
        <v>14</v>
      </c>
      <c r="E70" s="183">
        <f t="shared" si="11"/>
        <v>13</v>
      </c>
      <c r="F70" s="241">
        <f t="shared" ca="1" si="12"/>
        <v>-1</v>
      </c>
      <c r="G70" s="185">
        <f ca="1">IFERROR(DelayQ(B70*C70/600,E70*((1-$H$7*VLOOKUP(A68,CURVAS_INTRA!$A$103:$AD$150,HLOOKUP($C$14,CURVAS_INTRA!$A$101:$AD$102,2,0),0))),$C$8,C70),0)</f>
        <v>0.79249999999999998</v>
      </c>
      <c r="H70" s="221">
        <v>0</v>
      </c>
      <c r="I70" s="221">
        <v>0</v>
      </c>
      <c r="J70" s="221">
        <v>0</v>
      </c>
      <c r="K70" s="221">
        <v>0</v>
      </c>
      <c r="L70" s="137">
        <f t="shared" si="22"/>
        <v>0</v>
      </c>
      <c r="M70" s="186">
        <f t="shared" si="32"/>
        <v>0</v>
      </c>
      <c r="N70" s="137">
        <f t="shared" si="33"/>
        <v>10</v>
      </c>
      <c r="O70" s="188">
        <f t="shared" si="34"/>
        <v>3</v>
      </c>
      <c r="P70" s="201">
        <f t="shared" ca="1" si="13"/>
        <v>0.67702393815028528</v>
      </c>
      <c r="Q70" s="202">
        <f t="shared" ca="1" si="14"/>
        <v>0.62866508542526489</v>
      </c>
      <c r="R70" s="174">
        <f t="shared" ca="1" si="15"/>
        <v>-52</v>
      </c>
      <c r="S70" s="339"/>
      <c r="T70" s="241">
        <f t="shared" ca="1" si="16"/>
        <v>-1</v>
      </c>
      <c r="U70" s="247">
        <f ca="1">IF(IFERROR(DelayQ(B70*C70/600,(S70/(1-$H$5))+E70*((1-$H$7)*VLOOKUP(A68,CURVAS_INTRA!$A$103:$AD$150,HLOOKUP($C$14,CURVAS_INTRA!$A$101:$AD$102,2,0),0)),$C$8,C70),0)=0,"",IFERROR(DelayQ(B70*C70/600,S70+E70*((1-$H$7)*VLOOKUP(A68,CURVAS_INTRA!$A$103:$AD$150,HLOOKUP($C$14,CURVAS_INTRA!$A$101:$AD$102,2,0),0)),$C$8,C70),0))</f>
        <v>0.79249999999999998</v>
      </c>
      <c r="V70" s="281">
        <f t="shared" ca="1" si="17"/>
        <v>0.79249999999999998</v>
      </c>
      <c r="W70" s="174">
        <f t="shared" si="20"/>
        <v>13</v>
      </c>
      <c r="X70" s="227">
        <v>0.34722222222222199</v>
      </c>
      <c r="Y70" s="220">
        <f t="shared" si="21"/>
        <v>13</v>
      </c>
      <c r="Z70" s="221">
        <f t="shared" si="23"/>
        <v>0</v>
      </c>
      <c r="AA70" s="221">
        <f t="shared" si="24"/>
        <v>0</v>
      </c>
      <c r="AB70" s="221">
        <f t="shared" si="25"/>
        <v>0</v>
      </c>
      <c r="AC70" s="221">
        <f t="shared" si="26"/>
        <v>0</v>
      </c>
      <c r="AD70" s="221">
        <f t="shared" si="27"/>
        <v>0</v>
      </c>
      <c r="AE70" s="221">
        <f t="shared" si="28"/>
        <v>0</v>
      </c>
      <c r="AF70" s="221">
        <f t="shared" si="29"/>
        <v>0</v>
      </c>
      <c r="AG70" s="222">
        <f t="shared" si="18"/>
        <v>13</v>
      </c>
      <c r="AH70" s="222">
        <f t="shared" si="30"/>
        <v>13</v>
      </c>
      <c r="AJ70" s="291">
        <f t="shared" ca="1" si="31"/>
        <v>11</v>
      </c>
      <c r="AK70" s="291">
        <f ca="1">IFERROR(ROUNDUP(IF(B70=0,0,Agents(B70*C70/600,$C$7,$C$8,C70))/(1-($J$12*(IFERROR(INDIRECT("CURVAS_INTRA!"&amp;ADDRESS(VLOOKUP($A70,CURVAS_INTRA!$A$103:$B$150,2,0),HLOOKUP($C$14,CURVAS_INTRA!$1:$2,2,0))),0)+IFERROR(INDIRECT("CURVAS_INTRA!"&amp;ADDRESS(VLOOKUP($A69,CURVAS_INTRA!$A$103:$B$150,2,0),HLOOKUP($C$14,CURVAS_INTRA!$1:$2,2,0))),0)+IFERROR(INDIRECT("CURVAS_INTRA!"&amp;ADDRESS(VLOOKUP($A68,CURVAS_INTRA!$A$103:$B$150,2,0),HLOOKUP($C$14,CURVAS_INTRA!$1:$2,2,0))),0)))),0),0)</f>
        <v>13</v>
      </c>
      <c r="AM70" s="488">
        <f t="shared" si="19"/>
        <v>0</v>
      </c>
      <c r="AN70" s="174"/>
      <c r="AO70" s="174"/>
      <c r="AP70" s="174"/>
      <c r="AQ70" s="174"/>
      <c r="AR70" s="174"/>
    </row>
    <row r="71" spans="1:44" ht="11.25" customHeight="1">
      <c r="A71" s="570">
        <v>0.35416666666666702</v>
      </c>
      <c r="B71" s="183">
        <f ca="1">IFERROR(INDIRECT("CURVAS_INTRA!"&amp;ADDRESS(VLOOKUP($A71,CURVAS_INTRA!$A$3:$B$50,2,0),HLOOKUP($C$14,CURVAS_INTRA!$1:$2,2,0)))/3*$C$5,$B$19)</f>
        <v>5.9491444761753796</v>
      </c>
      <c r="C71" s="183">
        <f ca="1">IFERROR(INDIRECT("CURVAS_INTRA!"&amp;ADDRESS(VLOOKUP($A71,CURVAS_INTRA!$A$53:$B$100,2,0),HLOOKUP($C$14,CURVAS_INTRA!$1:$2,2,0)))*$C$6,C70)</f>
        <v>926.26508089507684</v>
      </c>
      <c r="D71" s="183">
        <f ca="1">IFERROR(ROUNDUP(IF(B71=0,0,Agents(B71*C71/600,$C$7,$C$8,C71))/(1-($H$7*(IFERROR(INDIRECT("CURVAS_INTRA!"&amp;ADDRESS(VLOOKUP($A71,CURVAS_INTRA!$A$103:$B$150,2,0),HLOOKUP($C$14,CURVAS_INTRA!$1:$2,2,0))),0)))),0),0)</f>
        <v>16</v>
      </c>
      <c r="E71" s="183">
        <f>ROUNDUP(SUM(L71:O71),0)</f>
        <v>15</v>
      </c>
      <c r="F71" s="241">
        <f t="shared" ca="1" si="12"/>
        <v>-1</v>
      </c>
      <c r="G71" s="185">
        <f ca="1">IFERROR(DelayQ(B71*C71/600,E71*((1-$H$7*VLOOKUP(A71,CURVAS_INTRA!$A$103:$AD$150,HLOOKUP($C$14,CURVAS_INTRA!$A$101:$AD$102,2,0),0))),$C$8,C71),0)</f>
        <v>0.73480000000000001</v>
      </c>
      <c r="H71" s="221">
        <v>0</v>
      </c>
      <c r="I71" s="221">
        <v>0</v>
      </c>
      <c r="J71" s="221">
        <v>0</v>
      </c>
      <c r="K71" s="221">
        <v>2</v>
      </c>
      <c r="L71" s="137">
        <f t="shared" si="22"/>
        <v>0</v>
      </c>
      <c r="M71" s="186">
        <f t="shared" si="32"/>
        <v>0</v>
      </c>
      <c r="N71" s="183">
        <f>SUM(J34:J71)</f>
        <v>10</v>
      </c>
      <c r="O71" s="188">
        <f t="shared" si="34"/>
        <v>5</v>
      </c>
      <c r="P71" s="201">
        <f t="shared" ca="1" si="13"/>
        <v>0.75110353784618478</v>
      </c>
      <c r="Q71" s="202">
        <f t="shared" ca="1" si="14"/>
        <v>0.70415956673079838</v>
      </c>
      <c r="R71" s="174">
        <f t="shared" ca="1" si="15"/>
        <v>-48</v>
      </c>
      <c r="S71" s="339"/>
      <c r="T71" s="241">
        <f t="shared" ca="1" si="16"/>
        <v>-1</v>
      </c>
      <c r="U71" s="247">
        <f ca="1">IF(IFERROR(DelayQ(B71*C71/600,(S71/(1-$H$5))+E71*((1-$H$7)*VLOOKUP(A71,CURVAS_INTRA!$A$103:$AD$150,HLOOKUP($C$14,CURVAS_INTRA!$A$101:$AD$102,2,0),0)),$C$8,C71),0)=0,"",IFERROR(DelayQ(B71*C71/600,S71+E71*((1-$H$7)*VLOOKUP(A71,CURVAS_INTRA!$A$103:$AD$150,HLOOKUP($C$14,CURVAS_INTRA!$A$101:$AD$102,2,0),0)),$C$8,C71),0))</f>
        <v>0.73480000000000001</v>
      </c>
      <c r="V71" s="281">
        <f t="shared" ca="1" si="17"/>
        <v>0.73480000000000001</v>
      </c>
      <c r="W71" s="174">
        <f t="shared" si="20"/>
        <v>15</v>
      </c>
      <c r="X71" s="227">
        <v>0.35416666666666702</v>
      </c>
      <c r="Y71" s="220">
        <f t="shared" si="21"/>
        <v>15</v>
      </c>
      <c r="Z71" s="221">
        <f t="shared" si="23"/>
        <v>0</v>
      </c>
      <c r="AA71" s="221">
        <f t="shared" si="24"/>
        <v>0</v>
      </c>
      <c r="AB71" s="221">
        <f t="shared" si="25"/>
        <v>0</v>
      </c>
      <c r="AC71" s="221">
        <f t="shared" si="26"/>
        <v>0</v>
      </c>
      <c r="AD71" s="221">
        <f t="shared" si="27"/>
        <v>0</v>
      </c>
      <c r="AE71" s="221">
        <f t="shared" si="28"/>
        <v>0</v>
      </c>
      <c r="AF71" s="221">
        <f t="shared" si="29"/>
        <v>0</v>
      </c>
      <c r="AG71" s="222">
        <f t="shared" si="18"/>
        <v>15</v>
      </c>
      <c r="AH71" s="222">
        <f t="shared" si="30"/>
        <v>15</v>
      </c>
      <c r="AJ71" s="291">
        <f t="shared" ca="1" si="31"/>
        <v>13</v>
      </c>
      <c r="AK71" s="291">
        <f ca="1">IFERROR(ROUNDUP(IF(B71=0,0,Agents(B71*C71/600,$C$7,$C$8,C71))/(1-($J$12*(IFERROR(INDIRECT("CURVAS_INTRA!"&amp;ADDRESS(VLOOKUP($A71,CURVAS_INTRA!$A$103:$B$150,2,0),HLOOKUP($C$14,CURVAS_INTRA!$1:$2,2,0))),0)))),0),0)</f>
        <v>15</v>
      </c>
      <c r="AM71" s="488">
        <f t="shared" si="19"/>
        <v>2</v>
      </c>
      <c r="AN71" s="174"/>
      <c r="AO71" s="174"/>
      <c r="AP71" s="174"/>
      <c r="AQ71" s="174"/>
      <c r="AR71" s="174"/>
    </row>
    <row r="72" spans="1:44" ht="11.25" customHeight="1">
      <c r="A72" s="570">
        <v>0.36111111111111099</v>
      </c>
      <c r="B72" s="183">
        <f ca="1">IFERROR(INDIRECT("CURVAS_INTRA!"&amp;ADDRESS(VLOOKUP($A71,CURVAS_INTRA!$A$3:$B$50,2,0),HLOOKUP($C$14,CURVAS_INTRA!$1:$2,2,0)))/3*$C$5,$B$19)</f>
        <v>5.9491444761753796</v>
      </c>
      <c r="C72" s="183">
        <f ca="1">IFERROR(INDIRECT("CURVAS_INTRA!"&amp;ADDRESS(VLOOKUP($A72,CURVAS_INTRA!$A$53:$B$100,2,0),HLOOKUP($C$14,CURVAS_INTRA!$1:$2,2,0)))*$C$6,C71)</f>
        <v>926.26508089507684</v>
      </c>
      <c r="D72" s="183">
        <f ca="1">IFERROR(ROUNDUP(IF(B72=0,0,Agents(B72*C72/600,$C$7,$C$8,C72))/(1-($H$7*(IFERROR(INDIRECT("CURVAS_INTRA!"&amp;ADDRESS(VLOOKUP($A71,CURVAS_INTRA!$A$103:$B$150,2,0),HLOOKUP($C$14,CURVAS_INTRA!$1:$2,2,0))),0)))),0),0)</f>
        <v>16</v>
      </c>
      <c r="E72" s="183">
        <f t="shared" si="11"/>
        <v>15</v>
      </c>
      <c r="F72" s="241">
        <f t="shared" ca="1" si="12"/>
        <v>-1</v>
      </c>
      <c r="G72" s="185">
        <f ca="1">IFERROR(DelayQ(B72*C72/600,E72*((1-$H$7*VLOOKUP(A71,CURVAS_INTRA!$A$103:$AD$150,HLOOKUP($C$14,CURVAS_INTRA!$A$101:$AD$102,2,0),0))),$C$8,C72),0)</f>
        <v>0.73480000000000001</v>
      </c>
      <c r="H72" s="221">
        <v>0</v>
      </c>
      <c r="I72" s="221">
        <v>0</v>
      </c>
      <c r="J72" s="221">
        <v>0</v>
      </c>
      <c r="K72" s="221">
        <v>0</v>
      </c>
      <c r="L72" s="137">
        <f t="shared" si="22"/>
        <v>0</v>
      </c>
      <c r="M72" s="186">
        <f t="shared" si="32"/>
        <v>0</v>
      </c>
      <c r="N72" s="137">
        <f t="shared" si="33"/>
        <v>10</v>
      </c>
      <c r="O72" s="188">
        <f t="shared" si="34"/>
        <v>5</v>
      </c>
      <c r="P72" s="201">
        <f ca="1">IFERROR(IF((B72*C72)/(E72*600*(1-$H$7))&gt;1,1,(B72*C72)/(E72*600*(1-$H$7))),"")</f>
        <v>0.75110353784618478</v>
      </c>
      <c r="Q72" s="202">
        <f t="shared" ca="1" si="14"/>
        <v>0.70415956673079838</v>
      </c>
      <c r="R72" s="174">
        <f t="shared" ca="1" si="15"/>
        <v>-44</v>
      </c>
      <c r="S72" s="339"/>
      <c r="T72" s="241">
        <f t="shared" ca="1" si="16"/>
        <v>-1</v>
      </c>
      <c r="U72" s="247">
        <f ca="1">IF(IFERROR(DelayQ(B72*C72/600,(S72/(1-$H$5))+E72*((1-$H$7)*VLOOKUP(A71,CURVAS_INTRA!$A$103:$AD$150,HLOOKUP($C$14,CURVAS_INTRA!$A$101:$AD$102,2,0),0)),$C$8,C72),0)=0,"",IFERROR(DelayQ(B72*C72/600,S72+E72*((1-$H$7)*VLOOKUP(A71,CURVAS_INTRA!$A$103:$AD$150,HLOOKUP($C$14,CURVAS_INTRA!$A$101:$AD$102,2,0),0)),$C$8,C72),0))</f>
        <v>0.73480000000000001</v>
      </c>
      <c r="V72" s="281">
        <f t="shared" ca="1" si="17"/>
        <v>0.73480000000000001</v>
      </c>
      <c r="W72" s="174">
        <f t="shared" si="20"/>
        <v>15</v>
      </c>
      <c r="X72" s="227">
        <v>0.36111111111111099</v>
      </c>
      <c r="Y72" s="220">
        <f t="shared" si="21"/>
        <v>15</v>
      </c>
      <c r="Z72" s="221">
        <f t="shared" si="23"/>
        <v>0</v>
      </c>
      <c r="AA72" s="221">
        <f t="shared" si="24"/>
        <v>0</v>
      </c>
      <c r="AB72" s="221">
        <f t="shared" si="25"/>
        <v>0</v>
      </c>
      <c r="AC72" s="221">
        <f t="shared" si="26"/>
        <v>0</v>
      </c>
      <c r="AD72" s="221">
        <f t="shared" si="27"/>
        <v>0</v>
      </c>
      <c r="AE72" s="221">
        <f t="shared" si="28"/>
        <v>0</v>
      </c>
      <c r="AF72" s="221">
        <f t="shared" si="29"/>
        <v>0</v>
      </c>
      <c r="AG72" s="222">
        <f t="shared" si="18"/>
        <v>15</v>
      </c>
      <c r="AH72" s="222">
        <f t="shared" si="30"/>
        <v>15</v>
      </c>
      <c r="AJ72" s="291">
        <f t="shared" ca="1" si="31"/>
        <v>13</v>
      </c>
      <c r="AK72" s="291">
        <f ca="1">IFERROR(ROUNDUP(IF(B72=0,0,Agents(B72*C72/600,$C$7,$C$8,C72))/(1-($J$12*(IFERROR(INDIRECT("CURVAS_INTRA!"&amp;ADDRESS(VLOOKUP($A72,CURVAS_INTRA!$A$103:$B$150,2,0),HLOOKUP($C$14,CURVAS_INTRA!$1:$2,2,0))),0)+IFERROR(INDIRECT("CURVAS_INTRA!"&amp;ADDRESS(VLOOKUP($A71,CURVAS_INTRA!$A$103:$B$150,2,0),HLOOKUP($C$14,CURVAS_INTRA!$1:$2,2,0))),0)))),0),0)</f>
        <v>15</v>
      </c>
      <c r="AM72" s="488">
        <f t="shared" si="19"/>
        <v>0</v>
      </c>
      <c r="AN72" s="174"/>
      <c r="AO72" s="174"/>
      <c r="AP72" s="174"/>
      <c r="AQ72" s="174"/>
      <c r="AR72" s="174"/>
    </row>
    <row r="73" spans="1:44" ht="11.25" customHeight="1">
      <c r="A73" s="570">
        <v>0.36805555555555602</v>
      </c>
      <c r="B73" s="183">
        <f ca="1">IFERROR(INDIRECT("CURVAS_INTRA!"&amp;ADDRESS(VLOOKUP($A71,CURVAS_INTRA!$A$3:$B$50,2,0),HLOOKUP($C$14,CURVAS_INTRA!$1:$2,2,0)))/3*$C$5,B70)</f>
        <v>5.9491444761753796</v>
      </c>
      <c r="C73" s="183">
        <f ca="1">IFERROR(INDIRECT("CURVAS_INTRA!"&amp;ADDRESS(VLOOKUP($A73,CURVAS_INTRA!$A$53:$B$100,2,0),HLOOKUP($C$14,CURVAS_INTRA!$1:$2,2,0)))*$C$6,C72)</f>
        <v>926.26508089507684</v>
      </c>
      <c r="D73" s="183">
        <f ca="1">IFERROR(ROUNDUP(IF(B73=0,0,Agents(B73*C73/600,$C$7,$C$8,C73))/(1-($H$7*(IFERROR(INDIRECT("CURVAS_INTRA!"&amp;ADDRESS(VLOOKUP($A71,CURVAS_INTRA!$A$103:$B$150,2,0),HLOOKUP($C$14,CURVAS_INTRA!$1:$2,2,0))),0)))),0),0)</f>
        <v>16</v>
      </c>
      <c r="E73" s="183">
        <f t="shared" si="11"/>
        <v>15</v>
      </c>
      <c r="F73" s="241">
        <f t="shared" ca="1" si="12"/>
        <v>-1</v>
      </c>
      <c r="G73" s="185">
        <f ca="1">IFERROR(DelayQ(B73*C73/600,E73*((1-$H$7*VLOOKUP(A71,CURVAS_INTRA!$A$103:$AD$150,HLOOKUP($C$14,CURVAS_INTRA!$A$101:$AD$102,2,0),0))),$C$8,C73),0)</f>
        <v>0.73480000000000001</v>
      </c>
      <c r="H73" s="221">
        <v>0</v>
      </c>
      <c r="I73" s="221">
        <v>0</v>
      </c>
      <c r="J73" s="221">
        <v>0</v>
      </c>
      <c r="K73" s="221">
        <v>0</v>
      </c>
      <c r="L73" s="137">
        <f t="shared" si="22"/>
        <v>0</v>
      </c>
      <c r="M73" s="186">
        <f t="shared" si="32"/>
        <v>0</v>
      </c>
      <c r="N73" s="137">
        <f t="shared" si="33"/>
        <v>10</v>
      </c>
      <c r="O73" s="188">
        <f t="shared" si="34"/>
        <v>5</v>
      </c>
      <c r="P73" s="201">
        <f ca="1">IFERROR(IF((B73*C73)/(E73*600*(1-$H$7))&gt;1,1,(B73*C73)/(E73*600*(1-$H$7))),"")</f>
        <v>0.75110353784618478</v>
      </c>
      <c r="Q73" s="202">
        <f t="shared" ca="1" si="14"/>
        <v>0.70415956673079838</v>
      </c>
      <c r="R73" s="174">
        <f t="shared" ca="1" si="15"/>
        <v>-42</v>
      </c>
      <c r="S73" s="339"/>
      <c r="T73" s="241">
        <f t="shared" ca="1" si="16"/>
        <v>-1</v>
      </c>
      <c r="U73" s="247">
        <f ca="1">IF(IFERROR(DelayQ(B73*C73/600,(S73/(1-$H$5))+E73*((1-$H$7)*VLOOKUP(A71,CURVAS_INTRA!$A$103:$AD$150,HLOOKUP($C$14,CURVAS_INTRA!$A$101:$AD$102,2,0),0)),$C$8,C73),0)=0,"",IFERROR(DelayQ(B73*C73/600,S73+E73*((1-$H$7)*VLOOKUP(A71,CURVAS_INTRA!$A$103:$AD$150,HLOOKUP($C$14,CURVAS_INTRA!$A$101:$AD$102,2,0),0)),$C$8,C73),0))</f>
        <v>0.73480000000000001</v>
      </c>
      <c r="V73" s="281">
        <f t="shared" ca="1" si="17"/>
        <v>0.73480000000000001</v>
      </c>
      <c r="W73" s="174">
        <f t="shared" si="20"/>
        <v>15</v>
      </c>
      <c r="X73" s="227">
        <v>0.36805555555555602</v>
      </c>
      <c r="Y73" s="220">
        <f t="shared" si="21"/>
        <v>15</v>
      </c>
      <c r="Z73" s="221">
        <f t="shared" si="23"/>
        <v>0</v>
      </c>
      <c r="AA73" s="221">
        <f t="shared" si="24"/>
        <v>0</v>
      </c>
      <c r="AB73" s="221">
        <f t="shared" si="25"/>
        <v>0</v>
      </c>
      <c r="AC73" s="221">
        <f t="shared" si="26"/>
        <v>0</v>
      </c>
      <c r="AD73" s="221">
        <f t="shared" si="27"/>
        <v>0</v>
      </c>
      <c r="AE73" s="221">
        <f t="shared" si="28"/>
        <v>0</v>
      </c>
      <c r="AF73" s="221">
        <f t="shared" si="29"/>
        <v>0</v>
      </c>
      <c r="AG73" s="222">
        <f t="shared" si="18"/>
        <v>15</v>
      </c>
      <c r="AH73" s="222">
        <f t="shared" si="30"/>
        <v>15</v>
      </c>
      <c r="AJ73" s="291">
        <f t="shared" ca="1" si="31"/>
        <v>13</v>
      </c>
      <c r="AK73" s="291">
        <f ca="1">IFERROR(ROUNDUP(IF(B73=0,0,Agents(B73*C73/600,$C$7,$C$8,C73))/(1-($J$12*(IFERROR(INDIRECT("CURVAS_INTRA!"&amp;ADDRESS(VLOOKUP($A73,CURVAS_INTRA!$A$103:$B$150,2,0),HLOOKUP($C$14,CURVAS_INTRA!$1:$2,2,0))),0)+IFERROR(INDIRECT("CURVAS_INTRA!"&amp;ADDRESS(VLOOKUP($A72,CURVAS_INTRA!$A$103:$B$150,2,0),HLOOKUP($C$14,CURVAS_INTRA!$1:$2,2,0))),0)+IFERROR(INDIRECT("CURVAS_INTRA!"&amp;ADDRESS(VLOOKUP($A71,CURVAS_INTRA!$A$103:$B$150,2,0),HLOOKUP($C$14,CURVAS_INTRA!$1:$2,2,0))),0)))),0),0)</f>
        <v>15</v>
      </c>
      <c r="AM73" s="488">
        <f t="shared" si="19"/>
        <v>0</v>
      </c>
      <c r="AN73" s="174"/>
      <c r="AO73" s="174"/>
      <c r="AP73" s="174"/>
      <c r="AQ73" s="174"/>
      <c r="AR73" s="174"/>
    </row>
    <row r="74" spans="1:44" ht="11.25" customHeight="1">
      <c r="A74" s="570">
        <v>0.375</v>
      </c>
      <c r="B74" s="183">
        <f ca="1">IFERROR(INDIRECT("CURVAS_INTRA!"&amp;ADDRESS(VLOOKUP($A74,CURVAS_INTRA!$A$3:$B$50,2,0),HLOOKUP($C$14,CURVAS_INTRA!$1:$2,2,0)))/3*$C$5,$B$19)</f>
        <v>7.1114844872449101</v>
      </c>
      <c r="C74" s="345">
        <f ca="1">IFERROR(INDIRECT("CURVAS_INTRA!"&amp;ADDRESS(VLOOKUP($A74,CURVAS_INTRA!$A$53:$B$100,2,0),HLOOKUP($C$14,CURVAS_INTRA!$1:$2,2,0)))*$C$6,C73)</f>
        <v>891.92827910346568</v>
      </c>
      <c r="D74" s="183">
        <f ca="1">IFERROR(ROUNDUP(IF(B74=0,0,Agents(B74*C74/600,$C$7,$C$8,C74))/(1-($H$7*(IFERROR(INDIRECT("CURVAS_INTRA!"&amp;ADDRESS(VLOOKUP($A74,CURVAS_INTRA!$A$103:$B$150,2,0),HLOOKUP($C$14,CURVAS_INTRA!$1:$2,2,0))),0)))),0),0)</f>
        <v>19</v>
      </c>
      <c r="E74" s="345">
        <f t="shared" si="11"/>
        <v>17</v>
      </c>
      <c r="F74" s="346">
        <f t="shared" ca="1" si="12"/>
        <v>-2</v>
      </c>
      <c r="G74" s="185">
        <f ca="1">IFERROR(DelayQ(B74*C74/600,E74*((1-$H$7*VLOOKUP(A74,CURVAS_INTRA!$A$103:$AD$150,HLOOKUP($C$14,CURVAS_INTRA!$A$101:$AD$102,2,0),0))),$C$8,C74),0)</f>
        <v>0.69589999999999996</v>
      </c>
      <c r="H74" s="221">
        <v>0</v>
      </c>
      <c r="I74" s="221">
        <v>0</v>
      </c>
      <c r="J74" s="221">
        <v>2</v>
      </c>
      <c r="K74" s="221">
        <v>0</v>
      </c>
      <c r="L74" s="137">
        <f t="shared" si="22"/>
        <v>0</v>
      </c>
      <c r="M74" s="186">
        <f t="shared" si="32"/>
        <v>0</v>
      </c>
      <c r="N74" s="137">
        <f t="shared" si="33"/>
        <v>12</v>
      </c>
      <c r="O74" s="188">
        <f t="shared" si="34"/>
        <v>5</v>
      </c>
      <c r="P74" s="201">
        <f t="shared" ca="1" si="13"/>
        <v>0.76285595022101083</v>
      </c>
      <c r="Q74" s="202">
        <f t="shared" ca="1" si="14"/>
        <v>0.68255532388195705</v>
      </c>
      <c r="R74" s="174">
        <f t="shared" ca="1" si="15"/>
        <v>-43</v>
      </c>
      <c r="S74" s="339"/>
      <c r="T74" s="241">
        <f t="shared" ca="1" si="16"/>
        <v>-2</v>
      </c>
      <c r="U74" s="247">
        <f ca="1">IF(IFERROR(DelayQ(B74*C74/600,(S74/(1-$H$5))+E74*((1-$H$7)*VLOOKUP(A74,CURVAS_INTRA!$A$103:$AD$150,HLOOKUP($C$14,CURVAS_INTRA!$A$101:$AD$102,2,0),0)),$C$8,C74),0)=0,"",IFERROR(DelayQ(B74*C74/600,S74+E74*((1-$H$7)*VLOOKUP(A74,CURVAS_INTRA!$A$103:$AD$150,HLOOKUP($C$14,CURVAS_INTRA!$A$101:$AD$102,2,0),0)),$C$8,C74),0))</f>
        <v>0.69589999999999996</v>
      </c>
      <c r="V74" s="281">
        <f t="shared" ca="1" si="17"/>
        <v>0.69589999999999996</v>
      </c>
      <c r="W74" s="174">
        <f t="shared" si="20"/>
        <v>17</v>
      </c>
      <c r="X74" s="227">
        <v>0.375</v>
      </c>
      <c r="Y74" s="220">
        <f t="shared" si="21"/>
        <v>17</v>
      </c>
      <c r="Z74" s="221">
        <f t="shared" si="23"/>
        <v>0</v>
      </c>
      <c r="AA74" s="221">
        <f t="shared" si="24"/>
        <v>0</v>
      </c>
      <c r="AB74" s="221">
        <f t="shared" si="25"/>
        <v>0</v>
      </c>
      <c r="AC74" s="221">
        <f t="shared" si="26"/>
        <v>0</v>
      </c>
      <c r="AD74" s="221">
        <f t="shared" si="27"/>
        <v>0</v>
      </c>
      <c r="AE74" s="221">
        <f t="shared" si="28"/>
        <v>0</v>
      </c>
      <c r="AF74" s="221">
        <f t="shared" si="29"/>
        <v>0</v>
      </c>
      <c r="AG74" s="222">
        <f t="shared" si="18"/>
        <v>17</v>
      </c>
      <c r="AH74" s="222">
        <f t="shared" si="30"/>
        <v>17</v>
      </c>
      <c r="AJ74" s="291">
        <f t="shared" ca="1" si="31"/>
        <v>15</v>
      </c>
      <c r="AK74" s="291">
        <f ca="1">IFERROR(ROUNDUP(IF(B74=0,0,Agents(B74*C74/600,$C$7,$C$8,C74))/(1-($J$12*(IFERROR(INDIRECT("CURVAS_INTRA!"&amp;ADDRESS(VLOOKUP($A74,CURVAS_INTRA!$A$103:$B$150,2,0),HLOOKUP($C$14,CURVAS_INTRA!$1:$2,2,0))),0)))),0),0)</f>
        <v>17</v>
      </c>
      <c r="AM74" s="488">
        <f t="shared" si="19"/>
        <v>2</v>
      </c>
      <c r="AN74" s="174"/>
      <c r="AO74" s="174"/>
      <c r="AP74" s="174"/>
      <c r="AQ74" s="174"/>
      <c r="AR74" s="174"/>
    </row>
    <row r="75" spans="1:44" ht="11.25" customHeight="1">
      <c r="A75" s="570">
        <v>0.38194444444444398</v>
      </c>
      <c r="B75" s="183">
        <f ca="1">IFERROR(INDIRECT("CURVAS_INTRA!"&amp;ADDRESS(VLOOKUP($A74,CURVAS_INTRA!$A$3:$B$50,2,0),HLOOKUP($C$14,CURVAS_INTRA!$1:$2,2,0)))/3*$C$5,$B$19)</f>
        <v>7.1114844872449101</v>
      </c>
      <c r="C75" s="345">
        <f ca="1">IFERROR(INDIRECT("CURVAS_INTRA!"&amp;ADDRESS(VLOOKUP($A75,CURVAS_INTRA!$A$53:$B$100,2,0),HLOOKUP($C$14,CURVAS_INTRA!$1:$2,2,0)))*$C$6,C74)</f>
        <v>891.92827910346568</v>
      </c>
      <c r="D75" s="183">
        <f ca="1">IFERROR(ROUNDUP(IF(B75=0,0,Agents(B75*C75/600,$C$7,$C$8,C75))/(1-($H$7*(IFERROR(INDIRECT("CURVAS_INTRA!"&amp;ADDRESS(VLOOKUP($A74,CURVAS_INTRA!$A$103:$B$150,2,0),HLOOKUP($C$14,CURVAS_INTRA!$1:$2,2,0))),0)))),0),0)</f>
        <v>19</v>
      </c>
      <c r="E75" s="345">
        <f t="shared" si="11"/>
        <v>17</v>
      </c>
      <c r="F75" s="346">
        <f t="shared" ca="1" si="12"/>
        <v>-2</v>
      </c>
      <c r="G75" s="185">
        <f ca="1">IFERROR(DelayQ(B75*C75/600,E75*((1-$H$7*VLOOKUP(A74,CURVAS_INTRA!$A$103:$AD$150,HLOOKUP($C$14,CURVAS_INTRA!$A$101:$AD$102,2,0),0))),$C$8,C75),0)</f>
        <v>0.69589999999999996</v>
      </c>
      <c r="H75" s="221">
        <v>0</v>
      </c>
      <c r="I75" s="221">
        <v>0</v>
      </c>
      <c r="J75" s="221">
        <v>0</v>
      </c>
      <c r="K75" s="221">
        <v>0</v>
      </c>
      <c r="L75" s="137">
        <f t="shared" si="22"/>
        <v>0</v>
      </c>
      <c r="M75" s="186">
        <f t="shared" si="32"/>
        <v>0</v>
      </c>
      <c r="N75" s="137">
        <f t="shared" si="33"/>
        <v>12</v>
      </c>
      <c r="O75" s="188">
        <f t="shared" si="34"/>
        <v>5</v>
      </c>
      <c r="P75" s="201">
        <f t="shared" ca="1" si="13"/>
        <v>0.76285595022101083</v>
      </c>
      <c r="Q75" s="202">
        <f t="shared" ca="1" si="14"/>
        <v>0.68255532388195705</v>
      </c>
      <c r="R75" s="174">
        <f t="shared" ca="1" si="15"/>
        <v>-45</v>
      </c>
      <c r="S75" s="339"/>
      <c r="T75" s="241">
        <f t="shared" ca="1" si="16"/>
        <v>-2</v>
      </c>
      <c r="U75" s="247">
        <f ca="1">IF(IFERROR(DelayQ(B75*C75/600,(S75/(1-$H$5))+E75*((1-$H$7)*VLOOKUP(A74,CURVAS_INTRA!$A$103:$AD$150,HLOOKUP($C$14,CURVAS_INTRA!$A$101:$AD$102,2,0),0)),$C$8,C75),0)=0,"",IFERROR(DelayQ(B75*C75/600,S75+E75*((1-$H$7)*VLOOKUP(A74,CURVAS_INTRA!$A$103:$AD$150,HLOOKUP($C$14,CURVAS_INTRA!$A$101:$AD$102,2,0),0)),$C$8,C75),0))</f>
        <v>0.69589999999999996</v>
      </c>
      <c r="V75" s="281">
        <f t="shared" ca="1" si="17"/>
        <v>0.69589999999999996</v>
      </c>
      <c r="W75" s="174">
        <f t="shared" si="20"/>
        <v>17</v>
      </c>
      <c r="X75" s="227">
        <v>0.38194444444444398</v>
      </c>
      <c r="Y75" s="220">
        <f t="shared" si="21"/>
        <v>17</v>
      </c>
      <c r="Z75" s="221">
        <f t="shared" si="23"/>
        <v>0</v>
      </c>
      <c r="AA75" s="221">
        <f t="shared" si="24"/>
        <v>0</v>
      </c>
      <c r="AB75" s="221">
        <f t="shared" si="25"/>
        <v>0</v>
      </c>
      <c r="AC75" s="221">
        <f t="shared" si="26"/>
        <v>0</v>
      </c>
      <c r="AD75" s="221">
        <f t="shared" si="27"/>
        <v>0</v>
      </c>
      <c r="AE75" s="221">
        <f t="shared" si="28"/>
        <v>0</v>
      </c>
      <c r="AF75" s="221">
        <f t="shared" si="29"/>
        <v>0</v>
      </c>
      <c r="AG75" s="222">
        <f t="shared" si="18"/>
        <v>17</v>
      </c>
      <c r="AH75" s="222">
        <f t="shared" si="30"/>
        <v>17</v>
      </c>
      <c r="AJ75" s="291">
        <f t="shared" ca="1" si="31"/>
        <v>15</v>
      </c>
      <c r="AK75" s="291">
        <f ca="1">IFERROR(ROUNDUP(IF(B75=0,0,Agents(B75*C75/600,$C$7,$C$8,C75))/(1-($J$12*(IFERROR(INDIRECT("CURVAS_INTRA!"&amp;ADDRESS(VLOOKUP($A75,CURVAS_INTRA!$A$103:$B$150,2,0),HLOOKUP($C$14,CURVAS_INTRA!$1:$2,2,0))),0)+IFERROR(INDIRECT("CURVAS_INTRA!"&amp;ADDRESS(VLOOKUP($A74,CURVAS_INTRA!$A$103:$B$150,2,0),HLOOKUP($C$14,CURVAS_INTRA!$1:$2,2,0))),0)))),0),0)</f>
        <v>17</v>
      </c>
      <c r="AM75" s="488">
        <f t="shared" si="19"/>
        <v>0</v>
      </c>
      <c r="AN75" s="174"/>
      <c r="AO75" s="174"/>
      <c r="AP75" s="174"/>
      <c r="AQ75" s="174"/>
      <c r="AR75" s="174"/>
    </row>
    <row r="76" spans="1:44" ht="11.25" customHeight="1">
      <c r="A76" s="570">
        <v>0.38888888888888901</v>
      </c>
      <c r="B76" s="183">
        <f ca="1">IFERROR(INDIRECT("CURVAS_INTRA!"&amp;ADDRESS(VLOOKUP($A74,CURVAS_INTRA!$A$3:$B$50,2,0),HLOOKUP($C$14,CURVAS_INTRA!$1:$2,2,0)))/3*$C$5,B73)</f>
        <v>7.1114844872449101</v>
      </c>
      <c r="C76" s="345">
        <f ca="1">IFERROR(INDIRECT("CURVAS_INTRA!"&amp;ADDRESS(VLOOKUP($A76,CURVAS_INTRA!$A$53:$B$100,2,0),HLOOKUP($C$14,CURVAS_INTRA!$1:$2,2,0)))*$C$6,C75)</f>
        <v>891.92827910346568</v>
      </c>
      <c r="D76" s="183">
        <f ca="1">IFERROR(ROUNDUP(IF(B76=0,0,Agents(B76*C76/600,$C$7,$C$8,C76))/(1-($H$7*(IFERROR(INDIRECT("CURVAS_INTRA!"&amp;ADDRESS(VLOOKUP($A74,CURVAS_INTRA!$A$103:$B$150,2,0),HLOOKUP($C$14,CURVAS_INTRA!$1:$2,2,0))),0)))),0),0)</f>
        <v>19</v>
      </c>
      <c r="E76" s="345">
        <f t="shared" si="11"/>
        <v>17</v>
      </c>
      <c r="F76" s="346">
        <f t="shared" ca="1" si="12"/>
        <v>-2</v>
      </c>
      <c r="G76" s="185">
        <f ca="1">IFERROR(DelayQ(B76*C76/600,E76*((1-$H$7*VLOOKUP(A74,CURVAS_INTRA!$A$103:$AD$150,HLOOKUP($C$14,CURVAS_INTRA!$A$101:$AD$102,2,0),0))),$C$8,C76),0)</f>
        <v>0.69589999999999996</v>
      </c>
      <c r="H76" s="221">
        <v>0</v>
      </c>
      <c r="I76" s="221">
        <v>0</v>
      </c>
      <c r="J76" s="221">
        <v>0</v>
      </c>
      <c r="K76" s="221">
        <v>0</v>
      </c>
      <c r="L76" s="137">
        <f t="shared" si="22"/>
        <v>0</v>
      </c>
      <c r="M76" s="186">
        <f t="shared" si="32"/>
        <v>0</v>
      </c>
      <c r="N76" s="137">
        <f t="shared" si="33"/>
        <v>12</v>
      </c>
      <c r="O76" s="188">
        <f t="shared" si="34"/>
        <v>5</v>
      </c>
      <c r="P76" s="201">
        <f ca="1">IFERROR(IF((B76*C76)/(E76*600*(1-$H$7))&gt;1,1,(B76*C76)/(E76*600*(1-$H$7))),"")</f>
        <v>0.76285595022101083</v>
      </c>
      <c r="Q76" s="202">
        <f t="shared" ca="1" si="14"/>
        <v>0.68255532388195705</v>
      </c>
      <c r="R76" s="174">
        <f t="shared" ca="1" si="15"/>
        <v>-45</v>
      </c>
      <c r="S76" s="339"/>
      <c r="T76" s="241">
        <f t="shared" ca="1" si="16"/>
        <v>-2</v>
      </c>
      <c r="U76" s="247">
        <f ca="1">IF(IFERROR(DelayQ(B76*C76/600,(S76/(1-$H$5))+E76*((1-$H$7)*VLOOKUP(A74,CURVAS_INTRA!$A$103:$AD$150,HLOOKUP($C$14,CURVAS_INTRA!$A$101:$AD$102,2,0),0)),$C$8,C76),0)=0,"",IFERROR(DelayQ(B76*C76/600,S76+E76*((1-$H$7)*VLOOKUP(A74,CURVAS_INTRA!$A$103:$AD$150,HLOOKUP($C$14,CURVAS_INTRA!$A$101:$AD$102,2,0),0)),$C$8,C76),0))</f>
        <v>0.69589999999999996</v>
      </c>
      <c r="V76" s="281">
        <f t="shared" ca="1" si="17"/>
        <v>0.69589999999999996</v>
      </c>
      <c r="W76" s="174">
        <f t="shared" si="20"/>
        <v>17</v>
      </c>
      <c r="X76" s="227">
        <v>0.38888888888888901</v>
      </c>
      <c r="Y76" s="220">
        <f t="shared" si="21"/>
        <v>17</v>
      </c>
      <c r="Z76" s="221">
        <f t="shared" si="23"/>
        <v>0</v>
      </c>
      <c r="AA76" s="221">
        <f t="shared" si="24"/>
        <v>0</v>
      </c>
      <c r="AB76" s="221">
        <f t="shared" si="25"/>
        <v>0</v>
      </c>
      <c r="AC76" s="221">
        <f t="shared" si="26"/>
        <v>0</v>
      </c>
      <c r="AD76" s="221">
        <f t="shared" si="27"/>
        <v>0</v>
      </c>
      <c r="AE76" s="221">
        <f t="shared" si="28"/>
        <v>0</v>
      </c>
      <c r="AF76" s="221">
        <f t="shared" si="29"/>
        <v>0</v>
      </c>
      <c r="AG76" s="222">
        <f t="shared" si="18"/>
        <v>17</v>
      </c>
      <c r="AH76" s="222">
        <f t="shared" si="30"/>
        <v>17</v>
      </c>
      <c r="AJ76" s="291">
        <f t="shared" ca="1" si="31"/>
        <v>15</v>
      </c>
      <c r="AK76" s="291">
        <f ca="1">IFERROR(ROUNDUP(IF(B76=0,0,Agents(B76*C76/600,$C$7,$C$8,C76))/(1-($J$12*(IFERROR(INDIRECT("CURVAS_INTRA!"&amp;ADDRESS(VLOOKUP($A76,CURVAS_INTRA!$A$103:$B$150,2,0),HLOOKUP($C$14,CURVAS_INTRA!$1:$2,2,0))),0)+IFERROR(INDIRECT("CURVAS_INTRA!"&amp;ADDRESS(VLOOKUP($A75,CURVAS_INTRA!$A$103:$B$150,2,0),HLOOKUP($C$14,CURVAS_INTRA!$1:$2,2,0))),0)+IFERROR(INDIRECT("CURVAS_INTRA!"&amp;ADDRESS(VLOOKUP($A74,CURVAS_INTRA!$A$103:$B$150,2,0),HLOOKUP($C$14,CURVAS_INTRA!$1:$2,2,0))),0)))),0),0)</f>
        <v>17</v>
      </c>
      <c r="AM76" s="488">
        <f t="shared" si="19"/>
        <v>0</v>
      </c>
      <c r="AN76" s="174"/>
      <c r="AO76" s="174"/>
      <c r="AP76" s="174"/>
      <c r="AQ76" s="174"/>
      <c r="AR76" s="174"/>
    </row>
    <row r="77" spans="1:44" ht="11.25" customHeight="1">
      <c r="A77" s="570">
        <v>0.39583333333333298</v>
      </c>
      <c r="B77" s="183">
        <f ca="1">IFERROR(INDIRECT("CURVAS_INTRA!"&amp;ADDRESS(VLOOKUP($A77,CURVAS_INTRA!$A$3:$B$50,2,0),HLOOKUP($C$14,CURVAS_INTRA!$1:$2,2,0)))/3*$C$5,$B$19)</f>
        <v>7.954818528670919</v>
      </c>
      <c r="C77" s="345">
        <f ca="1">IFERROR(INDIRECT("CURVAS_INTRA!"&amp;ADDRESS(VLOOKUP($A77,CURVAS_INTRA!$A$53:$B$100,2,0),HLOOKUP($C$14,CURVAS_INTRA!$1:$2,2,0)))*$C$6,C76)</f>
        <v>909.90093398804152</v>
      </c>
      <c r="D77" s="183">
        <f ca="1">IFERROR(ROUNDUP(IF(B77=0,0,Agents(B77*C77/600,$C$7,$C$8,C77))/(1-($H$7*(IFERROR(INDIRECT("CURVAS_INTRA!"&amp;ADDRESS(VLOOKUP($A77,CURVAS_INTRA!$A$103:$B$150,2,0),HLOOKUP($C$14,CURVAS_INTRA!$1:$2,2,0))),0)))),0),0)</f>
        <v>20</v>
      </c>
      <c r="E77" s="345">
        <f t="shared" si="11"/>
        <v>19</v>
      </c>
      <c r="F77" s="346">
        <f t="shared" ca="1" si="12"/>
        <v>-1</v>
      </c>
      <c r="G77" s="185">
        <f ca="1">IFERROR(DelayQ(B77*C77/600,E77*((1-$H$7*VLOOKUP(A77,CURVAS_INTRA!$A$103:$AD$150,HLOOKUP($C$14,CURVAS_INTRA!$A$101:$AD$102,2,0),0))),$C$8,C77),0)</f>
        <v>0.71919999999999995</v>
      </c>
      <c r="H77" s="221">
        <v>0</v>
      </c>
      <c r="I77" s="221">
        <v>0</v>
      </c>
      <c r="J77" s="221">
        <v>2</v>
      </c>
      <c r="K77" s="221">
        <v>0</v>
      </c>
      <c r="L77" s="137">
        <f t="shared" si="22"/>
        <v>0</v>
      </c>
      <c r="M77" s="186">
        <f t="shared" si="32"/>
        <v>0</v>
      </c>
      <c r="N77" s="137">
        <f t="shared" si="33"/>
        <v>14</v>
      </c>
      <c r="O77" s="188">
        <f t="shared" si="34"/>
        <v>5</v>
      </c>
      <c r="P77" s="201">
        <f t="shared" ca="1" si="13"/>
        <v>0.77888267760628105</v>
      </c>
      <c r="Q77" s="202">
        <f t="shared" ca="1" si="14"/>
        <v>0.73993854372596712</v>
      </c>
      <c r="R77" s="174">
        <f t="shared" ca="1" si="15"/>
        <v>-45</v>
      </c>
      <c r="S77" s="339"/>
      <c r="T77" s="241">
        <f t="shared" ca="1" si="16"/>
        <v>-1</v>
      </c>
      <c r="U77" s="247">
        <f ca="1">IF(IFERROR(DelayQ(B77*C77/600,(S77/(1-$H$5))+E77*((1-$H$7)*VLOOKUP(A77,CURVAS_INTRA!$A$103:$AD$150,HLOOKUP($C$14,CURVAS_INTRA!$A$101:$AD$102,2,0),0)),$C$8,C77),0)=0,"",IFERROR(DelayQ(B77*C77/600,S77+E77*((1-$H$7)*VLOOKUP(A77,CURVAS_INTRA!$A$103:$AD$150,HLOOKUP($C$14,CURVAS_INTRA!$A$101:$AD$102,2,0),0)),$C$8,C77),0))</f>
        <v>0.71919999999999995</v>
      </c>
      <c r="V77" s="281">
        <f t="shared" ca="1" si="17"/>
        <v>0.71919999999999995</v>
      </c>
      <c r="W77" s="174">
        <f t="shared" si="20"/>
        <v>19</v>
      </c>
      <c r="X77" s="227">
        <v>0.39583333333333298</v>
      </c>
      <c r="Y77" s="220">
        <f t="shared" si="21"/>
        <v>19</v>
      </c>
      <c r="Z77" s="221">
        <f t="shared" si="23"/>
        <v>0</v>
      </c>
      <c r="AA77" s="221">
        <f t="shared" si="24"/>
        <v>0</v>
      </c>
      <c r="AB77" s="221">
        <f t="shared" si="25"/>
        <v>0</v>
      </c>
      <c r="AC77" s="221">
        <f t="shared" si="26"/>
        <v>0</v>
      </c>
      <c r="AD77" s="221">
        <f t="shared" si="27"/>
        <v>0</v>
      </c>
      <c r="AE77" s="221">
        <f t="shared" si="28"/>
        <v>0</v>
      </c>
      <c r="AF77" s="221">
        <f t="shared" si="29"/>
        <v>0</v>
      </c>
      <c r="AG77" s="222">
        <f t="shared" si="18"/>
        <v>19</v>
      </c>
      <c r="AH77" s="222">
        <f t="shared" si="30"/>
        <v>19</v>
      </c>
      <c r="AJ77" s="291">
        <f t="shared" ca="1" si="31"/>
        <v>16</v>
      </c>
      <c r="AK77" s="291">
        <f ca="1">IFERROR(ROUNDUP(IF(B77=0,0,Agents(B77*C77/600,$C$7,$C$8,C77))/(1-($J$12*(IFERROR(INDIRECT("CURVAS_INTRA!"&amp;ADDRESS(VLOOKUP($A77,CURVAS_INTRA!$A$103:$B$150,2,0),HLOOKUP($C$14,CURVAS_INTRA!$1:$2,2,0))),0)))),0),0)</f>
        <v>18</v>
      </c>
      <c r="AM77" s="488">
        <f t="shared" si="19"/>
        <v>2</v>
      </c>
      <c r="AN77" s="174"/>
      <c r="AO77" s="174"/>
      <c r="AP77" s="174"/>
      <c r="AQ77" s="174"/>
      <c r="AR77" s="174"/>
    </row>
    <row r="78" spans="1:44" ht="11.25" customHeight="1">
      <c r="A78" s="570">
        <v>0.40277777777777801</v>
      </c>
      <c r="B78" s="183">
        <f ca="1">IFERROR(INDIRECT("CURVAS_INTRA!"&amp;ADDRESS(VLOOKUP($A77,CURVAS_INTRA!$A$3:$B$50,2,0),HLOOKUP($C$14,CURVAS_INTRA!$1:$2,2,0)))/3*$C$5,$B$19)</f>
        <v>7.954818528670919</v>
      </c>
      <c r="C78" s="345">
        <f ca="1">IFERROR(INDIRECT("CURVAS_INTRA!"&amp;ADDRESS(VLOOKUP($A78,CURVAS_INTRA!$A$53:$B$100,2,0),HLOOKUP($C$14,CURVAS_INTRA!$1:$2,2,0)))*$C$6,C77)</f>
        <v>909.90093398804152</v>
      </c>
      <c r="D78" s="183">
        <f ca="1">IFERROR(ROUNDUP(IF(B78=0,0,Agents(B78*C78/600,$C$7,$C$8,C78))/(1-($H$7*(IFERROR(INDIRECT("CURVAS_INTRA!"&amp;ADDRESS(VLOOKUP($A77,CURVAS_INTRA!$A$103:$B$150,2,0),HLOOKUP($C$14,CURVAS_INTRA!$1:$2,2,0))),0)))),0),0)</f>
        <v>20</v>
      </c>
      <c r="E78" s="345">
        <f t="shared" si="11"/>
        <v>19</v>
      </c>
      <c r="F78" s="346">
        <f t="shared" ca="1" si="12"/>
        <v>-1</v>
      </c>
      <c r="G78" s="185">
        <f ca="1">IFERROR(DelayQ(B78*C78/600,E78*((1-$H$7*VLOOKUP(A77,CURVAS_INTRA!$A$103:$AD$150,HLOOKUP($C$14,CURVAS_INTRA!$A$101:$AD$102,2,0),0))),$C$8,C78),0)</f>
        <v>0.71919999999999995</v>
      </c>
      <c r="H78" s="221">
        <v>0</v>
      </c>
      <c r="I78" s="221">
        <v>0</v>
      </c>
      <c r="J78" s="221">
        <v>0</v>
      </c>
      <c r="K78" s="221">
        <v>0</v>
      </c>
      <c r="L78" s="137">
        <f t="shared" si="22"/>
        <v>0</v>
      </c>
      <c r="M78" s="186">
        <f t="shared" si="32"/>
        <v>0</v>
      </c>
      <c r="N78" s="137">
        <f t="shared" si="33"/>
        <v>14</v>
      </c>
      <c r="O78" s="188">
        <f t="shared" si="34"/>
        <v>5</v>
      </c>
      <c r="P78" s="201">
        <f t="shared" ca="1" si="13"/>
        <v>0.77888267760628105</v>
      </c>
      <c r="Q78" s="202">
        <f t="shared" ca="1" si="14"/>
        <v>0.73993854372596712</v>
      </c>
      <c r="R78" s="174">
        <f t="shared" ca="1" si="15"/>
        <v>-46</v>
      </c>
      <c r="S78" s="339"/>
      <c r="T78" s="241">
        <f t="shared" ca="1" si="16"/>
        <v>-1</v>
      </c>
      <c r="U78" s="247">
        <f ca="1">IF(IFERROR(DelayQ(B78*C78/600,(S78/(1-$H$5))+E78*((1-$H$7)*VLOOKUP(A77,CURVAS_INTRA!$A$103:$AD$150,HLOOKUP($C$14,CURVAS_INTRA!$A$101:$AD$102,2,0),0)),$C$8,C78),0)=0,"",IFERROR(DelayQ(B78*C78/600,S78+E78*((1-$H$7)*VLOOKUP(A77,CURVAS_INTRA!$A$103:$AD$150,HLOOKUP($C$14,CURVAS_INTRA!$A$101:$AD$102,2,0),0)),$C$8,C78),0))</f>
        <v>0.71919999999999995</v>
      </c>
      <c r="V78" s="281">
        <f t="shared" ca="1" si="17"/>
        <v>0.71919999999999995</v>
      </c>
      <c r="W78" s="174">
        <f t="shared" si="20"/>
        <v>19</v>
      </c>
      <c r="X78" s="227">
        <v>0.40277777777777801</v>
      </c>
      <c r="Y78" s="220">
        <f t="shared" si="21"/>
        <v>19</v>
      </c>
      <c r="Z78" s="221">
        <f t="shared" si="23"/>
        <v>0</v>
      </c>
      <c r="AA78" s="221">
        <f t="shared" si="24"/>
        <v>0</v>
      </c>
      <c r="AB78" s="221">
        <f t="shared" si="25"/>
        <v>0</v>
      </c>
      <c r="AC78" s="221">
        <f t="shared" si="26"/>
        <v>0</v>
      </c>
      <c r="AD78" s="221">
        <f t="shared" si="27"/>
        <v>0</v>
      </c>
      <c r="AE78" s="221">
        <f t="shared" si="28"/>
        <v>0</v>
      </c>
      <c r="AF78" s="221">
        <f t="shared" si="29"/>
        <v>0</v>
      </c>
      <c r="AG78" s="222">
        <f t="shared" si="18"/>
        <v>19</v>
      </c>
      <c r="AH78" s="222">
        <f t="shared" si="30"/>
        <v>19</v>
      </c>
      <c r="AJ78" s="291">
        <f t="shared" ca="1" si="31"/>
        <v>16</v>
      </c>
      <c r="AK78" s="291">
        <f ca="1">IFERROR(ROUNDUP(IF(B78=0,0,Agents(B78*C78/600,$C$7,$C$8,C78))/(1-($J$12*(IFERROR(INDIRECT("CURVAS_INTRA!"&amp;ADDRESS(VLOOKUP($A78,CURVAS_INTRA!$A$103:$B$150,2,0),HLOOKUP($C$14,CURVAS_INTRA!$1:$2,2,0))),0)+IFERROR(INDIRECT("CURVAS_INTRA!"&amp;ADDRESS(VLOOKUP($A77,CURVAS_INTRA!$A$103:$B$150,2,0),HLOOKUP($C$14,CURVAS_INTRA!$1:$2,2,0))),0)))),0),0)</f>
        <v>18</v>
      </c>
      <c r="AM78" s="488">
        <f t="shared" si="19"/>
        <v>0</v>
      </c>
      <c r="AN78" s="174"/>
      <c r="AO78" s="174"/>
      <c r="AP78" s="174"/>
      <c r="AQ78" s="174"/>
      <c r="AR78" s="174"/>
    </row>
    <row r="79" spans="1:44" ht="11.25" customHeight="1">
      <c r="A79" s="570">
        <v>0.40972222222222199</v>
      </c>
      <c r="B79" s="183">
        <f ca="1">IFERROR(INDIRECT("CURVAS_INTRA!"&amp;ADDRESS(VLOOKUP($A77,CURVAS_INTRA!$A$3:$B$50,2,0),HLOOKUP($C$14,CURVAS_INTRA!$1:$2,2,0)))/3*$C$5,B76)</f>
        <v>7.954818528670919</v>
      </c>
      <c r="C79" s="345">
        <f ca="1">IFERROR(INDIRECT("CURVAS_INTRA!"&amp;ADDRESS(VLOOKUP($A79,CURVAS_INTRA!$A$53:$B$100,2,0),HLOOKUP($C$14,CURVAS_INTRA!$1:$2,2,0)))*$C$6,C78)</f>
        <v>909.90093398804152</v>
      </c>
      <c r="D79" s="183">
        <f ca="1">IFERROR(ROUNDUP(IF(B79=0,0,Agents(B79*C79/600,$C$7,$C$8,C79))/(1-($H$7*(IFERROR(INDIRECT("CURVAS_INTRA!"&amp;ADDRESS(VLOOKUP($A77,CURVAS_INTRA!$A$103:$B$150,2,0),HLOOKUP($C$14,CURVAS_INTRA!$1:$2,2,0))),0)))),0),0)</f>
        <v>20</v>
      </c>
      <c r="E79" s="345">
        <f t="shared" si="11"/>
        <v>19</v>
      </c>
      <c r="F79" s="346">
        <f t="shared" ca="1" si="12"/>
        <v>-1</v>
      </c>
      <c r="G79" s="185">
        <f ca="1">IFERROR(DelayQ(B79*C79/600,E79*((1-$H$7*VLOOKUP(A77,CURVAS_INTRA!$A$103:$AD$150,HLOOKUP($C$14,CURVAS_INTRA!$A$101:$AD$102,2,0),0))),$C$8,C79),0)</f>
        <v>0.71919999999999995</v>
      </c>
      <c r="H79" s="221">
        <v>0</v>
      </c>
      <c r="I79" s="221">
        <v>0</v>
      </c>
      <c r="J79" s="221">
        <v>0</v>
      </c>
      <c r="K79" s="221">
        <v>0</v>
      </c>
      <c r="L79" s="137">
        <f t="shared" si="22"/>
        <v>0</v>
      </c>
      <c r="M79" s="186">
        <f t="shared" si="32"/>
        <v>0</v>
      </c>
      <c r="N79" s="183">
        <f>SUM(J42:J79)</f>
        <v>14</v>
      </c>
      <c r="O79" s="188">
        <f t="shared" si="34"/>
        <v>5</v>
      </c>
      <c r="P79" s="201">
        <f t="shared" ca="1" si="13"/>
        <v>0.77888267760628105</v>
      </c>
      <c r="Q79" s="202">
        <f t="shared" ca="1" si="14"/>
        <v>0.73993854372596712</v>
      </c>
      <c r="R79" s="174">
        <f t="shared" ca="1" si="15"/>
        <v>-47</v>
      </c>
      <c r="S79" s="339"/>
      <c r="T79" s="241">
        <f t="shared" ca="1" si="16"/>
        <v>-1</v>
      </c>
      <c r="U79" s="247">
        <f ca="1">IF(IFERROR(DelayQ(B79*C79/600,(S79/(1-$H$5))+E79*((1-$H$7)*VLOOKUP(A77,CURVAS_INTRA!$A$103:$AD$150,HLOOKUP($C$14,CURVAS_INTRA!$A$101:$AD$102,2,0),0)),$C$8,C79),0)=0,"",IFERROR(DelayQ(B79*C79/600,S79+E79*((1-$H$7)*VLOOKUP(A77,CURVAS_INTRA!$A$103:$AD$150,HLOOKUP($C$14,CURVAS_INTRA!$A$101:$AD$102,2,0),0)),$C$8,C79),0))</f>
        <v>0.71919999999999995</v>
      </c>
      <c r="V79" s="281">
        <f t="shared" ca="1" si="17"/>
        <v>0.71919999999999995</v>
      </c>
      <c r="W79" s="174">
        <f t="shared" si="20"/>
        <v>19</v>
      </c>
      <c r="X79" s="227">
        <v>0.40972222222222199</v>
      </c>
      <c r="Y79" s="220">
        <f t="shared" si="21"/>
        <v>19</v>
      </c>
      <c r="Z79" s="221">
        <f t="shared" si="23"/>
        <v>0</v>
      </c>
      <c r="AA79" s="221">
        <f t="shared" si="24"/>
        <v>0</v>
      </c>
      <c r="AB79" s="221">
        <f t="shared" si="25"/>
        <v>0</v>
      </c>
      <c r="AC79" s="221">
        <f t="shared" si="26"/>
        <v>0</v>
      </c>
      <c r="AD79" s="221">
        <f t="shared" si="27"/>
        <v>0</v>
      </c>
      <c r="AE79" s="221">
        <f t="shared" si="28"/>
        <v>0</v>
      </c>
      <c r="AF79" s="221">
        <f t="shared" si="29"/>
        <v>0</v>
      </c>
      <c r="AG79" s="222">
        <f t="shared" si="18"/>
        <v>19</v>
      </c>
      <c r="AH79" s="222">
        <f t="shared" si="30"/>
        <v>19</v>
      </c>
      <c r="AJ79" s="291">
        <f t="shared" ca="1" si="31"/>
        <v>16</v>
      </c>
      <c r="AK79" s="291">
        <f ca="1">IFERROR(ROUNDUP(IF(B79=0,0,Agents(B79*C79/600,$C$7,$C$8,C79))/(1-($J$12*(IFERROR(INDIRECT("CURVAS_INTRA!"&amp;ADDRESS(VLOOKUP($A79,CURVAS_INTRA!$A$103:$B$150,2,0),HLOOKUP($C$14,CURVAS_INTRA!$1:$2,2,0))),0)+IFERROR(INDIRECT("CURVAS_INTRA!"&amp;ADDRESS(VLOOKUP($A78,CURVAS_INTRA!$A$103:$B$150,2,0),HLOOKUP($C$14,CURVAS_INTRA!$1:$2,2,0))),0)+IFERROR(INDIRECT("CURVAS_INTRA!"&amp;ADDRESS(VLOOKUP($A77,CURVAS_INTRA!$A$103:$B$150,2,0),HLOOKUP($C$14,CURVAS_INTRA!$1:$2,2,0))),0)))),0),0)</f>
        <v>18</v>
      </c>
      <c r="AM79" s="488">
        <f t="shared" si="19"/>
        <v>0</v>
      </c>
      <c r="AN79" s="174"/>
      <c r="AO79" s="174"/>
      <c r="AP79" s="174"/>
      <c r="AQ79" s="174"/>
      <c r="AR79" s="174"/>
    </row>
    <row r="80" spans="1:44" ht="11.25" customHeight="1">
      <c r="A80" s="570">
        <v>0.41666666666666702</v>
      </c>
      <c r="B80" s="183">
        <f ca="1">IFERROR(INDIRECT("CURVAS_INTRA!"&amp;ADDRESS(VLOOKUP($A80,CURVAS_INTRA!$A$3:$B$50,2,0),HLOOKUP($C$14,CURVAS_INTRA!$1:$2,2,0)))/3*$C$5,$B$19)</f>
        <v>8.3095696130525862</v>
      </c>
      <c r="C80" s="345">
        <f ca="1">IFERROR(INDIRECT("CURVAS_INTRA!"&amp;ADDRESS(VLOOKUP($A80,CURVAS_INTRA!$A$53:$B$100,2,0),HLOOKUP($C$14,CURVAS_INTRA!$1:$2,2,0)))*$C$6,C79)</f>
        <v>921.24512977430174</v>
      </c>
      <c r="D80" s="183">
        <f ca="1">IFERROR(ROUNDUP(IF(B80=0,0,Agents(B80*C80/600,$C$7,$C$8,C80))/(1-($H$7*(IFERROR(INDIRECT("CURVAS_INTRA!"&amp;ADDRESS(VLOOKUP($A80,CURVAS_INTRA!$A$103:$B$150,2,0),HLOOKUP($C$14,CURVAS_INTRA!$1:$2,2,0))),0)))),0),0)</f>
        <v>21</v>
      </c>
      <c r="E80" s="345">
        <f t="shared" si="11"/>
        <v>19</v>
      </c>
      <c r="F80" s="346">
        <f t="shared" ca="1" si="12"/>
        <v>-2</v>
      </c>
      <c r="G80" s="185">
        <f ca="1">IFERROR(DelayQ(B80*C80/600,E80*((1-$H$7*VLOOKUP(A80,CURVAS_INTRA!$A$103:$AD$150,HLOOKUP($C$14,CURVAS_INTRA!$A$101:$AD$102,2,0),0))),$C$8,C80),0)</f>
        <v>0.61529999999999996</v>
      </c>
      <c r="H80" s="221">
        <v>0</v>
      </c>
      <c r="I80" s="221">
        <v>0</v>
      </c>
      <c r="J80" s="221">
        <v>0</v>
      </c>
      <c r="K80" s="221">
        <v>0</v>
      </c>
      <c r="L80" s="137">
        <f t="shared" si="22"/>
        <v>0</v>
      </c>
      <c r="M80" s="186">
        <f t="shared" si="32"/>
        <v>0</v>
      </c>
      <c r="N80" s="137">
        <f t="shared" si="33"/>
        <v>14</v>
      </c>
      <c r="O80" s="188">
        <f t="shared" si="34"/>
        <v>5</v>
      </c>
      <c r="P80" s="201">
        <f t="shared" ca="1" si="13"/>
        <v>0.82376131526958396</v>
      </c>
      <c r="Q80" s="202">
        <f t="shared" ca="1" si="14"/>
        <v>0.74530785667248078</v>
      </c>
      <c r="R80" s="174">
        <f t="shared" ca="1" si="15"/>
        <v>-48</v>
      </c>
      <c r="S80" s="339"/>
      <c r="T80" s="241">
        <f t="shared" ca="1" si="16"/>
        <v>-2</v>
      </c>
      <c r="U80" s="247">
        <f ca="1">IF(IFERROR(DelayQ(B80*C80/600,(S80/(1-$H$5))+E80*((1-$H$7)*VLOOKUP(A80,CURVAS_INTRA!$A$103:$AD$150,HLOOKUP($C$14,CURVAS_INTRA!$A$101:$AD$102,2,0),0)),$C$8,C80),0)=0,"",IFERROR(DelayQ(B80*C80/600,S80+E80*((1-$H$7)*VLOOKUP(A80,CURVAS_INTRA!$A$103:$AD$150,HLOOKUP($C$14,CURVAS_INTRA!$A$101:$AD$102,2,0),0)),$C$8,C80),0))</f>
        <v>0.61529999999999996</v>
      </c>
      <c r="V80" s="281">
        <f t="shared" ca="1" si="17"/>
        <v>0.61529999999999996</v>
      </c>
      <c r="W80" s="174">
        <f>S80+E80</f>
        <v>19</v>
      </c>
      <c r="X80" s="227">
        <v>0.41666666666666702</v>
      </c>
      <c r="Y80" s="220">
        <f t="shared" si="21"/>
        <v>19</v>
      </c>
      <c r="Z80" s="221">
        <f t="shared" si="23"/>
        <v>0</v>
      </c>
      <c r="AA80" s="221">
        <f t="shared" si="24"/>
        <v>0</v>
      </c>
      <c r="AB80" s="221">
        <f t="shared" si="25"/>
        <v>0</v>
      </c>
      <c r="AC80" s="221">
        <f t="shared" si="26"/>
        <v>0</v>
      </c>
      <c r="AD80" s="221">
        <f t="shared" si="27"/>
        <v>0</v>
      </c>
      <c r="AE80" s="221">
        <f t="shared" si="28"/>
        <v>0</v>
      </c>
      <c r="AF80" s="221">
        <f t="shared" si="29"/>
        <v>0</v>
      </c>
      <c r="AG80" s="222">
        <f t="shared" si="18"/>
        <v>19</v>
      </c>
      <c r="AH80" s="222">
        <f t="shared" si="30"/>
        <v>19</v>
      </c>
      <c r="AJ80" s="291">
        <f t="shared" ca="1" si="31"/>
        <v>17</v>
      </c>
      <c r="AK80" s="291">
        <f ca="1">IFERROR(ROUNDUP(IF(B80=0,0,Agents(B80*C80/600,$C$7,$C$8,C80))/(1-($J$12*(IFERROR(INDIRECT("CURVAS_INTRA!"&amp;ADDRESS(VLOOKUP($A80,CURVAS_INTRA!$A$103:$B$150,2,0),HLOOKUP($C$14,CURVAS_INTRA!$1:$2,2,0))),0)))),0),0)</f>
        <v>19</v>
      </c>
      <c r="AM80" s="488">
        <f t="shared" si="19"/>
        <v>0</v>
      </c>
      <c r="AN80" s="174"/>
      <c r="AO80" s="174"/>
      <c r="AP80" s="174"/>
      <c r="AQ80" s="174"/>
      <c r="AR80" s="174"/>
    </row>
    <row r="81" spans="1:44" ht="11.25" customHeight="1">
      <c r="A81" s="570">
        <v>0.42361111111111099</v>
      </c>
      <c r="B81" s="183">
        <f ca="1">IFERROR(INDIRECT("CURVAS_INTRA!"&amp;ADDRESS(VLOOKUP($A80,CURVAS_INTRA!$A$3:$B$50,2,0),HLOOKUP($C$14,CURVAS_INTRA!$1:$2,2,0)))/3*$C$5,$B$19)</f>
        <v>8.3095696130525862</v>
      </c>
      <c r="C81" s="345">
        <f ca="1">IFERROR(INDIRECT("CURVAS_INTRA!"&amp;ADDRESS(VLOOKUP($A81,CURVAS_INTRA!$A$53:$B$100,2,0),HLOOKUP($C$14,CURVAS_INTRA!$1:$2,2,0)))*$C$6,C80)</f>
        <v>921.24512977430174</v>
      </c>
      <c r="D81" s="183">
        <f ca="1">IFERROR(ROUNDUP(IF(B81=0,0,Agents(B81*C81/600,$C$7,$C$8,C81))/(1-($H$7*(IFERROR(INDIRECT("CURVAS_INTRA!"&amp;ADDRESS(VLOOKUP($A80,CURVAS_INTRA!$A$103:$B$150,2,0),HLOOKUP($C$14,CURVAS_INTRA!$1:$2,2,0))),0)))),0),0)</f>
        <v>21</v>
      </c>
      <c r="E81" s="345">
        <f t="shared" si="11"/>
        <v>19</v>
      </c>
      <c r="F81" s="346">
        <f t="shared" ca="1" si="12"/>
        <v>-2</v>
      </c>
      <c r="G81" s="185">
        <f ca="1">IFERROR(DelayQ(B81*C81/600,E81*((1-$H$7*VLOOKUP(A80,CURVAS_INTRA!$A$103:$AD$150,HLOOKUP($C$14,CURVAS_INTRA!$A$101:$AD$102,2,0),0))),$C$8,C81),0)</f>
        <v>0.61529999999999996</v>
      </c>
      <c r="H81" s="221">
        <v>0</v>
      </c>
      <c r="I81" s="221">
        <v>0</v>
      </c>
      <c r="J81" s="221">
        <v>0</v>
      </c>
      <c r="K81" s="221">
        <v>0</v>
      </c>
      <c r="L81" s="137">
        <f t="shared" si="22"/>
        <v>0</v>
      </c>
      <c r="M81" s="186">
        <f t="shared" si="32"/>
        <v>0</v>
      </c>
      <c r="N81" s="137">
        <f t="shared" si="33"/>
        <v>14</v>
      </c>
      <c r="O81" s="188">
        <f t="shared" si="34"/>
        <v>5</v>
      </c>
      <c r="P81" s="201">
        <f t="shared" ca="1" si="13"/>
        <v>0.82376131526958396</v>
      </c>
      <c r="Q81" s="202">
        <f t="shared" ca="1" si="14"/>
        <v>0.74530785667248078</v>
      </c>
      <c r="R81" s="174">
        <f t="shared" ca="1" si="15"/>
        <v>-48</v>
      </c>
      <c r="S81" s="339"/>
      <c r="T81" s="241">
        <f t="shared" ca="1" si="16"/>
        <v>-2</v>
      </c>
      <c r="U81" s="247">
        <f ca="1">IF(IFERROR(DelayQ(B81*C81/600,(S81/(1-$H$5))+E81*((1-$H$7)*VLOOKUP(A80,CURVAS_INTRA!$A$103:$AD$150,HLOOKUP($C$14,CURVAS_INTRA!$A$101:$AD$102,2,0),0)),$C$8,C81),0)=0,"",IFERROR(DelayQ(B81*C81/600,S81+E81*((1-$H$7)*VLOOKUP(A80,CURVAS_INTRA!$A$103:$AD$150,HLOOKUP($C$14,CURVAS_INTRA!$A$101:$AD$102,2,0),0)),$C$8,C81),0))</f>
        <v>0.61529999999999996</v>
      </c>
      <c r="V81" s="281">
        <f t="shared" ca="1" si="17"/>
        <v>0.61529999999999996</v>
      </c>
      <c r="W81" s="174">
        <f t="shared" ref="W81:W144" si="35">S81+E81</f>
        <v>19</v>
      </c>
      <c r="X81" s="227">
        <v>0.42361111111111099</v>
      </c>
      <c r="Y81" s="220">
        <f t="shared" si="21"/>
        <v>19</v>
      </c>
      <c r="Z81" s="221">
        <f t="shared" si="23"/>
        <v>0</v>
      </c>
      <c r="AA81" s="221">
        <f t="shared" si="24"/>
        <v>0</v>
      </c>
      <c r="AB81" s="221">
        <f t="shared" si="25"/>
        <v>0</v>
      </c>
      <c r="AC81" s="221">
        <f t="shared" si="26"/>
        <v>0</v>
      </c>
      <c r="AD81" s="221">
        <f t="shared" si="27"/>
        <v>0</v>
      </c>
      <c r="AE81" s="221">
        <f t="shared" si="28"/>
        <v>0</v>
      </c>
      <c r="AF81" s="221">
        <f t="shared" si="29"/>
        <v>0</v>
      </c>
      <c r="AG81" s="222">
        <f t="shared" si="18"/>
        <v>19</v>
      </c>
      <c r="AH81" s="222">
        <f t="shared" si="30"/>
        <v>19</v>
      </c>
      <c r="AJ81" s="291">
        <f t="shared" ca="1" si="31"/>
        <v>17</v>
      </c>
      <c r="AK81" s="291">
        <f ca="1">IFERROR(ROUNDUP(IF(B81=0,0,Agents(B81*C81/600,$C$7,$C$8,C81))/(1-($J$12*(IFERROR(INDIRECT("CURVAS_INTRA!"&amp;ADDRESS(VLOOKUP($A81,CURVAS_INTRA!$A$103:$B$150,2,0),HLOOKUP($C$14,CURVAS_INTRA!$1:$2,2,0))),0)+IFERROR(INDIRECT("CURVAS_INTRA!"&amp;ADDRESS(VLOOKUP($A80,CURVAS_INTRA!$A$103:$B$150,2,0),HLOOKUP($C$14,CURVAS_INTRA!$1:$2,2,0))),0)))),0),0)</f>
        <v>19</v>
      </c>
      <c r="AM81" s="488">
        <f t="shared" si="19"/>
        <v>0</v>
      </c>
      <c r="AN81" s="174"/>
      <c r="AO81" s="174"/>
      <c r="AP81" s="174"/>
      <c r="AQ81" s="174"/>
      <c r="AR81" s="174"/>
    </row>
    <row r="82" spans="1:44" ht="11.25" customHeight="1">
      <c r="A82" s="570">
        <v>0.43055555555555602</v>
      </c>
      <c r="B82" s="183">
        <f ca="1">IFERROR(INDIRECT("CURVAS_INTRA!"&amp;ADDRESS(VLOOKUP($A80,CURVAS_INTRA!$A$3:$B$50,2,0),HLOOKUP($C$14,CURVAS_INTRA!$1:$2,2,0)))/3*$C$5,B79)</f>
        <v>8.3095696130525862</v>
      </c>
      <c r="C82" s="345">
        <f ca="1">IFERROR(INDIRECT("CURVAS_INTRA!"&amp;ADDRESS(VLOOKUP($A82,CURVAS_INTRA!$A$53:$B$100,2,0),HLOOKUP($C$14,CURVAS_INTRA!$1:$2,2,0)))*$C$6,C81)</f>
        <v>921.24512977430174</v>
      </c>
      <c r="D82" s="183">
        <f ca="1">IFERROR(ROUNDUP(IF(B82=0,0,Agents(B82*C82/600,$C$7,$C$8,C82))/(1-($H$7*(IFERROR(INDIRECT("CURVAS_INTRA!"&amp;ADDRESS(VLOOKUP($A80,CURVAS_INTRA!$A$103:$B$150,2,0),HLOOKUP($C$14,CURVAS_INTRA!$1:$2,2,0))),0)))),0),0)</f>
        <v>21</v>
      </c>
      <c r="E82" s="345">
        <f t="shared" si="11"/>
        <v>19</v>
      </c>
      <c r="F82" s="346">
        <f t="shared" ca="1" si="12"/>
        <v>-2</v>
      </c>
      <c r="G82" s="185">
        <f ca="1">IFERROR(DelayQ(B82*C82/600,E82*((1-$H$7*VLOOKUP(A80,CURVAS_INTRA!$A$103:$AD$150,HLOOKUP($C$14,CURVAS_INTRA!$A$101:$AD$102,2,0),0))),$C$8,C82),0)</f>
        <v>0.61529999999999996</v>
      </c>
      <c r="H82" s="221">
        <v>0</v>
      </c>
      <c r="I82" s="221">
        <v>0</v>
      </c>
      <c r="J82" s="221">
        <v>0</v>
      </c>
      <c r="K82" s="221">
        <v>0</v>
      </c>
      <c r="L82" s="137">
        <f t="shared" si="22"/>
        <v>0</v>
      </c>
      <c r="M82" s="186">
        <f t="shared" si="32"/>
        <v>0</v>
      </c>
      <c r="N82" s="137">
        <f t="shared" si="33"/>
        <v>14</v>
      </c>
      <c r="O82" s="188">
        <f t="shared" si="34"/>
        <v>5</v>
      </c>
      <c r="P82" s="201">
        <f t="shared" ca="1" si="13"/>
        <v>0.82376131526958396</v>
      </c>
      <c r="Q82" s="202">
        <f t="shared" ca="1" si="14"/>
        <v>0.74530785667248078</v>
      </c>
      <c r="R82" s="174">
        <f t="shared" ca="1" si="15"/>
        <v>-48</v>
      </c>
      <c r="S82" s="339"/>
      <c r="T82" s="241">
        <f t="shared" ca="1" si="16"/>
        <v>-2</v>
      </c>
      <c r="U82" s="247">
        <f ca="1">IF(IFERROR(DelayQ(B82*C82/600,(S82/(1-$H$5))+E82*((1-$H$7)*VLOOKUP(A80,CURVAS_INTRA!$A$103:$AD$150,HLOOKUP($C$14,CURVAS_INTRA!$A$101:$AD$102,2,0),0)),$C$8,C82),0)=0,"",IFERROR(DelayQ(B82*C82/600,S82+E82*((1-$H$7)*VLOOKUP(A80,CURVAS_INTRA!$A$103:$AD$150,HLOOKUP($C$14,CURVAS_INTRA!$A$101:$AD$102,2,0),0)),$C$8,C82),0))</f>
        <v>0.61529999999999996</v>
      </c>
      <c r="V82" s="281">
        <f t="shared" ca="1" si="17"/>
        <v>0.61529999999999996</v>
      </c>
      <c r="W82" s="174">
        <f t="shared" si="35"/>
        <v>19</v>
      </c>
      <c r="X82" s="227">
        <v>0.43055555555555602</v>
      </c>
      <c r="Y82" s="220">
        <f t="shared" si="21"/>
        <v>19</v>
      </c>
      <c r="Z82" s="221">
        <f t="shared" si="23"/>
        <v>0</v>
      </c>
      <c r="AA82" s="221">
        <f t="shared" si="24"/>
        <v>0</v>
      </c>
      <c r="AB82" s="221">
        <f t="shared" si="25"/>
        <v>0</v>
      </c>
      <c r="AC82" s="221">
        <f t="shared" si="26"/>
        <v>0</v>
      </c>
      <c r="AD82" s="221">
        <f t="shared" si="27"/>
        <v>0</v>
      </c>
      <c r="AE82" s="221">
        <f t="shared" si="28"/>
        <v>0</v>
      </c>
      <c r="AF82" s="221">
        <f t="shared" si="29"/>
        <v>0</v>
      </c>
      <c r="AG82" s="222">
        <f t="shared" si="18"/>
        <v>19</v>
      </c>
      <c r="AH82" s="222">
        <f t="shared" si="30"/>
        <v>19</v>
      </c>
      <c r="AJ82" s="291">
        <f t="shared" ca="1" si="31"/>
        <v>17</v>
      </c>
      <c r="AK82" s="291">
        <f ca="1">IFERROR(ROUNDUP(IF(B82=0,0,Agents(B82*C82/600,$C$7,$C$8,C82))/(1-($J$12*(IFERROR(INDIRECT("CURVAS_INTRA!"&amp;ADDRESS(VLOOKUP($A82,CURVAS_INTRA!$A$103:$B$150,2,0),HLOOKUP($C$14,CURVAS_INTRA!$1:$2,2,0))),0)+IFERROR(INDIRECT("CURVAS_INTRA!"&amp;ADDRESS(VLOOKUP($A81,CURVAS_INTRA!$A$103:$B$150,2,0),HLOOKUP($C$14,CURVAS_INTRA!$1:$2,2,0))),0)+IFERROR(INDIRECT("CURVAS_INTRA!"&amp;ADDRESS(VLOOKUP($A80,CURVAS_INTRA!$A$103:$B$150,2,0),HLOOKUP($C$14,CURVAS_INTRA!$1:$2,2,0))),0)))),0),0)</f>
        <v>19</v>
      </c>
      <c r="AM82" s="488">
        <f t="shared" si="19"/>
        <v>0</v>
      </c>
      <c r="AN82" s="174"/>
      <c r="AO82" s="174"/>
      <c r="AP82" s="174"/>
      <c r="AQ82" s="174"/>
      <c r="AR82" s="174"/>
    </row>
    <row r="83" spans="1:44" ht="11.25" customHeight="1">
      <c r="A83" s="570">
        <v>0.4375</v>
      </c>
      <c r="B83" s="183">
        <f ca="1">IFERROR(INDIRECT("CURVAS_INTRA!"&amp;ADDRESS(VLOOKUP($A83,CURVAS_INTRA!$A$3:$B$50,2,0),HLOOKUP($C$14,CURVAS_INTRA!$1:$2,2,0)))/3*$C$5,$B$19)</f>
        <v>8.2905117196278812</v>
      </c>
      <c r="C83" s="345">
        <f ca="1">IFERROR(INDIRECT("CURVAS_INTRA!"&amp;ADDRESS(VLOOKUP($A83,CURVAS_INTRA!$A$53:$B$100,2,0),HLOOKUP($C$14,CURVAS_INTRA!$1:$2,2,0)))*$C$6,C82)</f>
        <v>875.70079970541485</v>
      </c>
      <c r="D83" s="183">
        <f ca="1">IFERROR(ROUNDUP(IF(B83=0,0,Agents(B83*C83/600,$C$7,$C$8,C83))/(1-($H$7*(IFERROR(INDIRECT("CURVAS_INTRA!"&amp;ADDRESS(VLOOKUP($A83,CURVAS_INTRA!$A$103:$B$150,2,0),HLOOKUP($C$14,CURVAS_INTRA!$1:$2,2,0))),0)))),0),0)</f>
        <v>20</v>
      </c>
      <c r="E83" s="345">
        <f t="shared" si="11"/>
        <v>19</v>
      </c>
      <c r="F83" s="346">
        <f t="shared" ca="1" si="12"/>
        <v>-1</v>
      </c>
      <c r="G83" s="185">
        <f ca="1">IFERROR(DelayQ(B83*C83/600,E83*((1-$H$7*VLOOKUP(A83,CURVAS_INTRA!$A$103:$AD$150,HLOOKUP($C$14,CURVAS_INTRA!$A$101:$AD$102,2,0),0))),$C$8,C83),0)</f>
        <v>0.71519999999999995</v>
      </c>
      <c r="H83" s="221">
        <v>0</v>
      </c>
      <c r="I83" s="221">
        <v>0</v>
      </c>
      <c r="J83" s="221">
        <v>0</v>
      </c>
      <c r="K83" s="221">
        <v>0</v>
      </c>
      <c r="L83" s="137">
        <f t="shared" si="22"/>
        <v>0</v>
      </c>
      <c r="M83" s="186">
        <f t="shared" si="32"/>
        <v>0</v>
      </c>
      <c r="N83" s="137">
        <f t="shared" si="33"/>
        <v>14</v>
      </c>
      <c r="O83" s="188">
        <f t="shared" si="34"/>
        <v>5</v>
      </c>
      <c r="P83" s="201">
        <f t="shared" ca="1" si="13"/>
        <v>0.7812404862011475</v>
      </c>
      <c r="Q83" s="202">
        <f t="shared" ca="1" si="14"/>
        <v>0.74217846189109027</v>
      </c>
      <c r="R83" s="174">
        <f t="shared" ca="1" si="15"/>
        <v>-50</v>
      </c>
      <c r="S83" s="339"/>
      <c r="T83" s="241">
        <f t="shared" ca="1" si="16"/>
        <v>-1</v>
      </c>
      <c r="U83" s="247">
        <f ca="1">IF(IFERROR(DelayQ(B83*C83/600,(S83/(1-$H$5))+E83*((1-$H$7)*VLOOKUP(A83,CURVAS_INTRA!$A$103:$AD$150,HLOOKUP($C$14,CURVAS_INTRA!$A$101:$AD$102,2,0),0)),$C$8,C83),0)=0,"",IFERROR(DelayQ(B83*C83/600,S83+E83*((1-$H$7)*VLOOKUP(A83,CURVAS_INTRA!$A$103:$AD$150,HLOOKUP($C$14,CURVAS_INTRA!$A$101:$AD$102,2,0),0)),$C$8,C83),0))</f>
        <v>0.71519999999999995</v>
      </c>
      <c r="V83" s="281">
        <f t="shared" ca="1" si="17"/>
        <v>0.71519999999999995</v>
      </c>
      <c r="W83" s="174">
        <f t="shared" si="35"/>
        <v>19</v>
      </c>
      <c r="X83" s="227">
        <v>0.4375</v>
      </c>
      <c r="Y83" s="220">
        <f t="shared" si="21"/>
        <v>19</v>
      </c>
      <c r="Z83" s="221">
        <f t="shared" si="23"/>
        <v>0</v>
      </c>
      <c r="AA83" s="221">
        <f t="shared" si="24"/>
        <v>0</v>
      </c>
      <c r="AB83" s="221">
        <f t="shared" si="25"/>
        <v>0</v>
      </c>
      <c r="AC83" s="221">
        <f t="shared" si="26"/>
        <v>0</v>
      </c>
      <c r="AD83" s="221">
        <f t="shared" si="27"/>
        <v>0</v>
      </c>
      <c r="AE83" s="221">
        <f t="shared" si="28"/>
        <v>0</v>
      </c>
      <c r="AF83" s="221">
        <f t="shared" si="29"/>
        <v>0</v>
      </c>
      <c r="AG83" s="222">
        <f t="shared" si="18"/>
        <v>19</v>
      </c>
      <c r="AH83" s="222">
        <f t="shared" si="30"/>
        <v>19</v>
      </c>
      <c r="AJ83" s="291">
        <f t="shared" ca="1" si="31"/>
        <v>16</v>
      </c>
      <c r="AK83" s="291">
        <f ca="1">IFERROR(ROUNDUP(IF(B83=0,0,Agents(B83*C83/600,$C$7,$C$8,C83))/(1-($J$12*(IFERROR(INDIRECT("CURVAS_INTRA!"&amp;ADDRESS(VLOOKUP($A83,CURVAS_INTRA!$A$103:$B$150,2,0),HLOOKUP($C$14,CURVAS_INTRA!$1:$2,2,0))),0)))),0),0)</f>
        <v>18</v>
      </c>
      <c r="AM83" s="488">
        <f t="shared" si="19"/>
        <v>0</v>
      </c>
      <c r="AN83" s="174"/>
      <c r="AO83" s="174"/>
      <c r="AP83" s="174"/>
      <c r="AQ83" s="174"/>
      <c r="AR83" s="174"/>
    </row>
    <row r="84" spans="1:44" ht="11.25" customHeight="1">
      <c r="A84" s="570">
        <v>0.44444444444444398</v>
      </c>
      <c r="B84" s="183">
        <f ca="1">IFERROR(INDIRECT("CURVAS_INTRA!"&amp;ADDRESS(VLOOKUP($A83,CURVAS_INTRA!$A$3:$B$50,2,0),HLOOKUP($C$14,CURVAS_INTRA!$1:$2,2,0)))/3*$C$5,$B$19)</f>
        <v>8.2905117196278812</v>
      </c>
      <c r="C84" s="345">
        <f ca="1">IFERROR(INDIRECT("CURVAS_INTRA!"&amp;ADDRESS(VLOOKUP($A84,CURVAS_INTRA!$A$53:$B$100,2,0),HLOOKUP($C$14,CURVAS_INTRA!$1:$2,2,0)))*$C$6,C83)</f>
        <v>875.70079970541485</v>
      </c>
      <c r="D84" s="183">
        <f ca="1">IFERROR(ROUNDUP(IF(B84=0,0,Agents(B84*C84/600,$C$7,$C$8,C84))/(1-($H$7*(IFERROR(INDIRECT("CURVAS_INTRA!"&amp;ADDRESS(VLOOKUP($A83,CURVAS_INTRA!$A$103:$B$150,2,0),HLOOKUP($C$14,CURVAS_INTRA!$1:$2,2,0))),0)))),0),0)</f>
        <v>20</v>
      </c>
      <c r="E84" s="345">
        <f t="shared" ref="E84:E147" si="36">ROUNDUP(SUM(L84:O84),0)</f>
        <v>19</v>
      </c>
      <c r="F84" s="346">
        <f t="shared" ca="1" si="12"/>
        <v>-1</v>
      </c>
      <c r="G84" s="185">
        <f ca="1">IFERROR(DelayQ(B84*C84/600,E84*((1-$H$7*VLOOKUP(A83,CURVAS_INTRA!$A$103:$AD$150,HLOOKUP($C$14,CURVAS_INTRA!$A$101:$AD$102,2,0),0))),$C$8,C84),0)</f>
        <v>0.71519999999999995</v>
      </c>
      <c r="H84" s="221">
        <v>0</v>
      </c>
      <c r="I84" s="221">
        <v>0</v>
      </c>
      <c r="J84" s="221">
        <v>0</v>
      </c>
      <c r="K84" s="221">
        <v>0</v>
      </c>
      <c r="L84" s="137">
        <f t="shared" si="22"/>
        <v>0</v>
      </c>
      <c r="M84" s="186">
        <f t="shared" si="32"/>
        <v>0</v>
      </c>
      <c r="N84" s="137">
        <f t="shared" si="33"/>
        <v>14</v>
      </c>
      <c r="O84" s="188">
        <f t="shared" si="34"/>
        <v>5</v>
      </c>
      <c r="P84" s="201">
        <f t="shared" ca="1" si="13"/>
        <v>0.7812404862011475</v>
      </c>
      <c r="Q84" s="202">
        <f t="shared" ca="1" si="14"/>
        <v>0.74217846189109027</v>
      </c>
      <c r="R84" s="174">
        <f t="shared" ca="1" si="15"/>
        <v>-53</v>
      </c>
      <c r="S84" s="339"/>
      <c r="T84" s="241">
        <f t="shared" ca="1" si="16"/>
        <v>-1</v>
      </c>
      <c r="U84" s="247">
        <f ca="1">IF(IFERROR(DelayQ(B84*C84/600,(S84/(1-$H$5))+E84*((1-$H$7)*VLOOKUP(A83,CURVAS_INTRA!$A$103:$AD$150,HLOOKUP($C$14,CURVAS_INTRA!$A$101:$AD$102,2,0),0)),$C$8,C84),0)=0,"",IFERROR(DelayQ(B84*C84/600,S84+E84*((1-$H$7)*VLOOKUP(A83,CURVAS_INTRA!$A$103:$AD$150,HLOOKUP($C$14,CURVAS_INTRA!$A$101:$AD$102,2,0),0)),$C$8,C84),0))</f>
        <v>0.71519999999999995</v>
      </c>
      <c r="V84" s="281">
        <f t="shared" ca="1" si="17"/>
        <v>0.71519999999999995</v>
      </c>
      <c r="W84" s="174">
        <f t="shared" si="35"/>
        <v>19</v>
      </c>
      <c r="X84" s="227">
        <v>0.44444444444444398</v>
      </c>
      <c r="Y84" s="220">
        <f t="shared" si="21"/>
        <v>19</v>
      </c>
      <c r="Z84" s="221">
        <f t="shared" ref="Z84:Z115" si="37">IFERROR(((IF($Z$17="Não",$H$8,0)*$E$6+IF($Z$17="Não",$I$8,0)*$E$7+IF($Z$17="Não",$J$8,0)*$E$8+IF($Z$17="Não",$K$8,0)*$E$9)/SUM($E$6:$E$9))*SUM(L84:O84),0)</f>
        <v>0</v>
      </c>
      <c r="AA84" s="221">
        <f t="shared" ref="AA84:AA115" si="38">IFERROR(((IF($AA$17="Não",$H$9,0)*$E$6+IF($AA$17="Não",$I$9,0)*$E$7+IF($AA$17="Não",$J$9,0)*$E$8+IF($AA$17="Não",$K$9,0)*$E$9)/SUM($E$6:$E$9))*SUM(L84:O84),0)</f>
        <v>0</v>
      </c>
      <c r="AB84" s="221">
        <f t="shared" ref="AB84:AB115" si="39">IFERROR(((IF($AB$17="Não",$H$10,0)*$E$6+IF($AB$17="Não",$I$10,0)*$E$7+IF($AB$17="Não",$J$10,0)*$E$8+IF($AB$17="Não",$K$10,0)*$E$9)/SUM($E$6:$E$9))*SUM(L84:O84),0)</f>
        <v>0</v>
      </c>
      <c r="AC84" s="221">
        <f t="shared" ref="AC84:AC115" si="40">IFERROR(((IF($AC$17="Não",$H$11,0)*$E$6+IF($AC$17="Não",$I$11,0)*$E$7+IF($AC$17="Não",$J$11,0)*$E$8+IF($AC$17="Não",$K$11,0)*$E$9)/SUM($E$6:$E$9))*SUM(L84:O84),0)</f>
        <v>0</v>
      </c>
      <c r="AD84" s="221">
        <f t="shared" ref="AD84:AD115" si="41">IFERROR(((IF($AD$17="Não",$H$12,0)*$E$6+IF($AD$17="Não",$I$12,0)*$E$7+IF($AD$17="Não",$J$12,0)*$E$8+IF($AD$17="Não",$K$12,0)*$E$9)/SUM($E$6:$E$9))*SUM(L84:O84),0)</f>
        <v>0</v>
      </c>
      <c r="AE84" s="221">
        <f t="shared" ref="AE84:AE115" si="42">IFERROR(((IF($AE$17="Não",$H$13,0)*$E$6+IF($AE$17="Não",$I$13,0)*$E$7+IF($AE$17="Não",$J$13,0)*$E$8+IF($AE$17="Não",$K$13,0)*$E$9)/SUM($E$6:$E$9))*SUM(L84:O84),0)</f>
        <v>0</v>
      </c>
      <c r="AF84" s="221">
        <f t="shared" ref="AF84:AF115" si="43">IFERROR(((IF($AF$17="Não",$H$14,0)*$E$6+IF($AF$17="Não",$I$14,0)*$E$7+IF($AF$17="Não",$J$14,0)*$E$8+IF($AF$17="Não",$K$14,0)*$E$9)/SUM($E$6:$E$9))*SUM(L84:O84),0)</f>
        <v>0</v>
      </c>
      <c r="AG84" s="222">
        <f t="shared" si="18"/>
        <v>19</v>
      </c>
      <c r="AH84" s="222">
        <f t="shared" ref="AH84:AH115" si="44">AG84+S84</f>
        <v>19</v>
      </c>
      <c r="AJ84" s="291">
        <f t="shared" ref="AJ84:AJ115" ca="1" si="45">IF(B84+C84=0,0,(Agents(B84*C84/600,$C$7,$C$8,C84)))</f>
        <v>16</v>
      </c>
      <c r="AK84" s="291">
        <f ca="1">IFERROR(ROUNDUP(IF(B84=0,0,Agents(B84*C84/600,$C$7,$C$8,C84))/(1-($J$12*(IFERROR(INDIRECT("CURVAS_INTRA!"&amp;ADDRESS(VLOOKUP($A84,CURVAS_INTRA!$A$103:$B$150,2,0),HLOOKUP($C$14,CURVAS_INTRA!$1:$2,2,0))),0)+IFERROR(INDIRECT("CURVAS_INTRA!"&amp;ADDRESS(VLOOKUP($A83,CURVAS_INTRA!$A$103:$B$150,2,0),HLOOKUP($C$14,CURVAS_INTRA!$1:$2,2,0))),0)))),0),0)</f>
        <v>18</v>
      </c>
      <c r="AM84" s="488">
        <f t="shared" si="19"/>
        <v>0</v>
      </c>
      <c r="AN84" s="174"/>
      <c r="AO84" s="174"/>
      <c r="AP84" s="174"/>
      <c r="AQ84" s="174"/>
      <c r="AR84" s="174"/>
    </row>
    <row r="85" spans="1:44" ht="11.25" customHeight="1">
      <c r="A85" s="570">
        <v>0.45138888888888901</v>
      </c>
      <c r="B85" s="183">
        <f ca="1">IFERROR(INDIRECT("CURVAS_INTRA!"&amp;ADDRESS(VLOOKUP($A83,CURVAS_INTRA!$A$3:$B$50,2,0),HLOOKUP($C$14,CURVAS_INTRA!$1:$2,2,0)))/3*$C$5,B82)</f>
        <v>8.2905117196278812</v>
      </c>
      <c r="C85" s="345">
        <f ca="1">IFERROR(INDIRECT("CURVAS_INTRA!"&amp;ADDRESS(VLOOKUP($A85,CURVAS_INTRA!$A$53:$B$100,2,0),HLOOKUP($C$14,CURVAS_INTRA!$1:$2,2,0)))*$C$6,C84)</f>
        <v>875.70079970541485</v>
      </c>
      <c r="D85" s="183">
        <f ca="1">IFERROR(ROUNDUP(IF(B85=0,0,Agents(B85*C85/600,$C$7,$C$8,C85))/(1-($H$7*(IFERROR(INDIRECT("CURVAS_INTRA!"&amp;ADDRESS(VLOOKUP($A83,CURVAS_INTRA!$A$103:$B$150,2,0),HLOOKUP($C$14,CURVAS_INTRA!$1:$2,2,0))),0)))),0),0)</f>
        <v>20</v>
      </c>
      <c r="E85" s="345">
        <f t="shared" si="36"/>
        <v>19</v>
      </c>
      <c r="F85" s="346">
        <f t="shared" ref="F85:F148" ca="1" si="46">E85-D85</f>
        <v>-1</v>
      </c>
      <c r="G85" s="185">
        <f ca="1">IFERROR(DelayQ(B85*C85/600,E85*((1-$H$7*VLOOKUP(A83,CURVAS_INTRA!$A$103:$AD$150,HLOOKUP($C$14,CURVAS_INTRA!$A$101:$AD$102,2,0),0))),$C$8,C85),0)</f>
        <v>0.71519999999999995</v>
      </c>
      <c r="H85" s="221">
        <v>0</v>
      </c>
      <c r="I85" s="221">
        <v>0</v>
      </c>
      <c r="J85" s="221">
        <v>0</v>
      </c>
      <c r="K85" s="221">
        <v>0</v>
      </c>
      <c r="L85" s="137">
        <f t="shared" si="22"/>
        <v>0</v>
      </c>
      <c r="M85" s="186">
        <f t="shared" si="32"/>
        <v>0</v>
      </c>
      <c r="N85" s="137">
        <f t="shared" si="33"/>
        <v>14</v>
      </c>
      <c r="O85" s="188">
        <f t="shared" si="34"/>
        <v>5</v>
      </c>
      <c r="P85" s="201">
        <f t="shared" ref="P85:P148" ca="1" si="47">IFERROR(IF((B85*C85)/(E85*600*(1-$H$7))&gt;1,1,(B85*C85)/(E85*600*(1-$H$7))),"")</f>
        <v>0.7812404862011475</v>
      </c>
      <c r="Q85" s="202">
        <f t="shared" ref="Q85:Q148" ca="1" si="48">IFERROR(IF((B85*C85)/(D85*600*(1-$H$7))&gt;1,1,(B85*C85)/(D85*600*(1-$H$7))),"")</f>
        <v>0.74217846189109027</v>
      </c>
      <c r="R85" s="174">
        <f t="shared" ref="R85:R125" ca="1" si="49">IF(AND(ROW()&gt;=$B$1,ROW()&lt;=$C$1),SUM(F85:F122),"")</f>
        <v>-56</v>
      </c>
      <c r="S85" s="339"/>
      <c r="T85" s="241">
        <f t="shared" ref="T85:T148" ca="1" si="50">S85+F85</f>
        <v>-1</v>
      </c>
      <c r="U85" s="247">
        <f ca="1">IF(IFERROR(DelayQ(B85*C85/600,(S85/(1-$H$5))+E85*((1-$H$7)*VLOOKUP(A83,CURVAS_INTRA!$A$103:$AD$150,HLOOKUP($C$14,CURVAS_INTRA!$A$101:$AD$102,2,0),0)),$C$8,C85),0)=0,"",IFERROR(DelayQ(B85*C85/600,S85+E85*((1-$H$7)*VLOOKUP(A83,CURVAS_INTRA!$A$103:$AD$150,HLOOKUP($C$14,CURVAS_INTRA!$A$101:$AD$102,2,0),0)),$C$8,C85),0))</f>
        <v>0.71519999999999995</v>
      </c>
      <c r="V85" s="281">
        <f t="shared" ref="V85:V148" ca="1" si="51">IF(S85="",G85,U85)</f>
        <v>0.71519999999999995</v>
      </c>
      <c r="W85" s="174">
        <f t="shared" si="35"/>
        <v>19</v>
      </c>
      <c r="X85" s="227">
        <v>0.45138888888888901</v>
      </c>
      <c r="Y85" s="220">
        <f t="shared" ref="Y85:Y148" si="52">SUM(L85:O85)</f>
        <v>19</v>
      </c>
      <c r="Z85" s="221">
        <f t="shared" si="37"/>
        <v>0</v>
      </c>
      <c r="AA85" s="221">
        <f t="shared" si="38"/>
        <v>0</v>
      </c>
      <c r="AB85" s="221">
        <f t="shared" si="39"/>
        <v>0</v>
      </c>
      <c r="AC85" s="221">
        <f t="shared" si="40"/>
        <v>0</v>
      </c>
      <c r="AD85" s="221">
        <f t="shared" si="41"/>
        <v>0</v>
      </c>
      <c r="AE85" s="221">
        <f t="shared" si="42"/>
        <v>0</v>
      </c>
      <c r="AF85" s="221">
        <f t="shared" si="43"/>
        <v>0</v>
      </c>
      <c r="AG85" s="222">
        <f t="shared" ref="AG85:AG148" si="53">Y85-SUM(Z85:AF85)</f>
        <v>19</v>
      </c>
      <c r="AH85" s="222">
        <f t="shared" si="44"/>
        <v>19</v>
      </c>
      <c r="AJ85" s="291">
        <f t="shared" ca="1" si="45"/>
        <v>16</v>
      </c>
      <c r="AK85" s="291">
        <f ca="1">IFERROR(ROUNDUP(IF(B85=0,0,Agents(B85*C85/600,$C$7,$C$8,C85))/(1-($J$12*(IFERROR(INDIRECT("CURVAS_INTRA!"&amp;ADDRESS(VLOOKUP($A85,CURVAS_INTRA!$A$103:$B$150,2,0),HLOOKUP($C$14,CURVAS_INTRA!$1:$2,2,0))),0)+IFERROR(INDIRECT("CURVAS_INTRA!"&amp;ADDRESS(VLOOKUP($A84,CURVAS_INTRA!$A$103:$B$150,2,0),HLOOKUP($C$14,CURVAS_INTRA!$1:$2,2,0))),0)+IFERROR(INDIRECT("CURVAS_INTRA!"&amp;ADDRESS(VLOOKUP($A83,CURVAS_INTRA!$A$103:$B$150,2,0),HLOOKUP($C$14,CURVAS_INTRA!$1:$2,2,0))),0)))),0),0)</f>
        <v>18</v>
      </c>
      <c r="AM85" s="488">
        <f t="shared" ref="AM85:AM148" si="54">SUM(H85:K85)</f>
        <v>0</v>
      </c>
      <c r="AN85" s="174"/>
      <c r="AO85" s="174"/>
      <c r="AP85" s="174"/>
      <c r="AQ85" s="174"/>
      <c r="AR85" s="174"/>
    </row>
    <row r="86" spans="1:44" ht="11.25" customHeight="1">
      <c r="A86" s="570">
        <v>0.45833333333333298</v>
      </c>
      <c r="B86" s="183">
        <f ca="1">IFERROR(INDIRECT("CURVAS_INTRA!"&amp;ADDRESS(VLOOKUP($A86,CURVAS_INTRA!$A$3:$B$50,2,0),HLOOKUP($C$14,CURVAS_INTRA!$1:$2,2,0)))/3*$C$5,$B$19)</f>
        <v>9.1531507948932571</v>
      </c>
      <c r="C86" s="183">
        <f ca="1">IFERROR(INDIRECT("CURVAS_INTRA!"&amp;ADDRESS(VLOOKUP($A86,CURVAS_INTRA!$A$53:$B$100,2,0),HLOOKUP($C$14,CURVAS_INTRA!$1:$2,2,0)))*$C$6,C85)</f>
        <v>867.17704754042086</v>
      </c>
      <c r="D86" s="183">
        <f ca="1">IFERROR(ROUNDUP(IF(B86=0,0,Agents(B86*C86/600,$C$7,$C$8,C86))/(1-($H$7*(IFERROR(INDIRECT("CURVAS_INTRA!"&amp;ADDRESS(VLOOKUP($A86,CURVAS_INTRA!$A$103:$B$150,2,0),HLOOKUP($C$14,CURVAS_INTRA!$1:$2,2,0))),0)))),0),0)</f>
        <v>23</v>
      </c>
      <c r="E86" s="183">
        <f>ROUNDUP(SUM(L86:O86),0)</f>
        <v>19</v>
      </c>
      <c r="F86" s="241">
        <f t="shared" ca="1" si="46"/>
        <v>-4</v>
      </c>
      <c r="G86" s="185">
        <f ca="1">IFERROR(DelayQ(B86*C86/600,E86*((1-$H$7*VLOOKUP(A86,CURVAS_INTRA!$A$103:$AD$150,HLOOKUP($C$14,CURVAS_INTRA!$A$101:$AD$102,2,0),0))),$C$8,C86),0)</f>
        <v>0.53459999999999996</v>
      </c>
      <c r="H86" s="221">
        <v>0</v>
      </c>
      <c r="I86" s="221">
        <v>0</v>
      </c>
      <c r="J86" s="221">
        <v>0</v>
      </c>
      <c r="K86" s="221">
        <v>0</v>
      </c>
      <c r="L86" s="137">
        <f t="shared" si="22"/>
        <v>0</v>
      </c>
      <c r="M86" s="186">
        <f t="shared" si="32"/>
        <v>0</v>
      </c>
      <c r="N86" s="137">
        <f t="shared" si="33"/>
        <v>14</v>
      </c>
      <c r="O86" s="188">
        <f t="shared" si="34"/>
        <v>5</v>
      </c>
      <c r="P86" s="201">
        <f t="shared" ca="1" si="47"/>
        <v>0.85413407776058925</v>
      </c>
      <c r="Q86" s="202">
        <f t="shared" ca="1" si="48"/>
        <v>0.70558902075874774</v>
      </c>
      <c r="R86" s="174">
        <f t="shared" ca="1" si="49"/>
        <v>-59</v>
      </c>
      <c r="S86" s="339"/>
      <c r="T86" s="241">
        <f t="shared" ca="1" si="50"/>
        <v>-4</v>
      </c>
      <c r="U86" s="247">
        <f ca="1">IF(IFERROR(DelayQ(B86*C86/600,(S86/(1-$H$5))+E86*((1-$H$7)*VLOOKUP(A86,CURVAS_INTRA!$A$103:$AD$150,HLOOKUP($C$14,CURVAS_INTRA!$A$101:$AD$102,2,0),0)),$C$8,C86),0)=0,"",IFERROR(DelayQ(B86*C86/600,S86+E86*((1-$H$7)*VLOOKUP(A86,CURVAS_INTRA!$A$103:$AD$150,HLOOKUP($C$14,CURVAS_INTRA!$A$101:$AD$102,2,0),0)),$C$8,C86),0))</f>
        <v>0.53459999999999996</v>
      </c>
      <c r="V86" s="281">
        <f t="shared" ca="1" si="51"/>
        <v>0.53459999999999996</v>
      </c>
      <c r="W86" s="174">
        <f t="shared" si="35"/>
        <v>19</v>
      </c>
      <c r="X86" s="227">
        <v>0.45833333333333298</v>
      </c>
      <c r="Y86" s="220">
        <f t="shared" si="52"/>
        <v>19</v>
      </c>
      <c r="Z86" s="221">
        <f t="shared" si="37"/>
        <v>0</v>
      </c>
      <c r="AA86" s="221">
        <f t="shared" si="38"/>
        <v>0</v>
      </c>
      <c r="AB86" s="221">
        <f t="shared" si="39"/>
        <v>0</v>
      </c>
      <c r="AC86" s="221">
        <f t="shared" si="40"/>
        <v>0</v>
      </c>
      <c r="AD86" s="221">
        <f t="shared" si="41"/>
        <v>0</v>
      </c>
      <c r="AE86" s="221">
        <f t="shared" si="42"/>
        <v>0</v>
      </c>
      <c r="AF86" s="221">
        <f t="shared" si="43"/>
        <v>0</v>
      </c>
      <c r="AG86" s="222">
        <f t="shared" si="53"/>
        <v>19</v>
      </c>
      <c r="AH86" s="222">
        <f t="shared" si="44"/>
        <v>19</v>
      </c>
      <c r="AJ86" s="291">
        <f t="shared" ca="1" si="45"/>
        <v>18</v>
      </c>
      <c r="AK86" s="291">
        <f ca="1">IFERROR(ROUNDUP(IF(B86=0,0,Agents(B86*C86/600,$C$7,$C$8,C86))/(1-($J$12*(IFERROR(INDIRECT("CURVAS_INTRA!"&amp;ADDRESS(VLOOKUP($A86,CURVAS_INTRA!$A$103:$B$150,2,0),HLOOKUP($C$14,CURVAS_INTRA!$1:$2,2,0))),0)))),0),0)</f>
        <v>21</v>
      </c>
      <c r="AM86" s="488">
        <f t="shared" si="54"/>
        <v>0</v>
      </c>
      <c r="AN86" s="174"/>
      <c r="AO86" s="174"/>
      <c r="AP86" s="174"/>
      <c r="AQ86" s="174"/>
      <c r="AR86" s="174"/>
    </row>
    <row r="87" spans="1:44" ht="11.25" customHeight="1">
      <c r="A87" s="570">
        <v>0.46527777777777801</v>
      </c>
      <c r="B87" s="183">
        <f ca="1">IFERROR(INDIRECT("CURVAS_INTRA!"&amp;ADDRESS(VLOOKUP($A86,CURVAS_INTRA!$A$3:$B$50,2,0),HLOOKUP($C$14,CURVAS_INTRA!$1:$2,2,0)))/3*$C$5,$B$19)</f>
        <v>9.1531507948932571</v>
      </c>
      <c r="C87" s="183">
        <f ca="1">IFERROR(INDIRECT("CURVAS_INTRA!"&amp;ADDRESS(VLOOKUP($A87,CURVAS_INTRA!$A$53:$B$100,2,0),HLOOKUP($C$14,CURVAS_INTRA!$1:$2,2,0)))*$C$6,C86)</f>
        <v>867.17704754042086</v>
      </c>
      <c r="D87" s="183">
        <f ca="1">IFERROR(ROUNDUP(IF(B87=0,0,Agents(B87*C87/600,$C$7,$C$8,C87))/(1-($H$7*(IFERROR(INDIRECT("CURVAS_INTRA!"&amp;ADDRESS(VLOOKUP($A86,CURVAS_INTRA!$A$103:$B$150,2,0),HLOOKUP($C$14,CURVAS_INTRA!$1:$2,2,0))),0)))),0),0)</f>
        <v>23</v>
      </c>
      <c r="E87" s="183">
        <f t="shared" si="36"/>
        <v>19</v>
      </c>
      <c r="F87" s="241">
        <f t="shared" ca="1" si="46"/>
        <v>-4</v>
      </c>
      <c r="G87" s="185">
        <f ca="1">IFERROR(DelayQ(B87*C87/600,E87*((1-$H$7*VLOOKUP(A86,CURVAS_INTRA!$A$103:$AD$150,HLOOKUP($C$14,CURVAS_INTRA!$A$101:$AD$102,2,0),0))),$C$8,C87),0)</f>
        <v>0.53459999999999996</v>
      </c>
      <c r="H87" s="221">
        <v>0</v>
      </c>
      <c r="I87" s="221">
        <v>0</v>
      </c>
      <c r="J87" s="221">
        <v>0</v>
      </c>
      <c r="K87" s="221">
        <v>0</v>
      </c>
      <c r="L87" s="137">
        <f t="shared" si="22"/>
        <v>0</v>
      </c>
      <c r="M87" s="186">
        <f t="shared" si="32"/>
        <v>0</v>
      </c>
      <c r="N87" s="137">
        <f t="shared" si="33"/>
        <v>14</v>
      </c>
      <c r="O87" s="188">
        <f t="shared" si="34"/>
        <v>5</v>
      </c>
      <c r="P87" s="201">
        <f t="shared" ca="1" si="47"/>
        <v>0.85413407776058925</v>
      </c>
      <c r="Q87" s="202">
        <f t="shared" ca="1" si="48"/>
        <v>0.70558902075874774</v>
      </c>
      <c r="R87" s="174">
        <f t="shared" ca="1" si="49"/>
        <v>-59</v>
      </c>
      <c r="S87" s="339"/>
      <c r="T87" s="241">
        <f t="shared" ca="1" si="50"/>
        <v>-4</v>
      </c>
      <c r="U87" s="247">
        <f ca="1">IF(IFERROR(DelayQ(B87*C87/600,(S87/(1-$H$5))+E87*((1-$H$7)*VLOOKUP(A86,CURVAS_INTRA!$A$103:$AD$150,HLOOKUP($C$14,CURVAS_INTRA!$A$101:$AD$102,2,0),0)),$C$8,C87),0)=0,"",IFERROR(DelayQ(B87*C87/600,S87+E87*((1-$H$7)*VLOOKUP(A86,CURVAS_INTRA!$A$103:$AD$150,HLOOKUP($C$14,CURVAS_INTRA!$A$101:$AD$102,2,0),0)),$C$8,C87),0))</f>
        <v>0.53459999999999996</v>
      </c>
      <c r="V87" s="281">
        <f t="shared" ca="1" si="51"/>
        <v>0.53459999999999996</v>
      </c>
      <c r="W87" s="174">
        <f t="shared" si="35"/>
        <v>19</v>
      </c>
      <c r="X87" s="227">
        <v>0.46527777777777801</v>
      </c>
      <c r="Y87" s="220">
        <f t="shared" si="52"/>
        <v>19</v>
      </c>
      <c r="Z87" s="221">
        <f t="shared" si="37"/>
        <v>0</v>
      </c>
      <c r="AA87" s="221">
        <f t="shared" si="38"/>
        <v>0</v>
      </c>
      <c r="AB87" s="221">
        <f t="shared" si="39"/>
        <v>0</v>
      </c>
      <c r="AC87" s="221">
        <f t="shared" si="40"/>
        <v>0</v>
      </c>
      <c r="AD87" s="221">
        <f t="shared" si="41"/>
        <v>0</v>
      </c>
      <c r="AE87" s="221">
        <f t="shared" si="42"/>
        <v>0</v>
      </c>
      <c r="AF87" s="221">
        <f t="shared" si="43"/>
        <v>0</v>
      </c>
      <c r="AG87" s="222">
        <f t="shared" si="53"/>
        <v>19</v>
      </c>
      <c r="AH87" s="222">
        <f t="shared" si="44"/>
        <v>19</v>
      </c>
      <c r="AJ87" s="291">
        <f t="shared" ca="1" si="45"/>
        <v>18</v>
      </c>
      <c r="AK87" s="291">
        <f ca="1">IFERROR(ROUNDUP(IF(B87=0,0,Agents(B87*C87/600,$C$7,$C$8,C87))/(1-($J$12*(IFERROR(INDIRECT("CURVAS_INTRA!"&amp;ADDRESS(VLOOKUP($A87,CURVAS_INTRA!$A$103:$B$150,2,0),HLOOKUP($C$14,CURVAS_INTRA!$1:$2,2,0))),0)+IFERROR(INDIRECT("CURVAS_INTRA!"&amp;ADDRESS(VLOOKUP($A86,CURVAS_INTRA!$A$103:$B$150,2,0),HLOOKUP($C$14,CURVAS_INTRA!$1:$2,2,0))),0)))),0),0)</f>
        <v>21</v>
      </c>
      <c r="AM87" s="488">
        <f t="shared" si="54"/>
        <v>0</v>
      </c>
      <c r="AN87" s="174"/>
      <c r="AO87" s="174"/>
      <c r="AP87" s="174"/>
      <c r="AQ87" s="174"/>
      <c r="AR87" s="174"/>
    </row>
    <row r="88" spans="1:44" ht="11.25" customHeight="1">
      <c r="A88" s="570">
        <v>0.47222222222222199</v>
      </c>
      <c r="B88" s="183">
        <f ca="1">IFERROR(INDIRECT("CURVAS_INTRA!"&amp;ADDRESS(VLOOKUP($A86,CURVAS_INTRA!$A$3:$B$50,2,0),HLOOKUP($C$14,CURVAS_INTRA!$1:$2,2,0)))/3*$C$5,B85)</f>
        <v>9.1531507948932571</v>
      </c>
      <c r="C88" s="183">
        <f ca="1">IFERROR(INDIRECT("CURVAS_INTRA!"&amp;ADDRESS(VLOOKUP($A88,CURVAS_INTRA!$A$53:$B$100,2,0),HLOOKUP($C$14,CURVAS_INTRA!$1:$2,2,0)))*$C$6,C87)</f>
        <v>867.17704754042086</v>
      </c>
      <c r="D88" s="183">
        <f ca="1">IFERROR(ROUNDUP(IF(B88=0,0,Agents(B88*C88/600,$C$7,$C$8,C88))/(1-($H$7*(IFERROR(INDIRECT("CURVAS_INTRA!"&amp;ADDRESS(VLOOKUP($A86,CURVAS_INTRA!$A$103:$B$150,2,0),HLOOKUP($C$14,CURVAS_INTRA!$1:$2,2,0))),0)))),0),0)</f>
        <v>23</v>
      </c>
      <c r="E88" s="183">
        <f t="shared" si="36"/>
        <v>19</v>
      </c>
      <c r="F88" s="241">
        <f t="shared" ca="1" si="46"/>
        <v>-4</v>
      </c>
      <c r="G88" s="185">
        <f ca="1">IFERROR(DelayQ(B88*C88/600,E88*((1-$H$7*VLOOKUP(A86,CURVAS_INTRA!$A$103:$AD$150,HLOOKUP($C$14,CURVAS_INTRA!$A$101:$AD$102,2,0),0))),$C$8,C88),0)</f>
        <v>0.53459999999999996</v>
      </c>
      <c r="H88" s="221">
        <v>0</v>
      </c>
      <c r="I88" s="221">
        <v>0</v>
      </c>
      <c r="J88" s="221">
        <v>0</v>
      </c>
      <c r="K88" s="221">
        <v>0</v>
      </c>
      <c r="L88" s="137">
        <f t="shared" si="22"/>
        <v>0</v>
      </c>
      <c r="M88" s="186">
        <f t="shared" si="32"/>
        <v>0</v>
      </c>
      <c r="N88" s="137">
        <f t="shared" si="33"/>
        <v>14</v>
      </c>
      <c r="O88" s="188">
        <f t="shared" si="34"/>
        <v>5</v>
      </c>
      <c r="P88" s="201">
        <f t="shared" ca="1" si="47"/>
        <v>0.85413407776058925</v>
      </c>
      <c r="Q88" s="202">
        <f t="shared" ca="1" si="48"/>
        <v>0.70558902075874774</v>
      </c>
      <c r="R88" s="174">
        <f t="shared" ca="1" si="49"/>
        <v>-59</v>
      </c>
      <c r="S88" s="339"/>
      <c r="T88" s="241">
        <f t="shared" ca="1" si="50"/>
        <v>-4</v>
      </c>
      <c r="U88" s="247">
        <f ca="1">IF(IFERROR(DelayQ(B88*C88/600,(S88/(1-$H$5))+E88*((1-$H$7)*VLOOKUP(A86,CURVAS_INTRA!$A$103:$AD$150,HLOOKUP($C$14,CURVAS_INTRA!$A$101:$AD$102,2,0),0)),$C$8,C88),0)=0,"",IFERROR(DelayQ(B88*C88/600,S88+E88*((1-$H$7)*VLOOKUP(A86,CURVAS_INTRA!$A$103:$AD$150,HLOOKUP($C$14,CURVAS_INTRA!$A$101:$AD$102,2,0),0)),$C$8,C88),0))</f>
        <v>0.53459999999999996</v>
      </c>
      <c r="V88" s="281">
        <f t="shared" ca="1" si="51"/>
        <v>0.53459999999999996</v>
      </c>
      <c r="W88" s="174">
        <f t="shared" si="35"/>
        <v>19</v>
      </c>
      <c r="X88" s="227">
        <v>0.47222222222222199</v>
      </c>
      <c r="Y88" s="220">
        <f t="shared" si="52"/>
        <v>19</v>
      </c>
      <c r="Z88" s="221">
        <f t="shared" si="37"/>
        <v>0</v>
      </c>
      <c r="AA88" s="221">
        <f t="shared" si="38"/>
        <v>0</v>
      </c>
      <c r="AB88" s="221">
        <f t="shared" si="39"/>
        <v>0</v>
      </c>
      <c r="AC88" s="221">
        <f t="shared" si="40"/>
        <v>0</v>
      </c>
      <c r="AD88" s="221">
        <f t="shared" si="41"/>
        <v>0</v>
      </c>
      <c r="AE88" s="221">
        <f t="shared" si="42"/>
        <v>0</v>
      </c>
      <c r="AF88" s="221">
        <f t="shared" si="43"/>
        <v>0</v>
      </c>
      <c r="AG88" s="222">
        <f t="shared" si="53"/>
        <v>19</v>
      </c>
      <c r="AH88" s="222">
        <f t="shared" si="44"/>
        <v>19</v>
      </c>
      <c r="AJ88" s="291">
        <f t="shared" ca="1" si="45"/>
        <v>18</v>
      </c>
      <c r="AK88" s="291">
        <f ca="1">IFERROR(ROUNDUP(IF(B88=0,0,Agents(B88*C88/600,$C$7,$C$8,C88))/(1-($J$12*(IFERROR(INDIRECT("CURVAS_INTRA!"&amp;ADDRESS(VLOOKUP($A88,CURVAS_INTRA!$A$103:$B$150,2,0),HLOOKUP($C$14,CURVAS_INTRA!$1:$2,2,0))),0)+IFERROR(INDIRECT("CURVAS_INTRA!"&amp;ADDRESS(VLOOKUP($A87,CURVAS_INTRA!$A$103:$B$150,2,0),HLOOKUP($C$14,CURVAS_INTRA!$1:$2,2,0))),0)+IFERROR(INDIRECT("CURVAS_INTRA!"&amp;ADDRESS(VLOOKUP($A86,CURVAS_INTRA!$A$103:$B$150,2,0),HLOOKUP($C$14,CURVAS_INTRA!$1:$2,2,0))),0)))),0),0)</f>
        <v>21</v>
      </c>
      <c r="AM88" s="488">
        <f t="shared" si="54"/>
        <v>0</v>
      </c>
      <c r="AN88" s="174"/>
      <c r="AO88" s="174"/>
      <c r="AP88" s="174"/>
      <c r="AQ88" s="174"/>
      <c r="AR88" s="174"/>
    </row>
    <row r="89" spans="1:44" ht="11.25" customHeight="1">
      <c r="A89" s="570">
        <v>0.47916666666666702</v>
      </c>
      <c r="B89" s="183">
        <f ca="1">IFERROR(INDIRECT("CURVAS_INTRA!"&amp;ADDRESS(VLOOKUP($A89,CURVAS_INTRA!$A$3:$B$50,2,0),HLOOKUP($C$14,CURVAS_INTRA!$1:$2,2,0)))/3*$C$5,$B$19)</f>
        <v>8.479943363875595</v>
      </c>
      <c r="C89" s="183">
        <f ca="1">IFERROR(INDIRECT("CURVAS_INTRA!"&amp;ADDRESS(VLOOKUP($A89,CURVAS_INTRA!$A$53:$B$100,2,0),HLOOKUP($C$14,CURVAS_INTRA!$1:$2,2,0)))*$C$6,C88)</f>
        <v>834.9066772044954</v>
      </c>
      <c r="D89" s="183">
        <f ca="1">IFERROR(ROUNDUP(IF(B89=0,0,Agents(B89*C89/600,$C$7,$C$8,C89))/(1-($H$7*(IFERROR(INDIRECT("CURVAS_INTRA!"&amp;ADDRESS(VLOOKUP($A89,CURVAS_INTRA!$A$103:$B$150,2,0),HLOOKUP($C$14,CURVAS_INTRA!$1:$2,2,0))),0)))),0),0)</f>
        <v>20</v>
      </c>
      <c r="E89" s="183">
        <f t="shared" si="36"/>
        <v>19</v>
      </c>
      <c r="F89" s="241">
        <f t="shared" ca="1" si="46"/>
        <v>-1</v>
      </c>
      <c r="G89" s="185">
        <f ca="1">IFERROR(DelayQ(B89*C89/600,E89*((1-$H$7*VLOOKUP(A89,CURVAS_INTRA!$A$103:$AD$150,HLOOKUP($C$14,CURVAS_INTRA!$A$101:$AD$102,2,0),0))),$C$8,C89),0)</f>
        <v>0.755</v>
      </c>
      <c r="H89" s="221">
        <v>0</v>
      </c>
      <c r="I89" s="221">
        <v>0</v>
      </c>
      <c r="J89" s="221">
        <v>0</v>
      </c>
      <c r="K89" s="221">
        <v>0</v>
      </c>
      <c r="L89" s="137">
        <f t="shared" si="22"/>
        <v>0</v>
      </c>
      <c r="M89" s="186">
        <f t="shared" si="32"/>
        <v>0</v>
      </c>
      <c r="N89" s="137">
        <f t="shared" si="33"/>
        <v>14</v>
      </c>
      <c r="O89" s="188">
        <f t="shared" si="34"/>
        <v>5</v>
      </c>
      <c r="P89" s="201">
        <f t="shared" ca="1" si="47"/>
        <v>0.76186591433186446</v>
      </c>
      <c r="Q89" s="202">
        <f t="shared" ca="1" si="48"/>
        <v>0.72377261861527142</v>
      </c>
      <c r="R89" s="174">
        <f t="shared" ca="1" si="49"/>
        <v>-55</v>
      </c>
      <c r="S89" s="339"/>
      <c r="T89" s="241">
        <f t="shared" ca="1" si="50"/>
        <v>-1</v>
      </c>
      <c r="U89" s="247">
        <f ca="1">IF(IFERROR(DelayQ(B89*C89/600,(S89/(1-$H$5))+E89*((1-$H$7)*VLOOKUP(A89,CURVAS_INTRA!$A$103:$AD$150,HLOOKUP($C$14,CURVAS_INTRA!$A$101:$AD$102,2,0),0)),$C$8,C89),0)=0,"",IFERROR(DelayQ(B89*C89/600,S89+E89*((1-$H$7)*VLOOKUP(A89,CURVAS_INTRA!$A$103:$AD$150,HLOOKUP($C$14,CURVAS_INTRA!$A$101:$AD$102,2,0),0)),$C$8,C89),0))</f>
        <v>0.755</v>
      </c>
      <c r="V89" s="281">
        <f t="shared" ca="1" si="51"/>
        <v>0.755</v>
      </c>
      <c r="W89" s="174">
        <f t="shared" si="35"/>
        <v>19</v>
      </c>
      <c r="X89" s="227">
        <v>0.47916666666666702</v>
      </c>
      <c r="Y89" s="220">
        <f t="shared" si="52"/>
        <v>19</v>
      </c>
      <c r="Z89" s="221">
        <f t="shared" si="37"/>
        <v>0</v>
      </c>
      <c r="AA89" s="221">
        <f t="shared" si="38"/>
        <v>0</v>
      </c>
      <c r="AB89" s="221">
        <f t="shared" si="39"/>
        <v>0</v>
      </c>
      <c r="AC89" s="221">
        <f t="shared" si="40"/>
        <v>0</v>
      </c>
      <c r="AD89" s="221">
        <f t="shared" si="41"/>
        <v>0</v>
      </c>
      <c r="AE89" s="221">
        <f t="shared" si="42"/>
        <v>0</v>
      </c>
      <c r="AF89" s="221">
        <f t="shared" si="43"/>
        <v>0</v>
      </c>
      <c r="AG89" s="222">
        <f t="shared" si="53"/>
        <v>19</v>
      </c>
      <c r="AH89" s="222">
        <f t="shared" si="44"/>
        <v>19</v>
      </c>
      <c r="AJ89" s="291">
        <f t="shared" ca="1" si="45"/>
        <v>16</v>
      </c>
      <c r="AK89" s="291">
        <f ca="1">IFERROR(ROUNDUP(IF(B89=0,0,Agents(B89*C89/600,$C$7,$C$8,C89))/(1-($J$12*(IFERROR(INDIRECT("CURVAS_INTRA!"&amp;ADDRESS(VLOOKUP($A89,CURVAS_INTRA!$A$103:$B$150,2,0),HLOOKUP($C$14,CURVAS_INTRA!$1:$2,2,0))),0)))),0),0)</f>
        <v>18</v>
      </c>
      <c r="AM89" s="488">
        <f t="shared" si="54"/>
        <v>0</v>
      </c>
      <c r="AN89" s="174"/>
      <c r="AO89" s="174"/>
      <c r="AP89" s="174"/>
      <c r="AQ89" s="174"/>
      <c r="AR89" s="174"/>
    </row>
    <row r="90" spans="1:44" ht="11.25" customHeight="1">
      <c r="A90" s="570">
        <v>0.48611111111111099</v>
      </c>
      <c r="B90" s="183">
        <f ca="1">IFERROR(INDIRECT("CURVAS_INTRA!"&amp;ADDRESS(VLOOKUP($A89,CURVAS_INTRA!$A$3:$B$50,2,0),HLOOKUP($C$14,CURVAS_INTRA!$1:$2,2,0)))/3*$C$5,$B$19)</f>
        <v>8.479943363875595</v>
      </c>
      <c r="C90" s="183">
        <f ca="1">IFERROR(INDIRECT("CURVAS_INTRA!"&amp;ADDRESS(VLOOKUP($A90,CURVAS_INTRA!$A$53:$B$100,2,0),HLOOKUP($C$14,CURVAS_INTRA!$1:$2,2,0)))*$C$6,C89)</f>
        <v>834.9066772044954</v>
      </c>
      <c r="D90" s="183">
        <f ca="1">IFERROR(ROUNDUP(IF(B90=0,0,Agents(B90*C90/600,$C$7,$C$8,C90))/(1-($H$7*(IFERROR(INDIRECT("CURVAS_INTRA!"&amp;ADDRESS(VLOOKUP($A89,CURVAS_INTRA!$A$103:$B$150,2,0),HLOOKUP($C$14,CURVAS_INTRA!$1:$2,2,0))),0)))),0),0)</f>
        <v>20</v>
      </c>
      <c r="E90" s="183">
        <f t="shared" si="36"/>
        <v>19</v>
      </c>
      <c r="F90" s="241">
        <f t="shared" ca="1" si="46"/>
        <v>-1</v>
      </c>
      <c r="G90" s="185">
        <f ca="1">IFERROR(DelayQ(B90*C90/600,E90*((1-$H$7*VLOOKUP(A89,CURVAS_INTRA!$A$103:$AD$150,HLOOKUP($C$14,CURVAS_INTRA!$A$101:$AD$102,2,0),0))),$C$8,C90),0)</f>
        <v>0.755</v>
      </c>
      <c r="H90" s="221">
        <v>0</v>
      </c>
      <c r="I90" s="221">
        <v>0</v>
      </c>
      <c r="J90" s="221">
        <v>0</v>
      </c>
      <c r="K90" s="221">
        <v>0</v>
      </c>
      <c r="L90" s="137">
        <f t="shared" si="22"/>
        <v>0</v>
      </c>
      <c r="M90" s="186">
        <f t="shared" si="32"/>
        <v>0</v>
      </c>
      <c r="N90" s="137">
        <f t="shared" si="33"/>
        <v>14</v>
      </c>
      <c r="O90" s="188">
        <f t="shared" si="34"/>
        <v>5</v>
      </c>
      <c r="P90" s="201">
        <f t="shared" ca="1" si="47"/>
        <v>0.76186591433186446</v>
      </c>
      <c r="Q90" s="202">
        <f t="shared" ca="1" si="48"/>
        <v>0.72377261861527142</v>
      </c>
      <c r="R90" s="174">
        <f t="shared" ca="1" si="49"/>
        <v>-54</v>
      </c>
      <c r="S90" s="339"/>
      <c r="T90" s="241">
        <f t="shared" ca="1" si="50"/>
        <v>-1</v>
      </c>
      <c r="U90" s="247">
        <f ca="1">IF(IFERROR(DelayQ(B90*C90/600,(S90/(1-$H$5))+E90*((1-$H$7)*VLOOKUP(A89,CURVAS_INTRA!$A$103:$AD$150,HLOOKUP($C$14,CURVAS_INTRA!$A$101:$AD$102,2,0),0)),$C$8,C90),0)=0,"",IFERROR(DelayQ(B90*C90/600,S90+E90*((1-$H$7)*VLOOKUP(A89,CURVAS_INTRA!$A$103:$AD$150,HLOOKUP($C$14,CURVAS_INTRA!$A$101:$AD$102,2,0),0)),$C$8,C90),0))</f>
        <v>0.755</v>
      </c>
      <c r="V90" s="281">
        <f t="shared" ca="1" si="51"/>
        <v>0.755</v>
      </c>
      <c r="W90" s="174">
        <f t="shared" si="35"/>
        <v>19</v>
      </c>
      <c r="X90" s="227">
        <v>0.48611111111111099</v>
      </c>
      <c r="Y90" s="220">
        <f t="shared" si="52"/>
        <v>19</v>
      </c>
      <c r="Z90" s="221">
        <f t="shared" si="37"/>
        <v>0</v>
      </c>
      <c r="AA90" s="221">
        <f t="shared" si="38"/>
        <v>0</v>
      </c>
      <c r="AB90" s="221">
        <f t="shared" si="39"/>
        <v>0</v>
      </c>
      <c r="AC90" s="221">
        <f t="shared" si="40"/>
        <v>0</v>
      </c>
      <c r="AD90" s="221">
        <f t="shared" si="41"/>
        <v>0</v>
      </c>
      <c r="AE90" s="221">
        <f t="shared" si="42"/>
        <v>0</v>
      </c>
      <c r="AF90" s="221">
        <f t="shared" si="43"/>
        <v>0</v>
      </c>
      <c r="AG90" s="222">
        <f t="shared" si="53"/>
        <v>19</v>
      </c>
      <c r="AH90" s="222">
        <f t="shared" si="44"/>
        <v>19</v>
      </c>
      <c r="AJ90" s="291">
        <f t="shared" ca="1" si="45"/>
        <v>16</v>
      </c>
      <c r="AK90" s="291">
        <f ca="1">IFERROR(ROUNDUP(IF(B90=0,0,Agents(B90*C90/600,$C$7,$C$8,C90))/(1-($J$12*(IFERROR(INDIRECT("CURVAS_INTRA!"&amp;ADDRESS(VLOOKUP($A90,CURVAS_INTRA!$A$103:$B$150,2,0),HLOOKUP($C$14,CURVAS_INTRA!$1:$2,2,0))),0)+IFERROR(INDIRECT("CURVAS_INTRA!"&amp;ADDRESS(VLOOKUP($A89,CURVAS_INTRA!$A$103:$B$150,2,0),HLOOKUP($C$14,CURVAS_INTRA!$1:$2,2,0))),0)))),0),0)</f>
        <v>18</v>
      </c>
      <c r="AM90" s="488">
        <f t="shared" si="54"/>
        <v>0</v>
      </c>
      <c r="AN90" s="174"/>
      <c r="AO90" s="174"/>
      <c r="AP90" s="174"/>
      <c r="AQ90" s="174"/>
      <c r="AR90" s="174"/>
    </row>
    <row r="91" spans="1:44" ht="11.25" customHeight="1">
      <c r="A91" s="570">
        <v>0.49305555555555602</v>
      </c>
      <c r="B91" s="183">
        <f ca="1">IFERROR(INDIRECT("CURVAS_INTRA!"&amp;ADDRESS(VLOOKUP($A89,CURVAS_INTRA!$A$3:$B$50,2,0),HLOOKUP($C$14,CURVAS_INTRA!$1:$2,2,0)))/3*$C$5,B88)</f>
        <v>8.479943363875595</v>
      </c>
      <c r="C91" s="183">
        <f ca="1">IFERROR(INDIRECT("CURVAS_INTRA!"&amp;ADDRESS(VLOOKUP($A91,CURVAS_INTRA!$A$53:$B$100,2,0),HLOOKUP($C$14,CURVAS_INTRA!$1:$2,2,0)))*$C$6,C90)</f>
        <v>834.9066772044954</v>
      </c>
      <c r="D91" s="183">
        <f ca="1">IFERROR(ROUNDUP(IF(B91=0,0,Agents(B91*C91/600,$C$7,$C$8,C91))/(1-($H$7*(IFERROR(INDIRECT("CURVAS_INTRA!"&amp;ADDRESS(VLOOKUP($A89,CURVAS_INTRA!$A$103:$B$150,2,0),HLOOKUP($C$14,CURVAS_INTRA!$1:$2,2,0))),0)))),0),0)</f>
        <v>20</v>
      </c>
      <c r="E91" s="183">
        <f t="shared" si="36"/>
        <v>19</v>
      </c>
      <c r="F91" s="241">
        <f t="shared" ca="1" si="46"/>
        <v>-1</v>
      </c>
      <c r="G91" s="185">
        <f ca="1">IFERROR(DelayQ(B91*C91/600,E91*((1-$H$7*VLOOKUP(A89,CURVAS_INTRA!$A$103:$AD$150,HLOOKUP($C$14,CURVAS_INTRA!$A$101:$AD$102,2,0),0))),$C$8,C91),0)</f>
        <v>0.755</v>
      </c>
      <c r="H91" s="221">
        <v>0</v>
      </c>
      <c r="I91" s="221">
        <v>0</v>
      </c>
      <c r="J91" s="221">
        <v>0</v>
      </c>
      <c r="K91" s="221">
        <v>0</v>
      </c>
      <c r="L91" s="137">
        <f t="shared" si="22"/>
        <v>0</v>
      </c>
      <c r="M91" s="186">
        <f t="shared" si="32"/>
        <v>0</v>
      </c>
      <c r="N91" s="137">
        <f t="shared" si="33"/>
        <v>14</v>
      </c>
      <c r="O91" s="188">
        <f t="shared" si="34"/>
        <v>5</v>
      </c>
      <c r="P91" s="201">
        <f t="shared" ca="1" si="47"/>
        <v>0.76186591433186446</v>
      </c>
      <c r="Q91" s="202">
        <f t="shared" ca="1" si="48"/>
        <v>0.72377261861527142</v>
      </c>
      <c r="R91" s="174">
        <f t="shared" ca="1" si="49"/>
        <v>-52</v>
      </c>
      <c r="S91" s="339"/>
      <c r="T91" s="241">
        <f t="shared" ca="1" si="50"/>
        <v>-1</v>
      </c>
      <c r="U91" s="247">
        <f ca="1">IF(IFERROR(DelayQ(B91*C91/600,(S91/(1-$H$5))+E91*((1-$H$7)*VLOOKUP(A89,CURVAS_INTRA!$A$103:$AD$150,HLOOKUP($C$14,CURVAS_INTRA!$A$101:$AD$102,2,0),0)),$C$8,C91),0)=0,"",IFERROR(DelayQ(B91*C91/600,S91+E91*((1-$H$7)*VLOOKUP(A89,CURVAS_INTRA!$A$103:$AD$150,HLOOKUP($C$14,CURVAS_INTRA!$A$101:$AD$102,2,0),0)),$C$8,C91),0))</f>
        <v>0.755</v>
      </c>
      <c r="V91" s="281">
        <f t="shared" ca="1" si="51"/>
        <v>0.755</v>
      </c>
      <c r="W91" s="174">
        <f t="shared" si="35"/>
        <v>19</v>
      </c>
      <c r="X91" s="227">
        <v>0.49305555555555602</v>
      </c>
      <c r="Y91" s="220">
        <f t="shared" si="52"/>
        <v>19</v>
      </c>
      <c r="Z91" s="221">
        <f t="shared" si="37"/>
        <v>0</v>
      </c>
      <c r="AA91" s="221">
        <f t="shared" si="38"/>
        <v>0</v>
      </c>
      <c r="AB91" s="221">
        <f t="shared" si="39"/>
        <v>0</v>
      </c>
      <c r="AC91" s="221">
        <f t="shared" si="40"/>
        <v>0</v>
      </c>
      <c r="AD91" s="221">
        <f t="shared" si="41"/>
        <v>0</v>
      </c>
      <c r="AE91" s="221">
        <f t="shared" si="42"/>
        <v>0</v>
      </c>
      <c r="AF91" s="221">
        <f t="shared" si="43"/>
        <v>0</v>
      </c>
      <c r="AG91" s="222">
        <f t="shared" si="53"/>
        <v>19</v>
      </c>
      <c r="AH91" s="222">
        <f t="shared" si="44"/>
        <v>19</v>
      </c>
      <c r="AJ91" s="291">
        <f t="shared" ca="1" si="45"/>
        <v>16</v>
      </c>
      <c r="AK91" s="291">
        <f ca="1">IFERROR(ROUNDUP(IF(B91=0,0,Agents(B91*C91/600,$C$7,$C$8,C91))/(1-($J$12*(IFERROR(INDIRECT("CURVAS_INTRA!"&amp;ADDRESS(VLOOKUP($A91,CURVAS_INTRA!$A$103:$B$150,2,0),HLOOKUP($C$14,CURVAS_INTRA!$1:$2,2,0))),0)+IFERROR(INDIRECT("CURVAS_INTRA!"&amp;ADDRESS(VLOOKUP($A90,CURVAS_INTRA!$A$103:$B$150,2,0),HLOOKUP($C$14,CURVAS_INTRA!$1:$2,2,0))),0)+IFERROR(INDIRECT("CURVAS_INTRA!"&amp;ADDRESS(VLOOKUP($A89,CURVAS_INTRA!$A$103:$B$150,2,0),HLOOKUP($C$14,CURVAS_INTRA!$1:$2,2,0))),0)))),0),0)</f>
        <v>18</v>
      </c>
      <c r="AM91" s="488">
        <f t="shared" si="54"/>
        <v>0</v>
      </c>
      <c r="AN91" s="174"/>
      <c r="AO91" s="174"/>
      <c r="AP91" s="174"/>
      <c r="AQ91" s="174"/>
      <c r="AR91" s="174"/>
    </row>
    <row r="92" spans="1:44" ht="11.25" customHeight="1">
      <c r="A92" s="570">
        <v>0.5</v>
      </c>
      <c r="B92" s="183">
        <f ca="1">IFERROR(INDIRECT("CURVAS_INTRA!"&amp;ADDRESS(VLOOKUP($A92,CURVAS_INTRA!$A$3:$B$50,2,0),HLOOKUP($C$14,CURVAS_INTRA!$1:$2,2,0)))/3*$C$5,$B$19)</f>
        <v>8.5023920623583713</v>
      </c>
      <c r="C92" s="183">
        <f ca="1">IFERROR(INDIRECT("CURVAS_INTRA!"&amp;ADDRESS(VLOOKUP($A92,CURVAS_INTRA!$A$53:$B$100,2,0),HLOOKUP($C$14,CURVAS_INTRA!$1:$2,2,0)))*$C$6,C91)</f>
        <v>887.41945805232797</v>
      </c>
      <c r="D92" s="183">
        <f ca="1">IFERROR(ROUNDUP(IF(B92=0,0,Agents(B92*C92/600,$C$7,$C$8,C92))/(1-($H$7*(IFERROR(INDIRECT("CURVAS_INTRA!"&amp;ADDRESS(VLOOKUP($A92,CURVAS_INTRA!$A$103:$B$150,2,0),HLOOKUP($C$14,CURVAS_INTRA!$1:$2,2,0))),0)))),0),0)</f>
        <v>21</v>
      </c>
      <c r="E92" s="183">
        <f t="shared" si="36"/>
        <v>19</v>
      </c>
      <c r="F92" s="241">
        <f t="shared" ca="1" si="46"/>
        <v>-2</v>
      </c>
      <c r="G92" s="185">
        <f ca="1">IFERROR(DelayQ(B92*C92/600,E92*((1-$H$7*VLOOKUP(A92,CURVAS_INTRA!$A$103:$AD$150,HLOOKUP($C$14,CURVAS_INTRA!$A$101:$AD$102,2,0),0))),$C$8,C92),0)</f>
        <v>0.64549999999999996</v>
      </c>
      <c r="H92" s="221">
        <v>0</v>
      </c>
      <c r="I92" s="221">
        <v>0</v>
      </c>
      <c r="J92" s="221">
        <v>0</v>
      </c>
      <c r="K92" s="221">
        <v>0</v>
      </c>
      <c r="L92" s="137">
        <f t="shared" si="22"/>
        <v>0</v>
      </c>
      <c r="M92" s="186">
        <f t="shared" si="32"/>
        <v>0</v>
      </c>
      <c r="N92" s="137">
        <f t="shared" si="33"/>
        <v>14</v>
      </c>
      <c r="O92" s="188">
        <f t="shared" si="34"/>
        <v>5</v>
      </c>
      <c r="P92" s="201">
        <f t="shared" ca="1" si="47"/>
        <v>0.81192839902692071</v>
      </c>
      <c r="Q92" s="202">
        <f t="shared" ca="1" si="48"/>
        <v>0.73460188483388078</v>
      </c>
      <c r="R92" s="174">
        <f t="shared" ca="1" si="49"/>
        <v>-50</v>
      </c>
      <c r="S92" s="339"/>
      <c r="T92" s="241">
        <f t="shared" ca="1" si="50"/>
        <v>-2</v>
      </c>
      <c r="U92" s="247">
        <f ca="1">IF(IFERROR(DelayQ(B92*C92/600,(S92/(1-$H$5))+E92*((1-$H$7)*VLOOKUP(A92,CURVAS_INTRA!$A$103:$AD$150,HLOOKUP($C$14,CURVAS_INTRA!$A$101:$AD$102,2,0),0)),$C$8,C92),0)=0,"",IFERROR(DelayQ(B92*C92/600,S92+E92*((1-$H$7)*VLOOKUP(A92,CURVAS_INTRA!$A$103:$AD$150,HLOOKUP($C$14,CURVAS_INTRA!$A$101:$AD$102,2,0),0)),$C$8,C92),0))</f>
        <v>0.64549999999999996</v>
      </c>
      <c r="V92" s="281">
        <f t="shared" ca="1" si="51"/>
        <v>0.64549999999999996</v>
      </c>
      <c r="W92" s="174">
        <f t="shared" si="35"/>
        <v>19</v>
      </c>
      <c r="X92" s="227">
        <v>0.5</v>
      </c>
      <c r="Y92" s="220">
        <f t="shared" si="52"/>
        <v>19</v>
      </c>
      <c r="Z92" s="221">
        <f t="shared" si="37"/>
        <v>0</v>
      </c>
      <c r="AA92" s="221">
        <f t="shared" si="38"/>
        <v>0</v>
      </c>
      <c r="AB92" s="221">
        <f t="shared" si="39"/>
        <v>0</v>
      </c>
      <c r="AC92" s="221">
        <f t="shared" si="40"/>
        <v>0</v>
      </c>
      <c r="AD92" s="221">
        <f t="shared" si="41"/>
        <v>0</v>
      </c>
      <c r="AE92" s="221">
        <f t="shared" si="42"/>
        <v>0</v>
      </c>
      <c r="AF92" s="221">
        <f t="shared" si="43"/>
        <v>0</v>
      </c>
      <c r="AG92" s="222">
        <f t="shared" si="53"/>
        <v>19</v>
      </c>
      <c r="AH92" s="222">
        <f t="shared" si="44"/>
        <v>19</v>
      </c>
      <c r="AJ92" s="291">
        <f t="shared" ca="1" si="45"/>
        <v>17</v>
      </c>
      <c r="AK92" s="291">
        <f ca="1">IFERROR(ROUNDUP(IF(B92=0,0,Agents(B92*C92/600,$C$7,$C$8,C92))/(1-($J$12*(IFERROR(INDIRECT("CURVAS_INTRA!"&amp;ADDRESS(VLOOKUP($A92,CURVAS_INTRA!$A$103:$B$150,2,0),HLOOKUP($C$14,CURVAS_INTRA!$1:$2,2,0))),0)))),0),0)</f>
        <v>19</v>
      </c>
      <c r="AM92" s="488">
        <f t="shared" si="54"/>
        <v>0</v>
      </c>
      <c r="AN92" s="174"/>
      <c r="AO92" s="174"/>
      <c r="AP92" s="174"/>
      <c r="AQ92" s="174"/>
      <c r="AR92" s="174"/>
    </row>
    <row r="93" spans="1:44" ht="11.25" customHeight="1">
      <c r="A93" s="570">
        <v>0.50694444444444398</v>
      </c>
      <c r="B93" s="183">
        <f ca="1">IFERROR(INDIRECT("CURVAS_INTRA!"&amp;ADDRESS(VLOOKUP($A92,CURVAS_INTRA!$A$3:$B$50,2,0),HLOOKUP($C$14,CURVAS_INTRA!$1:$2,2,0)))/3*$C$5,$B$19)</f>
        <v>8.5023920623583713</v>
      </c>
      <c r="C93" s="183">
        <f ca="1">IFERROR(INDIRECT("CURVAS_INTRA!"&amp;ADDRESS(VLOOKUP($A93,CURVAS_INTRA!$A$53:$B$100,2,0),HLOOKUP($C$14,CURVAS_INTRA!$1:$2,2,0)))*$C$6,C92)</f>
        <v>887.41945805232797</v>
      </c>
      <c r="D93" s="183">
        <f ca="1">IFERROR(ROUNDUP(IF(B93=0,0,Agents(B93*C93/600,$C$7,$C$8,C93))/(1-($H$7*(IFERROR(INDIRECT("CURVAS_INTRA!"&amp;ADDRESS(VLOOKUP($A92,CURVAS_INTRA!$A$103:$B$150,2,0),HLOOKUP($C$14,CURVAS_INTRA!$1:$2,2,0))),0)))),0),0)</f>
        <v>21</v>
      </c>
      <c r="E93" s="183">
        <f t="shared" si="36"/>
        <v>19</v>
      </c>
      <c r="F93" s="241">
        <f t="shared" ca="1" si="46"/>
        <v>-2</v>
      </c>
      <c r="G93" s="185">
        <f ca="1">IFERROR(DelayQ(B93*C93/600,E93*((1-$H$7*VLOOKUP(A92,CURVAS_INTRA!$A$103:$AD$150,HLOOKUP($C$14,CURVAS_INTRA!$A$101:$AD$102,2,0),0))),$C$8,C93),0)</f>
        <v>0.64549999999999996</v>
      </c>
      <c r="H93" s="221">
        <v>0</v>
      </c>
      <c r="I93" s="221">
        <v>0</v>
      </c>
      <c r="J93" s="221">
        <v>0</v>
      </c>
      <c r="K93" s="221">
        <v>0</v>
      </c>
      <c r="L93" s="137">
        <f t="shared" si="22"/>
        <v>0</v>
      </c>
      <c r="M93" s="186">
        <f t="shared" si="32"/>
        <v>0</v>
      </c>
      <c r="N93" s="183">
        <f>SUM(J56:J93)</f>
        <v>14</v>
      </c>
      <c r="O93" s="188">
        <f t="shared" si="34"/>
        <v>5</v>
      </c>
      <c r="P93" s="201">
        <f t="shared" ca="1" si="47"/>
        <v>0.81192839902692071</v>
      </c>
      <c r="Q93" s="202">
        <f t="shared" ca="1" si="48"/>
        <v>0.73460188483388078</v>
      </c>
      <c r="R93" s="174">
        <f t="shared" ca="1" si="49"/>
        <v>-47</v>
      </c>
      <c r="S93" s="339"/>
      <c r="T93" s="241">
        <f t="shared" ca="1" si="50"/>
        <v>-2</v>
      </c>
      <c r="U93" s="247">
        <f ca="1">IF(IFERROR(DelayQ(B93*C93/600,(S93/(1-$H$5))+E93*((1-$H$7)*VLOOKUP(A92,CURVAS_INTRA!$A$103:$AD$150,HLOOKUP($C$14,CURVAS_INTRA!$A$101:$AD$102,2,0),0)),$C$8,C93),0)=0,"",IFERROR(DelayQ(B93*C93/600,S93+E93*((1-$H$7)*VLOOKUP(A92,CURVAS_INTRA!$A$103:$AD$150,HLOOKUP($C$14,CURVAS_INTRA!$A$101:$AD$102,2,0),0)),$C$8,C93),0))</f>
        <v>0.64549999999999996</v>
      </c>
      <c r="V93" s="281">
        <f t="shared" ca="1" si="51"/>
        <v>0.64549999999999996</v>
      </c>
      <c r="W93" s="174">
        <f t="shared" si="35"/>
        <v>19</v>
      </c>
      <c r="X93" s="227">
        <v>0.50694444444444398</v>
      </c>
      <c r="Y93" s="220">
        <f t="shared" si="52"/>
        <v>19</v>
      </c>
      <c r="Z93" s="221">
        <f t="shared" si="37"/>
        <v>0</v>
      </c>
      <c r="AA93" s="221">
        <f t="shared" si="38"/>
        <v>0</v>
      </c>
      <c r="AB93" s="221">
        <f t="shared" si="39"/>
        <v>0</v>
      </c>
      <c r="AC93" s="221">
        <f t="shared" si="40"/>
        <v>0</v>
      </c>
      <c r="AD93" s="221">
        <f t="shared" si="41"/>
        <v>0</v>
      </c>
      <c r="AE93" s="221">
        <f t="shared" si="42"/>
        <v>0</v>
      </c>
      <c r="AF93" s="221">
        <f t="shared" si="43"/>
        <v>0</v>
      </c>
      <c r="AG93" s="222">
        <f t="shared" si="53"/>
        <v>19</v>
      </c>
      <c r="AH93" s="222">
        <f t="shared" si="44"/>
        <v>19</v>
      </c>
      <c r="AJ93" s="291">
        <f t="shared" ca="1" si="45"/>
        <v>17</v>
      </c>
      <c r="AK93" s="291">
        <f ca="1">IFERROR(ROUNDUP(IF(B93=0,0,Agents(B93*C93/600,$C$7,$C$8,C93))/(1-($J$12*(IFERROR(INDIRECT("CURVAS_INTRA!"&amp;ADDRESS(VLOOKUP($A93,CURVAS_INTRA!$A$103:$B$150,2,0),HLOOKUP($C$14,CURVAS_INTRA!$1:$2,2,0))),0)+IFERROR(INDIRECT("CURVAS_INTRA!"&amp;ADDRESS(VLOOKUP($A92,CURVAS_INTRA!$A$103:$B$150,2,0),HLOOKUP($C$14,CURVAS_INTRA!$1:$2,2,0))),0)))),0),0)</f>
        <v>19</v>
      </c>
      <c r="AM93" s="488">
        <f t="shared" si="54"/>
        <v>0</v>
      </c>
      <c r="AN93" s="174"/>
      <c r="AO93" s="174"/>
      <c r="AP93" s="174"/>
      <c r="AQ93" s="174"/>
      <c r="AR93" s="174"/>
    </row>
    <row r="94" spans="1:44" ht="11.25" customHeight="1">
      <c r="A94" s="570">
        <v>0.51388888888888895</v>
      </c>
      <c r="B94" s="183">
        <f ca="1">IFERROR(INDIRECT("CURVAS_INTRA!"&amp;ADDRESS(VLOOKUP($A92,CURVAS_INTRA!$A$3:$B$50,2,0),HLOOKUP($C$14,CURVAS_INTRA!$1:$2,2,0)))/3*$C$5,B91)</f>
        <v>8.5023920623583713</v>
      </c>
      <c r="C94" s="183">
        <f ca="1">IFERROR(INDIRECT("CURVAS_INTRA!"&amp;ADDRESS(VLOOKUP($A94,CURVAS_INTRA!$A$53:$B$100,2,0),HLOOKUP($C$14,CURVAS_INTRA!$1:$2,2,0)))*$C$6,C93)</f>
        <v>887.41945805232797</v>
      </c>
      <c r="D94" s="183">
        <f ca="1">IFERROR(ROUNDUP(IF(B94=0,0,Agents(B94*C94/600,$C$7,$C$8,C94))/(1-($H$7*(IFERROR(INDIRECT("CURVAS_INTRA!"&amp;ADDRESS(VLOOKUP($A92,CURVAS_INTRA!$A$103:$B$150,2,0),HLOOKUP($C$14,CURVAS_INTRA!$1:$2,2,0))),0)))),0),0)</f>
        <v>21</v>
      </c>
      <c r="E94" s="183">
        <f t="shared" si="36"/>
        <v>19</v>
      </c>
      <c r="F94" s="241">
        <f t="shared" ca="1" si="46"/>
        <v>-2</v>
      </c>
      <c r="G94" s="185">
        <f ca="1">IFERROR(DelayQ(B94*C94/600,E94*((1-$H$7*VLOOKUP(A92,CURVAS_INTRA!$A$103:$AD$150,HLOOKUP($C$14,CURVAS_INTRA!$A$101:$AD$102,2,0),0))),$C$8,C94),0)</f>
        <v>0.64549999999999996</v>
      </c>
      <c r="H94" s="221">
        <v>0</v>
      </c>
      <c r="I94" s="221">
        <v>0</v>
      </c>
      <c r="J94" s="221">
        <v>0</v>
      </c>
      <c r="K94" s="221">
        <v>0</v>
      </c>
      <c r="L94" s="137">
        <f t="shared" si="22"/>
        <v>0</v>
      </c>
      <c r="M94" s="186">
        <f t="shared" si="32"/>
        <v>0</v>
      </c>
      <c r="N94" s="137">
        <f t="shared" si="33"/>
        <v>14</v>
      </c>
      <c r="O94" s="188">
        <f t="shared" si="34"/>
        <v>5</v>
      </c>
      <c r="P94" s="201">
        <f t="shared" ca="1" si="47"/>
        <v>0.81192839902692071</v>
      </c>
      <c r="Q94" s="202">
        <f t="shared" ca="1" si="48"/>
        <v>0.73460188483388078</v>
      </c>
      <c r="R94" s="174">
        <f t="shared" ca="1" si="49"/>
        <v>-43</v>
      </c>
      <c r="S94" s="339"/>
      <c r="T94" s="241">
        <f t="shared" ca="1" si="50"/>
        <v>-2</v>
      </c>
      <c r="U94" s="247">
        <f ca="1">IF(IFERROR(DelayQ(B94*C94/600,(S94/(1-$H$5))+E94*((1-$H$7)*VLOOKUP(A92,CURVAS_INTRA!$A$103:$AD$150,HLOOKUP($C$14,CURVAS_INTRA!$A$101:$AD$102,2,0),0)),$C$8,C94),0)=0,"",IFERROR(DelayQ(B94*C94/600,S94+E94*((1-$H$7)*VLOOKUP(A92,CURVAS_INTRA!$A$103:$AD$150,HLOOKUP($C$14,CURVAS_INTRA!$A$101:$AD$102,2,0),0)),$C$8,C94),0))</f>
        <v>0.64549999999999996</v>
      </c>
      <c r="V94" s="281">
        <f t="shared" ca="1" si="51"/>
        <v>0.64549999999999996</v>
      </c>
      <c r="W94" s="174">
        <f t="shared" si="35"/>
        <v>19</v>
      </c>
      <c r="X94" s="227">
        <v>0.51388888888888895</v>
      </c>
      <c r="Y94" s="220">
        <f t="shared" si="52"/>
        <v>19</v>
      </c>
      <c r="Z94" s="221">
        <f t="shared" si="37"/>
        <v>0</v>
      </c>
      <c r="AA94" s="221">
        <f t="shared" si="38"/>
        <v>0</v>
      </c>
      <c r="AB94" s="221">
        <f t="shared" si="39"/>
        <v>0</v>
      </c>
      <c r="AC94" s="221">
        <f t="shared" si="40"/>
        <v>0</v>
      </c>
      <c r="AD94" s="221">
        <f t="shared" si="41"/>
        <v>0</v>
      </c>
      <c r="AE94" s="221">
        <f t="shared" si="42"/>
        <v>0</v>
      </c>
      <c r="AF94" s="221">
        <f t="shared" si="43"/>
        <v>0</v>
      </c>
      <c r="AG94" s="222">
        <f t="shared" si="53"/>
        <v>19</v>
      </c>
      <c r="AH94" s="222">
        <f t="shared" si="44"/>
        <v>19</v>
      </c>
      <c r="AJ94" s="291">
        <f t="shared" ca="1" si="45"/>
        <v>17</v>
      </c>
      <c r="AK94" s="291">
        <f ca="1">IFERROR(ROUNDUP(IF(B94=0,0,Agents(B94*C94/600,$C$7,$C$8,C94))/(1-($J$12*(IFERROR(INDIRECT("CURVAS_INTRA!"&amp;ADDRESS(VLOOKUP($A94,CURVAS_INTRA!$A$103:$B$150,2,0),HLOOKUP($C$14,CURVAS_INTRA!$1:$2,2,0))),0)+IFERROR(INDIRECT("CURVAS_INTRA!"&amp;ADDRESS(VLOOKUP($A93,CURVAS_INTRA!$A$103:$B$150,2,0),HLOOKUP($C$14,CURVAS_INTRA!$1:$2,2,0))),0)+IFERROR(INDIRECT("CURVAS_INTRA!"&amp;ADDRESS(VLOOKUP($A92,CURVAS_INTRA!$A$103:$B$150,2,0),HLOOKUP($C$14,CURVAS_INTRA!$1:$2,2,0))),0)))),0),0)</f>
        <v>19</v>
      </c>
      <c r="AM94" s="488">
        <f t="shared" si="54"/>
        <v>0</v>
      </c>
      <c r="AN94" s="174"/>
      <c r="AO94" s="174"/>
      <c r="AP94" s="174"/>
      <c r="AQ94" s="174"/>
      <c r="AR94" s="174"/>
    </row>
    <row r="95" spans="1:44" ht="11.25" customHeight="1">
      <c r="A95" s="570">
        <v>0.52083333333333304</v>
      </c>
      <c r="B95" s="183">
        <f ca="1">IFERROR(INDIRECT("CURVAS_INTRA!"&amp;ADDRESS(VLOOKUP($A95,CURVAS_INTRA!$A$3:$B$50,2,0),HLOOKUP($C$14,CURVAS_INTRA!$1:$2,2,0)))/3*$C$5,$B$19)</f>
        <v>7.680004510653184</v>
      </c>
      <c r="C95" s="183">
        <f ca="1">IFERROR(INDIRECT("CURVAS_INTRA!"&amp;ADDRESS(VLOOKUP($A95,CURVAS_INTRA!$A$53:$B$100,2,0),HLOOKUP($C$14,CURVAS_INTRA!$1:$2,2,0)))*$C$6,C94)</f>
        <v>835.6993665197233</v>
      </c>
      <c r="D95" s="183">
        <f ca="1">IFERROR(ROUNDUP(IF(B95=0,0,Agents(B95*C95/600,$C$7,$C$8,C95))/(1-($H$7*(IFERROR(INDIRECT("CURVAS_INTRA!"&amp;ADDRESS(VLOOKUP($A95,CURVAS_INTRA!$A$103:$B$150,2,0),HLOOKUP($C$14,CURVAS_INTRA!$1:$2,2,0))),0)))),0),0)</f>
        <v>19</v>
      </c>
      <c r="E95" s="183">
        <f t="shared" si="36"/>
        <v>19</v>
      </c>
      <c r="F95" s="241">
        <f t="shared" ca="1" si="46"/>
        <v>0</v>
      </c>
      <c r="G95" s="185">
        <f ca="1">IFERROR(DelayQ(B95*C95/600,E95*((1-$H$7*VLOOKUP(A95,CURVAS_INTRA!$A$103:$AD$150,HLOOKUP($C$14,CURVAS_INTRA!$A$101:$AD$102,2,0),0))),$C$8,C95),0)</f>
        <v>0.8669</v>
      </c>
      <c r="H95" s="221">
        <v>0</v>
      </c>
      <c r="I95" s="221">
        <v>0</v>
      </c>
      <c r="J95" s="221">
        <v>0</v>
      </c>
      <c r="K95" s="221">
        <v>0</v>
      </c>
      <c r="L95" s="137">
        <f t="shared" si="22"/>
        <v>0</v>
      </c>
      <c r="M95" s="186">
        <f t="shared" si="32"/>
        <v>0</v>
      </c>
      <c r="N95" s="137">
        <f t="shared" si="33"/>
        <v>14</v>
      </c>
      <c r="O95" s="188">
        <f t="shared" si="34"/>
        <v>5</v>
      </c>
      <c r="P95" s="201">
        <f t="shared" ca="1" si="47"/>
        <v>0.6906518919068213</v>
      </c>
      <c r="Q95" s="202">
        <f t="shared" ca="1" si="48"/>
        <v>0.6906518919068213</v>
      </c>
      <c r="R95" s="174">
        <f t="shared" ca="1" si="49"/>
        <v>-39</v>
      </c>
      <c r="S95" s="339"/>
      <c r="T95" s="241">
        <f t="shared" ca="1" si="50"/>
        <v>0</v>
      </c>
      <c r="U95" s="247">
        <f ca="1">IF(IFERROR(DelayQ(B95*C95/600,(S95/(1-$H$5))+E95*((1-$H$7)*VLOOKUP(A95,CURVAS_INTRA!$A$103:$AD$150,HLOOKUP($C$14,CURVAS_INTRA!$A$101:$AD$102,2,0),0)),$C$8,C95),0)=0,"",IFERROR(DelayQ(B95*C95/600,S95+E95*((1-$H$7)*VLOOKUP(A95,CURVAS_INTRA!$A$103:$AD$150,HLOOKUP($C$14,CURVAS_INTRA!$A$101:$AD$102,2,0),0)),$C$8,C95),0))</f>
        <v>0.8669</v>
      </c>
      <c r="V95" s="281">
        <f t="shared" ca="1" si="51"/>
        <v>0.8669</v>
      </c>
      <c r="W95" s="174">
        <f t="shared" si="35"/>
        <v>19</v>
      </c>
      <c r="X95" s="227">
        <v>0.52083333333333304</v>
      </c>
      <c r="Y95" s="220">
        <f t="shared" si="52"/>
        <v>19</v>
      </c>
      <c r="Z95" s="221">
        <f t="shared" si="37"/>
        <v>0</v>
      </c>
      <c r="AA95" s="221">
        <f t="shared" si="38"/>
        <v>0</v>
      </c>
      <c r="AB95" s="221">
        <f t="shared" si="39"/>
        <v>0</v>
      </c>
      <c r="AC95" s="221">
        <f t="shared" si="40"/>
        <v>0</v>
      </c>
      <c r="AD95" s="221">
        <f t="shared" si="41"/>
        <v>0</v>
      </c>
      <c r="AE95" s="221">
        <f t="shared" si="42"/>
        <v>0</v>
      </c>
      <c r="AF95" s="221">
        <f t="shared" si="43"/>
        <v>0</v>
      </c>
      <c r="AG95" s="222">
        <f t="shared" si="53"/>
        <v>19</v>
      </c>
      <c r="AH95" s="222">
        <f t="shared" si="44"/>
        <v>19</v>
      </c>
      <c r="AJ95" s="291">
        <f t="shared" ca="1" si="45"/>
        <v>15</v>
      </c>
      <c r="AK95" s="291">
        <f ca="1">IFERROR(ROUNDUP(IF(B95=0,0,Agents(B95*C95/600,$C$7,$C$8,C95))/(1-($J$12*(IFERROR(INDIRECT("CURVAS_INTRA!"&amp;ADDRESS(VLOOKUP($A95,CURVAS_INTRA!$A$103:$B$150,2,0),HLOOKUP($C$14,CURVAS_INTRA!$1:$2,2,0))),0)))),0),0)</f>
        <v>17</v>
      </c>
      <c r="AM95" s="488">
        <f t="shared" si="54"/>
        <v>0</v>
      </c>
      <c r="AN95" s="174"/>
      <c r="AO95" s="174"/>
      <c r="AP95" s="174"/>
      <c r="AQ95" s="174"/>
      <c r="AR95" s="174"/>
    </row>
    <row r="96" spans="1:44" ht="11.25" customHeight="1">
      <c r="A96" s="570">
        <v>0.52777777777777801</v>
      </c>
      <c r="B96" s="183">
        <f ca="1">IFERROR(INDIRECT("CURVAS_INTRA!"&amp;ADDRESS(VLOOKUP($A95,CURVAS_INTRA!$A$3:$B$50,2,0),HLOOKUP($C$14,CURVAS_INTRA!$1:$2,2,0)))/3*$C$5,$B$19)</f>
        <v>7.680004510653184</v>
      </c>
      <c r="C96" s="183">
        <f ca="1">IFERROR(INDIRECT("CURVAS_INTRA!"&amp;ADDRESS(VLOOKUP($A96,CURVAS_INTRA!$A$53:$B$100,2,0),HLOOKUP($C$14,CURVAS_INTRA!$1:$2,2,0)))*$C$6,C95)</f>
        <v>835.6993665197233</v>
      </c>
      <c r="D96" s="183">
        <f ca="1">IFERROR(ROUNDUP(IF(B96=0,0,Agents(B96*C96/600,$C$7,$C$8,C96))/(1-($H$7*(IFERROR(INDIRECT("CURVAS_INTRA!"&amp;ADDRESS(VLOOKUP($A95,CURVAS_INTRA!$A$103:$B$150,2,0),HLOOKUP($C$14,CURVAS_INTRA!$1:$2,2,0))),0)))),0),0)</f>
        <v>19</v>
      </c>
      <c r="E96" s="183">
        <f t="shared" si="36"/>
        <v>17</v>
      </c>
      <c r="F96" s="241">
        <f t="shared" ca="1" si="46"/>
        <v>-2</v>
      </c>
      <c r="G96" s="185">
        <f ca="1">IFERROR(DelayQ(B96*C96/600,E96*((1-$H$7*VLOOKUP(A95,CURVAS_INTRA!$A$103:$AD$150,HLOOKUP($C$14,CURVAS_INTRA!$A$101:$AD$102,2,0),0))),$C$8,C96),0)</f>
        <v>0.67879999999999996</v>
      </c>
      <c r="H96" s="221">
        <v>0</v>
      </c>
      <c r="I96" s="221">
        <v>0</v>
      </c>
      <c r="J96" s="221">
        <v>2</v>
      </c>
      <c r="K96" s="221">
        <v>0</v>
      </c>
      <c r="L96" s="137">
        <f t="shared" si="22"/>
        <v>0</v>
      </c>
      <c r="M96" s="186">
        <f t="shared" si="32"/>
        <v>0</v>
      </c>
      <c r="N96" s="137">
        <f t="shared" si="33"/>
        <v>12</v>
      </c>
      <c r="O96" s="188">
        <f t="shared" si="34"/>
        <v>5</v>
      </c>
      <c r="P96" s="201">
        <f t="shared" ca="1" si="47"/>
        <v>0.771905055660565</v>
      </c>
      <c r="Q96" s="202">
        <f t="shared" ca="1" si="48"/>
        <v>0.6906518919068213</v>
      </c>
      <c r="R96" s="174">
        <f t="shared" ca="1" si="49"/>
        <v>-37</v>
      </c>
      <c r="S96" s="339"/>
      <c r="T96" s="241">
        <f t="shared" ca="1" si="50"/>
        <v>-2</v>
      </c>
      <c r="U96" s="247">
        <f ca="1">IF(IFERROR(DelayQ(B96*C96/600,(S96/(1-$H$5))+E96*((1-$H$7)*VLOOKUP(A95,CURVAS_INTRA!$A$103:$AD$150,HLOOKUP($C$14,CURVAS_INTRA!$A$101:$AD$102,2,0),0)),$C$8,C96),0)=0,"",IFERROR(DelayQ(B96*C96/600,S96+E96*((1-$H$7)*VLOOKUP(A95,CURVAS_INTRA!$A$103:$AD$150,HLOOKUP($C$14,CURVAS_INTRA!$A$101:$AD$102,2,0),0)),$C$8,C96),0))</f>
        <v>0.67879999999999996</v>
      </c>
      <c r="V96" s="281">
        <f t="shared" ca="1" si="51"/>
        <v>0.67879999999999996</v>
      </c>
      <c r="W96" s="174">
        <f t="shared" si="35"/>
        <v>17</v>
      </c>
      <c r="X96" s="227">
        <v>0.52777777777777801</v>
      </c>
      <c r="Y96" s="220">
        <f t="shared" si="52"/>
        <v>17</v>
      </c>
      <c r="Z96" s="221">
        <f t="shared" si="37"/>
        <v>0</v>
      </c>
      <c r="AA96" s="221">
        <f t="shared" si="38"/>
        <v>0</v>
      </c>
      <c r="AB96" s="221">
        <f t="shared" si="39"/>
        <v>0</v>
      </c>
      <c r="AC96" s="221">
        <f t="shared" si="40"/>
        <v>0</v>
      </c>
      <c r="AD96" s="221">
        <f t="shared" si="41"/>
        <v>0</v>
      </c>
      <c r="AE96" s="221">
        <f t="shared" si="42"/>
        <v>0</v>
      </c>
      <c r="AF96" s="221">
        <f t="shared" si="43"/>
        <v>0</v>
      </c>
      <c r="AG96" s="222">
        <f t="shared" si="53"/>
        <v>17</v>
      </c>
      <c r="AH96" s="222">
        <f t="shared" si="44"/>
        <v>17</v>
      </c>
      <c r="AJ96" s="291">
        <f t="shared" ca="1" si="45"/>
        <v>15</v>
      </c>
      <c r="AK96" s="291">
        <f ca="1">IFERROR(ROUNDUP(IF(B96=0,0,Agents(B96*C96/600,$C$7,$C$8,C96))/(1-($J$12*(IFERROR(INDIRECT("CURVAS_INTRA!"&amp;ADDRESS(VLOOKUP($A96,CURVAS_INTRA!$A$103:$B$150,2,0),HLOOKUP($C$14,CURVAS_INTRA!$1:$2,2,0))),0)+IFERROR(INDIRECT("CURVAS_INTRA!"&amp;ADDRESS(VLOOKUP($A95,CURVAS_INTRA!$A$103:$B$150,2,0),HLOOKUP($C$14,CURVAS_INTRA!$1:$2,2,0))),0)))),0),0)</f>
        <v>17</v>
      </c>
      <c r="AM96" s="488">
        <f t="shared" si="54"/>
        <v>2</v>
      </c>
      <c r="AN96" s="174"/>
      <c r="AO96" s="174"/>
      <c r="AP96" s="174"/>
      <c r="AQ96" s="174"/>
      <c r="AR96" s="174"/>
    </row>
    <row r="97" spans="1:44" ht="11.25" customHeight="1">
      <c r="A97" s="570">
        <v>0.53472222222222199</v>
      </c>
      <c r="B97" s="183">
        <f ca="1">IFERROR(INDIRECT("CURVAS_INTRA!"&amp;ADDRESS(VLOOKUP($A95,CURVAS_INTRA!$A$3:$B$50,2,0),HLOOKUP($C$14,CURVAS_INTRA!$1:$2,2,0)))/3*$C$5,B94)</f>
        <v>7.680004510653184</v>
      </c>
      <c r="C97" s="183">
        <f ca="1">IFERROR(INDIRECT("CURVAS_INTRA!"&amp;ADDRESS(VLOOKUP($A97,CURVAS_INTRA!$A$53:$B$100,2,0),HLOOKUP($C$14,CURVAS_INTRA!$1:$2,2,0)))*$C$6,C96)</f>
        <v>835.6993665197233</v>
      </c>
      <c r="D97" s="183">
        <f ca="1">IFERROR(ROUNDUP(IF(B97=0,0,Agents(B97*C97/600,$C$7,$C$8,C97))/(1-($H$7*(IFERROR(INDIRECT("CURVAS_INTRA!"&amp;ADDRESS(VLOOKUP($A95,CURVAS_INTRA!$A$103:$B$150,2,0),HLOOKUP($C$14,CURVAS_INTRA!$1:$2,2,0))),0)))),0),0)</f>
        <v>19</v>
      </c>
      <c r="E97" s="183">
        <f t="shared" si="36"/>
        <v>17</v>
      </c>
      <c r="F97" s="241">
        <f t="shared" ca="1" si="46"/>
        <v>-2</v>
      </c>
      <c r="G97" s="185">
        <f ca="1">IFERROR(DelayQ(B97*C97/600,E97*((1-$H$7*VLOOKUP(A95,CURVAS_INTRA!$A$103:$AD$150,HLOOKUP($C$14,CURVAS_INTRA!$A$101:$AD$102,2,0),0))),$C$8,C97),0)</f>
        <v>0.67879999999999996</v>
      </c>
      <c r="H97" s="221">
        <v>0</v>
      </c>
      <c r="I97" s="221">
        <v>0</v>
      </c>
      <c r="J97" s="221">
        <v>0</v>
      </c>
      <c r="K97" s="221">
        <v>0</v>
      </c>
      <c r="L97" s="137">
        <f t="shared" si="22"/>
        <v>0</v>
      </c>
      <c r="M97" s="186">
        <f t="shared" si="32"/>
        <v>0</v>
      </c>
      <c r="N97" s="137">
        <f t="shared" si="33"/>
        <v>12</v>
      </c>
      <c r="O97" s="188">
        <f t="shared" si="34"/>
        <v>5</v>
      </c>
      <c r="P97" s="201">
        <f t="shared" ca="1" si="47"/>
        <v>0.771905055660565</v>
      </c>
      <c r="Q97" s="202">
        <f t="shared" ca="1" si="48"/>
        <v>0.6906518919068213</v>
      </c>
      <c r="R97" s="174">
        <f t="shared" ca="1" si="49"/>
        <v>-34</v>
      </c>
      <c r="S97" s="339"/>
      <c r="T97" s="241">
        <f t="shared" ca="1" si="50"/>
        <v>-2</v>
      </c>
      <c r="U97" s="247">
        <f ca="1">IF(IFERROR(DelayQ(B97*C97/600,(S97/(1-$H$5))+E97*((1-$H$7)*VLOOKUP(A95,CURVAS_INTRA!$A$103:$AD$150,HLOOKUP($C$14,CURVAS_INTRA!$A$101:$AD$102,2,0),0)),$C$8,C97),0)=0,"",IFERROR(DelayQ(B97*C97/600,S97+E97*((1-$H$7)*VLOOKUP(A95,CURVAS_INTRA!$A$103:$AD$150,HLOOKUP($C$14,CURVAS_INTRA!$A$101:$AD$102,2,0),0)),$C$8,C97),0))</f>
        <v>0.67879999999999996</v>
      </c>
      <c r="V97" s="281">
        <f t="shared" ca="1" si="51"/>
        <v>0.67879999999999996</v>
      </c>
      <c r="W97" s="174">
        <f t="shared" si="35"/>
        <v>17</v>
      </c>
      <c r="X97" s="227">
        <v>0.53472222222222199</v>
      </c>
      <c r="Y97" s="220">
        <f t="shared" si="52"/>
        <v>17</v>
      </c>
      <c r="Z97" s="221">
        <f t="shared" si="37"/>
        <v>0</v>
      </c>
      <c r="AA97" s="221">
        <f t="shared" si="38"/>
        <v>0</v>
      </c>
      <c r="AB97" s="221">
        <f t="shared" si="39"/>
        <v>0</v>
      </c>
      <c r="AC97" s="221">
        <f t="shared" si="40"/>
        <v>0</v>
      </c>
      <c r="AD97" s="221">
        <f t="shared" si="41"/>
        <v>0</v>
      </c>
      <c r="AE97" s="221">
        <f t="shared" si="42"/>
        <v>0</v>
      </c>
      <c r="AF97" s="221">
        <f t="shared" si="43"/>
        <v>0</v>
      </c>
      <c r="AG97" s="222">
        <f t="shared" si="53"/>
        <v>17</v>
      </c>
      <c r="AH97" s="222">
        <f t="shared" si="44"/>
        <v>17</v>
      </c>
      <c r="AJ97" s="291">
        <f t="shared" ca="1" si="45"/>
        <v>15</v>
      </c>
      <c r="AK97" s="291">
        <f ca="1">IFERROR(ROUNDUP(IF(B97=0,0,Agents(B97*C97/600,$C$7,$C$8,C97))/(1-($J$12*(IFERROR(INDIRECT("CURVAS_INTRA!"&amp;ADDRESS(VLOOKUP($A97,CURVAS_INTRA!$A$103:$B$150,2,0),HLOOKUP($C$14,CURVAS_INTRA!$1:$2,2,0))),0)+IFERROR(INDIRECT("CURVAS_INTRA!"&amp;ADDRESS(VLOOKUP($A96,CURVAS_INTRA!$A$103:$B$150,2,0),HLOOKUP($C$14,CURVAS_INTRA!$1:$2,2,0))),0)+IFERROR(INDIRECT("CURVAS_INTRA!"&amp;ADDRESS(VLOOKUP($A95,CURVAS_INTRA!$A$103:$B$150,2,0),HLOOKUP($C$14,CURVAS_INTRA!$1:$2,2,0))),0)))),0),0)</f>
        <v>17</v>
      </c>
      <c r="AM97" s="488">
        <f t="shared" si="54"/>
        <v>0</v>
      </c>
      <c r="AN97" s="174"/>
      <c r="AO97" s="174"/>
      <c r="AP97" s="174"/>
      <c r="AQ97" s="174"/>
      <c r="AR97" s="174"/>
    </row>
    <row r="98" spans="1:44" ht="11.25" customHeight="1">
      <c r="A98" s="570">
        <v>0.54166666666666696</v>
      </c>
      <c r="B98" s="183">
        <f ca="1">IFERROR(INDIRECT("CURVAS_INTRA!"&amp;ADDRESS(VLOOKUP($A98,CURVAS_INTRA!$A$3:$B$50,2,0),HLOOKUP($C$14,CURVAS_INTRA!$1:$2,2,0)))/3*$C$5,$B$19)</f>
        <v>7.6508621702714761</v>
      </c>
      <c r="C98" s="183">
        <f ca="1">IFERROR(INDIRECT("CURVAS_INTRA!"&amp;ADDRESS(VLOOKUP($A98,CURVAS_INTRA!$A$53:$B$100,2,0),HLOOKUP($C$14,CURVAS_INTRA!$1:$2,2,0)))*$C$6,C97)</f>
        <v>831.34406291650726</v>
      </c>
      <c r="D98" s="183">
        <f ca="1">IFERROR(ROUNDUP(IF(B98=0,0,Agents(B98*C98/600,$C$7,$C$8,C98))/(1-($H$7*(IFERROR(INDIRECT("CURVAS_INTRA!"&amp;ADDRESS(VLOOKUP($A98,CURVAS_INTRA!$A$103:$B$150,2,0),HLOOKUP($C$14,CURVAS_INTRA!$1:$2,2,0))),0)))),0),0)</f>
        <v>19</v>
      </c>
      <c r="E98" s="183">
        <f t="shared" si="36"/>
        <v>17</v>
      </c>
      <c r="F98" s="241">
        <f t="shared" ca="1" si="46"/>
        <v>-2</v>
      </c>
      <c r="G98" s="185">
        <f ca="1">IFERROR(DelayQ(B98*C98/600,E98*((1-$H$7*VLOOKUP(A98,CURVAS_INTRA!$A$103:$AD$150,HLOOKUP($C$14,CURVAS_INTRA!$A$101:$AD$102,2,0),0))),$C$8,C98),0)</f>
        <v>0.69320000000000004</v>
      </c>
      <c r="H98" s="221">
        <v>0</v>
      </c>
      <c r="I98" s="221">
        <v>0</v>
      </c>
      <c r="J98" s="221">
        <v>0</v>
      </c>
      <c r="K98" s="221">
        <v>0</v>
      </c>
      <c r="L98" s="137">
        <f t="shared" si="22"/>
        <v>0</v>
      </c>
      <c r="M98" s="186">
        <f t="shared" si="32"/>
        <v>0</v>
      </c>
      <c r="N98" s="137">
        <f t="shared" si="33"/>
        <v>12</v>
      </c>
      <c r="O98" s="188">
        <f t="shared" si="34"/>
        <v>5</v>
      </c>
      <c r="P98" s="201">
        <f t="shared" ca="1" si="47"/>
        <v>0.76496843500702172</v>
      </c>
      <c r="Q98" s="202">
        <f t="shared" ca="1" si="48"/>
        <v>0.68444544184838785</v>
      </c>
      <c r="R98" s="174">
        <f t="shared" ca="1" si="49"/>
        <v>-31</v>
      </c>
      <c r="S98" s="339"/>
      <c r="T98" s="241">
        <f t="shared" ca="1" si="50"/>
        <v>-2</v>
      </c>
      <c r="U98" s="247">
        <f ca="1">IF(IFERROR(DelayQ(B98*C98/600,(S98/(1-$H$5))+E98*((1-$H$7)*VLOOKUP(A98,CURVAS_INTRA!$A$103:$AD$150,HLOOKUP($C$14,CURVAS_INTRA!$A$101:$AD$102,2,0),0)),$C$8,C98),0)=0,"",IFERROR(DelayQ(B98*C98/600,S98+E98*((1-$H$7)*VLOOKUP(A98,CURVAS_INTRA!$A$103:$AD$150,HLOOKUP($C$14,CURVAS_INTRA!$A$101:$AD$102,2,0),0)),$C$8,C98),0))</f>
        <v>0.69320000000000004</v>
      </c>
      <c r="V98" s="281">
        <f t="shared" ca="1" si="51"/>
        <v>0.69320000000000004</v>
      </c>
      <c r="W98" s="174">
        <f t="shared" si="35"/>
        <v>17</v>
      </c>
      <c r="X98" s="227">
        <v>0.54166666666666696</v>
      </c>
      <c r="Y98" s="220">
        <f t="shared" si="52"/>
        <v>17</v>
      </c>
      <c r="Z98" s="221">
        <f t="shared" si="37"/>
        <v>0</v>
      </c>
      <c r="AA98" s="221">
        <f t="shared" si="38"/>
        <v>0</v>
      </c>
      <c r="AB98" s="221">
        <f t="shared" si="39"/>
        <v>0</v>
      </c>
      <c r="AC98" s="221">
        <f t="shared" si="40"/>
        <v>0</v>
      </c>
      <c r="AD98" s="221">
        <f t="shared" si="41"/>
        <v>0</v>
      </c>
      <c r="AE98" s="221">
        <f t="shared" si="42"/>
        <v>0</v>
      </c>
      <c r="AF98" s="221">
        <f t="shared" si="43"/>
        <v>0</v>
      </c>
      <c r="AG98" s="222">
        <f t="shared" si="53"/>
        <v>17</v>
      </c>
      <c r="AH98" s="222">
        <f t="shared" si="44"/>
        <v>17</v>
      </c>
      <c r="AJ98" s="291">
        <f t="shared" ca="1" si="45"/>
        <v>15</v>
      </c>
      <c r="AK98" s="291">
        <f ca="1">IFERROR(ROUNDUP(IF(B98=0,0,Agents(B98*C98/600,$C$7,$C$8,C98))/(1-($J$12*(IFERROR(INDIRECT("CURVAS_INTRA!"&amp;ADDRESS(VLOOKUP($A98,CURVAS_INTRA!$A$103:$B$150,2,0),HLOOKUP($C$14,CURVAS_INTRA!$1:$2,2,0))),0)))),0),0)</f>
        <v>17</v>
      </c>
      <c r="AM98" s="488">
        <f t="shared" si="54"/>
        <v>0</v>
      </c>
      <c r="AN98" s="174"/>
      <c r="AO98" s="174"/>
      <c r="AP98" s="174"/>
      <c r="AQ98" s="174"/>
      <c r="AR98" s="174"/>
    </row>
    <row r="99" spans="1:44" ht="11.25" customHeight="1">
      <c r="A99" s="570">
        <v>0.54861111111111105</v>
      </c>
      <c r="B99" s="183">
        <f ca="1">IFERROR(INDIRECT("CURVAS_INTRA!"&amp;ADDRESS(VLOOKUP($A98,CURVAS_INTRA!$A$3:$B$50,2,0),HLOOKUP($C$14,CURVAS_INTRA!$1:$2,2,0)))/3*$C$5,$B$19)</f>
        <v>7.6508621702714761</v>
      </c>
      <c r="C99" s="183">
        <f ca="1">IFERROR(INDIRECT("CURVAS_INTRA!"&amp;ADDRESS(VLOOKUP($A99,CURVAS_INTRA!$A$53:$B$100,2,0),HLOOKUP($C$14,CURVAS_INTRA!$1:$2,2,0)))*$C$6,C98)</f>
        <v>831.34406291650726</v>
      </c>
      <c r="D99" s="183">
        <f ca="1">IFERROR(ROUNDUP(IF(B99=0,0,Agents(B99*C99/600,$C$7,$C$8,C99))/(1-($H$7*(IFERROR(INDIRECT("CURVAS_INTRA!"&amp;ADDRESS(VLOOKUP($A98,CURVAS_INTRA!$A$103:$B$150,2,0),HLOOKUP($C$14,CURVAS_INTRA!$1:$2,2,0))),0)))),0),0)</f>
        <v>19</v>
      </c>
      <c r="E99" s="183">
        <f t="shared" si="36"/>
        <v>17</v>
      </c>
      <c r="F99" s="241">
        <f t="shared" ca="1" si="46"/>
        <v>-2</v>
      </c>
      <c r="G99" s="185">
        <f ca="1">IFERROR(DelayQ(B99*C99/600,E99*((1-$H$7*VLOOKUP(A98,CURVAS_INTRA!$A$103:$AD$150,HLOOKUP($C$14,CURVAS_INTRA!$A$101:$AD$102,2,0),0))),$C$8,C99),0)</f>
        <v>0.69320000000000004</v>
      </c>
      <c r="H99" s="221">
        <v>0</v>
      </c>
      <c r="I99" s="221">
        <v>0</v>
      </c>
      <c r="J99" s="221">
        <v>0</v>
      </c>
      <c r="K99" s="221">
        <v>0</v>
      </c>
      <c r="L99" s="137">
        <f t="shared" si="22"/>
        <v>0</v>
      </c>
      <c r="M99" s="186">
        <f t="shared" si="32"/>
        <v>0</v>
      </c>
      <c r="N99" s="137">
        <f t="shared" si="33"/>
        <v>12</v>
      </c>
      <c r="O99" s="188">
        <f t="shared" si="34"/>
        <v>5</v>
      </c>
      <c r="P99" s="201">
        <f t="shared" ca="1" si="47"/>
        <v>0.76496843500702172</v>
      </c>
      <c r="Q99" s="202">
        <f t="shared" ca="1" si="48"/>
        <v>0.68444544184838785</v>
      </c>
      <c r="R99" s="174">
        <f t="shared" ca="1" si="49"/>
        <v>-28</v>
      </c>
      <c r="S99" s="339"/>
      <c r="T99" s="241">
        <f t="shared" ca="1" si="50"/>
        <v>-2</v>
      </c>
      <c r="U99" s="247">
        <f ca="1">IF(IFERROR(DelayQ(B99*C99/600,(S99/(1-$H$5))+E99*((1-$H$7)*VLOOKUP(A98,CURVAS_INTRA!$A$103:$AD$150,HLOOKUP($C$14,CURVAS_INTRA!$A$101:$AD$102,2,0),0)),$C$8,C99),0)=0,"",IFERROR(DelayQ(B99*C99/600,S99+E99*((1-$H$7)*VLOOKUP(A98,CURVAS_INTRA!$A$103:$AD$150,HLOOKUP($C$14,CURVAS_INTRA!$A$101:$AD$102,2,0),0)),$C$8,C99),0))</f>
        <v>0.69320000000000004</v>
      </c>
      <c r="V99" s="281">
        <f t="shared" ca="1" si="51"/>
        <v>0.69320000000000004</v>
      </c>
      <c r="W99" s="174">
        <f t="shared" si="35"/>
        <v>17</v>
      </c>
      <c r="X99" s="227">
        <v>0.54861111111111105</v>
      </c>
      <c r="Y99" s="220">
        <f t="shared" si="52"/>
        <v>17</v>
      </c>
      <c r="Z99" s="221">
        <f t="shared" si="37"/>
        <v>0</v>
      </c>
      <c r="AA99" s="221">
        <f t="shared" si="38"/>
        <v>0</v>
      </c>
      <c r="AB99" s="221">
        <f t="shared" si="39"/>
        <v>0</v>
      </c>
      <c r="AC99" s="221">
        <f t="shared" si="40"/>
        <v>0</v>
      </c>
      <c r="AD99" s="221">
        <f t="shared" si="41"/>
        <v>0</v>
      </c>
      <c r="AE99" s="221">
        <f t="shared" si="42"/>
        <v>0</v>
      </c>
      <c r="AF99" s="221">
        <f t="shared" si="43"/>
        <v>0</v>
      </c>
      <c r="AG99" s="222">
        <f t="shared" si="53"/>
        <v>17</v>
      </c>
      <c r="AH99" s="222">
        <f t="shared" si="44"/>
        <v>17</v>
      </c>
      <c r="AJ99" s="291">
        <f t="shared" ca="1" si="45"/>
        <v>15</v>
      </c>
      <c r="AK99" s="291">
        <f ca="1">IFERROR(ROUNDUP(IF(B99=0,0,Agents(B99*C99/600,$C$7,$C$8,C99))/(1-($J$12*(IFERROR(INDIRECT("CURVAS_INTRA!"&amp;ADDRESS(VLOOKUP($A99,CURVAS_INTRA!$A$103:$B$150,2,0),HLOOKUP($C$14,CURVAS_INTRA!$1:$2,2,0))),0)+IFERROR(INDIRECT("CURVAS_INTRA!"&amp;ADDRESS(VLOOKUP($A98,CURVAS_INTRA!$A$103:$B$150,2,0),HLOOKUP($C$14,CURVAS_INTRA!$1:$2,2,0))),0)))),0),0)</f>
        <v>17</v>
      </c>
      <c r="AM99" s="488">
        <f t="shared" si="54"/>
        <v>0</v>
      </c>
      <c r="AN99" s="174"/>
      <c r="AO99" s="174"/>
      <c r="AP99" s="174"/>
      <c r="AQ99" s="174"/>
      <c r="AR99" s="174"/>
    </row>
    <row r="100" spans="1:44" ht="11.25" customHeight="1">
      <c r="A100" s="570">
        <v>0.55555555555555602</v>
      </c>
      <c r="B100" s="183">
        <f ca="1">IFERROR(INDIRECT("CURVAS_INTRA!"&amp;ADDRESS(VLOOKUP($A98,CURVAS_INTRA!$A$3:$B$50,2,0),HLOOKUP($C$14,CURVAS_INTRA!$1:$2,2,0)))/3*$C$5,B97)</f>
        <v>7.6508621702714761</v>
      </c>
      <c r="C100" s="183">
        <f ca="1">IFERROR(INDIRECT("CURVAS_INTRA!"&amp;ADDRESS(VLOOKUP($A100,CURVAS_INTRA!$A$53:$B$100,2,0),HLOOKUP($C$14,CURVAS_INTRA!$1:$2,2,0)))*$C$6,C99)</f>
        <v>831.34406291650726</v>
      </c>
      <c r="D100" s="183">
        <f ca="1">IFERROR(ROUNDUP(IF(B100=0,0,Agents(B100*C100/600,$C$7,$C$8,C100))/(1-($H$7*(IFERROR(INDIRECT("CURVAS_INTRA!"&amp;ADDRESS(VLOOKUP($A98,CURVAS_INTRA!$A$103:$B$150,2,0),HLOOKUP($C$14,CURVAS_INTRA!$1:$2,2,0))),0)))),0),0)</f>
        <v>19</v>
      </c>
      <c r="E100" s="183">
        <f t="shared" si="36"/>
        <v>17</v>
      </c>
      <c r="F100" s="241">
        <f t="shared" ca="1" si="46"/>
        <v>-2</v>
      </c>
      <c r="G100" s="185">
        <f ca="1">IFERROR(DelayQ(B100*C100/600,E100*((1-$H$7*VLOOKUP(A98,CURVAS_INTRA!$A$103:$AD$150,HLOOKUP($C$14,CURVAS_INTRA!$A$101:$AD$102,2,0),0))),$C$8,C100),0)</f>
        <v>0.69320000000000004</v>
      </c>
      <c r="H100" s="221">
        <v>0</v>
      </c>
      <c r="I100" s="221">
        <v>0</v>
      </c>
      <c r="J100" s="221">
        <v>0</v>
      </c>
      <c r="K100" s="221">
        <v>0</v>
      </c>
      <c r="L100" s="137">
        <f t="shared" si="22"/>
        <v>0</v>
      </c>
      <c r="M100" s="186">
        <f t="shared" si="32"/>
        <v>0</v>
      </c>
      <c r="N100" s="137">
        <f t="shared" si="33"/>
        <v>12</v>
      </c>
      <c r="O100" s="188">
        <f t="shared" si="34"/>
        <v>5</v>
      </c>
      <c r="P100" s="201">
        <f t="shared" ca="1" si="47"/>
        <v>0.76496843500702172</v>
      </c>
      <c r="Q100" s="202">
        <f t="shared" ca="1" si="48"/>
        <v>0.68444544184838785</v>
      </c>
      <c r="R100" s="174">
        <f t="shared" ca="1" si="49"/>
        <v>-25</v>
      </c>
      <c r="S100" s="339"/>
      <c r="T100" s="241">
        <f t="shared" ca="1" si="50"/>
        <v>-2</v>
      </c>
      <c r="U100" s="247">
        <f ca="1">IF(IFERROR(DelayQ(B100*C100/600,(S100/(1-$H$5))+E100*((1-$H$7)*VLOOKUP(A98,CURVAS_INTRA!$A$103:$AD$150,HLOOKUP($C$14,CURVAS_INTRA!$A$101:$AD$102,2,0),0)),$C$8,C100),0)=0,"",IFERROR(DelayQ(B100*C100/600,S100+E100*((1-$H$7)*VLOOKUP(A98,CURVAS_INTRA!$A$103:$AD$150,HLOOKUP($C$14,CURVAS_INTRA!$A$101:$AD$102,2,0),0)),$C$8,C100),0))</f>
        <v>0.69320000000000004</v>
      </c>
      <c r="V100" s="281">
        <f t="shared" ca="1" si="51"/>
        <v>0.69320000000000004</v>
      </c>
      <c r="W100" s="174">
        <f t="shared" si="35"/>
        <v>17</v>
      </c>
      <c r="X100" s="227">
        <v>0.55555555555555602</v>
      </c>
      <c r="Y100" s="220">
        <f t="shared" si="52"/>
        <v>17</v>
      </c>
      <c r="Z100" s="221">
        <f t="shared" si="37"/>
        <v>0</v>
      </c>
      <c r="AA100" s="221">
        <f t="shared" si="38"/>
        <v>0</v>
      </c>
      <c r="AB100" s="221">
        <f t="shared" si="39"/>
        <v>0</v>
      </c>
      <c r="AC100" s="221">
        <f t="shared" si="40"/>
        <v>0</v>
      </c>
      <c r="AD100" s="221">
        <f t="shared" si="41"/>
        <v>0</v>
      </c>
      <c r="AE100" s="221">
        <f t="shared" si="42"/>
        <v>0</v>
      </c>
      <c r="AF100" s="221">
        <f t="shared" si="43"/>
        <v>0</v>
      </c>
      <c r="AG100" s="222">
        <f t="shared" si="53"/>
        <v>17</v>
      </c>
      <c r="AH100" s="222">
        <f t="shared" si="44"/>
        <v>17</v>
      </c>
      <c r="AJ100" s="291">
        <f t="shared" ca="1" si="45"/>
        <v>15</v>
      </c>
      <c r="AK100" s="291">
        <f ca="1">IFERROR(ROUNDUP(IF(B100=0,0,Agents(B100*C100/600,$C$7,$C$8,C100))/(1-($J$12*(IFERROR(INDIRECT("CURVAS_INTRA!"&amp;ADDRESS(VLOOKUP($A100,CURVAS_INTRA!$A$103:$B$150,2,0),HLOOKUP($C$14,CURVAS_INTRA!$1:$2,2,0))),0)+IFERROR(INDIRECT("CURVAS_INTRA!"&amp;ADDRESS(VLOOKUP($A99,CURVAS_INTRA!$A$103:$B$150,2,0),HLOOKUP($C$14,CURVAS_INTRA!$1:$2,2,0))),0)+IFERROR(INDIRECT("CURVAS_INTRA!"&amp;ADDRESS(VLOOKUP($A98,CURVAS_INTRA!$A$103:$B$150,2,0),HLOOKUP($C$14,CURVAS_INTRA!$1:$2,2,0))),0)))),0),0)</f>
        <v>17</v>
      </c>
      <c r="AM100" s="488">
        <f t="shared" si="54"/>
        <v>0</v>
      </c>
      <c r="AN100" s="174"/>
      <c r="AO100" s="174"/>
      <c r="AP100" s="174"/>
      <c r="AQ100" s="174"/>
      <c r="AR100" s="174"/>
    </row>
    <row r="101" spans="1:44" ht="11.25" customHeight="1">
      <c r="A101" s="570">
        <v>0.5625</v>
      </c>
      <c r="B101" s="183">
        <f ca="1">IFERROR(INDIRECT("CURVAS_INTRA!"&amp;ADDRESS(VLOOKUP($A101,CURVAS_INTRA!$A$3:$B$50,2,0),HLOOKUP($C$14,CURVAS_INTRA!$1:$2,2,0)))/3*$C$5,$B$19)</f>
        <v>7.0577350548666153</v>
      </c>
      <c r="C101" s="183">
        <f ca="1">IFERROR(INDIRECT("CURVAS_INTRA!"&amp;ADDRESS(VLOOKUP($A101,CURVAS_INTRA!$A$53:$B$100,2,0),HLOOKUP($C$14,CURVAS_INTRA!$1:$2,2,0)))*$C$6,C100)</f>
        <v>804.7256168728502</v>
      </c>
      <c r="D101" s="183">
        <f ca="1">IFERROR(ROUNDUP(IF(B101=0,0,Agents(B101*C101/600,$C$7,$C$8,C101))/(1-($H$7*(IFERROR(INDIRECT("CURVAS_INTRA!"&amp;ADDRESS(VLOOKUP($A101,CURVAS_INTRA!$A$103:$B$150,2,0),HLOOKUP($C$14,CURVAS_INTRA!$1:$2,2,0))),0)))),0),0)</f>
        <v>16</v>
      </c>
      <c r="E101" s="183">
        <f t="shared" si="36"/>
        <v>17</v>
      </c>
      <c r="F101" s="241">
        <f t="shared" ca="1" si="46"/>
        <v>1</v>
      </c>
      <c r="G101" s="185">
        <f ca="1">IFERROR(DelayQ(B101*C101/600,E101*((1-$H$7*VLOOKUP(A101,CURVAS_INTRA!$A$103:$AD$150,HLOOKUP($C$14,CURVAS_INTRA!$A$101:$AD$102,2,0),0))),$C$8,C101),0)</f>
        <v>0.83289999999999997</v>
      </c>
      <c r="H101" s="221">
        <v>0</v>
      </c>
      <c r="I101" s="221">
        <v>0</v>
      </c>
      <c r="J101" s="221">
        <v>0</v>
      </c>
      <c r="K101" s="221">
        <v>0</v>
      </c>
      <c r="L101" s="137">
        <f t="shared" si="22"/>
        <v>0</v>
      </c>
      <c r="M101" s="186">
        <f t="shared" si="32"/>
        <v>0</v>
      </c>
      <c r="N101" s="137">
        <f t="shared" si="33"/>
        <v>12</v>
      </c>
      <c r="O101" s="188">
        <f t="shared" si="34"/>
        <v>5</v>
      </c>
      <c r="P101" s="201">
        <f t="shared" ca="1" si="47"/>
        <v>0.68307047660990072</v>
      </c>
      <c r="Q101" s="202">
        <f t="shared" ca="1" si="48"/>
        <v>0.72576238139801952</v>
      </c>
      <c r="R101" s="174">
        <f t="shared" ca="1" si="49"/>
        <v>-22</v>
      </c>
      <c r="S101" s="339"/>
      <c r="T101" s="241">
        <f t="shared" ca="1" si="50"/>
        <v>1</v>
      </c>
      <c r="U101" s="247">
        <f ca="1">IF(IFERROR(DelayQ(B101*C101/600,(S101/(1-$H$5))+E101*((1-$H$7)*VLOOKUP(A101,CURVAS_INTRA!$A$103:$AD$150,HLOOKUP($C$14,CURVAS_INTRA!$A$101:$AD$102,2,0),0)),$C$8,C101),0)=0,"",IFERROR(DelayQ(B101*C101/600,S101+E101*((1-$H$7)*VLOOKUP(A101,CURVAS_INTRA!$A$103:$AD$150,HLOOKUP($C$14,CURVAS_INTRA!$A$101:$AD$102,2,0),0)),$C$8,C101),0))</f>
        <v>0.83289999999999997</v>
      </c>
      <c r="V101" s="281">
        <f t="shared" ca="1" si="51"/>
        <v>0.83289999999999997</v>
      </c>
      <c r="W101" s="174">
        <f t="shared" si="35"/>
        <v>17</v>
      </c>
      <c r="X101" s="227">
        <v>0.5625</v>
      </c>
      <c r="Y101" s="220">
        <f t="shared" si="52"/>
        <v>17</v>
      </c>
      <c r="Z101" s="221">
        <f t="shared" si="37"/>
        <v>0</v>
      </c>
      <c r="AA101" s="221">
        <f t="shared" si="38"/>
        <v>0</v>
      </c>
      <c r="AB101" s="221">
        <f t="shared" si="39"/>
        <v>0</v>
      </c>
      <c r="AC101" s="221">
        <f t="shared" si="40"/>
        <v>0</v>
      </c>
      <c r="AD101" s="221">
        <f t="shared" si="41"/>
        <v>0</v>
      </c>
      <c r="AE101" s="221">
        <f t="shared" si="42"/>
        <v>0</v>
      </c>
      <c r="AF101" s="221">
        <f t="shared" si="43"/>
        <v>0</v>
      </c>
      <c r="AG101" s="222">
        <f t="shared" si="53"/>
        <v>17</v>
      </c>
      <c r="AH101" s="222">
        <f t="shared" si="44"/>
        <v>17</v>
      </c>
      <c r="AJ101" s="291">
        <f t="shared" ca="1" si="45"/>
        <v>13</v>
      </c>
      <c r="AK101" s="291">
        <f ca="1">IFERROR(ROUNDUP(IF(B101=0,0,Agents(B101*C101/600,$C$7,$C$8,C101))/(1-($J$12*(IFERROR(INDIRECT("CURVAS_INTRA!"&amp;ADDRESS(VLOOKUP($A101,CURVAS_INTRA!$A$103:$B$150,2,0),HLOOKUP($C$14,CURVAS_INTRA!$1:$2,2,0))),0)))),0),0)</f>
        <v>15</v>
      </c>
      <c r="AM101" s="488">
        <f t="shared" si="54"/>
        <v>0</v>
      </c>
      <c r="AN101" s="174"/>
      <c r="AO101" s="174"/>
      <c r="AP101" s="174"/>
      <c r="AQ101" s="174"/>
      <c r="AR101" s="174"/>
    </row>
    <row r="102" spans="1:44" ht="11.25" customHeight="1">
      <c r="A102" s="570">
        <v>0.56944444444444398</v>
      </c>
      <c r="B102" s="183">
        <f ca="1">IFERROR(INDIRECT("CURVAS_INTRA!"&amp;ADDRESS(VLOOKUP($A101,CURVAS_INTRA!$A$3:$B$50,2,0),HLOOKUP($C$14,CURVAS_INTRA!$1:$2,2,0)))/3*$C$5,$B$19)</f>
        <v>7.0577350548666153</v>
      </c>
      <c r="C102" s="183">
        <f ca="1">IFERROR(INDIRECT("CURVAS_INTRA!"&amp;ADDRESS(VLOOKUP($A102,CURVAS_INTRA!$A$53:$B$100,2,0),HLOOKUP($C$14,CURVAS_INTRA!$1:$2,2,0)))*$C$6,C101)</f>
        <v>804.7256168728502</v>
      </c>
      <c r="D102" s="183">
        <f ca="1">IFERROR(ROUNDUP(IF(B102=0,0,Agents(B102*C102/600,$C$7,$C$8,C102))/(1-($H$7*(IFERROR(INDIRECT("CURVAS_INTRA!"&amp;ADDRESS(VLOOKUP($A101,CURVAS_INTRA!$A$103:$B$150,2,0),HLOOKUP($C$14,CURVAS_INTRA!$1:$2,2,0))),0)))),0),0)</f>
        <v>16</v>
      </c>
      <c r="E102" s="183">
        <f t="shared" si="36"/>
        <v>17</v>
      </c>
      <c r="F102" s="241">
        <f t="shared" ca="1" si="46"/>
        <v>1</v>
      </c>
      <c r="G102" s="185">
        <f ca="1">IFERROR(DelayQ(B102*C102/600,E102*((1-$H$7*VLOOKUP(A101,CURVAS_INTRA!$A$103:$AD$150,HLOOKUP($C$14,CURVAS_INTRA!$A$101:$AD$102,2,0),0))),$C$8,C102),0)</f>
        <v>0.83289999999999997</v>
      </c>
      <c r="H102" s="221">
        <v>0</v>
      </c>
      <c r="I102" s="221">
        <v>0</v>
      </c>
      <c r="J102" s="221">
        <v>0</v>
      </c>
      <c r="K102" s="221">
        <v>0</v>
      </c>
      <c r="L102" s="137">
        <f t="shared" si="22"/>
        <v>0</v>
      </c>
      <c r="M102" s="186">
        <f t="shared" si="32"/>
        <v>0</v>
      </c>
      <c r="N102" s="183">
        <f>SUM(J65:J102)</f>
        <v>12</v>
      </c>
      <c r="O102" s="188">
        <f t="shared" si="34"/>
        <v>5</v>
      </c>
      <c r="P102" s="201">
        <f t="shared" ca="1" si="47"/>
        <v>0.68307047660990072</v>
      </c>
      <c r="Q102" s="202">
        <f t="shared" ca="1" si="48"/>
        <v>0.72576238139801952</v>
      </c>
      <c r="R102" s="174">
        <f t="shared" ca="1" si="49"/>
        <v>-22</v>
      </c>
      <c r="S102" s="339"/>
      <c r="T102" s="241">
        <f t="shared" ca="1" si="50"/>
        <v>1</v>
      </c>
      <c r="U102" s="247">
        <f ca="1">IF(IFERROR(DelayQ(B102*C102/600,(S102/(1-$H$5))+E102*((1-$H$7)*VLOOKUP(A101,CURVAS_INTRA!$A$103:$AD$150,HLOOKUP($C$14,CURVAS_INTRA!$A$101:$AD$102,2,0),0)),$C$8,C102),0)=0,"",IFERROR(DelayQ(B102*C102/600,S102+E102*((1-$H$7)*VLOOKUP(A101,CURVAS_INTRA!$A$103:$AD$150,HLOOKUP($C$14,CURVAS_INTRA!$A$101:$AD$102,2,0),0)),$C$8,C102),0))</f>
        <v>0.83289999999999997</v>
      </c>
      <c r="V102" s="281">
        <f t="shared" ca="1" si="51"/>
        <v>0.83289999999999997</v>
      </c>
      <c r="W102" s="174">
        <f t="shared" si="35"/>
        <v>17</v>
      </c>
      <c r="X102" s="227">
        <v>0.56944444444444398</v>
      </c>
      <c r="Y102" s="220">
        <f t="shared" si="52"/>
        <v>17</v>
      </c>
      <c r="Z102" s="221">
        <f t="shared" si="37"/>
        <v>0</v>
      </c>
      <c r="AA102" s="221">
        <f t="shared" si="38"/>
        <v>0</v>
      </c>
      <c r="AB102" s="221">
        <f t="shared" si="39"/>
        <v>0</v>
      </c>
      <c r="AC102" s="221">
        <f t="shared" si="40"/>
        <v>0</v>
      </c>
      <c r="AD102" s="221">
        <f t="shared" si="41"/>
        <v>0</v>
      </c>
      <c r="AE102" s="221">
        <f t="shared" si="42"/>
        <v>0</v>
      </c>
      <c r="AF102" s="221">
        <f t="shared" si="43"/>
        <v>0</v>
      </c>
      <c r="AG102" s="222">
        <f t="shared" si="53"/>
        <v>17</v>
      </c>
      <c r="AH102" s="222">
        <f t="shared" si="44"/>
        <v>17</v>
      </c>
      <c r="AJ102" s="291">
        <f t="shared" ca="1" si="45"/>
        <v>13</v>
      </c>
      <c r="AK102" s="291">
        <f ca="1">IFERROR(ROUNDUP(IF(B102=0,0,Agents(B102*C102/600,$C$7,$C$8,C102))/(1-($J$12*(IFERROR(INDIRECT("CURVAS_INTRA!"&amp;ADDRESS(VLOOKUP($A102,CURVAS_INTRA!$A$103:$B$150,2,0),HLOOKUP($C$14,CURVAS_INTRA!$1:$2,2,0))),0)+IFERROR(INDIRECT("CURVAS_INTRA!"&amp;ADDRESS(VLOOKUP($A101,CURVAS_INTRA!$A$103:$B$150,2,0),HLOOKUP($C$14,CURVAS_INTRA!$1:$2,2,0))),0)))),0),0)</f>
        <v>15</v>
      </c>
      <c r="AM102" s="488">
        <f t="shared" si="54"/>
        <v>0</v>
      </c>
      <c r="AN102" s="174"/>
      <c r="AO102" s="174"/>
      <c r="AP102" s="174"/>
      <c r="AQ102" s="174"/>
      <c r="AR102" s="174"/>
    </row>
    <row r="103" spans="1:44" ht="11.25" customHeight="1">
      <c r="A103" s="570">
        <v>0.57638888888888895</v>
      </c>
      <c r="B103" s="183">
        <f ca="1">IFERROR(INDIRECT("CURVAS_INTRA!"&amp;ADDRESS(VLOOKUP($A101,CURVAS_INTRA!$A$3:$B$50,2,0),HLOOKUP($C$14,CURVAS_INTRA!$1:$2,2,0)))/3*$C$5,B100)</f>
        <v>7.0577350548666153</v>
      </c>
      <c r="C103" s="183">
        <f ca="1">IFERROR(INDIRECT("CURVAS_INTRA!"&amp;ADDRESS(VLOOKUP($A103,CURVAS_INTRA!$A$53:$B$100,2,0),HLOOKUP($C$14,CURVAS_INTRA!$1:$2,2,0)))*$C$6,C102)</f>
        <v>804.7256168728502</v>
      </c>
      <c r="D103" s="183">
        <f ca="1">IFERROR(ROUNDUP(IF(B103=0,0,Agents(B103*C103/600,$C$7,$C$8,C103))/(1-($H$7*(IFERROR(INDIRECT("CURVAS_INTRA!"&amp;ADDRESS(VLOOKUP($A101,CURVAS_INTRA!$A$103:$B$150,2,0),HLOOKUP($C$14,CURVAS_INTRA!$1:$2,2,0))),0)))),0),0)</f>
        <v>16</v>
      </c>
      <c r="E103" s="183">
        <f t="shared" si="36"/>
        <v>17</v>
      </c>
      <c r="F103" s="241">
        <f t="shared" ca="1" si="46"/>
        <v>1</v>
      </c>
      <c r="G103" s="185">
        <f ca="1">IFERROR(DelayQ(B103*C103/600,E103*((1-$H$7*VLOOKUP(A101,CURVAS_INTRA!$A$103:$AD$150,HLOOKUP($C$14,CURVAS_INTRA!$A$101:$AD$102,2,0),0))),$C$8,C103),0)</f>
        <v>0.83289999999999997</v>
      </c>
      <c r="H103" s="221">
        <v>0</v>
      </c>
      <c r="I103" s="221">
        <v>0</v>
      </c>
      <c r="J103" s="221">
        <v>4</v>
      </c>
      <c r="K103" s="221">
        <v>0</v>
      </c>
      <c r="L103" s="137">
        <f t="shared" si="22"/>
        <v>0</v>
      </c>
      <c r="M103" s="186">
        <f t="shared" si="32"/>
        <v>0</v>
      </c>
      <c r="N103" s="137">
        <f t="shared" si="33"/>
        <v>12</v>
      </c>
      <c r="O103" s="188">
        <f t="shared" si="34"/>
        <v>5</v>
      </c>
      <c r="P103" s="201">
        <f t="shared" ca="1" si="47"/>
        <v>0.68307047660990072</v>
      </c>
      <c r="Q103" s="202">
        <f t="shared" ca="1" si="48"/>
        <v>0.72576238139801952</v>
      </c>
      <c r="R103" s="174">
        <f t="shared" ca="1" si="49"/>
        <v>-22</v>
      </c>
      <c r="S103" s="339"/>
      <c r="T103" s="241">
        <f t="shared" ca="1" si="50"/>
        <v>1</v>
      </c>
      <c r="U103" s="247">
        <f ca="1">IF(IFERROR(DelayQ(B103*C103/600,(S103/(1-$H$5))+E103*((1-$H$7)*VLOOKUP(A101,CURVAS_INTRA!$A$103:$AD$150,HLOOKUP($C$14,CURVAS_INTRA!$A$101:$AD$102,2,0),0)),$C$8,C103),0)=0,"",IFERROR(DelayQ(B103*C103/600,S103+E103*((1-$H$7)*VLOOKUP(A101,CURVAS_INTRA!$A$103:$AD$150,HLOOKUP($C$14,CURVAS_INTRA!$A$101:$AD$102,2,0),0)),$C$8,C103),0))</f>
        <v>0.83289999999999997</v>
      </c>
      <c r="V103" s="281">
        <f t="shared" ca="1" si="51"/>
        <v>0.83289999999999997</v>
      </c>
      <c r="W103" s="174">
        <f t="shared" si="35"/>
        <v>17</v>
      </c>
      <c r="X103" s="227">
        <v>0.57638888888888895</v>
      </c>
      <c r="Y103" s="220">
        <f t="shared" si="52"/>
        <v>17</v>
      </c>
      <c r="Z103" s="221">
        <f t="shared" si="37"/>
        <v>0</v>
      </c>
      <c r="AA103" s="221">
        <f t="shared" si="38"/>
        <v>0</v>
      </c>
      <c r="AB103" s="221">
        <f t="shared" si="39"/>
        <v>0</v>
      </c>
      <c r="AC103" s="221">
        <f t="shared" si="40"/>
        <v>0</v>
      </c>
      <c r="AD103" s="221">
        <f t="shared" si="41"/>
        <v>0</v>
      </c>
      <c r="AE103" s="221">
        <f t="shared" si="42"/>
        <v>0</v>
      </c>
      <c r="AF103" s="221">
        <f t="shared" si="43"/>
        <v>0</v>
      </c>
      <c r="AG103" s="222">
        <f t="shared" si="53"/>
        <v>17</v>
      </c>
      <c r="AH103" s="222">
        <f t="shared" si="44"/>
        <v>17</v>
      </c>
      <c r="AJ103" s="291">
        <f t="shared" ca="1" si="45"/>
        <v>13</v>
      </c>
      <c r="AK103" s="291">
        <f ca="1">IFERROR(ROUNDUP(IF(B103=0,0,Agents(B103*C103/600,$C$7,$C$8,C103))/(1-($J$12*(IFERROR(INDIRECT("CURVAS_INTRA!"&amp;ADDRESS(VLOOKUP($A103,CURVAS_INTRA!$A$103:$B$150,2,0),HLOOKUP($C$14,CURVAS_INTRA!$1:$2,2,0))),0)+IFERROR(INDIRECT("CURVAS_INTRA!"&amp;ADDRESS(VLOOKUP($A102,CURVAS_INTRA!$A$103:$B$150,2,0),HLOOKUP($C$14,CURVAS_INTRA!$1:$2,2,0))),0)+IFERROR(INDIRECT("CURVAS_INTRA!"&amp;ADDRESS(VLOOKUP($A101,CURVAS_INTRA!$A$103:$B$150,2,0),HLOOKUP($C$14,CURVAS_INTRA!$1:$2,2,0))),0)))),0),0)</f>
        <v>15</v>
      </c>
      <c r="AM103" s="488">
        <f t="shared" si="54"/>
        <v>4</v>
      </c>
      <c r="AN103" s="174"/>
      <c r="AO103" s="174"/>
      <c r="AP103" s="174"/>
      <c r="AQ103" s="174"/>
      <c r="AR103" s="174"/>
    </row>
    <row r="104" spans="1:44" ht="11.25" customHeight="1">
      <c r="A104" s="570">
        <v>0.58333333333333304</v>
      </c>
      <c r="B104" s="183">
        <f ca="1">IFERROR(INDIRECT("CURVAS_INTRA!"&amp;ADDRESS(VLOOKUP($A104,CURVAS_INTRA!$A$3:$B$50,2,0),HLOOKUP($C$14,CURVAS_INTRA!$1:$2,2,0)))/3*$C$5,$B$19)</f>
        <v>7.4123668986034374</v>
      </c>
      <c r="C104" s="183">
        <f ca="1">IFERROR(INDIRECT("CURVAS_INTRA!"&amp;ADDRESS(VLOOKUP($A104,CURVAS_INTRA!$A$53:$B$100,2,0),HLOOKUP($C$14,CURVAS_INTRA!$1:$2,2,0)))*$C$6,C103)</f>
        <v>830.31486942649212</v>
      </c>
      <c r="D104" s="183">
        <f ca="1">IFERROR(ROUNDUP(IF(B104=0,0,Agents(B104*C104/600,$C$7,$C$8,C104))/(1-($H$7*(IFERROR(INDIRECT("CURVAS_INTRA!"&amp;ADDRESS(VLOOKUP($A104,CURVAS_INTRA!$A$103:$B$150,2,0),HLOOKUP($C$14,CURVAS_INTRA!$1:$2,2,0))),0)))),0),0)</f>
        <v>18</v>
      </c>
      <c r="E104" s="183">
        <f t="shared" si="36"/>
        <v>17</v>
      </c>
      <c r="F104" s="241">
        <f t="shared" ca="1" si="46"/>
        <v>-1</v>
      </c>
      <c r="G104" s="185">
        <f ca="1">IFERROR(DelayQ(B104*C104/600,E104*((1-$H$7*VLOOKUP(A104,CURVAS_INTRA!$A$103:$AD$150,HLOOKUP($C$14,CURVAS_INTRA!$A$101:$AD$102,2,0),0))),$C$8,C104),0)</f>
        <v>0.7409</v>
      </c>
      <c r="H104" s="221">
        <v>0</v>
      </c>
      <c r="I104" s="221">
        <v>0</v>
      </c>
      <c r="J104" s="221">
        <v>0</v>
      </c>
      <c r="K104" s="221">
        <v>0</v>
      </c>
      <c r="L104" s="137">
        <f t="shared" si="22"/>
        <v>0</v>
      </c>
      <c r="M104" s="186">
        <f t="shared" si="32"/>
        <v>0</v>
      </c>
      <c r="N104" s="137">
        <f t="shared" si="33"/>
        <v>12</v>
      </c>
      <c r="O104" s="188">
        <f t="shared" si="34"/>
        <v>5</v>
      </c>
      <c r="P104" s="201">
        <f t="shared" ca="1" si="47"/>
        <v>0.74020507895276011</v>
      </c>
      <c r="Q104" s="202">
        <f t="shared" ca="1" si="48"/>
        <v>0.69908257456649558</v>
      </c>
      <c r="R104" s="174">
        <f t="shared" ca="1" si="49"/>
        <v>-26</v>
      </c>
      <c r="S104" s="339"/>
      <c r="T104" s="241">
        <f t="shared" ca="1" si="50"/>
        <v>-1</v>
      </c>
      <c r="U104" s="247">
        <f ca="1">IF(IFERROR(DelayQ(B104*C104/600,(S104/(1-$H$5))+E104*((1-$H$7)*VLOOKUP(A104,CURVAS_INTRA!$A$103:$AD$150,HLOOKUP($C$14,CURVAS_INTRA!$A$101:$AD$102,2,0),0)),$C$8,C104),0)=0,"",IFERROR(DelayQ(B104*C104/600,S104+E104*((1-$H$7)*VLOOKUP(A104,CURVAS_INTRA!$A$103:$AD$150,HLOOKUP($C$14,CURVAS_INTRA!$A$101:$AD$102,2,0),0)),$C$8,C104),0))</f>
        <v>0.7409</v>
      </c>
      <c r="V104" s="281">
        <f t="shared" ca="1" si="51"/>
        <v>0.7409</v>
      </c>
      <c r="W104" s="174">
        <f t="shared" si="35"/>
        <v>17</v>
      </c>
      <c r="X104" s="227">
        <v>0.58333333333333304</v>
      </c>
      <c r="Y104" s="220">
        <f t="shared" si="52"/>
        <v>17</v>
      </c>
      <c r="Z104" s="221">
        <f t="shared" si="37"/>
        <v>0</v>
      </c>
      <c r="AA104" s="221">
        <f t="shared" si="38"/>
        <v>0</v>
      </c>
      <c r="AB104" s="221">
        <f t="shared" si="39"/>
        <v>0</v>
      </c>
      <c r="AC104" s="221">
        <f t="shared" si="40"/>
        <v>0</v>
      </c>
      <c r="AD104" s="221">
        <f t="shared" si="41"/>
        <v>0</v>
      </c>
      <c r="AE104" s="221">
        <f t="shared" si="42"/>
        <v>0</v>
      </c>
      <c r="AF104" s="221">
        <f t="shared" si="43"/>
        <v>0</v>
      </c>
      <c r="AG104" s="222">
        <f t="shared" si="53"/>
        <v>17</v>
      </c>
      <c r="AH104" s="222">
        <f t="shared" si="44"/>
        <v>17</v>
      </c>
      <c r="AJ104" s="291">
        <f t="shared" ca="1" si="45"/>
        <v>14</v>
      </c>
      <c r="AK104" s="291">
        <f ca="1">IFERROR(ROUNDUP(IF(B104=0,0,Agents(B104*C104/600,$C$7,$C$8,C104))/(1-($J$12*(IFERROR(INDIRECT("CURVAS_INTRA!"&amp;ADDRESS(VLOOKUP($A104,CURVAS_INTRA!$A$103:$B$150,2,0),HLOOKUP($C$14,CURVAS_INTRA!$1:$2,2,0))),0)))),0),0)</f>
        <v>16</v>
      </c>
      <c r="AM104" s="488">
        <f t="shared" si="54"/>
        <v>0</v>
      </c>
      <c r="AN104" s="174"/>
      <c r="AO104" s="174"/>
      <c r="AP104" s="174"/>
      <c r="AQ104" s="174"/>
      <c r="AR104" s="174"/>
    </row>
    <row r="105" spans="1:44" ht="11.25" customHeight="1">
      <c r="A105" s="570">
        <v>0.59027777777777801</v>
      </c>
      <c r="B105" s="183">
        <f ca="1">IFERROR(INDIRECT("CURVAS_INTRA!"&amp;ADDRESS(VLOOKUP($A104,CURVAS_INTRA!$A$3:$B$50,2,0),HLOOKUP($C$14,CURVAS_INTRA!$1:$2,2,0)))/3*$C$5,$B$19)</f>
        <v>7.4123668986034374</v>
      </c>
      <c r="C105" s="183">
        <f ca="1">IFERROR(INDIRECT("CURVAS_INTRA!"&amp;ADDRESS(VLOOKUP($A105,CURVAS_INTRA!$A$53:$B$100,2,0),HLOOKUP($C$14,CURVAS_INTRA!$1:$2,2,0)))*$C$6,C104)</f>
        <v>830.31486942649212</v>
      </c>
      <c r="D105" s="183">
        <f ca="1">IFERROR(ROUNDUP(IF(B105=0,0,Agents(B105*C105/600,$C$7,$C$8,C105))/(1-($H$7*(IFERROR(INDIRECT("CURVAS_INTRA!"&amp;ADDRESS(VLOOKUP($A104,CURVAS_INTRA!$A$103:$B$150,2,0),HLOOKUP($C$14,CURVAS_INTRA!$1:$2,2,0))),0)))),0),0)</f>
        <v>18</v>
      </c>
      <c r="E105" s="183">
        <f t="shared" si="36"/>
        <v>17</v>
      </c>
      <c r="F105" s="241">
        <f t="shared" ca="1" si="46"/>
        <v>-1</v>
      </c>
      <c r="G105" s="185">
        <f ca="1">IFERROR(DelayQ(B105*C105/600,E105*((1-$H$7*VLOOKUP(A104,CURVAS_INTRA!$A$103:$AD$150,HLOOKUP($C$14,CURVAS_INTRA!$A$101:$AD$102,2,0),0))),$C$8,C105),0)</f>
        <v>0.7409</v>
      </c>
      <c r="H105" s="221">
        <v>0</v>
      </c>
      <c r="I105" s="221">
        <v>0</v>
      </c>
      <c r="J105" s="221">
        <v>0</v>
      </c>
      <c r="K105" s="221">
        <v>0</v>
      </c>
      <c r="L105" s="137">
        <f t="shared" si="22"/>
        <v>0</v>
      </c>
      <c r="M105" s="186">
        <f t="shared" si="32"/>
        <v>0</v>
      </c>
      <c r="N105" s="137">
        <f t="shared" si="33"/>
        <v>12</v>
      </c>
      <c r="O105" s="188">
        <f t="shared" si="34"/>
        <v>5</v>
      </c>
      <c r="P105" s="201">
        <f t="shared" ca="1" si="47"/>
        <v>0.74020507895276011</v>
      </c>
      <c r="Q105" s="202">
        <f t="shared" ca="1" si="48"/>
        <v>0.69908257456649558</v>
      </c>
      <c r="R105" s="174">
        <f t="shared" ca="1" si="49"/>
        <v>-28</v>
      </c>
      <c r="S105" s="339"/>
      <c r="T105" s="241">
        <f t="shared" ca="1" si="50"/>
        <v>-1</v>
      </c>
      <c r="U105" s="247">
        <f ca="1">IF(IFERROR(DelayQ(B105*C105/600,(S105/(1-$H$5))+E105*((1-$H$7)*VLOOKUP(A104,CURVAS_INTRA!$A$103:$AD$150,HLOOKUP($C$14,CURVAS_INTRA!$A$101:$AD$102,2,0),0)),$C$8,C105),0)=0,"",IFERROR(DelayQ(B105*C105/600,S105+E105*((1-$H$7)*VLOOKUP(A104,CURVAS_INTRA!$A$103:$AD$150,HLOOKUP($C$14,CURVAS_INTRA!$A$101:$AD$102,2,0),0)),$C$8,C105),0))</f>
        <v>0.7409</v>
      </c>
      <c r="V105" s="281">
        <f t="shared" ca="1" si="51"/>
        <v>0.7409</v>
      </c>
      <c r="W105" s="174">
        <f t="shared" si="35"/>
        <v>17</v>
      </c>
      <c r="X105" s="227">
        <v>0.59027777777777801</v>
      </c>
      <c r="Y105" s="220">
        <f t="shared" si="52"/>
        <v>17</v>
      </c>
      <c r="Z105" s="221">
        <f t="shared" si="37"/>
        <v>0</v>
      </c>
      <c r="AA105" s="221">
        <f t="shared" si="38"/>
        <v>0</v>
      </c>
      <c r="AB105" s="221">
        <f t="shared" si="39"/>
        <v>0</v>
      </c>
      <c r="AC105" s="221">
        <f t="shared" si="40"/>
        <v>0</v>
      </c>
      <c r="AD105" s="221">
        <f t="shared" si="41"/>
        <v>0</v>
      </c>
      <c r="AE105" s="221">
        <f t="shared" si="42"/>
        <v>0</v>
      </c>
      <c r="AF105" s="221">
        <f t="shared" si="43"/>
        <v>0</v>
      </c>
      <c r="AG105" s="222">
        <f t="shared" si="53"/>
        <v>17</v>
      </c>
      <c r="AH105" s="222">
        <f t="shared" si="44"/>
        <v>17</v>
      </c>
      <c r="AJ105" s="291">
        <f t="shared" ca="1" si="45"/>
        <v>14</v>
      </c>
      <c r="AK105" s="291">
        <f ca="1">IFERROR(ROUNDUP(IF(B105=0,0,Agents(B105*C105/600,$C$7,$C$8,C105))/(1-($J$12*(IFERROR(INDIRECT("CURVAS_INTRA!"&amp;ADDRESS(VLOOKUP($A105,CURVAS_INTRA!$A$103:$B$150,2,0),HLOOKUP($C$14,CURVAS_INTRA!$1:$2,2,0))),0)+IFERROR(INDIRECT("CURVAS_INTRA!"&amp;ADDRESS(VLOOKUP($A104,CURVAS_INTRA!$A$103:$B$150,2,0),HLOOKUP($C$14,CURVAS_INTRA!$1:$2,2,0))),0)))),0),0)</f>
        <v>16</v>
      </c>
      <c r="AM105" s="488">
        <f t="shared" si="54"/>
        <v>0</v>
      </c>
      <c r="AN105" s="174"/>
      <c r="AO105" s="174"/>
      <c r="AP105" s="174"/>
      <c r="AQ105" s="174"/>
      <c r="AR105" s="174"/>
    </row>
    <row r="106" spans="1:44" ht="11.25" customHeight="1">
      <c r="A106" s="570">
        <v>0.59722222222222199</v>
      </c>
      <c r="B106" s="183">
        <f ca="1">IFERROR(INDIRECT("CURVAS_INTRA!"&amp;ADDRESS(VLOOKUP($A104,CURVAS_INTRA!$A$3:$B$50,2,0),HLOOKUP($C$14,CURVAS_INTRA!$1:$2,2,0)))/3*$C$5,B103)</f>
        <v>7.4123668986034374</v>
      </c>
      <c r="C106" s="183">
        <f ca="1">IFERROR(INDIRECT("CURVAS_INTRA!"&amp;ADDRESS(VLOOKUP($A106,CURVAS_INTRA!$A$53:$B$100,2,0),HLOOKUP($C$14,CURVAS_INTRA!$1:$2,2,0)))*$C$6,C105)</f>
        <v>830.31486942649212</v>
      </c>
      <c r="D106" s="183">
        <f ca="1">IFERROR(ROUNDUP(IF(B106=0,0,Agents(B106*C106/600,$C$7,$C$8,C106))/(1-($H$7*(IFERROR(INDIRECT("CURVAS_INTRA!"&amp;ADDRESS(VLOOKUP($A104,CURVAS_INTRA!$A$103:$B$150,2,0),HLOOKUP($C$14,CURVAS_INTRA!$1:$2,2,0))),0)))),0),0)</f>
        <v>18</v>
      </c>
      <c r="E106" s="183">
        <f t="shared" si="36"/>
        <v>17</v>
      </c>
      <c r="F106" s="241">
        <f t="shared" ca="1" si="46"/>
        <v>-1</v>
      </c>
      <c r="G106" s="185">
        <f ca="1">IFERROR(DelayQ(B106*C106/600,E106*((1-$H$7*VLOOKUP(A104,CURVAS_INTRA!$A$103:$AD$150,HLOOKUP($C$14,CURVAS_INTRA!$A$101:$AD$102,2,0),0))),$C$8,C106),0)</f>
        <v>0.7409</v>
      </c>
      <c r="H106" s="221">
        <v>0</v>
      </c>
      <c r="I106" s="221">
        <v>0</v>
      </c>
      <c r="J106" s="221">
        <v>2</v>
      </c>
      <c r="K106" s="221">
        <v>0</v>
      </c>
      <c r="L106" s="137">
        <f t="shared" si="22"/>
        <v>0</v>
      </c>
      <c r="M106" s="186">
        <f t="shared" si="32"/>
        <v>0</v>
      </c>
      <c r="N106" s="137">
        <f t="shared" si="33"/>
        <v>12</v>
      </c>
      <c r="O106" s="188">
        <f t="shared" si="34"/>
        <v>5</v>
      </c>
      <c r="P106" s="201">
        <f t="shared" ca="1" si="47"/>
        <v>0.74020507895276011</v>
      </c>
      <c r="Q106" s="202">
        <f t="shared" ca="1" si="48"/>
        <v>0.69908257456649558</v>
      </c>
      <c r="R106" s="174">
        <f t="shared" ca="1" si="49"/>
        <v>-29</v>
      </c>
      <c r="S106" s="339"/>
      <c r="T106" s="241">
        <f t="shared" ca="1" si="50"/>
        <v>-1</v>
      </c>
      <c r="U106" s="247">
        <f ca="1">IF(IFERROR(DelayQ(B106*C106/600,(S106/(1-$H$5))+E106*((1-$H$7)*VLOOKUP(A104,CURVAS_INTRA!$A$103:$AD$150,HLOOKUP($C$14,CURVAS_INTRA!$A$101:$AD$102,2,0),0)),$C$8,C106),0)=0,"",IFERROR(DelayQ(B106*C106/600,S106+E106*((1-$H$7)*VLOOKUP(A104,CURVAS_INTRA!$A$103:$AD$150,HLOOKUP($C$14,CURVAS_INTRA!$A$101:$AD$102,2,0),0)),$C$8,C106),0))</f>
        <v>0.7409</v>
      </c>
      <c r="V106" s="281">
        <f t="shared" ca="1" si="51"/>
        <v>0.7409</v>
      </c>
      <c r="W106" s="174">
        <f t="shared" si="35"/>
        <v>17</v>
      </c>
      <c r="X106" s="227">
        <v>0.59722222222222199</v>
      </c>
      <c r="Y106" s="220">
        <f t="shared" si="52"/>
        <v>17</v>
      </c>
      <c r="Z106" s="221">
        <f t="shared" si="37"/>
        <v>0</v>
      </c>
      <c r="AA106" s="221">
        <f t="shared" si="38"/>
        <v>0</v>
      </c>
      <c r="AB106" s="221">
        <f t="shared" si="39"/>
        <v>0</v>
      </c>
      <c r="AC106" s="221">
        <f t="shared" si="40"/>
        <v>0</v>
      </c>
      <c r="AD106" s="221">
        <f t="shared" si="41"/>
        <v>0</v>
      </c>
      <c r="AE106" s="221">
        <f t="shared" si="42"/>
        <v>0</v>
      </c>
      <c r="AF106" s="221">
        <f t="shared" si="43"/>
        <v>0</v>
      </c>
      <c r="AG106" s="222">
        <f t="shared" si="53"/>
        <v>17</v>
      </c>
      <c r="AH106" s="222">
        <f t="shared" si="44"/>
        <v>17</v>
      </c>
      <c r="AJ106" s="291">
        <f t="shared" ca="1" si="45"/>
        <v>14</v>
      </c>
      <c r="AK106" s="291">
        <f ca="1">IFERROR(ROUNDUP(IF(B106=0,0,Agents(B106*C106/600,$C$7,$C$8,C106))/(1-($J$12*(IFERROR(INDIRECT("CURVAS_INTRA!"&amp;ADDRESS(VLOOKUP($A106,CURVAS_INTRA!$A$103:$B$150,2,0),HLOOKUP($C$14,CURVAS_INTRA!$1:$2,2,0))),0)+IFERROR(INDIRECT("CURVAS_INTRA!"&amp;ADDRESS(VLOOKUP($A105,CURVAS_INTRA!$A$103:$B$150,2,0),HLOOKUP($C$14,CURVAS_INTRA!$1:$2,2,0))),0)+IFERROR(INDIRECT("CURVAS_INTRA!"&amp;ADDRESS(VLOOKUP($A104,CURVAS_INTRA!$A$103:$B$150,2,0),HLOOKUP($C$14,CURVAS_INTRA!$1:$2,2,0))),0)))),0),0)</f>
        <v>16</v>
      </c>
      <c r="AM106" s="488">
        <f t="shared" si="54"/>
        <v>2</v>
      </c>
      <c r="AN106" s="174"/>
      <c r="AO106" s="174"/>
      <c r="AP106" s="174"/>
      <c r="AQ106" s="174"/>
      <c r="AR106" s="174"/>
    </row>
    <row r="107" spans="1:44" ht="11.25" customHeight="1">
      <c r="A107" s="570">
        <v>0.60416666666666696</v>
      </c>
      <c r="B107" s="183">
        <f ca="1">IFERROR(INDIRECT("CURVAS_INTRA!"&amp;ADDRESS(VLOOKUP($A107,CURVAS_INTRA!$A$3:$B$50,2,0),HLOOKUP($C$14,CURVAS_INTRA!$1:$2,2,0)))/3*$C$5,$B$19)</f>
        <v>7.0201708982614761</v>
      </c>
      <c r="C107" s="183">
        <f ca="1">IFERROR(INDIRECT("CURVAS_INTRA!"&amp;ADDRESS(VLOOKUP($A107,CURVAS_INTRA!$A$53:$B$100,2,0),HLOOKUP($C$14,CURVAS_INTRA!$1:$2,2,0)))*$C$6,C106)</f>
        <v>813.11065360912323</v>
      </c>
      <c r="D107" s="183">
        <f ca="1">IFERROR(ROUNDUP(IF(B107=0,0,Agents(B107*C107/600,$C$7,$C$8,C107))/(1-($H$7*(IFERROR(INDIRECT("CURVAS_INTRA!"&amp;ADDRESS(VLOOKUP($A107,CURVAS_INTRA!$A$103:$B$150,2,0),HLOOKUP($C$14,CURVAS_INTRA!$1:$2,2,0))),0)))),0),0)</f>
        <v>16</v>
      </c>
      <c r="E107" s="183">
        <f t="shared" si="36"/>
        <v>17</v>
      </c>
      <c r="F107" s="241">
        <f t="shared" ca="1" si="46"/>
        <v>1</v>
      </c>
      <c r="G107" s="185">
        <f ca="1">IFERROR(DelayQ(B107*C107/600,E107*((1-$H$7*VLOOKUP(A107,CURVAS_INTRA!$A$103:$AD$150,HLOOKUP($C$14,CURVAS_INTRA!$A$101:$AD$102,2,0),0))),$C$8,C107),0)</f>
        <v>0.82789999999999997</v>
      </c>
      <c r="H107" s="221">
        <v>0</v>
      </c>
      <c r="I107" s="221">
        <v>0</v>
      </c>
      <c r="J107" s="221">
        <v>0</v>
      </c>
      <c r="K107" s="221">
        <v>0</v>
      </c>
      <c r="L107" s="137">
        <f t="shared" si="22"/>
        <v>0</v>
      </c>
      <c r="M107" s="186">
        <f t="shared" si="32"/>
        <v>0</v>
      </c>
      <c r="N107" s="137">
        <f t="shared" si="33"/>
        <v>12</v>
      </c>
      <c r="O107" s="188">
        <f t="shared" si="34"/>
        <v>5</v>
      </c>
      <c r="P107" s="201">
        <f t="shared" ca="1" si="47"/>
        <v>0.68651443498126541</v>
      </c>
      <c r="Q107" s="202">
        <f t="shared" ca="1" si="48"/>
        <v>0.72942158716759453</v>
      </c>
      <c r="R107" s="174">
        <f t="shared" ca="1" si="49"/>
        <v>-32</v>
      </c>
      <c r="S107" s="339"/>
      <c r="T107" s="241">
        <f t="shared" ca="1" si="50"/>
        <v>1</v>
      </c>
      <c r="U107" s="247">
        <f ca="1">IF(IFERROR(DelayQ(B107*C107/600,(S107/(1-$H$5))+E107*((1-$H$7)*VLOOKUP(A107,CURVAS_INTRA!$A$103:$AD$150,HLOOKUP($C$14,CURVAS_INTRA!$A$101:$AD$102,2,0),0)),$C$8,C107),0)=0,"",IFERROR(DelayQ(B107*C107/600,S107+E107*((1-$H$7)*VLOOKUP(A107,CURVAS_INTRA!$A$103:$AD$150,HLOOKUP($C$14,CURVAS_INTRA!$A$101:$AD$102,2,0),0)),$C$8,C107),0))</f>
        <v>0.82789999999999997</v>
      </c>
      <c r="V107" s="281">
        <f t="shared" ca="1" si="51"/>
        <v>0.82789999999999997</v>
      </c>
      <c r="W107" s="174">
        <f t="shared" si="35"/>
        <v>17</v>
      </c>
      <c r="X107" s="227">
        <v>0.60416666666666696</v>
      </c>
      <c r="Y107" s="220">
        <f t="shared" si="52"/>
        <v>17</v>
      </c>
      <c r="Z107" s="221">
        <f t="shared" si="37"/>
        <v>0</v>
      </c>
      <c r="AA107" s="221">
        <f t="shared" si="38"/>
        <v>0</v>
      </c>
      <c r="AB107" s="221">
        <f t="shared" si="39"/>
        <v>0</v>
      </c>
      <c r="AC107" s="221">
        <f t="shared" si="40"/>
        <v>0</v>
      </c>
      <c r="AD107" s="221">
        <f t="shared" si="41"/>
        <v>0</v>
      </c>
      <c r="AE107" s="221">
        <f t="shared" si="42"/>
        <v>0</v>
      </c>
      <c r="AF107" s="221">
        <f t="shared" si="43"/>
        <v>0</v>
      </c>
      <c r="AG107" s="222">
        <f t="shared" si="53"/>
        <v>17</v>
      </c>
      <c r="AH107" s="222">
        <f t="shared" si="44"/>
        <v>17</v>
      </c>
      <c r="AJ107" s="291">
        <f t="shared" ca="1" si="45"/>
        <v>13</v>
      </c>
      <c r="AK107" s="291">
        <f ca="1">IFERROR(ROUNDUP(IF(B107=0,0,Agents(B107*C107/600,$C$7,$C$8,C107))/(1-($J$12*(IFERROR(INDIRECT("CURVAS_INTRA!"&amp;ADDRESS(VLOOKUP($A107,CURVAS_INTRA!$A$103:$B$150,2,0),HLOOKUP($C$14,CURVAS_INTRA!$1:$2,2,0))),0)))),0),0)</f>
        <v>15</v>
      </c>
      <c r="AM107" s="488">
        <f t="shared" si="54"/>
        <v>0</v>
      </c>
      <c r="AN107" s="174"/>
      <c r="AO107" s="174"/>
      <c r="AP107" s="174"/>
      <c r="AQ107" s="174"/>
      <c r="AR107" s="174"/>
    </row>
    <row r="108" spans="1:44" ht="11.25" customHeight="1">
      <c r="A108" s="570">
        <v>0.61111111111111105</v>
      </c>
      <c r="B108" s="183">
        <f ca="1">IFERROR(INDIRECT("CURVAS_INTRA!"&amp;ADDRESS(VLOOKUP($A107,CURVAS_INTRA!$A$3:$B$50,2,0),HLOOKUP($C$14,CURVAS_INTRA!$1:$2,2,0)))/3*$C$5,$B$19)</f>
        <v>7.0201708982614761</v>
      </c>
      <c r="C108" s="183">
        <f ca="1">IFERROR(INDIRECT("CURVAS_INTRA!"&amp;ADDRESS(VLOOKUP($A108,CURVAS_INTRA!$A$53:$B$100,2,0),HLOOKUP($C$14,CURVAS_INTRA!$1:$2,2,0)))*$C$6,C107)</f>
        <v>813.11065360912323</v>
      </c>
      <c r="D108" s="183">
        <f ca="1">IFERROR(ROUNDUP(IF(B108=0,0,Agents(B108*C108/600,$C$7,$C$8,C108))/(1-($H$7*(IFERROR(INDIRECT("CURVAS_INTRA!"&amp;ADDRESS(VLOOKUP($A107,CURVAS_INTRA!$A$103:$B$150,2,0),HLOOKUP($C$14,CURVAS_INTRA!$1:$2,2,0))),0)))),0),0)</f>
        <v>16</v>
      </c>
      <c r="E108" s="183">
        <f t="shared" si="36"/>
        <v>19</v>
      </c>
      <c r="F108" s="241">
        <f t="shared" ca="1" si="46"/>
        <v>3</v>
      </c>
      <c r="G108" s="185">
        <f ca="1">IFERROR(DelayQ(B108*C108/600,E108*((1-$H$7*VLOOKUP(A107,CURVAS_INTRA!$A$103:$AD$150,HLOOKUP($C$14,CURVAS_INTRA!$A$101:$AD$102,2,0),0))),$C$8,C108),0)</f>
        <v>0.94069999999999998</v>
      </c>
      <c r="H108" s="221">
        <v>0</v>
      </c>
      <c r="I108" s="221">
        <v>0</v>
      </c>
      <c r="J108" s="221">
        <v>0</v>
      </c>
      <c r="K108" s="221">
        <v>2</v>
      </c>
      <c r="L108" s="137">
        <f t="shared" si="22"/>
        <v>0</v>
      </c>
      <c r="M108" s="186">
        <f t="shared" si="32"/>
        <v>0</v>
      </c>
      <c r="N108" s="137">
        <f t="shared" si="33"/>
        <v>12</v>
      </c>
      <c r="O108" s="188">
        <f t="shared" si="34"/>
        <v>7</v>
      </c>
      <c r="P108" s="201">
        <f t="shared" ca="1" si="47"/>
        <v>0.61424975761481637</v>
      </c>
      <c r="Q108" s="202">
        <f t="shared" ca="1" si="48"/>
        <v>0.72942158716759453</v>
      </c>
      <c r="R108" s="174">
        <f t="shared" ca="1" si="49"/>
        <v>-37</v>
      </c>
      <c r="S108" s="339"/>
      <c r="T108" s="241">
        <f t="shared" ca="1" si="50"/>
        <v>3</v>
      </c>
      <c r="U108" s="247">
        <f ca="1">IF(IFERROR(DelayQ(B108*C108/600,(S108/(1-$H$5))+E108*((1-$H$7)*VLOOKUP(A107,CURVAS_INTRA!$A$103:$AD$150,HLOOKUP($C$14,CURVAS_INTRA!$A$101:$AD$102,2,0),0)),$C$8,C108),0)=0,"",IFERROR(DelayQ(B108*C108/600,S108+E108*((1-$H$7)*VLOOKUP(A107,CURVAS_INTRA!$A$103:$AD$150,HLOOKUP($C$14,CURVAS_INTRA!$A$101:$AD$102,2,0),0)),$C$8,C108),0))</f>
        <v>0.94069999999999998</v>
      </c>
      <c r="V108" s="281">
        <f t="shared" ca="1" si="51"/>
        <v>0.94069999999999998</v>
      </c>
      <c r="W108" s="174">
        <f t="shared" si="35"/>
        <v>19</v>
      </c>
      <c r="X108" s="227">
        <v>0.61111111111111105</v>
      </c>
      <c r="Y108" s="220">
        <f t="shared" si="52"/>
        <v>19</v>
      </c>
      <c r="Z108" s="221">
        <f t="shared" si="37"/>
        <v>0</v>
      </c>
      <c r="AA108" s="221">
        <f t="shared" si="38"/>
        <v>0</v>
      </c>
      <c r="AB108" s="221">
        <f t="shared" si="39"/>
        <v>0</v>
      </c>
      <c r="AC108" s="221">
        <f t="shared" si="40"/>
        <v>0</v>
      </c>
      <c r="AD108" s="221">
        <f t="shared" si="41"/>
        <v>0</v>
      </c>
      <c r="AE108" s="221">
        <f t="shared" si="42"/>
        <v>0</v>
      </c>
      <c r="AF108" s="221">
        <f t="shared" si="43"/>
        <v>0</v>
      </c>
      <c r="AG108" s="222">
        <f t="shared" si="53"/>
        <v>19</v>
      </c>
      <c r="AH108" s="222">
        <f t="shared" si="44"/>
        <v>19</v>
      </c>
      <c r="AJ108" s="291">
        <f t="shared" ca="1" si="45"/>
        <v>13</v>
      </c>
      <c r="AK108" s="291">
        <f ca="1">IFERROR(ROUNDUP(IF(B108=0,0,Agents(B108*C108/600,$C$7,$C$8,C108))/(1-($J$12*(IFERROR(INDIRECT("CURVAS_INTRA!"&amp;ADDRESS(VLOOKUP($A108,CURVAS_INTRA!$A$103:$B$150,2,0),HLOOKUP($C$14,CURVAS_INTRA!$1:$2,2,0))),0)+IFERROR(INDIRECT("CURVAS_INTRA!"&amp;ADDRESS(VLOOKUP($A107,CURVAS_INTRA!$A$103:$B$150,2,0),HLOOKUP($C$14,CURVAS_INTRA!$1:$2,2,0))),0)))),0),0)</f>
        <v>15</v>
      </c>
      <c r="AM108" s="488">
        <f t="shared" si="54"/>
        <v>2</v>
      </c>
      <c r="AN108" s="174"/>
      <c r="AO108" s="174"/>
      <c r="AP108" s="174"/>
      <c r="AQ108" s="174"/>
      <c r="AR108" s="174"/>
    </row>
    <row r="109" spans="1:44" ht="11.25" customHeight="1">
      <c r="A109" s="570">
        <v>0.61805555555555503</v>
      </c>
      <c r="B109" s="183">
        <f ca="1">IFERROR(INDIRECT("CURVAS_INTRA!"&amp;ADDRESS(VLOOKUP($A107,CURVAS_INTRA!$A$3:$B$50,2,0),HLOOKUP($C$14,CURVAS_INTRA!$1:$2,2,0)))/3*$C$5,B106)</f>
        <v>7.0201708982614761</v>
      </c>
      <c r="C109" s="183">
        <f ca="1">IFERROR(INDIRECT("CURVAS_INTRA!"&amp;ADDRESS(VLOOKUP($A109,CURVAS_INTRA!$A$53:$B$100,2,0),HLOOKUP($C$14,CURVAS_INTRA!$1:$2,2,0)))*$C$6,C108)</f>
        <v>813.11065360912323</v>
      </c>
      <c r="D109" s="183">
        <f ca="1">IFERROR(ROUNDUP(IF(B109=0,0,Agents(B109*C109/600,$C$7,$C$8,C109))/(1-($H$7*(IFERROR(INDIRECT("CURVAS_INTRA!"&amp;ADDRESS(VLOOKUP($A107,CURVAS_INTRA!$A$103:$B$150,2,0),HLOOKUP($C$14,CURVAS_INTRA!$1:$2,2,0))),0)))),0),0)</f>
        <v>16</v>
      </c>
      <c r="E109" s="183">
        <f t="shared" si="36"/>
        <v>19</v>
      </c>
      <c r="F109" s="241">
        <f t="shared" ca="1" si="46"/>
        <v>3</v>
      </c>
      <c r="G109" s="185">
        <f ca="1">IFERROR(DelayQ(B109*C109/600,E109*((1-$H$7*VLOOKUP(A107,CURVAS_INTRA!$A$103:$AD$150,HLOOKUP($C$14,CURVAS_INTRA!$A$101:$AD$102,2,0),0))),$C$8,C109),0)</f>
        <v>0.94069999999999998</v>
      </c>
      <c r="H109" s="221">
        <v>0</v>
      </c>
      <c r="I109" s="221">
        <v>0</v>
      </c>
      <c r="J109" s="221">
        <v>0</v>
      </c>
      <c r="K109" s="221">
        <v>0</v>
      </c>
      <c r="L109" s="137">
        <f t="shared" si="22"/>
        <v>0</v>
      </c>
      <c r="M109" s="186">
        <f t="shared" si="32"/>
        <v>0</v>
      </c>
      <c r="N109" s="137">
        <f t="shared" si="33"/>
        <v>12</v>
      </c>
      <c r="O109" s="188">
        <f t="shared" si="34"/>
        <v>7</v>
      </c>
      <c r="P109" s="201">
        <f t="shared" ca="1" si="47"/>
        <v>0.61424975761481637</v>
      </c>
      <c r="Q109" s="202">
        <f t="shared" ca="1" si="48"/>
        <v>0.72942158716759453</v>
      </c>
      <c r="R109" s="174">
        <f t="shared" ca="1" si="49"/>
        <v>-42</v>
      </c>
      <c r="S109" s="339"/>
      <c r="T109" s="241">
        <f t="shared" ca="1" si="50"/>
        <v>3</v>
      </c>
      <c r="U109" s="247">
        <f ca="1">IF(IFERROR(DelayQ(B109*C109/600,(S109/(1-$H$5))+E109*((1-$H$7)*VLOOKUP(A107,CURVAS_INTRA!$A$103:$AD$150,HLOOKUP($C$14,CURVAS_INTRA!$A$101:$AD$102,2,0),0)),$C$8,C109),0)=0,"",IFERROR(DelayQ(B109*C109/600,S109+E109*((1-$H$7)*VLOOKUP(A107,CURVAS_INTRA!$A$103:$AD$150,HLOOKUP($C$14,CURVAS_INTRA!$A$101:$AD$102,2,0),0)),$C$8,C109),0))</f>
        <v>0.94069999999999998</v>
      </c>
      <c r="V109" s="281">
        <f t="shared" ca="1" si="51"/>
        <v>0.94069999999999998</v>
      </c>
      <c r="W109" s="174">
        <f t="shared" si="35"/>
        <v>19</v>
      </c>
      <c r="X109" s="227">
        <v>0.61805555555555503</v>
      </c>
      <c r="Y109" s="220">
        <f t="shared" si="52"/>
        <v>19</v>
      </c>
      <c r="Z109" s="221">
        <f t="shared" si="37"/>
        <v>0</v>
      </c>
      <c r="AA109" s="221">
        <f t="shared" si="38"/>
        <v>0</v>
      </c>
      <c r="AB109" s="221">
        <f t="shared" si="39"/>
        <v>0</v>
      </c>
      <c r="AC109" s="221">
        <f t="shared" si="40"/>
        <v>0</v>
      </c>
      <c r="AD109" s="221">
        <f t="shared" si="41"/>
        <v>0</v>
      </c>
      <c r="AE109" s="221">
        <f t="shared" si="42"/>
        <v>0</v>
      </c>
      <c r="AF109" s="221">
        <f t="shared" si="43"/>
        <v>0</v>
      </c>
      <c r="AG109" s="222">
        <f t="shared" si="53"/>
        <v>19</v>
      </c>
      <c r="AH109" s="222">
        <f t="shared" si="44"/>
        <v>19</v>
      </c>
      <c r="AJ109" s="291">
        <f t="shared" ca="1" si="45"/>
        <v>13</v>
      </c>
      <c r="AK109" s="291">
        <f ca="1">IFERROR(ROUNDUP(IF(B109=0,0,Agents(B109*C109/600,$C$7,$C$8,C109))/(1-($J$12*(IFERROR(INDIRECT("CURVAS_INTRA!"&amp;ADDRESS(VLOOKUP($A109,CURVAS_INTRA!$A$103:$B$150,2,0),HLOOKUP($C$14,CURVAS_INTRA!$1:$2,2,0))),0)+IFERROR(INDIRECT("CURVAS_INTRA!"&amp;ADDRESS(VLOOKUP($A108,CURVAS_INTRA!$A$103:$B$150,2,0),HLOOKUP($C$14,CURVAS_INTRA!$1:$2,2,0))),0)+IFERROR(INDIRECT("CURVAS_INTRA!"&amp;ADDRESS(VLOOKUP($A107,CURVAS_INTRA!$A$103:$B$150,2,0),HLOOKUP($C$14,CURVAS_INTRA!$1:$2,2,0))),0)))),0),0)</f>
        <v>15</v>
      </c>
      <c r="AM109" s="488">
        <f t="shared" si="54"/>
        <v>0</v>
      </c>
      <c r="AN109" s="174"/>
      <c r="AO109" s="174"/>
      <c r="AP109" s="174"/>
      <c r="AQ109" s="174"/>
      <c r="AR109" s="174"/>
    </row>
    <row r="110" spans="1:44" ht="11.25" customHeight="1">
      <c r="A110" s="570">
        <v>0.625</v>
      </c>
      <c r="B110" s="183">
        <f ca="1">IFERROR(INDIRECT("CURVAS_INTRA!"&amp;ADDRESS(VLOOKUP($A110,CURVAS_INTRA!$A$3:$B$50,2,0),HLOOKUP($C$14,CURVAS_INTRA!$1:$2,2,0)))/3*$C$5,$B$19)</f>
        <v>7.1238322731677144</v>
      </c>
      <c r="C110" s="183">
        <f ca="1">IFERROR(INDIRECT("CURVAS_INTRA!"&amp;ADDRESS(VLOOKUP($A110,CURVAS_INTRA!$A$53:$B$100,2,0),HLOOKUP($C$14,CURVAS_INTRA!$1:$2,2,0)))*$C$6,C109)</f>
        <v>844.42741800462272</v>
      </c>
      <c r="D110" s="183">
        <f ca="1">IFERROR(ROUNDUP(IF(B110=0,0,Agents(B110*C110/600,$C$7,$C$8,C110))/(1-($H$7*(IFERROR(INDIRECT("CURVAS_INTRA!"&amp;ADDRESS(VLOOKUP($A110,CURVAS_INTRA!$A$103:$B$150,2,0),HLOOKUP($C$14,CURVAS_INTRA!$1:$2,2,0))),0)))),0),0)</f>
        <v>18</v>
      </c>
      <c r="E110" s="183">
        <f>ROUNDUP(SUM(L110:O110),0)</f>
        <v>19</v>
      </c>
      <c r="F110" s="241">
        <f t="shared" ca="1" si="46"/>
        <v>1</v>
      </c>
      <c r="G110" s="185">
        <f ca="1">IFERROR(DelayQ(B110*C110/600,E110*((1-$H$7*VLOOKUP(A110,CURVAS_INTRA!$A$103:$AD$150,HLOOKUP($C$14,CURVAS_INTRA!$A$101:$AD$102,2,0),0))),$C$8,C110),0)</f>
        <v>0.91359999999999997</v>
      </c>
      <c r="H110" s="221">
        <v>0</v>
      </c>
      <c r="I110" s="221">
        <v>0</v>
      </c>
      <c r="J110" s="221">
        <v>0</v>
      </c>
      <c r="K110" s="221">
        <v>0</v>
      </c>
      <c r="L110" s="137">
        <f t="shared" ref="L110:L163" si="55">SUM(H87:H110)</f>
        <v>0</v>
      </c>
      <c r="M110" s="186">
        <f t="shared" si="32"/>
        <v>0</v>
      </c>
      <c r="N110" s="137">
        <f t="shared" si="33"/>
        <v>12</v>
      </c>
      <c r="O110" s="188">
        <f t="shared" si="34"/>
        <v>7</v>
      </c>
      <c r="P110" s="201">
        <f t="shared" ca="1" si="47"/>
        <v>0.64732692210347986</v>
      </c>
      <c r="Q110" s="202">
        <f t="shared" ca="1" si="48"/>
        <v>0.68328952888700656</v>
      </c>
      <c r="R110" s="174">
        <f t="shared" ca="1" si="49"/>
        <v>-47</v>
      </c>
      <c r="S110" s="339"/>
      <c r="T110" s="241">
        <f t="shared" ca="1" si="50"/>
        <v>1</v>
      </c>
      <c r="U110" s="247">
        <f ca="1">IF(IFERROR(DelayQ(B110*C110/600,(S110/(1-$H$5))+E110*((1-$H$7)*VLOOKUP(A110,CURVAS_INTRA!$A$103:$AD$150,HLOOKUP($C$14,CURVAS_INTRA!$A$101:$AD$102,2,0),0)),$C$8,C110),0)=0,"",IFERROR(DelayQ(B110*C110/600,S110+E110*((1-$H$7)*VLOOKUP(A110,CURVAS_INTRA!$A$103:$AD$150,HLOOKUP($C$14,CURVAS_INTRA!$A$101:$AD$102,2,0),0)),$C$8,C110),0))</f>
        <v>0.91359999999999997</v>
      </c>
      <c r="V110" s="281">
        <f t="shared" ca="1" si="51"/>
        <v>0.91359999999999997</v>
      </c>
      <c r="W110" s="174">
        <f t="shared" si="35"/>
        <v>19</v>
      </c>
      <c r="X110" s="227">
        <v>0.625</v>
      </c>
      <c r="Y110" s="220">
        <f t="shared" si="52"/>
        <v>19</v>
      </c>
      <c r="Z110" s="221">
        <f t="shared" si="37"/>
        <v>0</v>
      </c>
      <c r="AA110" s="221">
        <f t="shared" si="38"/>
        <v>0</v>
      </c>
      <c r="AB110" s="221">
        <f t="shared" si="39"/>
        <v>0</v>
      </c>
      <c r="AC110" s="221">
        <f t="shared" si="40"/>
        <v>0</v>
      </c>
      <c r="AD110" s="221">
        <f t="shared" si="41"/>
        <v>0</v>
      </c>
      <c r="AE110" s="221">
        <f t="shared" si="42"/>
        <v>0</v>
      </c>
      <c r="AF110" s="221">
        <f t="shared" si="43"/>
        <v>0</v>
      </c>
      <c r="AG110" s="222">
        <f t="shared" si="53"/>
        <v>19</v>
      </c>
      <c r="AH110" s="222">
        <f t="shared" si="44"/>
        <v>19</v>
      </c>
      <c r="AJ110" s="291">
        <f t="shared" ca="1" si="45"/>
        <v>14</v>
      </c>
      <c r="AK110" s="291">
        <f ca="1">IFERROR(ROUNDUP(IF(B110=0,0,Agents(B110*C110/600,$C$7,$C$8,C110))/(1-($J$12*(IFERROR(INDIRECT("CURVAS_INTRA!"&amp;ADDRESS(VLOOKUP($A110,CURVAS_INTRA!$A$103:$B$150,2,0),HLOOKUP($C$14,CURVAS_INTRA!$1:$2,2,0))),0)))),0),0)</f>
        <v>16</v>
      </c>
      <c r="AM110" s="488">
        <f t="shared" si="54"/>
        <v>0</v>
      </c>
      <c r="AN110" s="174"/>
      <c r="AO110" s="174"/>
      <c r="AP110" s="174"/>
      <c r="AQ110" s="174"/>
      <c r="AR110" s="174"/>
    </row>
    <row r="111" spans="1:44" ht="11.25" customHeight="1">
      <c r="A111" s="570">
        <v>0.63194444444444398</v>
      </c>
      <c r="B111" s="183">
        <f ca="1">IFERROR(INDIRECT("CURVAS_INTRA!"&amp;ADDRESS(VLOOKUP($A110,CURVAS_INTRA!$A$3:$B$50,2,0),HLOOKUP($C$14,CURVAS_INTRA!$1:$2,2,0)))/3*$C$5,$B$19)</f>
        <v>7.1238322731677144</v>
      </c>
      <c r="C111" s="183">
        <f ca="1">IFERROR(INDIRECT("CURVAS_INTRA!"&amp;ADDRESS(VLOOKUP($A111,CURVAS_INTRA!$A$53:$B$100,2,0),HLOOKUP($C$14,CURVAS_INTRA!$1:$2,2,0)))*$C$6,C110)</f>
        <v>844.42741800462272</v>
      </c>
      <c r="D111" s="183">
        <f ca="1">IFERROR(ROUNDUP(IF(B111=0,0,Agents(B111*C111/600,$C$7,$C$8,C111))/(1-($H$7*(IFERROR(INDIRECT("CURVAS_INTRA!"&amp;ADDRESS(VLOOKUP($A110,CURVAS_INTRA!$A$103:$B$150,2,0),HLOOKUP($C$14,CURVAS_INTRA!$1:$2,2,0))),0)))),0),0)</f>
        <v>18</v>
      </c>
      <c r="E111" s="183">
        <f t="shared" si="36"/>
        <v>16</v>
      </c>
      <c r="F111" s="241">
        <f t="shared" ca="1" si="46"/>
        <v>-2</v>
      </c>
      <c r="G111" s="185">
        <f ca="1">IFERROR(DelayQ(B111*C111/600,E111*((1-$H$7*VLOOKUP(A110,CURVAS_INTRA!$A$103:$AD$150,HLOOKUP($C$14,CURVAS_INTRA!$A$101:$AD$102,2,0),0))),$C$8,C111),0)</f>
        <v>0.73280000000000001</v>
      </c>
      <c r="H111" s="221">
        <v>0</v>
      </c>
      <c r="I111" s="221">
        <v>0</v>
      </c>
      <c r="J111" s="221">
        <v>0</v>
      </c>
      <c r="K111" s="221">
        <v>0</v>
      </c>
      <c r="L111" s="137">
        <f t="shared" si="55"/>
        <v>0</v>
      </c>
      <c r="M111" s="186">
        <f t="shared" si="32"/>
        <v>0</v>
      </c>
      <c r="N111" s="137">
        <f t="shared" si="33"/>
        <v>12</v>
      </c>
      <c r="O111" s="188">
        <f t="shared" si="34"/>
        <v>4</v>
      </c>
      <c r="P111" s="201">
        <f t="shared" ca="1" si="47"/>
        <v>0.76870071999788236</v>
      </c>
      <c r="Q111" s="202">
        <f t="shared" ca="1" si="48"/>
        <v>0.68328952888700656</v>
      </c>
      <c r="R111" s="174">
        <f t="shared" ca="1" si="49"/>
        <v>-50</v>
      </c>
      <c r="S111" s="339"/>
      <c r="T111" s="241">
        <f t="shared" ca="1" si="50"/>
        <v>-2</v>
      </c>
      <c r="U111" s="247">
        <f ca="1">IF(IFERROR(DelayQ(B111*C111/600,(S111/(1-$H$5))+E111*((1-$H$7)*VLOOKUP(A110,CURVAS_INTRA!$A$103:$AD$150,HLOOKUP($C$14,CURVAS_INTRA!$A$101:$AD$102,2,0),0)),$C$8,C111),0)=0,"",IFERROR(DelayQ(B111*C111/600,S111+E111*((1-$H$7)*VLOOKUP(A110,CURVAS_INTRA!$A$103:$AD$150,HLOOKUP($C$14,CURVAS_INTRA!$A$101:$AD$102,2,0),0)),$C$8,C111),0))</f>
        <v>0.73280000000000001</v>
      </c>
      <c r="V111" s="281">
        <f t="shared" ca="1" si="51"/>
        <v>0.73280000000000001</v>
      </c>
      <c r="W111" s="174">
        <f t="shared" si="35"/>
        <v>16</v>
      </c>
      <c r="X111" s="227">
        <v>0.63194444444444398</v>
      </c>
      <c r="Y111" s="220">
        <f t="shared" si="52"/>
        <v>16</v>
      </c>
      <c r="Z111" s="221">
        <f t="shared" si="37"/>
        <v>0</v>
      </c>
      <c r="AA111" s="221">
        <f t="shared" si="38"/>
        <v>0</v>
      </c>
      <c r="AB111" s="221">
        <f t="shared" si="39"/>
        <v>0</v>
      </c>
      <c r="AC111" s="221">
        <f t="shared" si="40"/>
        <v>0</v>
      </c>
      <c r="AD111" s="221">
        <f t="shared" si="41"/>
        <v>0</v>
      </c>
      <c r="AE111" s="221">
        <f t="shared" si="42"/>
        <v>0</v>
      </c>
      <c r="AF111" s="221">
        <f t="shared" si="43"/>
        <v>0</v>
      </c>
      <c r="AG111" s="222">
        <f t="shared" si="53"/>
        <v>16</v>
      </c>
      <c r="AH111" s="222">
        <f t="shared" si="44"/>
        <v>16</v>
      </c>
      <c r="AJ111" s="291">
        <f t="shared" ca="1" si="45"/>
        <v>14</v>
      </c>
      <c r="AK111" s="291">
        <f ca="1">IFERROR(ROUNDUP(IF(B111=0,0,Agents(B111*C111/600,$C$7,$C$8,C111))/(1-($J$12*(IFERROR(INDIRECT("CURVAS_INTRA!"&amp;ADDRESS(VLOOKUP($A111,CURVAS_INTRA!$A$103:$B$150,2,0),HLOOKUP($C$14,CURVAS_INTRA!$1:$2,2,0))),0)+IFERROR(INDIRECT("CURVAS_INTRA!"&amp;ADDRESS(VLOOKUP($A110,CURVAS_INTRA!$A$103:$B$150,2,0),HLOOKUP($C$14,CURVAS_INTRA!$1:$2,2,0))),0)))),0),0)</f>
        <v>16</v>
      </c>
      <c r="AM111" s="488">
        <f t="shared" si="54"/>
        <v>0</v>
      </c>
      <c r="AN111" s="174"/>
      <c r="AO111" s="174"/>
      <c r="AP111" s="174"/>
      <c r="AQ111" s="174"/>
      <c r="AR111" s="174"/>
    </row>
    <row r="112" spans="1:44" ht="11.25" customHeight="1">
      <c r="A112" s="599">
        <v>0.63888888888888895</v>
      </c>
      <c r="B112" s="183">
        <f ca="1">IFERROR(INDIRECT("CURVAS_INTRA!"&amp;ADDRESS(VLOOKUP($A110,CURVAS_INTRA!$A$3:$B$50,2,0),HLOOKUP($C$14,CURVAS_INTRA!$1:$2,2,0)))/3*$C$5,B109)</f>
        <v>7.1238322731677144</v>
      </c>
      <c r="C112" s="183">
        <f ca="1">IFERROR(INDIRECT("CURVAS_INTRA!"&amp;ADDRESS(VLOOKUP($A112,CURVAS_INTRA!$A$53:$B$100,2,0),HLOOKUP($C$14,CURVAS_INTRA!$1:$2,2,0)))*$C$6,C111)</f>
        <v>844.42741800462272</v>
      </c>
      <c r="D112" s="183">
        <f ca="1">IFERROR(ROUNDUP(IF(B112=0,0,Agents(B112*C112/600,$C$7,$C$8,C112))/(1-($H$7*(IFERROR(INDIRECT("CURVAS_INTRA!"&amp;ADDRESS(VLOOKUP($A110,CURVAS_INTRA!$A$103:$B$150,2,0),HLOOKUP($C$14,CURVAS_INTRA!$1:$2,2,0))),0)))),0),0)</f>
        <v>18</v>
      </c>
      <c r="E112" s="183">
        <f t="shared" si="36"/>
        <v>14</v>
      </c>
      <c r="F112" s="241">
        <f t="shared" ca="1" si="46"/>
        <v>-4</v>
      </c>
      <c r="G112" s="185">
        <f ca="1">IFERROR(DelayQ(B112*C112/600,E112*((1-$H$7*VLOOKUP(A110,CURVAS_INTRA!$A$103:$AD$150,HLOOKUP($C$14,CURVAS_INTRA!$A$101:$AD$102,2,0),0))),$C$8,C112),0)</f>
        <v>0.40179999999999999</v>
      </c>
      <c r="H112" s="221">
        <v>0</v>
      </c>
      <c r="I112" s="221">
        <v>0</v>
      </c>
      <c r="J112" s="221">
        <v>0</v>
      </c>
      <c r="K112" s="221">
        <v>0</v>
      </c>
      <c r="L112" s="137">
        <f t="shared" si="55"/>
        <v>0</v>
      </c>
      <c r="M112" s="186">
        <f t="shared" si="32"/>
        <v>0</v>
      </c>
      <c r="N112" s="183">
        <f>SUM(J75:J112)</f>
        <v>10</v>
      </c>
      <c r="O112" s="188">
        <f t="shared" si="34"/>
        <v>4</v>
      </c>
      <c r="P112" s="201">
        <f t="shared" ca="1" si="47"/>
        <v>0.87851510856900838</v>
      </c>
      <c r="Q112" s="202">
        <f t="shared" ca="1" si="48"/>
        <v>0.68328952888700656</v>
      </c>
      <c r="R112" s="174">
        <f t="shared" ca="1" si="49"/>
        <v>-49</v>
      </c>
      <c r="S112" s="339"/>
      <c r="T112" s="241">
        <f t="shared" ca="1" si="50"/>
        <v>-4</v>
      </c>
      <c r="U112" s="247">
        <f ca="1">IF(IFERROR(DelayQ(B112*C112/600,(S112/(1-$H$5))+E112*((1-$H$7)*VLOOKUP(A110,CURVAS_INTRA!$A$103:$AD$150,HLOOKUP($C$14,CURVAS_INTRA!$A$101:$AD$102,2,0),0)),$C$8,C112),0)=0,"",IFERROR(DelayQ(B112*C112/600,S112+E112*((1-$H$7)*VLOOKUP(A110,CURVAS_INTRA!$A$103:$AD$150,HLOOKUP($C$14,CURVAS_INTRA!$A$101:$AD$102,2,0),0)),$C$8,C112),0))</f>
        <v>0.40179999999999999</v>
      </c>
      <c r="V112" s="281">
        <f t="shared" ca="1" si="51"/>
        <v>0.40179999999999999</v>
      </c>
      <c r="W112" s="174">
        <f t="shared" si="35"/>
        <v>14</v>
      </c>
      <c r="X112" s="227">
        <v>0.63888888888888895</v>
      </c>
      <c r="Y112" s="220">
        <f t="shared" si="52"/>
        <v>14</v>
      </c>
      <c r="Z112" s="221">
        <f t="shared" si="37"/>
        <v>0</v>
      </c>
      <c r="AA112" s="221">
        <f t="shared" si="38"/>
        <v>0</v>
      </c>
      <c r="AB112" s="221">
        <f t="shared" si="39"/>
        <v>0</v>
      </c>
      <c r="AC112" s="221">
        <f t="shared" si="40"/>
        <v>0</v>
      </c>
      <c r="AD112" s="221">
        <f t="shared" si="41"/>
        <v>0</v>
      </c>
      <c r="AE112" s="221">
        <f t="shared" si="42"/>
        <v>0</v>
      </c>
      <c r="AF112" s="221">
        <f t="shared" si="43"/>
        <v>0</v>
      </c>
      <c r="AG112" s="222">
        <f t="shared" si="53"/>
        <v>14</v>
      </c>
      <c r="AH112" s="222">
        <f t="shared" si="44"/>
        <v>14</v>
      </c>
      <c r="AJ112" s="291">
        <f t="shared" ca="1" si="45"/>
        <v>14</v>
      </c>
      <c r="AK112" s="291">
        <f ca="1">IFERROR(ROUNDUP(IF(B112=0,0,Agents(B112*C112/600,$C$7,$C$8,C112))/(1-($J$12*(IFERROR(INDIRECT("CURVAS_INTRA!"&amp;ADDRESS(VLOOKUP($A112,CURVAS_INTRA!$A$103:$B$150,2,0),HLOOKUP($C$14,CURVAS_INTRA!$1:$2,2,0))),0)+IFERROR(INDIRECT("CURVAS_INTRA!"&amp;ADDRESS(VLOOKUP($A111,CURVAS_INTRA!$A$103:$B$150,2,0),HLOOKUP($C$14,CURVAS_INTRA!$1:$2,2,0))),0)+IFERROR(INDIRECT("CURVAS_INTRA!"&amp;ADDRESS(VLOOKUP($A110,CURVAS_INTRA!$A$103:$B$150,2,0),HLOOKUP($C$14,CURVAS_INTRA!$1:$2,2,0))),0)))),0),0)</f>
        <v>16</v>
      </c>
      <c r="AM112" s="488">
        <f t="shared" si="54"/>
        <v>0</v>
      </c>
      <c r="AN112" s="174"/>
      <c r="AO112" s="174"/>
      <c r="AP112" s="174"/>
      <c r="AQ112" s="174"/>
      <c r="AR112" s="174"/>
    </row>
    <row r="113" spans="1:44" ht="11.25" customHeight="1">
      <c r="A113" s="599">
        <v>0.64583333333333304</v>
      </c>
      <c r="B113" s="183">
        <f ca="1">IFERROR(INDIRECT("CURVAS_INTRA!"&amp;ADDRESS(VLOOKUP($A113,CURVAS_INTRA!$A$3:$B$50,2,0),HLOOKUP($C$14,CURVAS_INTRA!$1:$2,2,0)))/3*$C$5,$B$19)</f>
        <v>6.7009308187228198</v>
      </c>
      <c r="C113" s="183">
        <f ca="1">IFERROR(INDIRECT("CURVAS_INTRA!"&amp;ADDRESS(VLOOKUP($A113,CURVAS_INTRA!$A$53:$B$100,2,0),HLOOKUP($C$14,CURVAS_INTRA!$1:$2,2,0)))*$C$6,C112)</f>
        <v>849.06010688718584</v>
      </c>
      <c r="D113" s="183">
        <f ca="1">IFERROR(ROUNDUP(IF(B113=0,0,Agents(B113*C113/600,$C$7,$C$8,C113))/(1-($H$7*(IFERROR(INDIRECT("CURVAS_INTRA!"&amp;ADDRESS(VLOOKUP($A113,CURVAS_INTRA!$A$103:$B$150,2,0),HLOOKUP($C$14,CURVAS_INTRA!$1:$2,2,0))),0)))),0),0)</f>
        <v>16</v>
      </c>
      <c r="E113" s="183">
        <f t="shared" si="36"/>
        <v>14</v>
      </c>
      <c r="F113" s="241">
        <f t="shared" ca="1" si="46"/>
        <v>-2</v>
      </c>
      <c r="G113" s="185">
        <f ca="1">IFERROR(DelayQ(B113*C113/600,E113*((1-$H$7*VLOOKUP(A113,CURVAS_INTRA!$A$103:$AD$150,HLOOKUP($C$14,CURVAS_INTRA!$A$101:$AD$102,2,0),0))),$C$8,C113),0)</f>
        <v>0.52910000000000001</v>
      </c>
      <c r="H113" s="221">
        <v>0</v>
      </c>
      <c r="I113" s="221">
        <v>0</v>
      </c>
      <c r="J113" s="221">
        <v>0</v>
      </c>
      <c r="K113" s="221">
        <v>0</v>
      </c>
      <c r="L113" s="137">
        <f t="shared" si="55"/>
        <v>0</v>
      </c>
      <c r="M113" s="186">
        <f t="shared" si="32"/>
        <v>0</v>
      </c>
      <c r="N113" s="137">
        <f t="shared" si="33"/>
        <v>10</v>
      </c>
      <c r="O113" s="188">
        <f t="shared" si="34"/>
        <v>4</v>
      </c>
      <c r="P113" s="201">
        <f t="shared" ca="1" si="47"/>
        <v>0.83089623924240075</v>
      </c>
      <c r="Q113" s="202">
        <f t="shared" ca="1" si="48"/>
        <v>0.72703420933710072</v>
      </c>
      <c r="R113" s="174">
        <f t="shared" ca="1" si="49"/>
        <v>-46</v>
      </c>
      <c r="S113" s="339"/>
      <c r="T113" s="241">
        <f t="shared" ca="1" si="50"/>
        <v>-2</v>
      </c>
      <c r="U113" s="247">
        <f ca="1">IF(IFERROR(DelayQ(B113*C113/600,(S113/(1-$H$5))+E113*((1-$H$7)*VLOOKUP(A113,CURVAS_INTRA!$A$103:$AD$150,HLOOKUP($C$14,CURVAS_INTRA!$A$101:$AD$102,2,0),0)),$C$8,C113),0)=0,"",IFERROR(DelayQ(B113*C113/600,S113+E113*((1-$H$7)*VLOOKUP(A113,CURVAS_INTRA!$A$103:$AD$150,HLOOKUP($C$14,CURVAS_INTRA!$A$101:$AD$102,2,0),0)),$C$8,C113),0))</f>
        <v>0.52910000000000001</v>
      </c>
      <c r="V113" s="281">
        <f t="shared" ca="1" si="51"/>
        <v>0.52910000000000001</v>
      </c>
      <c r="W113" s="174">
        <f t="shared" si="35"/>
        <v>14</v>
      </c>
      <c r="X113" s="227">
        <v>0.64583333333333304</v>
      </c>
      <c r="Y113" s="220">
        <f t="shared" si="52"/>
        <v>14</v>
      </c>
      <c r="Z113" s="221">
        <f t="shared" si="37"/>
        <v>0</v>
      </c>
      <c r="AA113" s="221">
        <f t="shared" si="38"/>
        <v>0</v>
      </c>
      <c r="AB113" s="221">
        <f t="shared" si="39"/>
        <v>0</v>
      </c>
      <c r="AC113" s="221">
        <f t="shared" si="40"/>
        <v>0</v>
      </c>
      <c r="AD113" s="221">
        <f t="shared" si="41"/>
        <v>0</v>
      </c>
      <c r="AE113" s="221">
        <f t="shared" si="42"/>
        <v>0</v>
      </c>
      <c r="AF113" s="221">
        <f t="shared" si="43"/>
        <v>0</v>
      </c>
      <c r="AG113" s="222">
        <f t="shared" si="53"/>
        <v>14</v>
      </c>
      <c r="AH113" s="222">
        <f t="shared" si="44"/>
        <v>14</v>
      </c>
      <c r="AJ113" s="291">
        <f t="shared" ca="1" si="45"/>
        <v>13</v>
      </c>
      <c r="AK113" s="291">
        <f ca="1">IFERROR(ROUNDUP(IF(B113=0,0,Agents(B113*C113/600,$C$7,$C$8,C113))/(1-($J$12*(IFERROR(INDIRECT("CURVAS_INTRA!"&amp;ADDRESS(VLOOKUP($A113,CURVAS_INTRA!$A$103:$B$150,2,0),HLOOKUP($C$14,CURVAS_INTRA!$1:$2,2,0))),0)))),0),0)</f>
        <v>15</v>
      </c>
      <c r="AM113" s="488">
        <f t="shared" si="54"/>
        <v>0</v>
      </c>
      <c r="AN113" s="174"/>
      <c r="AO113" s="174"/>
      <c r="AP113" s="174"/>
      <c r="AQ113" s="174"/>
      <c r="AR113" s="174"/>
    </row>
    <row r="114" spans="1:44" ht="11.25" customHeight="1">
      <c r="A114" s="599">
        <v>0.65277777777777801</v>
      </c>
      <c r="B114" s="183">
        <f ca="1">IFERROR(INDIRECT("CURVAS_INTRA!"&amp;ADDRESS(VLOOKUP($A113,CURVAS_INTRA!$A$3:$B$50,2,0),HLOOKUP($C$14,CURVAS_INTRA!$1:$2,2,0)))/3*$C$5,$B$19)</f>
        <v>6.7009308187228198</v>
      </c>
      <c r="C114" s="183">
        <f ca="1">IFERROR(INDIRECT("CURVAS_INTRA!"&amp;ADDRESS(VLOOKUP($A114,CURVAS_INTRA!$A$53:$B$100,2,0),HLOOKUP($C$14,CURVAS_INTRA!$1:$2,2,0)))*$C$6,C113)</f>
        <v>849.06010688718584</v>
      </c>
      <c r="D114" s="183">
        <f ca="1">IFERROR(ROUNDUP(IF(B114=0,0,Agents(B114*C114/600,$C$7,$C$8,C114))/(1-($H$7*(IFERROR(INDIRECT("CURVAS_INTRA!"&amp;ADDRESS(VLOOKUP($A113,CURVAS_INTRA!$A$103:$B$150,2,0),HLOOKUP($C$14,CURVAS_INTRA!$1:$2,2,0))),0)))),0),0)</f>
        <v>16</v>
      </c>
      <c r="E114" s="183">
        <f t="shared" si="36"/>
        <v>14</v>
      </c>
      <c r="F114" s="241">
        <f t="shared" ca="1" si="46"/>
        <v>-2</v>
      </c>
      <c r="G114" s="185">
        <f ca="1">IFERROR(DelayQ(B114*C114/600,E114*((1-$H$7*VLOOKUP(A113,CURVAS_INTRA!$A$103:$AD$150,HLOOKUP($C$14,CURVAS_INTRA!$A$101:$AD$102,2,0),0))),$C$8,C114),0)</f>
        <v>0.52910000000000001</v>
      </c>
      <c r="H114" s="221">
        <v>0</v>
      </c>
      <c r="I114" s="221">
        <v>0</v>
      </c>
      <c r="J114" s="221">
        <v>0</v>
      </c>
      <c r="K114" s="221">
        <v>0</v>
      </c>
      <c r="L114" s="137">
        <f t="shared" si="55"/>
        <v>0</v>
      </c>
      <c r="M114" s="186">
        <f t="shared" si="32"/>
        <v>0</v>
      </c>
      <c r="N114" s="183">
        <f>SUM(J77:J114)</f>
        <v>10</v>
      </c>
      <c r="O114" s="188">
        <f t="shared" si="34"/>
        <v>4</v>
      </c>
      <c r="P114" s="201">
        <f t="shared" ca="1" si="47"/>
        <v>0.83089623924240075</v>
      </c>
      <c r="Q114" s="202">
        <f t="shared" ca="1" si="48"/>
        <v>0.72703420933710072</v>
      </c>
      <c r="R114" s="174">
        <f t="shared" ca="1" si="49"/>
        <v>-45</v>
      </c>
      <c r="S114" s="339"/>
      <c r="T114" s="241">
        <f t="shared" ca="1" si="50"/>
        <v>-2</v>
      </c>
      <c r="U114" s="247">
        <f ca="1">IF(IFERROR(DelayQ(B114*C114/600,(S114/(1-$H$5))+E114*((1-$H$7)*VLOOKUP(A113,CURVAS_INTRA!$A$103:$AD$150,HLOOKUP($C$14,CURVAS_INTRA!$A$101:$AD$102,2,0),0)),$C$8,C114),0)=0,"",IFERROR(DelayQ(B114*C114/600,S114+E114*((1-$H$7)*VLOOKUP(A113,CURVAS_INTRA!$A$103:$AD$150,HLOOKUP($C$14,CURVAS_INTRA!$A$101:$AD$102,2,0),0)),$C$8,C114),0))</f>
        <v>0.52910000000000001</v>
      </c>
      <c r="V114" s="281">
        <f t="shared" ca="1" si="51"/>
        <v>0.52910000000000001</v>
      </c>
      <c r="W114" s="174">
        <f t="shared" si="35"/>
        <v>14</v>
      </c>
      <c r="X114" s="227">
        <v>0.65277777777777801</v>
      </c>
      <c r="Y114" s="220">
        <f t="shared" si="52"/>
        <v>14</v>
      </c>
      <c r="Z114" s="221">
        <f t="shared" si="37"/>
        <v>0</v>
      </c>
      <c r="AA114" s="221">
        <f t="shared" si="38"/>
        <v>0</v>
      </c>
      <c r="AB114" s="221">
        <f t="shared" si="39"/>
        <v>0</v>
      </c>
      <c r="AC114" s="221">
        <f t="shared" si="40"/>
        <v>0</v>
      </c>
      <c r="AD114" s="221">
        <f t="shared" si="41"/>
        <v>0</v>
      </c>
      <c r="AE114" s="221">
        <f t="shared" si="42"/>
        <v>0</v>
      </c>
      <c r="AF114" s="221">
        <f t="shared" si="43"/>
        <v>0</v>
      </c>
      <c r="AG114" s="222">
        <f t="shared" si="53"/>
        <v>14</v>
      </c>
      <c r="AH114" s="222">
        <f t="shared" si="44"/>
        <v>14</v>
      </c>
      <c r="AJ114" s="291">
        <f t="shared" ca="1" si="45"/>
        <v>13</v>
      </c>
      <c r="AK114" s="291">
        <f ca="1">IFERROR(ROUNDUP(IF(B114=0,0,Agents(B114*C114/600,$C$7,$C$8,C114))/(1-($J$12*(IFERROR(INDIRECT("CURVAS_INTRA!"&amp;ADDRESS(VLOOKUP($A114,CURVAS_INTRA!$A$103:$B$150,2,0),HLOOKUP($C$14,CURVAS_INTRA!$1:$2,2,0))),0)+IFERROR(INDIRECT("CURVAS_INTRA!"&amp;ADDRESS(VLOOKUP($A113,CURVAS_INTRA!$A$103:$B$150,2,0),HLOOKUP($C$14,CURVAS_INTRA!$1:$2,2,0))),0)))),0),0)</f>
        <v>15</v>
      </c>
      <c r="AM114" s="488">
        <f t="shared" si="54"/>
        <v>0</v>
      </c>
      <c r="AN114" s="174"/>
      <c r="AO114" s="174"/>
      <c r="AP114" s="174"/>
      <c r="AQ114" s="174"/>
      <c r="AR114" s="174"/>
    </row>
    <row r="115" spans="1:44" ht="11.25" customHeight="1">
      <c r="A115" s="599">
        <v>0.65972222222222199</v>
      </c>
      <c r="B115" s="183">
        <f ca="1">IFERROR(INDIRECT("CURVAS_INTRA!"&amp;ADDRESS(VLOOKUP($A113,CURVAS_INTRA!$A$3:$B$50,2,0),HLOOKUP($C$14,CURVAS_INTRA!$1:$2,2,0)))/3*$C$5,B112)</f>
        <v>6.7009308187228198</v>
      </c>
      <c r="C115" s="183">
        <f ca="1">IFERROR(INDIRECT("CURVAS_INTRA!"&amp;ADDRESS(VLOOKUP($A115,CURVAS_INTRA!$A$53:$B$100,2,0),HLOOKUP($C$14,CURVAS_INTRA!$1:$2,2,0)))*$C$6,C114)</f>
        <v>849.06010688718584</v>
      </c>
      <c r="D115" s="183">
        <f ca="1">IFERROR(ROUNDUP(IF(B115=0,0,Agents(B115*C115/600,$C$7,$C$8,C115))/(1-($H$7*(IFERROR(INDIRECT("CURVAS_INTRA!"&amp;ADDRESS(VLOOKUP($A113,CURVAS_INTRA!$A$103:$B$150,2,0),HLOOKUP($C$14,CURVAS_INTRA!$1:$2,2,0))),0)))),0),0)</f>
        <v>16</v>
      </c>
      <c r="E115" s="183">
        <f t="shared" si="36"/>
        <v>14</v>
      </c>
      <c r="F115" s="241">
        <f t="shared" ca="1" si="46"/>
        <v>-2</v>
      </c>
      <c r="G115" s="185">
        <f ca="1">IFERROR(DelayQ(B115*C115/600,E115*((1-$H$7*VLOOKUP(A113,CURVAS_INTRA!$A$103:$AD$150,HLOOKUP($C$14,CURVAS_INTRA!$A$101:$AD$102,2,0),0))),$C$8,C115),0)</f>
        <v>0.52910000000000001</v>
      </c>
      <c r="H115" s="221">
        <v>0</v>
      </c>
      <c r="I115" s="221">
        <v>0</v>
      </c>
      <c r="J115" s="221">
        <v>2</v>
      </c>
      <c r="K115" s="221">
        <v>0</v>
      </c>
      <c r="L115" s="137">
        <f t="shared" si="55"/>
        <v>0</v>
      </c>
      <c r="M115" s="186">
        <f t="shared" si="32"/>
        <v>0</v>
      </c>
      <c r="N115" s="137">
        <f t="shared" si="33"/>
        <v>10</v>
      </c>
      <c r="O115" s="188">
        <f t="shared" si="34"/>
        <v>4</v>
      </c>
      <c r="P115" s="201">
        <f t="shared" ca="1" si="47"/>
        <v>0.83089623924240075</v>
      </c>
      <c r="Q115" s="202">
        <f t="shared" ca="1" si="48"/>
        <v>0.72703420933710072</v>
      </c>
      <c r="R115" s="174">
        <f t="shared" ca="1" si="49"/>
        <v>-40</v>
      </c>
      <c r="S115" s="339"/>
      <c r="T115" s="241">
        <f t="shared" ca="1" si="50"/>
        <v>-2</v>
      </c>
      <c r="U115" s="247">
        <f ca="1">IF(IFERROR(DelayQ(B115*C115/600,(S115/(1-$H$5))+E115*((1-$H$7)*VLOOKUP(A113,CURVAS_INTRA!$A$103:$AD$150,HLOOKUP($C$14,CURVAS_INTRA!$A$101:$AD$102,2,0),0)),$C$8,C115),0)=0,"",IFERROR(DelayQ(B115*C115/600,S115+E115*((1-$H$7)*VLOOKUP(A113,CURVAS_INTRA!$A$103:$AD$150,HLOOKUP($C$14,CURVAS_INTRA!$A$101:$AD$102,2,0),0)),$C$8,C115),0))</f>
        <v>0.52910000000000001</v>
      </c>
      <c r="V115" s="281">
        <f t="shared" ca="1" si="51"/>
        <v>0.52910000000000001</v>
      </c>
      <c r="W115" s="174">
        <f t="shared" si="35"/>
        <v>14</v>
      </c>
      <c r="X115" s="227">
        <v>0.65972222222222199</v>
      </c>
      <c r="Y115" s="220">
        <f t="shared" si="52"/>
        <v>14</v>
      </c>
      <c r="Z115" s="221">
        <f t="shared" si="37"/>
        <v>0</v>
      </c>
      <c r="AA115" s="221">
        <f t="shared" si="38"/>
        <v>0</v>
      </c>
      <c r="AB115" s="221">
        <f t="shared" si="39"/>
        <v>0</v>
      </c>
      <c r="AC115" s="221">
        <f t="shared" si="40"/>
        <v>0</v>
      </c>
      <c r="AD115" s="221">
        <f t="shared" si="41"/>
        <v>0</v>
      </c>
      <c r="AE115" s="221">
        <f t="shared" si="42"/>
        <v>0</v>
      </c>
      <c r="AF115" s="221">
        <f t="shared" si="43"/>
        <v>0</v>
      </c>
      <c r="AG115" s="222">
        <f t="shared" si="53"/>
        <v>14</v>
      </c>
      <c r="AH115" s="222">
        <f t="shared" si="44"/>
        <v>14</v>
      </c>
      <c r="AJ115" s="291">
        <f t="shared" ca="1" si="45"/>
        <v>13</v>
      </c>
      <c r="AK115" s="291">
        <f ca="1">IFERROR(ROUNDUP(IF(B115=0,0,Agents(B115*C115/600,$C$7,$C$8,C115))/(1-($J$12*(IFERROR(INDIRECT("CURVAS_INTRA!"&amp;ADDRESS(VLOOKUP($A115,CURVAS_INTRA!$A$103:$B$150,2,0),HLOOKUP($C$14,CURVAS_INTRA!$1:$2,2,0))),0)+IFERROR(INDIRECT("CURVAS_INTRA!"&amp;ADDRESS(VLOOKUP($A114,CURVAS_INTRA!$A$103:$B$150,2,0),HLOOKUP($C$14,CURVAS_INTRA!$1:$2,2,0))),0)+IFERROR(INDIRECT("CURVAS_INTRA!"&amp;ADDRESS(VLOOKUP($A113,CURVAS_INTRA!$A$103:$B$150,2,0),HLOOKUP($C$14,CURVAS_INTRA!$1:$2,2,0))),0)))),0),0)</f>
        <v>15</v>
      </c>
      <c r="AM115" s="488">
        <f t="shared" si="54"/>
        <v>2</v>
      </c>
      <c r="AN115" s="174"/>
      <c r="AO115" s="174"/>
      <c r="AP115" s="174"/>
      <c r="AQ115" s="174"/>
      <c r="AR115" s="174"/>
    </row>
    <row r="116" spans="1:44" ht="11.25" customHeight="1">
      <c r="A116" s="599">
        <v>0.66666666666666596</v>
      </c>
      <c r="B116" s="183">
        <f ca="1">IFERROR(INDIRECT("CURVAS_INTRA!"&amp;ADDRESS(VLOOKUP($A116,CURVAS_INTRA!$A$3:$B$50,2,0),HLOOKUP($C$14,CURVAS_INTRA!$1:$2,2,0)))/3*$C$5,$B$19)</f>
        <v>6.6562624558259369</v>
      </c>
      <c r="C116" s="183">
        <f ca="1">IFERROR(INDIRECT("CURVAS_INTRA!"&amp;ADDRESS(VLOOKUP($A116,CURVAS_INTRA!$A$53:$B$100,2,0),HLOOKUP($C$14,CURVAS_INTRA!$1:$2,2,0)))*$C$6,C115)</f>
        <v>846.73670071094273</v>
      </c>
      <c r="D116" s="183">
        <f ca="1">IFERROR(ROUNDUP(IF(B116=0,0,Agents(B116*C116/600,$C$7,$C$8,C116))/(1-($H$7*(IFERROR(INDIRECT("CURVAS_INTRA!"&amp;ADDRESS(VLOOKUP($A116,CURVAS_INTRA!$A$103:$B$150,2,0),HLOOKUP($C$14,CURVAS_INTRA!$1:$2,2,0))),0)))),0),0)</f>
        <v>16</v>
      </c>
      <c r="E116" s="183">
        <f t="shared" si="36"/>
        <v>14</v>
      </c>
      <c r="F116" s="241">
        <f t="shared" ca="1" si="46"/>
        <v>-2</v>
      </c>
      <c r="G116" s="185">
        <f ca="1">IFERROR(DelayQ(B116*C116/600,E116*((1-$H$7*VLOOKUP(A116,CURVAS_INTRA!$A$103:$AD$150,HLOOKUP($C$14,CURVAS_INTRA!$A$101:$AD$102,2,0),0))),$C$8,C116),0)</f>
        <v>0.54849999999999999</v>
      </c>
      <c r="H116" s="221">
        <v>0</v>
      </c>
      <c r="I116" s="221">
        <v>0</v>
      </c>
      <c r="J116" s="221">
        <v>0</v>
      </c>
      <c r="K116" s="221">
        <v>0</v>
      </c>
      <c r="L116" s="137">
        <f t="shared" si="55"/>
        <v>0</v>
      </c>
      <c r="M116" s="186">
        <f t="shared" si="32"/>
        <v>0</v>
      </c>
      <c r="N116" s="137">
        <f>SUM(J79:J116)</f>
        <v>10</v>
      </c>
      <c r="O116" s="188">
        <f t="shared" si="34"/>
        <v>4</v>
      </c>
      <c r="P116" s="201">
        <f t="shared" ca="1" si="47"/>
        <v>0.82309894484004498</v>
      </c>
      <c r="Q116" s="202">
        <f t="shared" ca="1" si="48"/>
        <v>0.72021157673503944</v>
      </c>
      <c r="R116" s="174">
        <f t="shared" ca="1" si="49"/>
        <v>-37</v>
      </c>
      <c r="S116" s="339"/>
      <c r="T116" s="241">
        <f t="shared" ca="1" si="50"/>
        <v>-2</v>
      </c>
      <c r="U116" s="247">
        <f ca="1">IF(IFERROR(DelayQ(B116*C116/600,(S116/(1-$H$5))+E116*((1-$H$7)*VLOOKUP(A116,CURVAS_INTRA!$A$103:$AD$150,HLOOKUP($C$14,CURVAS_INTRA!$A$101:$AD$102,2,0),0)),$C$8,C116),0)=0,"",IFERROR(DelayQ(B116*C116/600,S116+E116*((1-$H$7)*VLOOKUP(A116,CURVAS_INTRA!$A$103:$AD$150,HLOOKUP($C$14,CURVAS_INTRA!$A$101:$AD$102,2,0),0)),$C$8,C116),0))</f>
        <v>0.54849999999999999</v>
      </c>
      <c r="V116" s="281">
        <f t="shared" ca="1" si="51"/>
        <v>0.54849999999999999</v>
      </c>
      <c r="W116" s="174">
        <f t="shared" si="35"/>
        <v>14</v>
      </c>
      <c r="X116" s="227">
        <v>0.66666666666666596</v>
      </c>
      <c r="Y116" s="220">
        <f t="shared" si="52"/>
        <v>14</v>
      </c>
      <c r="Z116" s="221">
        <f t="shared" ref="Z116:Z147" si="56">IFERROR(((IF($Z$17="Não",$H$8,0)*$E$6+IF($Z$17="Não",$I$8,0)*$E$7+IF($Z$17="Não",$J$8,0)*$E$8+IF($Z$17="Não",$K$8,0)*$E$9)/SUM($E$6:$E$9))*SUM(L116:O116),0)</f>
        <v>0</v>
      </c>
      <c r="AA116" s="221">
        <f t="shared" ref="AA116:AA147" si="57">IFERROR(((IF($AA$17="Não",$H$9,0)*$E$6+IF($AA$17="Não",$I$9,0)*$E$7+IF($AA$17="Não",$J$9,0)*$E$8+IF($AA$17="Não",$K$9,0)*$E$9)/SUM($E$6:$E$9))*SUM(L116:O116),0)</f>
        <v>0</v>
      </c>
      <c r="AB116" s="221">
        <f t="shared" ref="AB116:AB147" si="58">IFERROR(((IF($AB$17="Não",$H$10,0)*$E$6+IF($AB$17="Não",$I$10,0)*$E$7+IF($AB$17="Não",$J$10,0)*$E$8+IF($AB$17="Não",$K$10,0)*$E$9)/SUM($E$6:$E$9))*SUM(L116:O116),0)</f>
        <v>0</v>
      </c>
      <c r="AC116" s="221">
        <f t="shared" ref="AC116:AC147" si="59">IFERROR(((IF($AC$17="Não",$H$11,0)*$E$6+IF($AC$17="Não",$I$11,0)*$E$7+IF($AC$17="Não",$J$11,0)*$E$8+IF($AC$17="Não",$K$11,0)*$E$9)/SUM($E$6:$E$9))*SUM(L116:O116),0)</f>
        <v>0</v>
      </c>
      <c r="AD116" s="221">
        <f t="shared" ref="AD116:AD147" si="60">IFERROR(((IF($AD$17="Não",$H$12,0)*$E$6+IF($AD$17="Não",$I$12,0)*$E$7+IF($AD$17="Não",$J$12,0)*$E$8+IF($AD$17="Não",$K$12,0)*$E$9)/SUM($E$6:$E$9))*SUM(L116:O116),0)</f>
        <v>0</v>
      </c>
      <c r="AE116" s="221">
        <f t="shared" ref="AE116:AE147" si="61">IFERROR(((IF($AE$17="Não",$H$13,0)*$E$6+IF($AE$17="Não",$I$13,0)*$E$7+IF($AE$17="Não",$J$13,0)*$E$8+IF($AE$17="Não",$K$13,0)*$E$9)/SUM($E$6:$E$9))*SUM(L116:O116),0)</f>
        <v>0</v>
      </c>
      <c r="AF116" s="221">
        <f t="shared" ref="AF116:AF147" si="62">IFERROR(((IF($AF$17="Não",$H$14,0)*$E$6+IF($AF$17="Não",$I$14,0)*$E$7+IF($AF$17="Não",$J$14,0)*$E$8+IF($AF$17="Não",$K$14,0)*$E$9)/SUM($E$6:$E$9))*SUM(L116:O116),0)</f>
        <v>0</v>
      </c>
      <c r="AG116" s="222">
        <f t="shared" si="53"/>
        <v>14</v>
      </c>
      <c r="AH116" s="222">
        <f t="shared" ref="AH116:AH147" si="63">AG116+S116</f>
        <v>14</v>
      </c>
      <c r="AJ116" s="291">
        <f t="shared" ref="AJ116:AJ147" ca="1" si="64">IF(B116+C116=0,0,(Agents(B116*C116/600,$C$7,$C$8,C116)))</f>
        <v>13</v>
      </c>
      <c r="AK116" s="291">
        <f ca="1">IFERROR(ROUNDUP(IF(B116=0,0,Agents(B116*C116/600,$C$7,$C$8,C116))/(1-($J$12*(IFERROR(INDIRECT("CURVAS_INTRA!"&amp;ADDRESS(VLOOKUP($A116,CURVAS_INTRA!$A$103:$B$150,2,0),HLOOKUP($C$14,CURVAS_INTRA!$1:$2,2,0))),0)))),0),0)</f>
        <v>15</v>
      </c>
      <c r="AM116" s="488">
        <f t="shared" si="54"/>
        <v>0</v>
      </c>
      <c r="AN116" s="174"/>
      <c r="AO116" s="174"/>
      <c r="AP116" s="174"/>
      <c r="AQ116" s="174"/>
      <c r="AR116" s="174"/>
    </row>
    <row r="117" spans="1:44" ht="11.25" customHeight="1">
      <c r="A117" s="599">
        <v>0.67361111111111105</v>
      </c>
      <c r="B117" s="183">
        <f ca="1">IFERROR(INDIRECT("CURVAS_INTRA!"&amp;ADDRESS(VLOOKUP($A116,CURVAS_INTRA!$A$3:$B$50,2,0),HLOOKUP($C$14,CURVAS_INTRA!$1:$2,2,0)))/3*$C$5,$B$19)</f>
        <v>6.6562624558259369</v>
      </c>
      <c r="C117" s="183">
        <f ca="1">IFERROR(INDIRECT("CURVAS_INTRA!"&amp;ADDRESS(VLOOKUP($A117,CURVAS_INTRA!$A$53:$B$100,2,0),HLOOKUP($C$14,CURVAS_INTRA!$1:$2,2,0)))*$C$6,C116)</f>
        <v>846.73670071094273</v>
      </c>
      <c r="D117" s="183">
        <f ca="1">IFERROR(ROUNDUP(IF(B117=0,0,Agents(B117*C117/600,$C$7,$C$8,C117))/(1-($H$7*(IFERROR(INDIRECT("CURVAS_INTRA!"&amp;ADDRESS(VLOOKUP($A116,CURVAS_INTRA!$A$103:$B$150,2,0),HLOOKUP($C$14,CURVAS_INTRA!$1:$2,2,0))),0)))),0),0)</f>
        <v>16</v>
      </c>
      <c r="E117" s="183">
        <f t="shared" si="36"/>
        <v>14</v>
      </c>
      <c r="F117" s="241">
        <f t="shared" ca="1" si="46"/>
        <v>-2</v>
      </c>
      <c r="G117" s="185">
        <f ca="1">IFERROR(DelayQ(B117*C117/600,E117*((1-$H$7*VLOOKUP(A116,CURVAS_INTRA!$A$103:$AD$150,HLOOKUP($C$14,CURVAS_INTRA!$A$101:$AD$102,2,0),0))),$C$8,C117),0)</f>
        <v>0.54849999999999999</v>
      </c>
      <c r="H117" s="221">
        <v>0</v>
      </c>
      <c r="I117" s="221">
        <v>0</v>
      </c>
      <c r="J117" s="221">
        <v>0</v>
      </c>
      <c r="K117" s="221">
        <v>0</v>
      </c>
      <c r="L117" s="137">
        <f t="shared" si="55"/>
        <v>0</v>
      </c>
      <c r="M117" s="186">
        <f t="shared" ref="M117:M162" si="65">SUM(I86:I117)</f>
        <v>0</v>
      </c>
      <c r="N117" s="137">
        <f t="shared" si="33"/>
        <v>10</v>
      </c>
      <c r="O117" s="188">
        <f t="shared" si="34"/>
        <v>4</v>
      </c>
      <c r="P117" s="201">
        <f t="shared" ca="1" si="47"/>
        <v>0.82309894484004498</v>
      </c>
      <c r="Q117" s="202">
        <f t="shared" ca="1" si="48"/>
        <v>0.72021157673503944</v>
      </c>
      <c r="R117" s="174">
        <f t="shared" ca="1" si="49"/>
        <v>-34</v>
      </c>
      <c r="S117" s="339"/>
      <c r="T117" s="241">
        <f t="shared" ca="1" si="50"/>
        <v>-2</v>
      </c>
      <c r="U117" s="247">
        <f ca="1">IF(IFERROR(DelayQ(B117*C117/600,(S117/(1-$H$5))+E117*((1-$H$7)*VLOOKUP(A116,CURVAS_INTRA!$A$103:$AD$150,HLOOKUP($C$14,CURVAS_INTRA!$A$101:$AD$102,2,0),0)),$C$8,C117),0)=0,"",IFERROR(DelayQ(B117*C117/600,S117+E117*((1-$H$7)*VLOOKUP(A116,CURVAS_INTRA!$A$103:$AD$150,HLOOKUP($C$14,CURVAS_INTRA!$A$101:$AD$102,2,0),0)),$C$8,C117),0))</f>
        <v>0.54849999999999999</v>
      </c>
      <c r="V117" s="281">
        <f t="shared" ca="1" si="51"/>
        <v>0.54849999999999999</v>
      </c>
      <c r="W117" s="174">
        <f t="shared" si="35"/>
        <v>14</v>
      </c>
      <c r="X117" s="227">
        <v>0.67361111111111105</v>
      </c>
      <c r="Y117" s="220">
        <f t="shared" si="52"/>
        <v>14</v>
      </c>
      <c r="Z117" s="221">
        <f t="shared" si="56"/>
        <v>0</v>
      </c>
      <c r="AA117" s="221">
        <f t="shared" si="57"/>
        <v>0</v>
      </c>
      <c r="AB117" s="221">
        <f t="shared" si="58"/>
        <v>0</v>
      </c>
      <c r="AC117" s="221">
        <f t="shared" si="59"/>
        <v>0</v>
      </c>
      <c r="AD117" s="221">
        <f t="shared" si="60"/>
        <v>0</v>
      </c>
      <c r="AE117" s="221">
        <f t="shared" si="61"/>
        <v>0</v>
      </c>
      <c r="AF117" s="221">
        <f t="shared" si="62"/>
        <v>0</v>
      </c>
      <c r="AG117" s="222">
        <f t="shared" si="53"/>
        <v>14</v>
      </c>
      <c r="AH117" s="222">
        <f t="shared" si="63"/>
        <v>14</v>
      </c>
      <c r="AJ117" s="291">
        <f t="shared" ca="1" si="64"/>
        <v>13</v>
      </c>
      <c r="AK117" s="291">
        <f ca="1">IFERROR(ROUNDUP(IF(B117=0,0,Agents(B117*C117/600,$C$7,$C$8,C117))/(1-($J$12*(IFERROR(INDIRECT("CURVAS_INTRA!"&amp;ADDRESS(VLOOKUP($A117,CURVAS_INTRA!$A$103:$B$150,2,0),HLOOKUP($C$14,CURVAS_INTRA!$1:$2,2,0))),0)+IFERROR(INDIRECT("CURVAS_INTRA!"&amp;ADDRESS(VLOOKUP($A116,CURVAS_INTRA!$A$103:$B$150,2,0),HLOOKUP($C$14,CURVAS_INTRA!$1:$2,2,0))),0)))),0),0)</f>
        <v>15</v>
      </c>
      <c r="AM117" s="488">
        <f t="shared" si="54"/>
        <v>0</v>
      </c>
      <c r="AN117" s="174"/>
      <c r="AO117" s="174"/>
      <c r="AP117" s="174"/>
      <c r="AQ117" s="174"/>
      <c r="AR117" s="174"/>
    </row>
    <row r="118" spans="1:44" ht="11.25" customHeight="1">
      <c r="A118" s="599">
        <v>0.68055555555555503</v>
      </c>
      <c r="B118" s="183">
        <f ca="1">IFERROR(INDIRECT("CURVAS_INTRA!"&amp;ADDRESS(VLOOKUP($A116,CURVAS_INTRA!$A$3:$B$50,2,0),HLOOKUP($C$14,CURVAS_INTRA!$1:$2,2,0)))/3*$C$5,B115)</f>
        <v>6.6562624558259369</v>
      </c>
      <c r="C118" s="183">
        <f ca="1">IFERROR(INDIRECT("CURVAS_INTRA!"&amp;ADDRESS(VLOOKUP($A118,CURVAS_INTRA!$A$53:$B$100,2,0),HLOOKUP($C$14,CURVAS_INTRA!$1:$2,2,0)))*$C$6,C117)</f>
        <v>846.73670071094273</v>
      </c>
      <c r="D118" s="183">
        <f ca="1">IFERROR(ROUNDUP(IF(B118=0,0,Agents(B118*C118/600,$C$7,$C$8,C118))/(1-($H$7*(IFERROR(INDIRECT("CURVAS_INTRA!"&amp;ADDRESS(VLOOKUP($A116,CURVAS_INTRA!$A$103:$B$150,2,0),HLOOKUP($C$14,CURVAS_INTRA!$1:$2,2,0))),0)))),0),0)</f>
        <v>16</v>
      </c>
      <c r="E118" s="183">
        <f t="shared" si="36"/>
        <v>14</v>
      </c>
      <c r="F118" s="241">
        <f t="shared" ca="1" si="46"/>
        <v>-2</v>
      </c>
      <c r="G118" s="185">
        <f ca="1">IFERROR(DelayQ(B118*C118/600,E118*((1-$H$7*VLOOKUP(A116,CURVAS_INTRA!$A$103:$AD$150,HLOOKUP($C$14,CURVAS_INTRA!$A$101:$AD$102,2,0),0))),$C$8,C118),0)</f>
        <v>0.54849999999999999</v>
      </c>
      <c r="H118" s="221">
        <v>0</v>
      </c>
      <c r="I118" s="221">
        <v>0</v>
      </c>
      <c r="J118" s="221">
        <v>0</v>
      </c>
      <c r="K118" s="221">
        <v>0</v>
      </c>
      <c r="L118" s="137">
        <f t="shared" si="55"/>
        <v>0</v>
      </c>
      <c r="M118" s="186">
        <f t="shared" si="65"/>
        <v>0</v>
      </c>
      <c r="N118" s="137">
        <f t="shared" si="33"/>
        <v>10</v>
      </c>
      <c r="O118" s="188">
        <f t="shared" si="34"/>
        <v>4</v>
      </c>
      <c r="P118" s="201">
        <f t="shared" ca="1" si="47"/>
        <v>0.82309894484004498</v>
      </c>
      <c r="Q118" s="202">
        <f t="shared" ca="1" si="48"/>
        <v>0.72021157673503944</v>
      </c>
      <c r="R118" s="174">
        <f t="shared" ca="1" si="49"/>
        <v>-31</v>
      </c>
      <c r="S118" s="339"/>
      <c r="T118" s="241">
        <f t="shared" ca="1" si="50"/>
        <v>-2</v>
      </c>
      <c r="U118" s="247">
        <f ca="1">IF(IFERROR(DelayQ(B118*C118/600,(S118/(1-$H$5))+E118*((1-$H$7)*VLOOKUP(A116,CURVAS_INTRA!$A$103:$AD$150,HLOOKUP($C$14,CURVAS_INTRA!$A$101:$AD$102,2,0),0)),$C$8,C118),0)=0,"",IFERROR(DelayQ(B118*C118/600,S118+E118*((1-$H$7)*VLOOKUP(A116,CURVAS_INTRA!$A$103:$AD$150,HLOOKUP($C$14,CURVAS_INTRA!$A$101:$AD$102,2,0),0)),$C$8,C118),0))</f>
        <v>0.54849999999999999</v>
      </c>
      <c r="V118" s="281">
        <f t="shared" ca="1" si="51"/>
        <v>0.54849999999999999</v>
      </c>
      <c r="W118" s="174">
        <f t="shared" si="35"/>
        <v>14</v>
      </c>
      <c r="X118" s="227">
        <v>0.68055555555555503</v>
      </c>
      <c r="Y118" s="220">
        <f t="shared" si="52"/>
        <v>14</v>
      </c>
      <c r="Z118" s="221">
        <f t="shared" si="56"/>
        <v>0</v>
      </c>
      <c r="AA118" s="221">
        <f t="shared" si="57"/>
        <v>0</v>
      </c>
      <c r="AB118" s="221">
        <f t="shared" si="58"/>
        <v>0</v>
      </c>
      <c r="AC118" s="221">
        <f t="shared" si="59"/>
        <v>0</v>
      </c>
      <c r="AD118" s="221">
        <f t="shared" si="60"/>
        <v>0</v>
      </c>
      <c r="AE118" s="221">
        <f t="shared" si="61"/>
        <v>0</v>
      </c>
      <c r="AF118" s="221">
        <f t="shared" si="62"/>
        <v>0</v>
      </c>
      <c r="AG118" s="222">
        <f t="shared" si="53"/>
        <v>14</v>
      </c>
      <c r="AH118" s="222">
        <f t="shared" si="63"/>
        <v>14</v>
      </c>
      <c r="AJ118" s="291">
        <f t="shared" ca="1" si="64"/>
        <v>13</v>
      </c>
      <c r="AK118" s="291">
        <f ca="1">IFERROR(ROUNDUP(IF(B118=0,0,Agents(B118*C118/600,$C$7,$C$8,C118))/(1-($J$12*(IFERROR(INDIRECT("CURVAS_INTRA!"&amp;ADDRESS(VLOOKUP($A118,CURVAS_INTRA!$A$103:$B$150,2,0),HLOOKUP($C$14,CURVAS_INTRA!$1:$2,2,0))),0)+IFERROR(INDIRECT("CURVAS_INTRA!"&amp;ADDRESS(VLOOKUP($A117,CURVAS_INTRA!$A$103:$B$150,2,0),HLOOKUP($C$14,CURVAS_INTRA!$1:$2,2,0))),0)+IFERROR(INDIRECT("CURVAS_INTRA!"&amp;ADDRESS(VLOOKUP($A116,CURVAS_INTRA!$A$103:$B$150,2,0),HLOOKUP($C$14,CURVAS_INTRA!$1:$2,2,0))),0)))),0),0)</f>
        <v>15</v>
      </c>
      <c r="AM118" s="488">
        <f t="shared" si="54"/>
        <v>0</v>
      </c>
      <c r="AN118" s="174"/>
      <c r="AO118" s="174"/>
      <c r="AP118" s="174"/>
      <c r="AQ118" s="174"/>
      <c r="AR118" s="174"/>
    </row>
    <row r="119" spans="1:44" ht="11.25" customHeight="1">
      <c r="A119" s="599">
        <v>0.687499999999999</v>
      </c>
      <c r="B119" s="183">
        <f ca="1">IFERROR(INDIRECT("CURVAS_INTRA!"&amp;ADDRESS(VLOOKUP($A119,CURVAS_INTRA!$A$3:$B$50,2,0),HLOOKUP($C$14,CURVAS_INTRA!$1:$2,2,0)))/3*$C$5,$B$19)</f>
        <v>6.2936200337030854</v>
      </c>
      <c r="C119" s="183">
        <f ca="1">IFERROR(INDIRECT("CURVAS_INTRA!"&amp;ADDRESS(VLOOKUP($A119,CURVAS_INTRA!$A$53:$B$100,2,0),HLOOKUP($C$14,CURVAS_INTRA!$1:$2,2,0)))*$C$6,C118)</f>
        <v>881.92778996300569</v>
      </c>
      <c r="D119" s="183">
        <f ca="1">IFERROR(ROUNDUP(IF(B119=0,0,Agents(B119*C119/600,$C$7,$C$8,C119))/(1-($H$7*(IFERROR(INDIRECT("CURVAS_INTRA!"&amp;ADDRESS(VLOOKUP($A119,CURVAS_INTRA!$A$103:$B$150,2,0),HLOOKUP($C$14,CURVAS_INTRA!$1:$2,2,0))),0)))),0),0)</f>
        <v>16</v>
      </c>
      <c r="E119" s="183">
        <f>ROUNDUP(SUM(L119:O119),0)</f>
        <v>14</v>
      </c>
      <c r="F119" s="241">
        <f t="shared" ca="1" si="46"/>
        <v>-2</v>
      </c>
      <c r="G119" s="185">
        <f ca="1">IFERROR(DelayQ(B119*C119/600,E119*((1-$H$7*VLOOKUP(A119,CURVAS_INTRA!$A$103:$AD$150,HLOOKUP($C$14,CURVAS_INTRA!$A$101:$AD$102,2,0),0))),$C$8,C119),0)</f>
        <v>0.57740000000000002</v>
      </c>
      <c r="H119" s="221">
        <v>0</v>
      </c>
      <c r="I119" s="221">
        <v>0</v>
      </c>
      <c r="J119" s="221">
        <v>0</v>
      </c>
      <c r="K119" s="221">
        <v>0</v>
      </c>
      <c r="L119" s="137">
        <f t="shared" si="55"/>
        <v>0</v>
      </c>
      <c r="M119" s="186">
        <f t="shared" si="65"/>
        <v>0</v>
      </c>
      <c r="N119" s="137">
        <f>SUM(J82:J119)</f>
        <v>10</v>
      </c>
      <c r="O119" s="188">
        <f t="shared" si="34"/>
        <v>4</v>
      </c>
      <c r="P119" s="201">
        <f t="shared" ca="1" si="47"/>
        <v>0.81060031890987172</v>
      </c>
      <c r="Q119" s="202">
        <f t="shared" ca="1" si="48"/>
        <v>0.70927527904613774</v>
      </c>
      <c r="R119" s="174">
        <f t="shared" ca="1" si="49"/>
        <v>-28</v>
      </c>
      <c r="S119" s="339"/>
      <c r="T119" s="241">
        <f t="shared" ca="1" si="50"/>
        <v>-2</v>
      </c>
      <c r="U119" s="247">
        <f ca="1">IF(IFERROR(DelayQ(B119*C119/600,(S119/(1-$H$5))+E119*((1-$H$7)*VLOOKUP(A119,CURVAS_INTRA!$A$103:$AD$150,HLOOKUP($C$14,CURVAS_INTRA!$A$101:$AD$102,2,0),0)),$C$8,C119),0)=0,"",IFERROR(DelayQ(B119*C119/600,S119+E119*((1-$H$7)*VLOOKUP(A119,CURVAS_INTRA!$A$103:$AD$150,HLOOKUP($C$14,CURVAS_INTRA!$A$101:$AD$102,2,0),0)),$C$8,C119),0))</f>
        <v>0.57740000000000002</v>
      </c>
      <c r="V119" s="281">
        <f t="shared" ca="1" si="51"/>
        <v>0.57740000000000002</v>
      </c>
      <c r="W119" s="174">
        <f t="shared" si="35"/>
        <v>14</v>
      </c>
      <c r="X119" s="227">
        <v>0.687499999999999</v>
      </c>
      <c r="Y119" s="220">
        <f t="shared" si="52"/>
        <v>14</v>
      </c>
      <c r="Z119" s="221">
        <f t="shared" si="56"/>
        <v>0</v>
      </c>
      <c r="AA119" s="221">
        <f t="shared" si="57"/>
        <v>0</v>
      </c>
      <c r="AB119" s="221">
        <f t="shared" si="58"/>
        <v>0</v>
      </c>
      <c r="AC119" s="221">
        <f t="shared" si="59"/>
        <v>0</v>
      </c>
      <c r="AD119" s="221">
        <f t="shared" si="60"/>
        <v>0</v>
      </c>
      <c r="AE119" s="221">
        <f t="shared" si="61"/>
        <v>0</v>
      </c>
      <c r="AF119" s="221">
        <f t="shared" si="62"/>
        <v>0</v>
      </c>
      <c r="AG119" s="222">
        <f t="shared" si="53"/>
        <v>14</v>
      </c>
      <c r="AH119" s="222">
        <f t="shared" si="63"/>
        <v>14</v>
      </c>
      <c r="AJ119" s="291">
        <f t="shared" ca="1" si="64"/>
        <v>13</v>
      </c>
      <c r="AK119" s="291">
        <f ca="1">IFERROR(ROUNDUP(IF(B119=0,0,Agents(B119*C119/600,$C$7,$C$8,C119))/(1-($J$12*(IFERROR(INDIRECT("CURVAS_INTRA!"&amp;ADDRESS(VLOOKUP($A119,CURVAS_INTRA!$A$103:$B$150,2,0),HLOOKUP($C$14,CURVAS_INTRA!$1:$2,2,0))),0)))),0),0)</f>
        <v>15</v>
      </c>
      <c r="AM119" s="488">
        <f t="shared" si="54"/>
        <v>0</v>
      </c>
      <c r="AN119" s="174"/>
      <c r="AO119" s="174"/>
      <c r="AP119" s="174"/>
      <c r="AQ119" s="174"/>
      <c r="AR119" s="174"/>
    </row>
    <row r="120" spans="1:44" ht="11.25" customHeight="1">
      <c r="A120" s="599">
        <v>0.69444444444444398</v>
      </c>
      <c r="B120" s="183">
        <f ca="1">IFERROR(INDIRECT("CURVAS_INTRA!"&amp;ADDRESS(VLOOKUP($A119,CURVAS_INTRA!$A$3:$B$50,2,0),HLOOKUP($C$14,CURVAS_INTRA!$1:$2,2,0)))/3*$C$5,$B$19)</f>
        <v>6.2936200337030854</v>
      </c>
      <c r="C120" s="183">
        <f ca="1">IFERROR(INDIRECT("CURVAS_INTRA!"&amp;ADDRESS(VLOOKUP($A120,CURVAS_INTRA!$A$53:$B$100,2,0),HLOOKUP($C$14,CURVAS_INTRA!$1:$2,2,0)))*$C$6,C119)</f>
        <v>881.92778996300569</v>
      </c>
      <c r="D120" s="183">
        <f ca="1">IFERROR(ROUNDUP(IF(B120=0,0,Agents(B120*C120/600,$C$7,$C$8,C120))/(1-($H$7*(IFERROR(INDIRECT("CURVAS_INTRA!"&amp;ADDRESS(VLOOKUP($A119,CURVAS_INTRA!$A$103:$B$150,2,0),HLOOKUP($C$14,CURVAS_INTRA!$1:$2,2,0))),0)))),0),0)</f>
        <v>16</v>
      </c>
      <c r="E120" s="183">
        <f t="shared" si="36"/>
        <v>12</v>
      </c>
      <c r="F120" s="241">
        <f t="shared" ca="1" si="46"/>
        <v>-4</v>
      </c>
      <c r="G120" s="185">
        <f ca="1">IFERROR(DelayQ(B120*C120/600,E120*((1-$H$7*VLOOKUP(A119,CURVAS_INTRA!$A$103:$AD$150,HLOOKUP($C$14,CURVAS_INTRA!$A$101:$AD$102,2,0),0))),$C$8,C120),0)</f>
        <v>0.15909999999999999</v>
      </c>
      <c r="H120" s="221">
        <v>0</v>
      </c>
      <c r="I120" s="221">
        <v>0</v>
      </c>
      <c r="J120" s="221">
        <v>0</v>
      </c>
      <c r="K120" s="221">
        <v>0</v>
      </c>
      <c r="L120" s="137">
        <f t="shared" si="55"/>
        <v>0</v>
      </c>
      <c r="M120" s="186">
        <f t="shared" si="65"/>
        <v>0</v>
      </c>
      <c r="N120" s="137">
        <f t="shared" si="33"/>
        <v>10</v>
      </c>
      <c r="O120" s="188">
        <f t="shared" si="34"/>
        <v>2</v>
      </c>
      <c r="P120" s="201">
        <f t="shared" ca="1" si="47"/>
        <v>0.94570037206151691</v>
      </c>
      <c r="Q120" s="202">
        <f t="shared" ca="1" si="48"/>
        <v>0.70927527904613774</v>
      </c>
      <c r="R120" s="174">
        <f t="shared" ca="1" si="49"/>
        <v>-27</v>
      </c>
      <c r="S120" s="339"/>
      <c r="T120" s="241">
        <f t="shared" ca="1" si="50"/>
        <v>-4</v>
      </c>
      <c r="U120" s="247">
        <f ca="1">IF(IFERROR(DelayQ(B120*C120/600,(S120/(1-$H$5))+E120*((1-$H$7)*VLOOKUP(A119,CURVAS_INTRA!$A$103:$AD$150,HLOOKUP($C$14,CURVAS_INTRA!$A$101:$AD$102,2,0),0)),$C$8,C120),0)=0,"",IFERROR(DelayQ(B120*C120/600,S120+E120*((1-$H$7)*VLOOKUP(A119,CURVAS_INTRA!$A$103:$AD$150,HLOOKUP($C$14,CURVAS_INTRA!$A$101:$AD$102,2,0),0)),$C$8,C120),0))</f>
        <v>0.15909999999999999</v>
      </c>
      <c r="V120" s="281">
        <f t="shared" ca="1" si="51"/>
        <v>0.15909999999999999</v>
      </c>
      <c r="W120" s="174">
        <f t="shared" si="35"/>
        <v>12</v>
      </c>
      <c r="X120" s="227">
        <v>0.69444444444444398</v>
      </c>
      <c r="Y120" s="220">
        <f t="shared" si="52"/>
        <v>12</v>
      </c>
      <c r="Z120" s="221">
        <f t="shared" si="56"/>
        <v>0</v>
      </c>
      <c r="AA120" s="221">
        <f t="shared" si="57"/>
        <v>0</v>
      </c>
      <c r="AB120" s="221">
        <f t="shared" si="58"/>
        <v>0</v>
      </c>
      <c r="AC120" s="221">
        <f t="shared" si="59"/>
        <v>0</v>
      </c>
      <c r="AD120" s="221">
        <f t="shared" si="60"/>
        <v>0</v>
      </c>
      <c r="AE120" s="221">
        <f t="shared" si="61"/>
        <v>0</v>
      </c>
      <c r="AF120" s="221">
        <f t="shared" si="62"/>
        <v>0</v>
      </c>
      <c r="AG120" s="222">
        <f t="shared" si="53"/>
        <v>12</v>
      </c>
      <c r="AH120" s="222">
        <f t="shared" si="63"/>
        <v>12</v>
      </c>
      <c r="AJ120" s="291">
        <f t="shared" ca="1" si="64"/>
        <v>13</v>
      </c>
      <c r="AK120" s="291">
        <f ca="1">IFERROR(ROUNDUP(IF(B120=0,0,Agents(B120*C120/600,$C$7,$C$8,C120))/(1-($J$12*(IFERROR(INDIRECT("CURVAS_INTRA!"&amp;ADDRESS(VLOOKUP($A120,CURVAS_INTRA!$A$103:$B$150,2,0),HLOOKUP($C$14,CURVAS_INTRA!$1:$2,2,0))),0)+IFERROR(INDIRECT("CURVAS_INTRA!"&amp;ADDRESS(VLOOKUP($A119,CURVAS_INTRA!$A$103:$B$150,2,0),HLOOKUP($C$14,CURVAS_INTRA!$1:$2,2,0))),0)))),0),0)</f>
        <v>15</v>
      </c>
      <c r="AM120" s="488">
        <f t="shared" si="54"/>
        <v>0</v>
      </c>
      <c r="AN120" s="174"/>
      <c r="AO120" s="174"/>
      <c r="AP120" s="174"/>
      <c r="AQ120" s="174"/>
      <c r="AR120" s="174"/>
    </row>
    <row r="121" spans="1:44" ht="11.25" customHeight="1">
      <c r="A121" s="599">
        <v>0.70138888888888895</v>
      </c>
      <c r="B121" s="183">
        <f ca="1">IFERROR(INDIRECT("CURVAS_INTRA!"&amp;ADDRESS(VLOOKUP($A119,CURVAS_INTRA!$A$3:$B$50,2,0),HLOOKUP($C$14,CURVAS_INTRA!$1:$2,2,0)))/3*$C$5,B118)</f>
        <v>6.2936200337030854</v>
      </c>
      <c r="C121" s="183">
        <f ca="1">IFERROR(INDIRECT("CURVAS_INTRA!"&amp;ADDRESS(VLOOKUP($A121,CURVAS_INTRA!$A$53:$B$100,2,0),HLOOKUP($C$14,CURVAS_INTRA!$1:$2,2,0)))*$C$6,C120)</f>
        <v>881.92778996300569</v>
      </c>
      <c r="D121" s="183">
        <f ca="1">IFERROR(ROUNDUP(IF(B121=0,0,Agents(B121*C121/600,$C$7,$C$8,C121))/(1-($H$7*(IFERROR(INDIRECT("CURVAS_INTRA!"&amp;ADDRESS(VLOOKUP($A119,CURVAS_INTRA!$A$103:$B$150,2,0),HLOOKUP($C$14,CURVAS_INTRA!$1:$2,2,0))),0)))),0),0)</f>
        <v>16</v>
      </c>
      <c r="E121" s="183">
        <f t="shared" si="36"/>
        <v>12</v>
      </c>
      <c r="F121" s="241">
        <f t="shared" ca="1" si="46"/>
        <v>-4</v>
      </c>
      <c r="G121" s="185">
        <f ca="1">IFERROR(DelayQ(B121*C121/600,E121*((1-$H$7*VLOOKUP(A119,CURVAS_INTRA!$A$103:$AD$150,HLOOKUP($C$14,CURVAS_INTRA!$A$101:$AD$102,2,0),0))),$C$8,C121),0)</f>
        <v>0.15909999999999999</v>
      </c>
      <c r="H121" s="221">
        <v>0</v>
      </c>
      <c r="I121" s="221">
        <v>0</v>
      </c>
      <c r="J121" s="221">
        <v>0</v>
      </c>
      <c r="K121" s="221">
        <v>0</v>
      </c>
      <c r="L121" s="137">
        <f t="shared" si="55"/>
        <v>0</v>
      </c>
      <c r="M121" s="186">
        <f t="shared" si="65"/>
        <v>0</v>
      </c>
      <c r="N121" s="137">
        <f t="shared" si="33"/>
        <v>10</v>
      </c>
      <c r="O121" s="188">
        <f t="shared" si="34"/>
        <v>2</v>
      </c>
      <c r="P121" s="201">
        <f t="shared" ca="1" si="47"/>
        <v>0.94570037206151691</v>
      </c>
      <c r="Q121" s="202">
        <f t="shared" ca="1" si="48"/>
        <v>0.70927527904613774</v>
      </c>
      <c r="R121" s="174">
        <f t="shared" ca="1" si="49"/>
        <v>-23</v>
      </c>
      <c r="S121" s="339"/>
      <c r="T121" s="241">
        <f t="shared" ca="1" si="50"/>
        <v>-4</v>
      </c>
      <c r="U121" s="247">
        <f ca="1">IF(IFERROR(DelayQ(B121*C121/600,(S121/(1-$H$5))+E121*((1-$H$7)*VLOOKUP(A119,CURVAS_INTRA!$A$103:$AD$150,HLOOKUP($C$14,CURVAS_INTRA!$A$101:$AD$102,2,0),0)),$C$8,C121),0)=0,"",IFERROR(DelayQ(B121*C121/600,S121+E121*((1-$H$7)*VLOOKUP(A119,CURVAS_INTRA!$A$103:$AD$150,HLOOKUP($C$14,CURVAS_INTRA!$A$101:$AD$102,2,0),0)),$C$8,C121),0))</f>
        <v>0.15909999999999999</v>
      </c>
      <c r="V121" s="281">
        <f t="shared" ca="1" si="51"/>
        <v>0.15909999999999999</v>
      </c>
      <c r="W121" s="174">
        <f t="shared" si="35"/>
        <v>12</v>
      </c>
      <c r="X121" s="227">
        <v>0.70138888888888895</v>
      </c>
      <c r="Y121" s="220">
        <f t="shared" si="52"/>
        <v>12</v>
      </c>
      <c r="Z121" s="221">
        <f t="shared" si="56"/>
        <v>0</v>
      </c>
      <c r="AA121" s="221">
        <f t="shared" si="57"/>
        <v>0</v>
      </c>
      <c r="AB121" s="221">
        <f t="shared" si="58"/>
        <v>0</v>
      </c>
      <c r="AC121" s="221">
        <f t="shared" si="59"/>
        <v>0</v>
      </c>
      <c r="AD121" s="221">
        <f t="shared" si="60"/>
        <v>0</v>
      </c>
      <c r="AE121" s="221">
        <f t="shared" si="61"/>
        <v>0</v>
      </c>
      <c r="AF121" s="221">
        <f t="shared" si="62"/>
        <v>0</v>
      </c>
      <c r="AG121" s="222">
        <f t="shared" si="53"/>
        <v>12</v>
      </c>
      <c r="AH121" s="222">
        <f t="shared" si="63"/>
        <v>12</v>
      </c>
      <c r="AJ121" s="291">
        <f t="shared" ca="1" si="64"/>
        <v>13</v>
      </c>
      <c r="AK121" s="291">
        <f ca="1">IFERROR(ROUNDUP(IF(B121=0,0,Agents(B121*C121/600,$C$7,$C$8,C121))/(1-($J$12*(IFERROR(INDIRECT("CURVAS_INTRA!"&amp;ADDRESS(VLOOKUP($A121,CURVAS_INTRA!$A$103:$B$150,2,0),HLOOKUP($C$14,CURVAS_INTRA!$1:$2,2,0))),0)+IFERROR(INDIRECT("CURVAS_INTRA!"&amp;ADDRESS(VLOOKUP($A120,CURVAS_INTRA!$A$103:$B$150,2,0),HLOOKUP($C$14,CURVAS_INTRA!$1:$2,2,0))),0)+IFERROR(INDIRECT("CURVAS_INTRA!"&amp;ADDRESS(VLOOKUP($A119,CURVAS_INTRA!$A$103:$B$150,2,0),HLOOKUP($C$14,CURVAS_INTRA!$1:$2,2,0))),0)))),0),0)</f>
        <v>15</v>
      </c>
      <c r="AM121" s="488">
        <f t="shared" si="54"/>
        <v>0</v>
      </c>
      <c r="AN121" s="174"/>
      <c r="AO121" s="174"/>
      <c r="AP121" s="174"/>
      <c r="AQ121" s="174"/>
      <c r="AR121" s="174"/>
    </row>
    <row r="122" spans="1:44" ht="11.25" customHeight="1">
      <c r="A122" s="599">
        <v>0.70833333333333204</v>
      </c>
      <c r="B122" s="183">
        <f ca="1">IFERROR(INDIRECT("CURVAS_INTRA!"&amp;ADDRESS(VLOOKUP($A122,CURVAS_INTRA!$A$3:$B$50,2,0),HLOOKUP($C$14,CURVAS_INTRA!$1:$2,2,0)))/3*$C$5,$B$19)</f>
        <v>6.2930655328053664</v>
      </c>
      <c r="C122" s="183">
        <f ca="1">IFERROR(INDIRECT("CURVAS_INTRA!"&amp;ADDRESS(VLOOKUP($A122,CURVAS_INTRA!$A$53:$B$100,2,0),HLOOKUP($C$14,CURVAS_INTRA!$1:$2,2,0)))*$C$6,C121)</f>
        <v>855.09452526071027</v>
      </c>
      <c r="D122" s="183">
        <f ca="1">IFERROR(ROUNDUP(IF(B122=0,0,Agents(B122*C122/600,$C$7,$C$8,C122))/(1-($H$7*(IFERROR(INDIRECT("CURVAS_INTRA!"&amp;ADDRESS(VLOOKUP($A122,CURVAS_INTRA!$A$103:$B$150,2,0),HLOOKUP($C$14,CURVAS_INTRA!$1:$2,2,0))),0)))),0),0)</f>
        <v>16</v>
      </c>
      <c r="E122" s="183">
        <f t="shared" si="36"/>
        <v>12</v>
      </c>
      <c r="F122" s="241">
        <f t="shared" ca="1" si="46"/>
        <v>-4</v>
      </c>
      <c r="G122" s="185">
        <f ca="1">IFERROR(DelayQ(B122*C122/600,E122*((1-$H$7*VLOOKUP(A122,CURVAS_INTRA!$A$103:$AD$150,HLOOKUP($C$14,CURVAS_INTRA!$A$101:$AD$102,2,0),0))),$C$8,C122),0)</f>
        <v>0.23949999999999999</v>
      </c>
      <c r="H122" s="221">
        <v>0</v>
      </c>
      <c r="I122" s="221">
        <v>0</v>
      </c>
      <c r="J122" s="221">
        <v>0</v>
      </c>
      <c r="K122" s="221">
        <v>0</v>
      </c>
      <c r="L122" s="137">
        <f t="shared" si="55"/>
        <v>0</v>
      </c>
      <c r="M122" s="186">
        <f t="shared" si="65"/>
        <v>0</v>
      </c>
      <c r="N122" s="137">
        <f t="shared" si="33"/>
        <v>10</v>
      </c>
      <c r="O122" s="188">
        <f t="shared" si="34"/>
        <v>2</v>
      </c>
      <c r="P122" s="201">
        <f t="shared" ca="1" si="47"/>
        <v>0.91684599626374053</v>
      </c>
      <c r="Q122" s="202">
        <f t="shared" ca="1" si="48"/>
        <v>0.68763449719780545</v>
      </c>
      <c r="R122" s="174">
        <f t="shared" ca="1" si="49"/>
        <v>-19</v>
      </c>
      <c r="S122" s="339"/>
      <c r="T122" s="241">
        <f t="shared" ca="1" si="50"/>
        <v>-4</v>
      </c>
      <c r="U122" s="247">
        <f ca="1">IF(IFERROR(DelayQ(B122*C122/600,(S122/(1-$H$5))+E122*((1-$H$7)*VLOOKUP(A122,CURVAS_INTRA!$A$103:$AD$150,HLOOKUP($C$14,CURVAS_INTRA!$A$101:$AD$102,2,0),0)),$C$8,C122),0)=0,"",IFERROR(DelayQ(B122*C122/600,S122+E122*((1-$H$7)*VLOOKUP(A122,CURVAS_INTRA!$A$103:$AD$150,HLOOKUP($C$14,CURVAS_INTRA!$A$101:$AD$102,2,0),0)),$C$8,C122),0))</f>
        <v>0.23949999999999999</v>
      </c>
      <c r="V122" s="281">
        <f t="shared" ca="1" si="51"/>
        <v>0.23949999999999999</v>
      </c>
      <c r="W122" s="174">
        <f t="shared" si="35"/>
        <v>12</v>
      </c>
      <c r="X122" s="227">
        <v>0.70833333333333204</v>
      </c>
      <c r="Y122" s="220">
        <f t="shared" si="52"/>
        <v>12</v>
      </c>
      <c r="Z122" s="221">
        <f t="shared" si="56"/>
        <v>0</v>
      </c>
      <c r="AA122" s="221">
        <f t="shared" si="57"/>
        <v>0</v>
      </c>
      <c r="AB122" s="221">
        <f t="shared" si="58"/>
        <v>0</v>
      </c>
      <c r="AC122" s="221">
        <f t="shared" si="59"/>
        <v>0</v>
      </c>
      <c r="AD122" s="221">
        <f t="shared" si="60"/>
        <v>0</v>
      </c>
      <c r="AE122" s="221">
        <f t="shared" si="61"/>
        <v>0</v>
      </c>
      <c r="AF122" s="221">
        <f t="shared" si="62"/>
        <v>0</v>
      </c>
      <c r="AG122" s="222">
        <f t="shared" si="53"/>
        <v>12</v>
      </c>
      <c r="AH122" s="222">
        <f t="shared" si="63"/>
        <v>12</v>
      </c>
      <c r="AJ122" s="291">
        <f t="shared" ca="1" si="64"/>
        <v>13</v>
      </c>
      <c r="AK122" s="291">
        <f ca="1">IFERROR(ROUNDUP(IF(B122=0,0,Agents(B122*C122/600,$C$7,$C$8,C122))/(1-($J$12*(IFERROR(INDIRECT("CURVAS_INTRA!"&amp;ADDRESS(VLOOKUP($A122,CURVAS_INTRA!$A$103:$B$150,2,0),HLOOKUP($C$14,CURVAS_INTRA!$1:$2,2,0))),0)))),0),0)</f>
        <v>15</v>
      </c>
      <c r="AM122" s="488">
        <f t="shared" si="54"/>
        <v>0</v>
      </c>
      <c r="AN122" s="174"/>
      <c r="AO122" s="174"/>
      <c r="AP122" s="174"/>
      <c r="AQ122" s="174"/>
      <c r="AR122" s="174"/>
    </row>
    <row r="123" spans="1:44" ht="11.25" customHeight="1">
      <c r="A123" s="599">
        <v>0.71527777777777801</v>
      </c>
      <c r="B123" s="183">
        <f ca="1">IFERROR(INDIRECT("CURVAS_INTRA!"&amp;ADDRESS(VLOOKUP($A122,CURVAS_INTRA!$A$3:$B$50,2,0),HLOOKUP($C$14,CURVAS_INTRA!$1:$2,2,0)))/3*$C$5,$B$19)</f>
        <v>6.2930655328053664</v>
      </c>
      <c r="C123" s="183">
        <f ca="1">IFERROR(INDIRECT("CURVAS_INTRA!"&amp;ADDRESS(VLOOKUP($A123,CURVAS_INTRA!$A$53:$B$100,2,0),HLOOKUP($C$14,CURVAS_INTRA!$1:$2,2,0)))*$C$6,C122)</f>
        <v>855.09452526071027</v>
      </c>
      <c r="D123" s="183">
        <f ca="1">IFERROR(ROUNDUP(IF(B123=0,0,Agents(B123*C123/600,$C$7,$C$8,C123))/(1-($H$7*(IFERROR(INDIRECT("CURVAS_INTRA!"&amp;ADDRESS(VLOOKUP($A122,CURVAS_INTRA!$A$103:$B$150,2,0),HLOOKUP($C$14,CURVAS_INTRA!$1:$2,2,0))),0)))),0),0)</f>
        <v>16</v>
      </c>
      <c r="E123" s="183">
        <f t="shared" si="36"/>
        <v>12</v>
      </c>
      <c r="F123" s="241">
        <f t="shared" ca="1" si="46"/>
        <v>-4</v>
      </c>
      <c r="G123" s="185">
        <f ca="1">IFERROR(DelayQ(B123*C123/600,E123*((1-$H$7*VLOOKUP(A122,CURVAS_INTRA!$A$103:$AD$150,HLOOKUP($C$14,CURVAS_INTRA!$A$101:$AD$102,2,0),0))),$C$8,C123),0)</f>
        <v>0.23949999999999999</v>
      </c>
      <c r="H123" s="221">
        <v>0</v>
      </c>
      <c r="I123" s="221">
        <v>0</v>
      </c>
      <c r="J123" s="221">
        <v>0</v>
      </c>
      <c r="K123" s="221">
        <v>0</v>
      </c>
      <c r="L123" s="137">
        <f t="shared" si="55"/>
        <v>0</v>
      </c>
      <c r="M123" s="186">
        <f t="shared" si="65"/>
        <v>0</v>
      </c>
      <c r="N123" s="137">
        <f t="shared" ref="N123:N162" si="66">SUM(J86:J123)</f>
        <v>10</v>
      </c>
      <c r="O123" s="188">
        <f t="shared" si="34"/>
        <v>2</v>
      </c>
      <c r="P123" s="201">
        <f t="shared" ca="1" si="47"/>
        <v>0.91684599626374053</v>
      </c>
      <c r="Q123" s="202">
        <f t="shared" ca="1" si="48"/>
        <v>0.68763449719780545</v>
      </c>
      <c r="R123" s="174">
        <f t="shared" ca="1" si="49"/>
        <v>-15</v>
      </c>
      <c r="S123" s="339"/>
      <c r="T123" s="241">
        <f t="shared" ca="1" si="50"/>
        <v>-4</v>
      </c>
      <c r="U123" s="247">
        <f ca="1">IF(IFERROR(DelayQ(B123*C123/600,(S123/(1-$H$5))+E123*((1-$H$7)*VLOOKUP(A122,CURVAS_INTRA!$A$103:$AD$150,HLOOKUP($C$14,CURVAS_INTRA!$A$101:$AD$102,2,0),0)),$C$8,C123),0)=0,"",IFERROR(DelayQ(B123*C123/600,S123+E123*((1-$H$7)*VLOOKUP(A122,CURVAS_INTRA!$A$103:$AD$150,HLOOKUP($C$14,CURVAS_INTRA!$A$101:$AD$102,2,0),0)),$C$8,C123),0))</f>
        <v>0.23949999999999999</v>
      </c>
      <c r="V123" s="281">
        <f t="shared" ca="1" si="51"/>
        <v>0.23949999999999999</v>
      </c>
      <c r="W123" s="174">
        <f t="shared" si="35"/>
        <v>12</v>
      </c>
      <c r="X123" s="227">
        <v>0.71527777777777801</v>
      </c>
      <c r="Y123" s="220">
        <f t="shared" si="52"/>
        <v>12</v>
      </c>
      <c r="Z123" s="221">
        <f t="shared" si="56"/>
        <v>0</v>
      </c>
      <c r="AA123" s="221">
        <f t="shared" si="57"/>
        <v>0</v>
      </c>
      <c r="AB123" s="221">
        <f t="shared" si="58"/>
        <v>0</v>
      </c>
      <c r="AC123" s="221">
        <f t="shared" si="59"/>
        <v>0</v>
      </c>
      <c r="AD123" s="221">
        <f t="shared" si="60"/>
        <v>0</v>
      </c>
      <c r="AE123" s="221">
        <f t="shared" si="61"/>
        <v>0</v>
      </c>
      <c r="AF123" s="221">
        <f t="shared" si="62"/>
        <v>0</v>
      </c>
      <c r="AG123" s="222">
        <f t="shared" si="53"/>
        <v>12</v>
      </c>
      <c r="AH123" s="222">
        <f t="shared" si="63"/>
        <v>12</v>
      </c>
      <c r="AJ123" s="291">
        <f t="shared" ca="1" si="64"/>
        <v>13</v>
      </c>
      <c r="AK123" s="291">
        <f ca="1">IFERROR(ROUNDUP(IF(B123=0,0,Agents(B123*C123/600,$C$7,$C$8,C123))/(1-($J$12*(IFERROR(INDIRECT("CURVAS_INTRA!"&amp;ADDRESS(VLOOKUP($A123,CURVAS_INTRA!$A$103:$B$150,2,0),HLOOKUP($C$14,CURVAS_INTRA!$1:$2,2,0))),0)+IFERROR(INDIRECT("CURVAS_INTRA!"&amp;ADDRESS(VLOOKUP($A122,CURVAS_INTRA!$A$103:$B$150,2,0),HLOOKUP($C$14,CURVAS_INTRA!$1:$2,2,0))),0)))),0),0)</f>
        <v>15</v>
      </c>
      <c r="AM123" s="488">
        <f t="shared" si="54"/>
        <v>0</v>
      </c>
      <c r="AN123" s="174"/>
      <c r="AO123" s="174"/>
      <c r="AP123" s="174"/>
      <c r="AQ123" s="174"/>
      <c r="AR123" s="174"/>
    </row>
    <row r="124" spans="1:44" ht="11.25" customHeight="1">
      <c r="A124" s="599">
        <v>0.72222222222222199</v>
      </c>
      <c r="B124" s="183">
        <f ca="1">IFERROR(INDIRECT("CURVAS_INTRA!"&amp;ADDRESS(VLOOKUP($A122,CURVAS_INTRA!$A$3:$B$50,2,0),HLOOKUP($C$14,CURVAS_INTRA!$1:$2,2,0)))/3*$C$5,B121)</f>
        <v>6.2930655328053664</v>
      </c>
      <c r="C124" s="183">
        <f ca="1">IFERROR(INDIRECT("CURVAS_INTRA!"&amp;ADDRESS(VLOOKUP($A124,CURVAS_INTRA!$A$53:$B$100,2,0),HLOOKUP($C$14,CURVAS_INTRA!$1:$2,2,0)))*$C$6,C123)</f>
        <v>855.09452526071027</v>
      </c>
      <c r="D124" s="183">
        <f ca="1">IFERROR(ROUNDUP(IF(B124=0,0,Agents(B124*C124/600,$C$7,$C$8,C124))/(1-($H$7*(IFERROR(INDIRECT("CURVAS_INTRA!"&amp;ADDRESS(VLOOKUP($A122,CURVAS_INTRA!$A$103:$B$150,2,0),HLOOKUP($C$14,CURVAS_INTRA!$1:$2,2,0))),0)))),0),0)</f>
        <v>16</v>
      </c>
      <c r="E124" s="183">
        <f t="shared" si="36"/>
        <v>12</v>
      </c>
      <c r="F124" s="241">
        <f t="shared" ca="1" si="46"/>
        <v>-4</v>
      </c>
      <c r="G124" s="185">
        <f ca="1">IFERROR(DelayQ(B124*C124/600,E124*((1-$H$7*VLOOKUP(A122,CURVAS_INTRA!$A$103:$AD$150,HLOOKUP($C$14,CURVAS_INTRA!$A$101:$AD$102,2,0),0))),$C$8,C124),0)</f>
        <v>0.23949999999999999</v>
      </c>
      <c r="H124" s="221">
        <v>0</v>
      </c>
      <c r="I124" s="221">
        <v>0</v>
      </c>
      <c r="J124" s="221">
        <v>0</v>
      </c>
      <c r="K124" s="221">
        <v>0</v>
      </c>
      <c r="L124" s="137">
        <f t="shared" si="55"/>
        <v>0</v>
      </c>
      <c r="M124" s="186">
        <f t="shared" si="65"/>
        <v>0</v>
      </c>
      <c r="N124" s="183">
        <f>SUM(J87:J124)</f>
        <v>10</v>
      </c>
      <c r="O124" s="188">
        <f t="shared" si="34"/>
        <v>2</v>
      </c>
      <c r="P124" s="201">
        <f t="shared" ca="1" si="47"/>
        <v>0.91684599626374053</v>
      </c>
      <c r="Q124" s="202">
        <f t="shared" ca="1" si="48"/>
        <v>0.68763449719780545</v>
      </c>
      <c r="R124" s="174">
        <f t="shared" ca="1" si="49"/>
        <v>-11</v>
      </c>
      <c r="S124" s="339"/>
      <c r="T124" s="241">
        <f t="shared" ca="1" si="50"/>
        <v>-4</v>
      </c>
      <c r="U124" s="247">
        <f ca="1">IF(IFERROR(DelayQ(B124*C124/600,(S124/(1-$H$5))+E124*((1-$H$7)*VLOOKUP(A122,CURVAS_INTRA!$A$103:$AD$150,HLOOKUP($C$14,CURVAS_INTRA!$A$101:$AD$102,2,0),0)),$C$8,C124),0)=0,"",IFERROR(DelayQ(B124*C124/600,S124+E124*((1-$H$7)*VLOOKUP(A122,CURVAS_INTRA!$A$103:$AD$150,HLOOKUP($C$14,CURVAS_INTRA!$A$101:$AD$102,2,0),0)),$C$8,C124),0))</f>
        <v>0.23949999999999999</v>
      </c>
      <c r="V124" s="281">
        <f t="shared" ca="1" si="51"/>
        <v>0.23949999999999999</v>
      </c>
      <c r="W124" s="174">
        <f t="shared" si="35"/>
        <v>12</v>
      </c>
      <c r="X124" s="227">
        <v>0.72222222222222199</v>
      </c>
      <c r="Y124" s="220">
        <f t="shared" si="52"/>
        <v>12</v>
      </c>
      <c r="Z124" s="221">
        <f t="shared" si="56"/>
        <v>0</v>
      </c>
      <c r="AA124" s="221">
        <f t="shared" si="57"/>
        <v>0</v>
      </c>
      <c r="AB124" s="221">
        <f t="shared" si="58"/>
        <v>0</v>
      </c>
      <c r="AC124" s="221">
        <f t="shared" si="59"/>
        <v>0</v>
      </c>
      <c r="AD124" s="221">
        <f t="shared" si="60"/>
        <v>0</v>
      </c>
      <c r="AE124" s="221">
        <f t="shared" si="61"/>
        <v>0</v>
      </c>
      <c r="AF124" s="221">
        <f t="shared" si="62"/>
        <v>0</v>
      </c>
      <c r="AG124" s="222">
        <f t="shared" si="53"/>
        <v>12</v>
      </c>
      <c r="AH124" s="222">
        <f t="shared" si="63"/>
        <v>12</v>
      </c>
      <c r="AJ124" s="291">
        <f t="shared" ca="1" si="64"/>
        <v>13</v>
      </c>
      <c r="AK124" s="291">
        <f ca="1">IFERROR(ROUNDUP(IF(B124=0,0,Agents(B124*C124/600,$C$7,$C$8,C124))/(1-($J$12*(IFERROR(INDIRECT("CURVAS_INTRA!"&amp;ADDRESS(VLOOKUP($A124,CURVAS_INTRA!$A$103:$B$150,2,0),HLOOKUP($C$14,CURVAS_INTRA!$1:$2,2,0))),0)+IFERROR(INDIRECT("CURVAS_INTRA!"&amp;ADDRESS(VLOOKUP($A123,CURVAS_INTRA!$A$103:$B$150,2,0),HLOOKUP($C$14,CURVAS_INTRA!$1:$2,2,0))),0)+IFERROR(INDIRECT("CURVAS_INTRA!"&amp;ADDRESS(VLOOKUP($A122,CURVAS_INTRA!$A$103:$B$150,2,0),HLOOKUP($C$14,CURVAS_INTRA!$1:$2,2,0))),0)))),0),0)</f>
        <v>15</v>
      </c>
      <c r="AM124" s="488">
        <f t="shared" si="54"/>
        <v>0</v>
      </c>
      <c r="AN124" s="174"/>
      <c r="AO124" s="174"/>
      <c r="AP124" s="174"/>
      <c r="AQ124" s="174"/>
      <c r="AR124" s="174"/>
    </row>
    <row r="125" spans="1:44" ht="11.25" customHeight="1">
      <c r="A125" s="599">
        <v>0.72916666666666496</v>
      </c>
      <c r="B125" s="183">
        <f ca="1">IFERROR(INDIRECT("CURVAS_INTRA!"&amp;ADDRESS(VLOOKUP($A125,CURVAS_INTRA!$A$3:$B$50,2,0),HLOOKUP($C$14,CURVAS_INTRA!$1:$2,2,0)))/3*$C$5,$B$19)</f>
        <v>6.2481009057267158</v>
      </c>
      <c r="C125" s="183">
        <f ca="1">IFERROR(INDIRECT("CURVAS_INTRA!"&amp;ADDRESS(VLOOKUP($A125,CURVAS_INTRA!$A$53:$B$100,2,0),HLOOKUP($C$14,CURVAS_INTRA!$1:$2,2,0)))*$C$6,C124)</f>
        <v>838.92440146004174</v>
      </c>
      <c r="D125" s="183">
        <f ca="1">IFERROR(ROUNDUP(IF(B125=0,0,Agents(B125*C125/600,$C$7,$C$8,C125))/(1-($H$7*(IFERROR(INDIRECT("CURVAS_INTRA!"&amp;ADDRESS(VLOOKUP($A125,CURVAS_INTRA!$A$103:$B$150,2,0),HLOOKUP($C$14,CURVAS_INTRA!$1:$2,2,0))),0)))),0),0)</f>
        <v>16</v>
      </c>
      <c r="E125" s="183">
        <f t="shared" si="36"/>
        <v>12</v>
      </c>
      <c r="F125" s="241">
        <f t="shared" ca="1" si="46"/>
        <v>-4</v>
      </c>
      <c r="G125" s="185">
        <f ca="1">IFERROR(DelayQ(B125*C125/600,E125*((1-$H$7*VLOOKUP(A125,CURVAS_INTRA!$A$103:$AD$150,HLOOKUP($C$14,CURVAS_INTRA!$A$101:$AD$102,2,0),0))),$C$8,C125),0)</f>
        <v>0.30330000000000001</v>
      </c>
      <c r="H125" s="221">
        <v>0</v>
      </c>
      <c r="I125" s="221">
        <v>0</v>
      </c>
      <c r="J125" s="221">
        <v>0</v>
      </c>
      <c r="K125" s="221">
        <v>0</v>
      </c>
      <c r="L125" s="137">
        <f t="shared" si="55"/>
        <v>0</v>
      </c>
      <c r="M125" s="186">
        <f t="shared" si="65"/>
        <v>0</v>
      </c>
      <c r="N125" s="137">
        <f>SUM(J88:J125)</f>
        <v>10</v>
      </c>
      <c r="O125" s="188">
        <f t="shared" si="34"/>
        <v>2</v>
      </c>
      <c r="P125" s="201">
        <f t="shared" ca="1" si="47"/>
        <v>0.89308104955237932</v>
      </c>
      <c r="Q125" s="202">
        <f t="shared" ca="1" si="48"/>
        <v>0.66981078716428455</v>
      </c>
      <c r="R125" s="174">
        <f t="shared" ca="1" si="49"/>
        <v>-7</v>
      </c>
      <c r="S125" s="339"/>
      <c r="T125" s="241">
        <f t="shared" ca="1" si="50"/>
        <v>-4</v>
      </c>
      <c r="U125" s="247">
        <f ca="1">IF(IFERROR(DelayQ(B125*C125/600,(S125/(1-$H$5))+E125*((1-$H$7)*VLOOKUP(A125,CURVAS_INTRA!$A$103:$AD$150,HLOOKUP($C$14,CURVAS_INTRA!$A$101:$AD$102,2,0),0)),$C$8,C125),0)=0,"",IFERROR(DelayQ(B125*C125/600,S125+E125*((1-$H$7)*VLOOKUP(A125,CURVAS_INTRA!$A$103:$AD$150,HLOOKUP($C$14,CURVAS_INTRA!$A$101:$AD$102,2,0),0)),$C$8,C125),0))</f>
        <v>0.30330000000000001</v>
      </c>
      <c r="V125" s="281">
        <f t="shared" ca="1" si="51"/>
        <v>0.30330000000000001</v>
      </c>
      <c r="W125" s="174">
        <f t="shared" si="35"/>
        <v>12</v>
      </c>
      <c r="X125" s="227">
        <v>0.72916666666666496</v>
      </c>
      <c r="Y125" s="220">
        <f t="shared" si="52"/>
        <v>12</v>
      </c>
      <c r="Z125" s="221">
        <f t="shared" si="56"/>
        <v>0</v>
      </c>
      <c r="AA125" s="221">
        <f t="shared" si="57"/>
        <v>0</v>
      </c>
      <c r="AB125" s="221">
        <f t="shared" si="58"/>
        <v>0</v>
      </c>
      <c r="AC125" s="221">
        <f t="shared" si="59"/>
        <v>0</v>
      </c>
      <c r="AD125" s="221">
        <f t="shared" si="60"/>
        <v>0</v>
      </c>
      <c r="AE125" s="221">
        <f t="shared" si="61"/>
        <v>0</v>
      </c>
      <c r="AF125" s="221">
        <f t="shared" si="62"/>
        <v>0</v>
      </c>
      <c r="AG125" s="222">
        <f t="shared" si="53"/>
        <v>12</v>
      </c>
      <c r="AH125" s="222">
        <f t="shared" si="63"/>
        <v>12</v>
      </c>
      <c r="AJ125" s="291">
        <f t="shared" ca="1" si="64"/>
        <v>13</v>
      </c>
      <c r="AK125" s="291">
        <f ca="1">IFERROR(ROUNDUP(IF(B125=0,0,Agents(B125*C125/600,$C$7,$C$8,C125))/(1-($J$12*(IFERROR(INDIRECT("CURVAS_INTRA!"&amp;ADDRESS(VLOOKUP($A125,CURVAS_INTRA!$A$103:$B$150,2,0),HLOOKUP($C$14,CURVAS_INTRA!$1:$2,2,0))),0)))),0),0)</f>
        <v>15</v>
      </c>
      <c r="AM125" s="488">
        <f t="shared" si="54"/>
        <v>0</v>
      </c>
      <c r="AN125" s="174"/>
      <c r="AO125" s="174"/>
      <c r="AP125" s="174"/>
      <c r="AQ125" s="174"/>
      <c r="AR125" s="174"/>
    </row>
    <row r="126" spans="1:44" ht="11.25" customHeight="1">
      <c r="A126" s="599">
        <v>0.73611111111111105</v>
      </c>
      <c r="B126" s="183">
        <f ca="1">IFERROR(INDIRECT("CURVAS_INTRA!"&amp;ADDRESS(VLOOKUP($A125,CURVAS_INTRA!$A$3:$B$50,2,0),HLOOKUP($C$14,CURVAS_INTRA!$1:$2,2,0)))/3*$C$5,$B$19)</f>
        <v>6.2481009057267158</v>
      </c>
      <c r="C126" s="183">
        <f ca="1">IFERROR(INDIRECT("CURVAS_INTRA!"&amp;ADDRESS(VLOOKUP($A126,CURVAS_INTRA!$A$53:$B$100,2,0),HLOOKUP($C$14,CURVAS_INTRA!$1:$2,2,0)))*$C$6,C125)</f>
        <v>838.92440146004174</v>
      </c>
      <c r="D126" s="183">
        <f ca="1">IFERROR(ROUNDUP(IF(B126=0,0,Agents(B126*C126/600,$C$7,$C$8,C126))/(1-($H$7*(IFERROR(INDIRECT("CURVAS_INTRA!"&amp;ADDRESS(VLOOKUP($A125,CURVAS_INTRA!$A$103:$B$150,2,0),HLOOKUP($C$14,CURVAS_INTRA!$1:$2,2,0))),0)))),0),0)</f>
        <v>16</v>
      </c>
      <c r="E126" s="183">
        <f t="shared" si="36"/>
        <v>16</v>
      </c>
      <c r="F126" s="241">
        <f t="shared" ca="1" si="46"/>
        <v>0</v>
      </c>
      <c r="G126" s="185">
        <f ca="1">IFERROR(DelayQ(B126*C126/600,E126*((1-$H$7*VLOOKUP(A125,CURVAS_INTRA!$A$103:$AD$150,HLOOKUP($C$14,CURVAS_INTRA!$A$101:$AD$102,2,0),0))),$C$8,C126),0)</f>
        <v>0.88170000000000004</v>
      </c>
      <c r="H126" s="221">
        <v>0</v>
      </c>
      <c r="I126" s="221">
        <v>0</v>
      </c>
      <c r="J126" s="221">
        <v>4</v>
      </c>
      <c r="K126" s="221">
        <v>0</v>
      </c>
      <c r="L126" s="137">
        <f t="shared" si="55"/>
        <v>0</v>
      </c>
      <c r="M126" s="186">
        <f t="shared" si="65"/>
        <v>0</v>
      </c>
      <c r="N126" s="137">
        <f>SUM(J89:J126)</f>
        <v>14</v>
      </c>
      <c r="O126" s="188">
        <f t="shared" si="34"/>
        <v>2</v>
      </c>
      <c r="P126" s="201">
        <f t="shared" ca="1" si="47"/>
        <v>0.66981078716428455</v>
      </c>
      <c r="Q126" s="202">
        <f t="shared" ca="1" si="48"/>
        <v>0.66981078716428455</v>
      </c>
      <c r="R126" s="174">
        <f ca="1">IF(AND(ROW()&gt;=$B$1,ROW()&lt;=$C$1),SUM(F126:F163),"")</f>
        <v>-3</v>
      </c>
      <c r="S126" s="339"/>
      <c r="T126" s="241">
        <f t="shared" ca="1" si="50"/>
        <v>0</v>
      </c>
      <c r="U126" s="247">
        <f ca="1">IF(IFERROR(DelayQ(B126*C126/600,(S126/(1-$H$5))+E126*((1-$H$7)*VLOOKUP(A125,CURVAS_INTRA!$A$103:$AD$150,HLOOKUP($C$14,CURVAS_INTRA!$A$101:$AD$102,2,0),0)),$C$8,C126),0)=0,"",IFERROR(DelayQ(B126*C126/600,S126+E126*((1-$H$7)*VLOOKUP(A125,CURVAS_INTRA!$A$103:$AD$150,HLOOKUP($C$14,CURVAS_INTRA!$A$101:$AD$102,2,0),0)),$C$8,C126),0))</f>
        <v>0.88170000000000004</v>
      </c>
      <c r="V126" s="281">
        <f t="shared" ca="1" si="51"/>
        <v>0.88170000000000004</v>
      </c>
      <c r="W126" s="174">
        <f t="shared" si="35"/>
        <v>16</v>
      </c>
      <c r="X126" s="227">
        <v>0.73611111111111105</v>
      </c>
      <c r="Y126" s="220">
        <f t="shared" si="52"/>
        <v>16</v>
      </c>
      <c r="Z126" s="221">
        <f t="shared" si="56"/>
        <v>0</v>
      </c>
      <c r="AA126" s="221">
        <f t="shared" si="57"/>
        <v>0</v>
      </c>
      <c r="AB126" s="221">
        <f t="shared" si="58"/>
        <v>0</v>
      </c>
      <c r="AC126" s="221">
        <f t="shared" si="59"/>
        <v>0</v>
      </c>
      <c r="AD126" s="221">
        <f t="shared" si="60"/>
        <v>0</v>
      </c>
      <c r="AE126" s="221">
        <f t="shared" si="61"/>
        <v>0</v>
      </c>
      <c r="AF126" s="221">
        <f t="shared" si="62"/>
        <v>0</v>
      </c>
      <c r="AG126" s="222">
        <f t="shared" si="53"/>
        <v>16</v>
      </c>
      <c r="AH126" s="222">
        <f t="shared" si="63"/>
        <v>16</v>
      </c>
      <c r="AJ126" s="291">
        <f t="shared" ca="1" si="64"/>
        <v>13</v>
      </c>
      <c r="AK126" s="291">
        <f ca="1">IFERROR(ROUNDUP(IF(B126=0,0,Agents(B126*C126/600,$C$7,$C$8,C126))/(1-($J$12*(IFERROR(INDIRECT("CURVAS_INTRA!"&amp;ADDRESS(VLOOKUP($A126,CURVAS_INTRA!$A$103:$B$150,2,0),HLOOKUP($C$14,CURVAS_INTRA!$1:$2,2,0))),0)+IFERROR(INDIRECT("CURVAS_INTRA!"&amp;ADDRESS(VLOOKUP($A125,CURVAS_INTRA!$A$103:$B$150,2,0),HLOOKUP($C$14,CURVAS_INTRA!$1:$2,2,0))),0)))),0),0)</f>
        <v>15</v>
      </c>
      <c r="AM126" s="488">
        <f t="shared" si="54"/>
        <v>4</v>
      </c>
      <c r="AN126" s="174"/>
      <c r="AO126" s="174"/>
      <c r="AP126" s="174"/>
      <c r="AQ126" s="174"/>
      <c r="AR126" s="174"/>
    </row>
    <row r="127" spans="1:44" ht="11.25" customHeight="1">
      <c r="A127" s="599">
        <v>0.74305555555555503</v>
      </c>
      <c r="B127" s="183">
        <f ca="1">IFERROR(INDIRECT("CURVAS_INTRA!"&amp;ADDRESS(VLOOKUP($A125,CURVAS_INTRA!$A$3:$B$50,2,0),HLOOKUP($C$14,CURVAS_INTRA!$1:$2,2,0)))/3*$C$5,B124)</f>
        <v>6.2481009057267158</v>
      </c>
      <c r="C127" s="183">
        <f ca="1">IFERROR(INDIRECT("CURVAS_INTRA!"&amp;ADDRESS(VLOOKUP($A127,CURVAS_INTRA!$A$53:$B$100,2,0),HLOOKUP($C$14,CURVAS_INTRA!$1:$2,2,0)))*$C$6,C126)</f>
        <v>838.92440146004174</v>
      </c>
      <c r="D127" s="183">
        <f ca="1">IFERROR(ROUNDUP(IF(B127=0,0,Agents(B127*C127/600,$C$7,$C$8,C127))/(1-($H$7*(IFERROR(INDIRECT("CURVAS_INTRA!"&amp;ADDRESS(VLOOKUP($A125,CURVAS_INTRA!$A$103:$B$150,2,0),HLOOKUP($C$14,CURVAS_INTRA!$1:$2,2,0))),0)))),0),0)</f>
        <v>16</v>
      </c>
      <c r="E127" s="183">
        <f t="shared" si="36"/>
        <v>16</v>
      </c>
      <c r="F127" s="241">
        <f t="shared" ca="1" si="46"/>
        <v>0</v>
      </c>
      <c r="G127" s="185">
        <f ca="1">IFERROR(DelayQ(B127*C127/600,E127*((1-$H$7*VLOOKUP(A125,CURVAS_INTRA!$A$103:$AD$150,HLOOKUP($C$14,CURVAS_INTRA!$A$101:$AD$102,2,0),0))),$C$8,C127),0)</f>
        <v>0.88170000000000004</v>
      </c>
      <c r="H127" s="221">
        <v>0</v>
      </c>
      <c r="I127" s="221">
        <v>0</v>
      </c>
      <c r="J127" s="221">
        <v>0</v>
      </c>
      <c r="K127" s="221">
        <v>0</v>
      </c>
      <c r="L127" s="137">
        <f t="shared" si="55"/>
        <v>0</v>
      </c>
      <c r="M127" s="186">
        <f t="shared" si="65"/>
        <v>0</v>
      </c>
      <c r="N127" s="137">
        <f t="shared" si="66"/>
        <v>14</v>
      </c>
      <c r="O127" s="188">
        <f t="shared" si="34"/>
        <v>2</v>
      </c>
      <c r="P127" s="201">
        <f t="shared" ca="1" si="47"/>
        <v>0.66981078716428455</v>
      </c>
      <c r="Q127" s="202">
        <f t="shared" ca="1" si="48"/>
        <v>0.66981078716428455</v>
      </c>
      <c r="R127" s="174">
        <f ca="1">IF(AND(ROW()&gt;=$B$1,ROW()&lt;=$C$1),SUM(F127:$F$163)+$F$20,"")</f>
        <v>-2</v>
      </c>
      <c r="S127" s="339"/>
      <c r="T127" s="241">
        <f t="shared" ca="1" si="50"/>
        <v>0</v>
      </c>
      <c r="U127" s="247">
        <f ca="1">IF(IFERROR(DelayQ(B127*C127/600,(S127/(1-$H$5))+E127*((1-$H$7)*VLOOKUP(A125,CURVAS_INTRA!$A$103:$AD$150,HLOOKUP($C$14,CURVAS_INTRA!$A$101:$AD$102,2,0),0)),$C$8,C127),0)=0,"",IFERROR(DelayQ(B127*C127/600,S127+E127*((1-$H$7)*VLOOKUP(A125,CURVAS_INTRA!$A$103:$AD$150,HLOOKUP($C$14,CURVAS_INTRA!$A$101:$AD$102,2,0),0)),$C$8,C127),0))</f>
        <v>0.88170000000000004</v>
      </c>
      <c r="V127" s="281">
        <f t="shared" ca="1" si="51"/>
        <v>0.88170000000000004</v>
      </c>
      <c r="W127" s="174">
        <f t="shared" si="35"/>
        <v>16</v>
      </c>
      <c r="X127" s="227">
        <v>0.74305555555555503</v>
      </c>
      <c r="Y127" s="220">
        <f t="shared" si="52"/>
        <v>16</v>
      </c>
      <c r="Z127" s="221">
        <f t="shared" si="56"/>
        <v>0</v>
      </c>
      <c r="AA127" s="221">
        <f t="shared" si="57"/>
        <v>0</v>
      </c>
      <c r="AB127" s="221">
        <f t="shared" si="58"/>
        <v>0</v>
      </c>
      <c r="AC127" s="221">
        <f t="shared" si="59"/>
        <v>0</v>
      </c>
      <c r="AD127" s="221">
        <f t="shared" si="60"/>
        <v>0</v>
      </c>
      <c r="AE127" s="221">
        <f t="shared" si="61"/>
        <v>0</v>
      </c>
      <c r="AF127" s="221">
        <f t="shared" si="62"/>
        <v>0</v>
      </c>
      <c r="AG127" s="222">
        <f t="shared" si="53"/>
        <v>16</v>
      </c>
      <c r="AH127" s="222">
        <f t="shared" si="63"/>
        <v>16</v>
      </c>
      <c r="AJ127" s="291">
        <f t="shared" ca="1" si="64"/>
        <v>13</v>
      </c>
      <c r="AK127" s="291">
        <f ca="1">IFERROR(ROUNDUP(IF(B127=0,0,Agents(B127*C127/600,$C$7,$C$8,C127))/(1-($J$12*(IFERROR(INDIRECT("CURVAS_INTRA!"&amp;ADDRESS(VLOOKUP($A127,CURVAS_INTRA!$A$103:$B$150,2,0),HLOOKUP($C$14,CURVAS_INTRA!$1:$2,2,0))),0)+IFERROR(INDIRECT("CURVAS_INTRA!"&amp;ADDRESS(VLOOKUP($A126,CURVAS_INTRA!$A$103:$B$150,2,0),HLOOKUP($C$14,CURVAS_INTRA!$1:$2,2,0))),0)+IFERROR(INDIRECT("CURVAS_INTRA!"&amp;ADDRESS(VLOOKUP($A125,CURVAS_INTRA!$A$103:$B$150,2,0),HLOOKUP($C$14,CURVAS_INTRA!$1:$2,2,0))),0)))),0),0)</f>
        <v>15</v>
      </c>
      <c r="AM127" s="488">
        <f t="shared" si="54"/>
        <v>0</v>
      </c>
      <c r="AN127" s="174"/>
      <c r="AO127" s="174"/>
      <c r="AP127" s="174"/>
      <c r="AQ127" s="174"/>
      <c r="AR127" s="174"/>
    </row>
    <row r="128" spans="1:44" ht="11.25" customHeight="1">
      <c r="A128" s="599">
        <v>0.749999999999998</v>
      </c>
      <c r="B128" s="183">
        <f ca="1">IFERROR(INDIRECT("CURVAS_INTRA!"&amp;ADDRESS(VLOOKUP($A128,CURVAS_INTRA!$A$3:$B$50,2,0),HLOOKUP($C$14,CURVAS_INTRA!$1:$2,2,0)))/3*$C$5,$B$19)</f>
        <v>6.0199371726083939</v>
      </c>
      <c r="C128" s="183">
        <f ca="1">IFERROR(INDIRECT("CURVAS_INTRA!"&amp;ADDRESS(VLOOKUP($A128,CURVAS_INTRA!$A$53:$B$100,2,0),HLOOKUP($C$14,CURVAS_INTRA!$1:$2,2,0)))*$C$6,C127)</f>
        <v>843.0857413219976</v>
      </c>
      <c r="D128" s="183">
        <f ca="1">IFERROR(ROUNDUP(IF(B128=0,0,Agents(B128*C128/600,$C$7,$C$8,C128))/(1-($H$7*(IFERROR(INDIRECT("CURVAS_INTRA!"&amp;ADDRESS(VLOOKUP($A128,CURVAS_INTRA!$A$103:$B$150,2,0),HLOOKUP($C$14,CURVAS_INTRA!$1:$2,2,0))),0)))),0),0)</f>
        <v>15</v>
      </c>
      <c r="E128" s="183">
        <f t="shared" si="36"/>
        <v>16</v>
      </c>
      <c r="F128" s="241">
        <f t="shared" ca="1" si="46"/>
        <v>1</v>
      </c>
      <c r="G128" s="185">
        <f ca="1">IFERROR(DelayQ(B128*C128/600,E128*((1-$H$7*VLOOKUP(A128,CURVAS_INTRA!$A$103:$AD$150,HLOOKUP($C$14,CURVAS_INTRA!$A$101:$AD$102,2,0),0))),$C$8,C128),0)</f>
        <v>0.90339999999999998</v>
      </c>
      <c r="H128" s="221">
        <v>0</v>
      </c>
      <c r="I128" s="221">
        <v>0</v>
      </c>
      <c r="J128" s="221">
        <v>0</v>
      </c>
      <c r="K128" s="221">
        <v>0</v>
      </c>
      <c r="L128" s="137">
        <f t="shared" si="55"/>
        <v>0</v>
      </c>
      <c r="M128" s="186">
        <f t="shared" si="65"/>
        <v>0</v>
      </c>
      <c r="N128" s="137">
        <f t="shared" si="66"/>
        <v>14</v>
      </c>
      <c r="O128" s="188">
        <f t="shared" si="34"/>
        <v>2</v>
      </c>
      <c r="P128" s="201">
        <f t="shared" ca="1" si="47"/>
        <v>0.64855226314092318</v>
      </c>
      <c r="Q128" s="202">
        <f t="shared" ca="1" si="48"/>
        <v>0.6917890806836513</v>
      </c>
      <c r="R128" s="174">
        <f ca="1">IF(AND(ROW()&gt;=$B$1,ROW()&lt;=$C$1),SUM(F128:$F$163)+SUM($F$20:F21),"")</f>
        <v>-1</v>
      </c>
      <c r="S128" s="339"/>
      <c r="T128" s="241">
        <f t="shared" ca="1" si="50"/>
        <v>1</v>
      </c>
      <c r="U128" s="247">
        <f ca="1">IF(IFERROR(DelayQ(B128*C128/600,(S128/(1-$H$5))+E128*((1-$H$7)*VLOOKUP(A128,CURVAS_INTRA!$A$103:$AD$150,HLOOKUP($C$14,CURVAS_INTRA!$A$101:$AD$102,2,0),0)),$C$8,C128),0)=0,"",IFERROR(DelayQ(B128*C128/600,S128+E128*((1-$H$7)*VLOOKUP(A128,CURVAS_INTRA!$A$103:$AD$150,HLOOKUP($C$14,CURVAS_INTRA!$A$101:$AD$102,2,0),0)),$C$8,C128),0))</f>
        <v>0.90339999999999998</v>
      </c>
      <c r="V128" s="281">
        <f t="shared" ca="1" si="51"/>
        <v>0.90339999999999998</v>
      </c>
      <c r="W128" s="174">
        <f t="shared" si="35"/>
        <v>16</v>
      </c>
      <c r="X128" s="227">
        <v>0.749999999999998</v>
      </c>
      <c r="Y128" s="220">
        <f t="shared" si="52"/>
        <v>16</v>
      </c>
      <c r="Z128" s="221">
        <f t="shared" si="56"/>
        <v>0</v>
      </c>
      <c r="AA128" s="221">
        <f t="shared" si="57"/>
        <v>0</v>
      </c>
      <c r="AB128" s="221">
        <f t="shared" si="58"/>
        <v>0</v>
      </c>
      <c r="AC128" s="221">
        <f t="shared" si="59"/>
        <v>0</v>
      </c>
      <c r="AD128" s="221">
        <f t="shared" si="60"/>
        <v>0</v>
      </c>
      <c r="AE128" s="221">
        <f t="shared" si="61"/>
        <v>0</v>
      </c>
      <c r="AF128" s="221">
        <f t="shared" si="62"/>
        <v>0</v>
      </c>
      <c r="AG128" s="222">
        <f t="shared" si="53"/>
        <v>16</v>
      </c>
      <c r="AH128" s="222">
        <f t="shared" si="63"/>
        <v>16</v>
      </c>
      <c r="AJ128" s="291">
        <f t="shared" ca="1" si="64"/>
        <v>12</v>
      </c>
      <c r="AK128" s="291">
        <f ca="1">IFERROR(ROUNDUP(IF(B128=0,0,Agents(B128*C128/600,$C$7,$C$8,C128))/(1-($J$12*(IFERROR(INDIRECT("CURVAS_INTRA!"&amp;ADDRESS(VLOOKUP($A128,CURVAS_INTRA!$A$103:$B$150,2,0),HLOOKUP($C$14,CURVAS_INTRA!$1:$2,2,0))),0)))),0),0)</f>
        <v>14</v>
      </c>
      <c r="AM128" s="488">
        <f t="shared" si="54"/>
        <v>0</v>
      </c>
      <c r="AN128" s="174"/>
      <c r="AO128" s="174"/>
      <c r="AP128" s="174"/>
      <c r="AQ128" s="174"/>
      <c r="AR128" s="174"/>
    </row>
    <row r="129" spans="1:44" ht="11.25" customHeight="1">
      <c r="A129" s="599">
        <v>0.75694444444444398</v>
      </c>
      <c r="B129" s="183">
        <f ca="1">IFERROR(INDIRECT("CURVAS_INTRA!"&amp;ADDRESS(VLOOKUP($A128,CURVAS_INTRA!$A$3:$B$50,2,0),HLOOKUP($C$14,CURVAS_INTRA!$1:$2,2,0)))/3*$C$5,$B$19)</f>
        <v>6.0199371726083939</v>
      </c>
      <c r="C129" s="183">
        <f ca="1">IFERROR(INDIRECT("CURVAS_INTRA!"&amp;ADDRESS(VLOOKUP($A129,CURVAS_INTRA!$A$53:$B$100,2,0),HLOOKUP($C$14,CURVAS_INTRA!$1:$2,2,0)))*$C$6,C128)</f>
        <v>843.0857413219976</v>
      </c>
      <c r="D129" s="183">
        <f ca="1">IFERROR(ROUNDUP(IF(B129=0,0,Agents(B129*C129/600,$C$7,$C$8,C129))/(1-($H$7*(IFERROR(INDIRECT("CURVAS_INTRA!"&amp;ADDRESS(VLOOKUP($A128,CURVAS_INTRA!$A$103:$B$150,2,0),HLOOKUP($C$14,CURVAS_INTRA!$1:$2,2,0))),0)))),0),0)</f>
        <v>15</v>
      </c>
      <c r="E129" s="183">
        <f t="shared" si="36"/>
        <v>16</v>
      </c>
      <c r="F129" s="241">
        <f t="shared" ca="1" si="46"/>
        <v>1</v>
      </c>
      <c r="G129" s="185">
        <f ca="1">IFERROR(DelayQ(B129*C129/600,E129*((1-$H$7*VLOOKUP(A128,CURVAS_INTRA!$A$103:$AD$150,HLOOKUP($C$14,CURVAS_INTRA!$A$101:$AD$102,2,0),0))),$C$8,C129),0)</f>
        <v>0.90339999999999998</v>
      </c>
      <c r="H129" s="221">
        <v>0</v>
      </c>
      <c r="I129" s="221">
        <v>0</v>
      </c>
      <c r="J129" s="221">
        <v>0</v>
      </c>
      <c r="K129" s="221">
        <v>0</v>
      </c>
      <c r="L129" s="137">
        <f t="shared" si="55"/>
        <v>0</v>
      </c>
      <c r="M129" s="186">
        <f t="shared" si="65"/>
        <v>0</v>
      </c>
      <c r="N129" s="137">
        <f t="shared" si="66"/>
        <v>14</v>
      </c>
      <c r="O129" s="188">
        <f t="shared" si="34"/>
        <v>2</v>
      </c>
      <c r="P129" s="201">
        <f t="shared" ca="1" si="47"/>
        <v>0.64855226314092318</v>
      </c>
      <c r="Q129" s="202">
        <f t="shared" ca="1" si="48"/>
        <v>0.6917890806836513</v>
      </c>
      <c r="R129" s="174">
        <f ca="1">IF(AND(ROW()&gt;=$B$1,ROW()&lt;=$C$1),SUM(F129:$F$163)+SUM($F$20:F22),"")</f>
        <v>-1</v>
      </c>
      <c r="S129" s="339"/>
      <c r="T129" s="241">
        <f t="shared" ca="1" si="50"/>
        <v>1</v>
      </c>
      <c r="U129" s="247">
        <f ca="1">IF(IFERROR(DelayQ(B129*C129/600,(S129/(1-$H$5))+E129*((1-$H$7)*VLOOKUP(A128,CURVAS_INTRA!$A$103:$AD$150,HLOOKUP($C$14,CURVAS_INTRA!$A$101:$AD$102,2,0),0)),$C$8,C129),0)=0,"",IFERROR(DelayQ(B129*C129/600,S129+E129*((1-$H$7)*VLOOKUP(A128,CURVAS_INTRA!$A$103:$AD$150,HLOOKUP($C$14,CURVAS_INTRA!$A$101:$AD$102,2,0),0)),$C$8,C129),0))</f>
        <v>0.90339999999999998</v>
      </c>
      <c r="V129" s="281">
        <f t="shared" ca="1" si="51"/>
        <v>0.90339999999999998</v>
      </c>
      <c r="W129" s="174">
        <f t="shared" si="35"/>
        <v>16</v>
      </c>
      <c r="X129" s="227">
        <v>0.75694444444444398</v>
      </c>
      <c r="Y129" s="220">
        <f t="shared" si="52"/>
        <v>16</v>
      </c>
      <c r="Z129" s="221">
        <f t="shared" si="56"/>
        <v>0</v>
      </c>
      <c r="AA129" s="221">
        <f t="shared" si="57"/>
        <v>0</v>
      </c>
      <c r="AB129" s="221">
        <f t="shared" si="58"/>
        <v>0</v>
      </c>
      <c r="AC129" s="221">
        <f t="shared" si="59"/>
        <v>0</v>
      </c>
      <c r="AD129" s="221">
        <f t="shared" si="60"/>
        <v>0</v>
      </c>
      <c r="AE129" s="221">
        <f t="shared" si="61"/>
        <v>0</v>
      </c>
      <c r="AF129" s="221">
        <f t="shared" si="62"/>
        <v>0</v>
      </c>
      <c r="AG129" s="222">
        <f t="shared" si="53"/>
        <v>16</v>
      </c>
      <c r="AH129" s="222">
        <f t="shared" si="63"/>
        <v>16</v>
      </c>
      <c r="AJ129" s="291">
        <f t="shared" ca="1" si="64"/>
        <v>12</v>
      </c>
      <c r="AK129" s="291">
        <f ca="1">IFERROR(ROUNDUP(IF(B129=0,0,Agents(B129*C129/600,$C$7,$C$8,C129))/(1-($J$12*(IFERROR(INDIRECT("CURVAS_INTRA!"&amp;ADDRESS(VLOOKUP($A129,CURVAS_INTRA!$A$103:$B$150,2,0),HLOOKUP($C$14,CURVAS_INTRA!$1:$2,2,0))),0)+IFERROR(INDIRECT("CURVAS_INTRA!"&amp;ADDRESS(VLOOKUP($A128,CURVAS_INTRA!$A$103:$B$150,2,0),HLOOKUP($C$14,CURVAS_INTRA!$1:$2,2,0))),0)))),0),0)</f>
        <v>14</v>
      </c>
      <c r="AM129" s="488">
        <f t="shared" si="54"/>
        <v>0</v>
      </c>
      <c r="AN129" s="174"/>
      <c r="AO129" s="174"/>
      <c r="AP129" s="174"/>
      <c r="AQ129" s="174"/>
      <c r="AR129" s="174"/>
    </row>
    <row r="130" spans="1:44" ht="11.25" customHeight="1">
      <c r="A130" s="599">
        <v>0.76388888888888895</v>
      </c>
      <c r="B130" s="183">
        <f ca="1">IFERROR(INDIRECT("CURVAS_INTRA!"&amp;ADDRESS(VLOOKUP($A128,CURVAS_INTRA!$A$3:$B$50,2,0),HLOOKUP($C$14,CURVAS_INTRA!$1:$2,2,0)))/3*$C$5,B127)</f>
        <v>6.0199371726083939</v>
      </c>
      <c r="C130" s="183">
        <f ca="1">IFERROR(INDIRECT("CURVAS_INTRA!"&amp;ADDRESS(VLOOKUP($A130,CURVAS_INTRA!$A$53:$B$100,2,0),HLOOKUP($C$14,CURVAS_INTRA!$1:$2,2,0)))*$C$6,C129)</f>
        <v>843.0857413219976</v>
      </c>
      <c r="D130" s="183">
        <f ca="1">IFERROR(ROUNDUP(IF(B130=0,0,Agents(B130*C130/600,$C$7,$C$8,C130))/(1-($H$7*(IFERROR(INDIRECT("CURVAS_INTRA!"&amp;ADDRESS(VLOOKUP($A128,CURVAS_INTRA!$A$103:$B$150,2,0),HLOOKUP($C$14,CURVAS_INTRA!$1:$2,2,0))),0)))),0),0)</f>
        <v>15</v>
      </c>
      <c r="E130" s="183">
        <f t="shared" si="36"/>
        <v>16</v>
      </c>
      <c r="F130" s="241">
        <f t="shared" ca="1" si="46"/>
        <v>1</v>
      </c>
      <c r="G130" s="185">
        <f ca="1">IFERROR(DelayQ(B130*C130/600,E130*((1-$H$7*VLOOKUP(A128,CURVAS_INTRA!$A$103:$AD$150,HLOOKUP($C$14,CURVAS_INTRA!$A$101:$AD$102,2,0),0))),$C$8,C130),0)</f>
        <v>0.90339999999999998</v>
      </c>
      <c r="H130" s="221">
        <v>0</v>
      </c>
      <c r="I130" s="221">
        <v>0</v>
      </c>
      <c r="J130" s="221">
        <v>0</v>
      </c>
      <c r="K130" s="221">
        <v>0</v>
      </c>
      <c r="L130" s="137">
        <f t="shared" si="55"/>
        <v>0</v>
      </c>
      <c r="M130" s="186">
        <f t="shared" si="65"/>
        <v>0</v>
      </c>
      <c r="N130" s="137">
        <f t="shared" si="66"/>
        <v>14</v>
      </c>
      <c r="O130" s="188">
        <f t="shared" si="34"/>
        <v>2</v>
      </c>
      <c r="P130" s="201">
        <f t="shared" ca="1" si="47"/>
        <v>0.64855226314092318</v>
      </c>
      <c r="Q130" s="202">
        <f t="shared" ca="1" si="48"/>
        <v>0.6917890806836513</v>
      </c>
      <c r="R130" s="174">
        <f ca="1">IF(AND(ROW()&gt;=$B$1,ROW()&lt;=$C$1),SUM(F130:$F$163)+SUM($F$20:F23),"")</f>
        <v>-1</v>
      </c>
      <c r="S130" s="339"/>
      <c r="T130" s="241">
        <f t="shared" ca="1" si="50"/>
        <v>1</v>
      </c>
      <c r="U130" s="247">
        <f ca="1">IF(IFERROR(DelayQ(B130*C130/600,(S130/(1-$H$5))+E130*((1-$H$7)*VLOOKUP(A128,CURVAS_INTRA!$A$103:$AD$150,HLOOKUP($C$14,CURVAS_INTRA!$A$101:$AD$102,2,0),0)),$C$8,C130),0)=0,"",IFERROR(DelayQ(B130*C130/600,S130+E130*((1-$H$7)*VLOOKUP(A128,CURVAS_INTRA!$A$103:$AD$150,HLOOKUP($C$14,CURVAS_INTRA!$A$101:$AD$102,2,0),0)),$C$8,C130),0))</f>
        <v>0.90339999999999998</v>
      </c>
      <c r="V130" s="281">
        <f t="shared" ca="1" si="51"/>
        <v>0.90339999999999998</v>
      </c>
      <c r="W130" s="174">
        <f t="shared" si="35"/>
        <v>16</v>
      </c>
      <c r="X130" s="227">
        <v>0.76388888888888895</v>
      </c>
      <c r="Y130" s="220">
        <f t="shared" si="52"/>
        <v>16</v>
      </c>
      <c r="Z130" s="221">
        <f t="shared" si="56"/>
        <v>0</v>
      </c>
      <c r="AA130" s="221">
        <f t="shared" si="57"/>
        <v>0</v>
      </c>
      <c r="AB130" s="221">
        <f t="shared" si="58"/>
        <v>0</v>
      </c>
      <c r="AC130" s="221">
        <f t="shared" si="59"/>
        <v>0</v>
      </c>
      <c r="AD130" s="221">
        <f t="shared" si="60"/>
        <v>0</v>
      </c>
      <c r="AE130" s="221">
        <f t="shared" si="61"/>
        <v>0</v>
      </c>
      <c r="AF130" s="221">
        <f t="shared" si="62"/>
        <v>0</v>
      </c>
      <c r="AG130" s="222">
        <f t="shared" si="53"/>
        <v>16</v>
      </c>
      <c r="AH130" s="222">
        <f t="shared" si="63"/>
        <v>16</v>
      </c>
      <c r="AJ130" s="291">
        <f t="shared" ca="1" si="64"/>
        <v>12</v>
      </c>
      <c r="AK130" s="291">
        <f ca="1">IFERROR(ROUNDUP(IF(B130=0,0,Agents(B130*C130/600,$C$7,$C$8,C130))/(1-($J$12*(IFERROR(INDIRECT("CURVAS_INTRA!"&amp;ADDRESS(VLOOKUP($A130,CURVAS_INTRA!$A$103:$B$150,2,0),HLOOKUP($C$14,CURVAS_INTRA!$1:$2,2,0))),0)+IFERROR(INDIRECT("CURVAS_INTRA!"&amp;ADDRESS(VLOOKUP($A129,CURVAS_INTRA!$A$103:$B$150,2,0),HLOOKUP($C$14,CURVAS_INTRA!$1:$2,2,0))),0)+IFERROR(INDIRECT("CURVAS_INTRA!"&amp;ADDRESS(VLOOKUP($A128,CURVAS_INTRA!$A$103:$B$150,2,0),HLOOKUP($C$14,CURVAS_INTRA!$1:$2,2,0))),0)))),0),0)</f>
        <v>14</v>
      </c>
      <c r="AM130" s="488">
        <f t="shared" si="54"/>
        <v>0</v>
      </c>
      <c r="AN130" s="174"/>
      <c r="AO130" s="174"/>
      <c r="AP130" s="174"/>
      <c r="AQ130" s="174"/>
      <c r="AR130" s="174"/>
    </row>
    <row r="131" spans="1:44" ht="11.25" customHeight="1">
      <c r="A131" s="599">
        <v>0.77083333333333104</v>
      </c>
      <c r="B131" s="183">
        <f ca="1">IFERROR(INDIRECT("CURVAS_INTRA!"&amp;ADDRESS(VLOOKUP($A131,CURVAS_INTRA!$A$3:$B$50,2,0),HLOOKUP($C$14,CURVAS_INTRA!$1:$2,2,0)))/3*$C$5,$B$19)</f>
        <v>5.8524834679170308</v>
      </c>
      <c r="C131" s="183">
        <f ca="1">IFERROR(INDIRECT("CURVAS_INTRA!"&amp;ADDRESS(VLOOKUP($A131,CURVAS_INTRA!$A$53:$B$100,2,0),HLOOKUP($C$14,CURVAS_INTRA!$1:$2,2,0)))*$C$6,C130)</f>
        <v>791.34360675945004</v>
      </c>
      <c r="D131" s="183">
        <f ca="1">IFERROR(ROUNDUP(IF(B131=0,0,Agents(B131*C131/600,$C$7,$C$8,C131))/(1-($H$7*(IFERROR(INDIRECT("CURVAS_INTRA!"&amp;ADDRESS(VLOOKUP($A131,CURVAS_INTRA!$A$103:$B$150,2,0),HLOOKUP($C$14,CURVAS_INTRA!$1:$2,2,0))),0)))),0),0)</f>
        <v>14</v>
      </c>
      <c r="E131" s="183">
        <f t="shared" si="36"/>
        <v>16</v>
      </c>
      <c r="F131" s="241">
        <f t="shared" ca="1" si="46"/>
        <v>2</v>
      </c>
      <c r="G131" s="185">
        <f ca="1">IFERROR(DelayQ(B131*C131/600,E131*((1-$H$7*VLOOKUP(A131,CURVAS_INTRA!$A$103:$AD$150,HLOOKUP($C$14,CURVAS_INTRA!$A$101:$AD$102,2,0),0))),$C$8,C131),0)</f>
        <v>0.94769999999999999</v>
      </c>
      <c r="H131" s="221">
        <v>0</v>
      </c>
      <c r="I131" s="221">
        <v>0</v>
      </c>
      <c r="J131" s="221">
        <v>0</v>
      </c>
      <c r="K131" s="221">
        <v>0</v>
      </c>
      <c r="L131" s="137">
        <f t="shared" si="55"/>
        <v>0</v>
      </c>
      <c r="M131" s="186">
        <f t="shared" si="65"/>
        <v>0</v>
      </c>
      <c r="N131" s="137">
        <f t="shared" si="66"/>
        <v>14</v>
      </c>
      <c r="O131" s="188">
        <f t="shared" si="34"/>
        <v>2</v>
      </c>
      <c r="P131" s="201">
        <f t="shared" ca="1" si="47"/>
        <v>0.59181581925057458</v>
      </c>
      <c r="Q131" s="202">
        <f t="shared" ca="1" si="48"/>
        <v>0.67636093628637095</v>
      </c>
      <c r="R131" s="174">
        <f ca="1">IF(AND(ROW()&gt;=$B$1,ROW()&lt;=$C$1),SUM(F131:$F$163)+SUM($F$20:F24),"")</f>
        <v>-1</v>
      </c>
      <c r="S131" s="339"/>
      <c r="T131" s="241">
        <f t="shared" ca="1" si="50"/>
        <v>2</v>
      </c>
      <c r="U131" s="247">
        <f ca="1">IF(IFERROR(DelayQ(B131*C131/600,(S131/(1-$H$5))+E131*((1-$H$7)*VLOOKUP(A131,CURVAS_INTRA!$A$103:$AD$150,HLOOKUP($C$14,CURVAS_INTRA!$A$101:$AD$102,2,0),0)),$C$8,C131),0)=0,"",IFERROR(DelayQ(B131*C131/600,S131+E131*((1-$H$7)*VLOOKUP(A131,CURVAS_INTRA!$A$103:$AD$150,HLOOKUP($C$14,CURVAS_INTRA!$A$101:$AD$102,2,0),0)),$C$8,C131),0))</f>
        <v>0.94769999999999999</v>
      </c>
      <c r="V131" s="281">
        <f t="shared" ca="1" si="51"/>
        <v>0.94769999999999999</v>
      </c>
      <c r="W131" s="174">
        <f t="shared" si="35"/>
        <v>16</v>
      </c>
      <c r="X131" s="227">
        <v>0.77083333333333104</v>
      </c>
      <c r="Y131" s="220">
        <f t="shared" si="52"/>
        <v>16</v>
      </c>
      <c r="Z131" s="221">
        <f t="shared" si="56"/>
        <v>0</v>
      </c>
      <c r="AA131" s="221">
        <f t="shared" si="57"/>
        <v>0</v>
      </c>
      <c r="AB131" s="221">
        <f t="shared" si="58"/>
        <v>0</v>
      </c>
      <c r="AC131" s="221">
        <f t="shared" si="59"/>
        <v>0</v>
      </c>
      <c r="AD131" s="221">
        <f t="shared" si="60"/>
        <v>0</v>
      </c>
      <c r="AE131" s="221">
        <f t="shared" si="61"/>
        <v>0</v>
      </c>
      <c r="AF131" s="221">
        <f t="shared" si="62"/>
        <v>0</v>
      </c>
      <c r="AG131" s="222">
        <f t="shared" si="53"/>
        <v>16</v>
      </c>
      <c r="AH131" s="222">
        <f t="shared" si="63"/>
        <v>16</v>
      </c>
      <c r="AJ131" s="291">
        <f t="shared" ca="1" si="64"/>
        <v>11</v>
      </c>
      <c r="AK131" s="291">
        <f ca="1">IFERROR(ROUNDUP(IF(B131=0,0,Agents(B131*C131/600,$C$7,$C$8,C131))/(1-($J$12*(IFERROR(INDIRECT("CURVAS_INTRA!"&amp;ADDRESS(VLOOKUP($A131,CURVAS_INTRA!$A$103:$B$150,2,0),HLOOKUP($C$14,CURVAS_INTRA!$1:$2,2,0))),0)))),0),0)</f>
        <v>13</v>
      </c>
      <c r="AM131" s="488">
        <f t="shared" si="54"/>
        <v>0</v>
      </c>
      <c r="AN131" s="174"/>
      <c r="AO131" s="174"/>
      <c r="AP131" s="174"/>
      <c r="AQ131" s="174"/>
      <c r="AR131" s="174"/>
    </row>
    <row r="132" spans="1:44" ht="11.25" customHeight="1">
      <c r="A132" s="599">
        <v>0.77777777777777801</v>
      </c>
      <c r="B132" s="183">
        <f ca="1">IFERROR(INDIRECT("CURVAS_INTRA!"&amp;ADDRESS(VLOOKUP($A131,CURVAS_INTRA!$A$3:$B$50,2,0),HLOOKUP($C$14,CURVAS_INTRA!$1:$2,2,0)))/3*$C$5,$B$19)</f>
        <v>5.8524834679170308</v>
      </c>
      <c r="C132" s="183">
        <f ca="1">IFERROR(INDIRECT("CURVAS_INTRA!"&amp;ADDRESS(VLOOKUP($A132,CURVAS_INTRA!$A$53:$B$100,2,0),HLOOKUP($C$14,CURVAS_INTRA!$1:$2,2,0)))*$C$6,C131)</f>
        <v>791.34360675945004</v>
      </c>
      <c r="D132" s="183">
        <f ca="1">IFERROR(ROUNDUP(IF(B132=0,0,Agents(B132*C132/600,$C$7,$C$8,C132))/(1-($H$7*(IFERROR(INDIRECT("CURVAS_INTRA!"&amp;ADDRESS(VLOOKUP($A131,CURVAS_INTRA!$A$103:$B$150,2,0),HLOOKUP($C$14,CURVAS_INTRA!$1:$2,2,0))),0)))),0),0)</f>
        <v>14</v>
      </c>
      <c r="E132" s="183">
        <f t="shared" si="36"/>
        <v>16</v>
      </c>
      <c r="F132" s="241">
        <f t="shared" ca="1" si="46"/>
        <v>2</v>
      </c>
      <c r="G132" s="185">
        <f ca="1">IFERROR(DelayQ(B132*C132/600,E132*((1-$H$7*VLOOKUP(A131,CURVAS_INTRA!$A$103:$AD$150,HLOOKUP($C$14,CURVAS_INTRA!$A$101:$AD$102,2,0),0))),$C$8,C132),0)</f>
        <v>0.94769999999999999</v>
      </c>
      <c r="H132" s="221">
        <v>0</v>
      </c>
      <c r="I132" s="221">
        <v>0</v>
      </c>
      <c r="J132" s="221">
        <v>0</v>
      </c>
      <c r="K132" s="221">
        <v>0</v>
      </c>
      <c r="L132" s="137">
        <f t="shared" si="55"/>
        <v>0</v>
      </c>
      <c r="M132" s="186">
        <f t="shared" si="65"/>
        <v>0</v>
      </c>
      <c r="N132" s="137">
        <f t="shared" si="66"/>
        <v>14</v>
      </c>
      <c r="O132" s="188">
        <f t="shared" si="34"/>
        <v>2</v>
      </c>
      <c r="P132" s="201">
        <f t="shared" ca="1" si="47"/>
        <v>0.59181581925057458</v>
      </c>
      <c r="Q132" s="202">
        <f t="shared" ca="1" si="48"/>
        <v>0.67636093628637095</v>
      </c>
      <c r="R132" s="174">
        <f ca="1">IF(AND(ROW()&gt;=$B$1,ROW()&lt;=$C$1),SUM(F132:$F$163)+SUM($F$20:F25),"")</f>
        <v>-2</v>
      </c>
      <c r="S132" s="339"/>
      <c r="T132" s="241">
        <f t="shared" ca="1" si="50"/>
        <v>2</v>
      </c>
      <c r="U132" s="247">
        <f ca="1">IF(IFERROR(DelayQ(B132*C132/600,(S132/(1-$H$5))+E132*((1-$H$7)*VLOOKUP(A131,CURVAS_INTRA!$A$103:$AD$150,HLOOKUP($C$14,CURVAS_INTRA!$A$101:$AD$102,2,0),0)),$C$8,C132),0)=0,"",IFERROR(DelayQ(B132*C132/600,S132+E132*((1-$H$7)*VLOOKUP(A131,CURVAS_INTRA!$A$103:$AD$150,HLOOKUP($C$14,CURVAS_INTRA!$A$101:$AD$102,2,0),0)),$C$8,C132),0))</f>
        <v>0.94769999999999999</v>
      </c>
      <c r="V132" s="281">
        <f t="shared" ca="1" si="51"/>
        <v>0.94769999999999999</v>
      </c>
      <c r="W132" s="174">
        <f t="shared" si="35"/>
        <v>16</v>
      </c>
      <c r="X132" s="227">
        <v>0.77777777777777801</v>
      </c>
      <c r="Y132" s="220">
        <f t="shared" si="52"/>
        <v>16</v>
      </c>
      <c r="Z132" s="221">
        <f t="shared" si="56"/>
        <v>0</v>
      </c>
      <c r="AA132" s="221">
        <f t="shared" si="57"/>
        <v>0</v>
      </c>
      <c r="AB132" s="221">
        <f t="shared" si="58"/>
        <v>0</v>
      </c>
      <c r="AC132" s="221">
        <f t="shared" si="59"/>
        <v>0</v>
      </c>
      <c r="AD132" s="221">
        <f t="shared" si="60"/>
        <v>0</v>
      </c>
      <c r="AE132" s="221">
        <f t="shared" si="61"/>
        <v>0</v>
      </c>
      <c r="AF132" s="221">
        <f t="shared" si="62"/>
        <v>0</v>
      </c>
      <c r="AG132" s="222">
        <f t="shared" si="53"/>
        <v>16</v>
      </c>
      <c r="AH132" s="222">
        <f t="shared" si="63"/>
        <v>16</v>
      </c>
      <c r="AJ132" s="291">
        <f t="shared" ca="1" si="64"/>
        <v>11</v>
      </c>
      <c r="AK132" s="291">
        <f ca="1">IFERROR(ROUNDUP(IF(B132=0,0,Agents(B132*C132/600,$C$7,$C$8,C132))/(1-($J$12*(IFERROR(INDIRECT("CURVAS_INTRA!"&amp;ADDRESS(VLOOKUP($A132,CURVAS_INTRA!$A$103:$B$150,2,0),HLOOKUP($C$14,CURVAS_INTRA!$1:$2,2,0))),0)+IFERROR(INDIRECT("CURVAS_INTRA!"&amp;ADDRESS(VLOOKUP($A131,CURVAS_INTRA!$A$103:$B$150,2,0),HLOOKUP($C$14,CURVAS_INTRA!$1:$2,2,0))),0)))),0),0)</f>
        <v>13</v>
      </c>
      <c r="AM132" s="488">
        <f t="shared" si="54"/>
        <v>0</v>
      </c>
      <c r="AN132" s="174"/>
      <c r="AO132" s="174"/>
      <c r="AP132" s="174"/>
      <c r="AQ132" s="174"/>
      <c r="AR132" s="174"/>
    </row>
    <row r="133" spans="1:44" ht="11.25" customHeight="1">
      <c r="A133" s="599">
        <v>0.78472222222222199</v>
      </c>
      <c r="B133" s="183">
        <f ca="1">IFERROR(INDIRECT("CURVAS_INTRA!"&amp;ADDRESS(VLOOKUP($A131,CURVAS_INTRA!$A$3:$B$50,2,0),HLOOKUP($C$14,CURVAS_INTRA!$1:$2,2,0)))/3*$C$5,B130)</f>
        <v>5.8524834679170308</v>
      </c>
      <c r="C133" s="183">
        <f ca="1">IFERROR(INDIRECT("CURVAS_INTRA!"&amp;ADDRESS(VLOOKUP($A133,CURVAS_INTRA!$A$53:$B$100,2,0),HLOOKUP($C$14,CURVAS_INTRA!$1:$2,2,0)))*$C$6,C132)</f>
        <v>791.34360675945004</v>
      </c>
      <c r="D133" s="183">
        <f ca="1">IFERROR(ROUNDUP(IF(B133=0,0,Agents(B133*C133/600,$C$7,$C$8,C133))/(1-($H$7*(IFERROR(INDIRECT("CURVAS_INTRA!"&amp;ADDRESS(VLOOKUP($A131,CURVAS_INTRA!$A$103:$B$150,2,0),HLOOKUP($C$14,CURVAS_INTRA!$1:$2,2,0))),0)))),0),0)</f>
        <v>14</v>
      </c>
      <c r="E133" s="183">
        <f t="shared" si="36"/>
        <v>16</v>
      </c>
      <c r="F133" s="241">
        <f t="shared" ca="1" si="46"/>
        <v>2</v>
      </c>
      <c r="G133" s="185">
        <f ca="1">IFERROR(DelayQ(B133*C133/600,E133*((1-$H$7*VLOOKUP(A131,CURVAS_INTRA!$A$103:$AD$150,HLOOKUP($C$14,CURVAS_INTRA!$A$101:$AD$102,2,0),0))),$C$8,C133),0)</f>
        <v>0.94769999999999999</v>
      </c>
      <c r="H133" s="221">
        <v>0</v>
      </c>
      <c r="I133" s="221">
        <v>0</v>
      </c>
      <c r="J133" s="221">
        <v>0</v>
      </c>
      <c r="K133" s="221">
        <v>0</v>
      </c>
      <c r="L133" s="137">
        <f t="shared" si="55"/>
        <v>0</v>
      </c>
      <c r="M133" s="186">
        <f t="shared" si="65"/>
        <v>0</v>
      </c>
      <c r="N133" s="137">
        <f>SUM(J96:J133)</f>
        <v>14</v>
      </c>
      <c r="O133" s="188">
        <f t="shared" ref="O133:O163" si="67">SUM(K85:K133)</f>
        <v>2</v>
      </c>
      <c r="P133" s="201">
        <f t="shared" ca="1" si="47"/>
        <v>0.59181581925057458</v>
      </c>
      <c r="Q133" s="202">
        <f t="shared" ca="1" si="48"/>
        <v>0.67636093628637095</v>
      </c>
      <c r="R133" s="174">
        <f ca="1">IF(AND(ROW()&gt;=$B$1,ROW()&lt;=$C$1),SUM(F133:$F$163)+SUM($F$20:F26),"")</f>
        <v>-3</v>
      </c>
      <c r="S133" s="339"/>
      <c r="T133" s="241">
        <f t="shared" ca="1" si="50"/>
        <v>2</v>
      </c>
      <c r="U133" s="247">
        <f ca="1">IF(IFERROR(DelayQ(B133*C133/600,(S133/(1-$H$5))+E133*((1-$H$7)*VLOOKUP(A131,CURVAS_INTRA!$A$103:$AD$150,HLOOKUP($C$14,CURVAS_INTRA!$A$101:$AD$102,2,0),0)),$C$8,C133),0)=0,"",IFERROR(DelayQ(B133*C133/600,S133+E133*((1-$H$7)*VLOOKUP(A131,CURVAS_INTRA!$A$103:$AD$150,HLOOKUP($C$14,CURVAS_INTRA!$A$101:$AD$102,2,0),0)),$C$8,C133),0))</f>
        <v>0.94769999999999999</v>
      </c>
      <c r="V133" s="281">
        <f t="shared" ca="1" si="51"/>
        <v>0.94769999999999999</v>
      </c>
      <c r="W133" s="174">
        <f t="shared" si="35"/>
        <v>16</v>
      </c>
      <c r="X133" s="227">
        <v>0.78472222222222199</v>
      </c>
      <c r="Y133" s="220">
        <f t="shared" si="52"/>
        <v>16</v>
      </c>
      <c r="Z133" s="221">
        <f t="shared" si="56"/>
        <v>0</v>
      </c>
      <c r="AA133" s="221">
        <f t="shared" si="57"/>
        <v>0</v>
      </c>
      <c r="AB133" s="221">
        <f t="shared" si="58"/>
        <v>0</v>
      </c>
      <c r="AC133" s="221">
        <f t="shared" si="59"/>
        <v>0</v>
      </c>
      <c r="AD133" s="221">
        <f t="shared" si="60"/>
        <v>0</v>
      </c>
      <c r="AE133" s="221">
        <f t="shared" si="61"/>
        <v>0</v>
      </c>
      <c r="AF133" s="221">
        <f t="shared" si="62"/>
        <v>0</v>
      </c>
      <c r="AG133" s="222">
        <f t="shared" si="53"/>
        <v>16</v>
      </c>
      <c r="AH133" s="222">
        <f t="shared" si="63"/>
        <v>16</v>
      </c>
      <c r="AJ133" s="291">
        <f t="shared" ca="1" si="64"/>
        <v>11</v>
      </c>
      <c r="AK133" s="291">
        <f ca="1">IFERROR(ROUNDUP(IF(B133=0,0,Agents(B133*C133/600,$C$7,$C$8,C133))/(1-($J$12*(IFERROR(INDIRECT("CURVAS_INTRA!"&amp;ADDRESS(VLOOKUP($A133,CURVAS_INTRA!$A$103:$B$150,2,0),HLOOKUP($C$14,CURVAS_INTRA!$1:$2,2,0))),0)+IFERROR(INDIRECT("CURVAS_INTRA!"&amp;ADDRESS(VLOOKUP($A132,CURVAS_INTRA!$A$103:$B$150,2,0),HLOOKUP($C$14,CURVAS_INTRA!$1:$2,2,0))),0)+IFERROR(INDIRECT("CURVAS_INTRA!"&amp;ADDRESS(VLOOKUP($A131,CURVAS_INTRA!$A$103:$B$150,2,0),HLOOKUP($C$14,CURVAS_INTRA!$1:$2,2,0))),0)))),0),0)</f>
        <v>13</v>
      </c>
      <c r="AM133" s="488">
        <f t="shared" si="54"/>
        <v>0</v>
      </c>
      <c r="AN133" s="174"/>
      <c r="AO133" s="174"/>
      <c r="AP133" s="174"/>
      <c r="AQ133" s="174"/>
      <c r="AR133" s="174"/>
    </row>
    <row r="134" spans="1:44" ht="11.25" customHeight="1">
      <c r="A134" s="599">
        <v>0.79166666666666397</v>
      </c>
      <c r="B134" s="183">
        <f ca="1">IFERROR(INDIRECT("CURVAS_INTRA!"&amp;ADDRESS(VLOOKUP($A134,CURVAS_INTRA!$A$3:$B$50,2,0),HLOOKUP($C$14,CURVAS_INTRA!$1:$2,2,0)))/3*$C$5,$B$19)</f>
        <v>5.2026670549227854</v>
      </c>
      <c r="C134" s="345">
        <f ca="1">IFERROR(INDIRECT("CURVAS_INTRA!"&amp;ADDRESS(VLOOKUP($A134,CURVAS_INTRA!$A$53:$B$100,2,0),HLOOKUP($C$14,CURVAS_INTRA!$1:$2,2,0)))*$C$6,C133)</f>
        <v>787.47490996802253</v>
      </c>
      <c r="D134" s="183">
        <f ca="1">IFERROR(ROUNDUP(IF(B134=0,0,Agents(B134*C134/600,$C$7,$C$8,C134))/(1-($H$7*(IFERROR(INDIRECT("CURVAS_INTRA!"&amp;ADDRESS(VLOOKUP($A134,CURVAS_INTRA!$A$103:$B$150,2,0),HLOOKUP($C$14,CURVAS_INTRA!$1:$2,2,0))),0)))),0),0)</f>
        <v>13</v>
      </c>
      <c r="E134" s="345">
        <f t="shared" si="36"/>
        <v>14</v>
      </c>
      <c r="F134" s="346">
        <f t="shared" ca="1" si="46"/>
        <v>1</v>
      </c>
      <c r="G134" s="185">
        <f ca="1">IFERROR(DelayQ(B134*C134/600,E134*((1-$H$7*VLOOKUP(A134,CURVAS_INTRA!$A$103:$AD$150,HLOOKUP($C$14,CURVAS_INTRA!$A$101:$AD$102,2,0),0))),$C$8,C134),0)</f>
        <v>0.91090000000000004</v>
      </c>
      <c r="H134" s="221">
        <v>0</v>
      </c>
      <c r="I134" s="221">
        <v>0</v>
      </c>
      <c r="J134" s="221">
        <v>0</v>
      </c>
      <c r="K134" s="221">
        <v>0</v>
      </c>
      <c r="L134" s="137">
        <f t="shared" si="55"/>
        <v>0</v>
      </c>
      <c r="M134" s="186">
        <f t="shared" si="65"/>
        <v>0</v>
      </c>
      <c r="N134" s="137">
        <f t="shared" si="66"/>
        <v>12</v>
      </c>
      <c r="O134" s="188">
        <f t="shared" si="67"/>
        <v>2</v>
      </c>
      <c r="P134" s="201">
        <f t="shared" ca="1" si="47"/>
        <v>0.5983233923458372</v>
      </c>
      <c r="Q134" s="202">
        <f t="shared" ca="1" si="48"/>
        <v>0.6443482686801324</v>
      </c>
      <c r="R134" s="174">
        <f ca="1">IF(AND(ROW()&gt;=$B$1,ROW()&lt;=$C$1),SUM(F134:$F$163)+SUM($F$20:F27),"")</f>
        <v>-4</v>
      </c>
      <c r="S134" s="339"/>
      <c r="T134" s="241">
        <f t="shared" ca="1" si="50"/>
        <v>1</v>
      </c>
      <c r="U134" s="247">
        <f ca="1">IF(IFERROR(DelayQ(B134*C134/600,(S134/(1-$H$5))+E134*((1-$H$7)*VLOOKUP(A134,CURVAS_INTRA!$A$103:$AD$150,HLOOKUP($C$14,CURVAS_INTRA!$A$101:$AD$102,2,0),0)),$C$8,C134),0)=0,"",IFERROR(DelayQ(B134*C134/600,S134+E134*((1-$H$7)*VLOOKUP(A134,CURVAS_INTRA!$A$103:$AD$150,HLOOKUP($C$14,CURVAS_INTRA!$A$101:$AD$102,2,0),0)),$C$8,C134),0))</f>
        <v>0.91090000000000004</v>
      </c>
      <c r="V134" s="281">
        <f t="shared" ca="1" si="51"/>
        <v>0.91090000000000004</v>
      </c>
      <c r="W134" s="174">
        <f t="shared" si="35"/>
        <v>14</v>
      </c>
      <c r="X134" s="227">
        <v>0.79166666666666397</v>
      </c>
      <c r="Y134" s="220">
        <f t="shared" si="52"/>
        <v>14</v>
      </c>
      <c r="Z134" s="221">
        <f t="shared" si="56"/>
        <v>0</v>
      </c>
      <c r="AA134" s="221">
        <f t="shared" si="57"/>
        <v>0</v>
      </c>
      <c r="AB134" s="221">
        <f t="shared" si="58"/>
        <v>0</v>
      </c>
      <c r="AC134" s="221">
        <f t="shared" si="59"/>
        <v>0</v>
      </c>
      <c r="AD134" s="221">
        <f t="shared" si="60"/>
        <v>0</v>
      </c>
      <c r="AE134" s="221">
        <f t="shared" si="61"/>
        <v>0</v>
      </c>
      <c r="AF134" s="221">
        <f t="shared" si="62"/>
        <v>0</v>
      </c>
      <c r="AG134" s="222">
        <f t="shared" si="53"/>
        <v>14</v>
      </c>
      <c r="AH134" s="222">
        <f t="shared" si="63"/>
        <v>14</v>
      </c>
      <c r="AJ134" s="291">
        <f t="shared" ca="1" si="64"/>
        <v>10</v>
      </c>
      <c r="AK134" s="291">
        <f ca="1">IFERROR(ROUNDUP(IF(B134=0,0,Agents(B134*C134/600,$C$7,$C$8,C134))/(1-($J$12*(IFERROR(INDIRECT("CURVAS_INTRA!"&amp;ADDRESS(VLOOKUP($A134,CURVAS_INTRA!$A$103:$B$150,2,0),HLOOKUP($C$14,CURVAS_INTRA!$1:$2,2,0))),0)))),0),0)</f>
        <v>12</v>
      </c>
      <c r="AM134" s="488">
        <f t="shared" si="54"/>
        <v>0</v>
      </c>
      <c r="AN134" s="174"/>
      <c r="AO134" s="174"/>
      <c r="AP134" s="174"/>
      <c r="AQ134" s="174"/>
      <c r="AR134" s="174"/>
    </row>
    <row r="135" spans="1:44" ht="11.25" customHeight="1">
      <c r="A135" s="599">
        <v>0.79861111111111105</v>
      </c>
      <c r="B135" s="183">
        <f ca="1">IFERROR(INDIRECT("CURVAS_INTRA!"&amp;ADDRESS(VLOOKUP($A134,CURVAS_INTRA!$A$3:$B$50,2,0),HLOOKUP($C$14,CURVAS_INTRA!$1:$2,2,0)))/3*$C$5,$B$19)</f>
        <v>5.2026670549227854</v>
      </c>
      <c r="C135" s="345">
        <f ca="1">IFERROR(INDIRECT("CURVAS_INTRA!"&amp;ADDRESS(VLOOKUP($A135,CURVAS_INTRA!$A$53:$B$100,2,0),HLOOKUP($C$14,CURVAS_INTRA!$1:$2,2,0)))*$C$6,C134)</f>
        <v>787.47490996802253</v>
      </c>
      <c r="D135" s="183">
        <f ca="1">IFERROR(ROUNDUP(IF(B135=0,0,Agents(B135*C135/600,$C$7,$C$8,C135))/(1-($H$7*(IFERROR(INDIRECT("CURVAS_INTRA!"&amp;ADDRESS(VLOOKUP($A134,CURVAS_INTRA!$A$103:$B$150,2,0),HLOOKUP($C$14,CURVAS_INTRA!$1:$2,2,0))),0)))),0),0)</f>
        <v>13</v>
      </c>
      <c r="E135" s="345">
        <f t="shared" si="36"/>
        <v>14</v>
      </c>
      <c r="F135" s="346">
        <f t="shared" ca="1" si="46"/>
        <v>1</v>
      </c>
      <c r="G135" s="185">
        <f ca="1">IFERROR(DelayQ(B135*C135/600,E135*((1-$H$7*VLOOKUP(A134,CURVAS_INTRA!$A$103:$AD$150,HLOOKUP($C$14,CURVAS_INTRA!$A$101:$AD$102,2,0),0))),$C$8,C135),0)</f>
        <v>0.91090000000000004</v>
      </c>
      <c r="H135" s="221">
        <v>0</v>
      </c>
      <c r="I135" s="221">
        <v>0</v>
      </c>
      <c r="J135" s="221">
        <v>0</v>
      </c>
      <c r="K135" s="221">
        <v>0</v>
      </c>
      <c r="L135" s="137">
        <f t="shared" si="55"/>
        <v>0</v>
      </c>
      <c r="M135" s="186">
        <f t="shared" si="65"/>
        <v>0</v>
      </c>
      <c r="N135" s="183">
        <f>SUM(J98:J135)</f>
        <v>12</v>
      </c>
      <c r="O135" s="188">
        <f t="shared" si="67"/>
        <v>2</v>
      </c>
      <c r="P135" s="201">
        <f t="shared" ca="1" si="47"/>
        <v>0.5983233923458372</v>
      </c>
      <c r="Q135" s="202">
        <f t="shared" ca="1" si="48"/>
        <v>0.6443482686801324</v>
      </c>
      <c r="R135" s="174">
        <f ca="1">IF(AND(ROW()&gt;=$B$1,ROW()&lt;=$C$1),SUM(F135:$F$163)+SUM($F$20:F28),"")</f>
        <v>-4</v>
      </c>
      <c r="S135" s="339"/>
      <c r="T135" s="241">
        <f t="shared" ca="1" si="50"/>
        <v>1</v>
      </c>
      <c r="U135" s="247">
        <f ca="1">IF(IFERROR(DelayQ(B135*C135/600,(S135/(1-$H$5))+E135*((1-$H$7)*VLOOKUP(A134,CURVAS_INTRA!$A$103:$AD$150,HLOOKUP($C$14,CURVAS_INTRA!$A$101:$AD$102,2,0),0)),$C$8,C135),0)=0,"",IFERROR(DelayQ(B135*C135/600,S135+E135*((1-$H$7)*VLOOKUP(A134,CURVAS_INTRA!$A$103:$AD$150,HLOOKUP($C$14,CURVAS_INTRA!$A$101:$AD$102,2,0),0)),$C$8,C135),0))</f>
        <v>0.91090000000000004</v>
      </c>
      <c r="V135" s="281">
        <f t="shared" ca="1" si="51"/>
        <v>0.91090000000000004</v>
      </c>
      <c r="W135" s="174">
        <f t="shared" si="35"/>
        <v>14</v>
      </c>
      <c r="X135" s="227">
        <v>0.79861111111111105</v>
      </c>
      <c r="Y135" s="220">
        <f t="shared" si="52"/>
        <v>14</v>
      </c>
      <c r="Z135" s="221">
        <f t="shared" si="56"/>
        <v>0</v>
      </c>
      <c r="AA135" s="221">
        <f t="shared" si="57"/>
        <v>0</v>
      </c>
      <c r="AB135" s="221">
        <f t="shared" si="58"/>
        <v>0</v>
      </c>
      <c r="AC135" s="221">
        <f t="shared" si="59"/>
        <v>0</v>
      </c>
      <c r="AD135" s="221">
        <f t="shared" si="60"/>
        <v>0</v>
      </c>
      <c r="AE135" s="221">
        <f t="shared" si="61"/>
        <v>0</v>
      </c>
      <c r="AF135" s="221">
        <f t="shared" si="62"/>
        <v>0</v>
      </c>
      <c r="AG135" s="222">
        <f t="shared" si="53"/>
        <v>14</v>
      </c>
      <c r="AH135" s="222">
        <f t="shared" si="63"/>
        <v>14</v>
      </c>
      <c r="AJ135" s="291">
        <f t="shared" ca="1" si="64"/>
        <v>10</v>
      </c>
      <c r="AK135" s="291">
        <f ca="1">IFERROR(ROUNDUP(IF(B135=0,0,Agents(B135*C135/600,$C$7,$C$8,C135))/(1-($J$12*(IFERROR(INDIRECT("CURVAS_INTRA!"&amp;ADDRESS(VLOOKUP($A135,CURVAS_INTRA!$A$103:$B$150,2,0),HLOOKUP($C$14,CURVAS_INTRA!$1:$2,2,0))),0)+IFERROR(INDIRECT("CURVAS_INTRA!"&amp;ADDRESS(VLOOKUP($A134,CURVAS_INTRA!$A$103:$B$150,2,0),HLOOKUP($C$14,CURVAS_INTRA!$1:$2,2,0))),0)))),0),0)</f>
        <v>12</v>
      </c>
      <c r="AM135" s="488">
        <f t="shared" si="54"/>
        <v>0</v>
      </c>
      <c r="AN135" s="174"/>
      <c r="AO135" s="174"/>
      <c r="AP135" s="174"/>
      <c r="AQ135" s="174"/>
      <c r="AR135" s="174"/>
    </row>
    <row r="136" spans="1:44" ht="11.25" customHeight="1">
      <c r="A136" s="599">
        <v>0.80555555555555503</v>
      </c>
      <c r="B136" s="183">
        <f ca="1">IFERROR(INDIRECT("CURVAS_INTRA!"&amp;ADDRESS(VLOOKUP($A134,CURVAS_INTRA!$A$3:$B$50,2,0),HLOOKUP($C$14,CURVAS_INTRA!$1:$2,2,0)))/3*$C$5,B133)</f>
        <v>5.2026670549227854</v>
      </c>
      <c r="C136" s="345">
        <f ca="1">IFERROR(INDIRECT("CURVAS_INTRA!"&amp;ADDRESS(VLOOKUP($A136,CURVAS_INTRA!$A$53:$B$100,2,0),HLOOKUP($C$14,CURVAS_INTRA!$1:$2,2,0)))*$C$6,C135)</f>
        <v>787.47490996802253</v>
      </c>
      <c r="D136" s="183">
        <f ca="1">IFERROR(ROUNDUP(IF(B136=0,0,Agents(B136*C136/600,$C$7,$C$8,C136))/(1-($H$7*(IFERROR(INDIRECT("CURVAS_INTRA!"&amp;ADDRESS(VLOOKUP($A134,CURVAS_INTRA!$A$103:$B$150,2,0),HLOOKUP($C$14,CURVAS_INTRA!$1:$2,2,0))),0)))),0),0)</f>
        <v>13</v>
      </c>
      <c r="E136" s="345">
        <f t="shared" si="36"/>
        <v>14</v>
      </c>
      <c r="F136" s="346">
        <f t="shared" ca="1" si="46"/>
        <v>1</v>
      </c>
      <c r="G136" s="185">
        <f ca="1">IFERROR(DelayQ(B136*C136/600,E136*((1-$H$7*VLOOKUP(A134,CURVAS_INTRA!$A$103:$AD$150,HLOOKUP($C$14,CURVAS_INTRA!$A$101:$AD$102,2,0),0))),$C$8,C136),0)</f>
        <v>0.91090000000000004</v>
      </c>
      <c r="H136" s="221">
        <v>0</v>
      </c>
      <c r="I136" s="221">
        <v>0</v>
      </c>
      <c r="J136" s="221">
        <v>0</v>
      </c>
      <c r="K136" s="221">
        <v>0</v>
      </c>
      <c r="L136" s="137">
        <f t="shared" si="55"/>
        <v>0</v>
      </c>
      <c r="M136" s="186">
        <f t="shared" si="65"/>
        <v>0</v>
      </c>
      <c r="N136" s="137">
        <f>SUM(J99:J136)</f>
        <v>12</v>
      </c>
      <c r="O136" s="188">
        <f t="shared" si="67"/>
        <v>2</v>
      </c>
      <c r="P136" s="201">
        <f t="shared" ca="1" si="47"/>
        <v>0.5983233923458372</v>
      </c>
      <c r="Q136" s="202">
        <f t="shared" ca="1" si="48"/>
        <v>0.6443482686801324</v>
      </c>
      <c r="R136" s="174">
        <f ca="1">IF(AND(ROW()&gt;=$B$1,ROW()&lt;=$C$1),SUM(F136:$F$163)+SUM($F$20:F29),"")</f>
        <v>-3</v>
      </c>
      <c r="S136" s="339"/>
      <c r="T136" s="241">
        <f t="shared" ca="1" si="50"/>
        <v>1</v>
      </c>
      <c r="U136" s="247">
        <f ca="1">IF(IFERROR(DelayQ(B136*C136/600,(S136/(1-$H$5))+E136*((1-$H$7)*VLOOKUP(A134,CURVAS_INTRA!$A$103:$AD$150,HLOOKUP($C$14,CURVAS_INTRA!$A$101:$AD$102,2,0),0)),$C$8,C136),0)=0,"",IFERROR(DelayQ(B136*C136/600,S136+E136*((1-$H$7)*VLOOKUP(A134,CURVAS_INTRA!$A$103:$AD$150,HLOOKUP($C$14,CURVAS_INTRA!$A$101:$AD$102,2,0),0)),$C$8,C136),0))</f>
        <v>0.91090000000000004</v>
      </c>
      <c r="V136" s="281">
        <f t="shared" ca="1" si="51"/>
        <v>0.91090000000000004</v>
      </c>
      <c r="W136" s="174">
        <f t="shared" si="35"/>
        <v>14</v>
      </c>
      <c r="X136" s="227">
        <v>0.80555555555555503</v>
      </c>
      <c r="Y136" s="220">
        <f t="shared" si="52"/>
        <v>14</v>
      </c>
      <c r="Z136" s="221">
        <f t="shared" si="56"/>
        <v>0</v>
      </c>
      <c r="AA136" s="221">
        <f t="shared" si="57"/>
        <v>0</v>
      </c>
      <c r="AB136" s="221">
        <f t="shared" si="58"/>
        <v>0</v>
      </c>
      <c r="AC136" s="221">
        <f t="shared" si="59"/>
        <v>0</v>
      </c>
      <c r="AD136" s="221">
        <f t="shared" si="60"/>
        <v>0</v>
      </c>
      <c r="AE136" s="221">
        <f t="shared" si="61"/>
        <v>0</v>
      </c>
      <c r="AF136" s="221">
        <f t="shared" si="62"/>
        <v>0</v>
      </c>
      <c r="AG136" s="222">
        <f t="shared" si="53"/>
        <v>14</v>
      </c>
      <c r="AH136" s="222">
        <f t="shared" si="63"/>
        <v>14</v>
      </c>
      <c r="AJ136" s="291">
        <f t="shared" ca="1" si="64"/>
        <v>10</v>
      </c>
      <c r="AK136" s="291">
        <f ca="1">IFERROR(ROUNDUP(IF(B136=0,0,Agents(B136*C136/600,$C$7,$C$8,C136))/(1-($J$12*(IFERROR(INDIRECT("CURVAS_INTRA!"&amp;ADDRESS(VLOOKUP($A136,CURVAS_INTRA!$A$103:$B$150,2,0),HLOOKUP($C$14,CURVAS_INTRA!$1:$2,2,0))),0)+IFERROR(INDIRECT("CURVAS_INTRA!"&amp;ADDRESS(VLOOKUP($A135,CURVAS_INTRA!$A$103:$B$150,2,0),HLOOKUP($C$14,CURVAS_INTRA!$1:$2,2,0))),0)+IFERROR(INDIRECT("CURVAS_INTRA!"&amp;ADDRESS(VLOOKUP($A134,CURVAS_INTRA!$A$103:$B$150,2,0),HLOOKUP($C$14,CURVAS_INTRA!$1:$2,2,0))),0)))),0),0)</f>
        <v>12</v>
      </c>
      <c r="AM136" s="488">
        <f t="shared" si="54"/>
        <v>0</v>
      </c>
      <c r="AN136" s="174"/>
      <c r="AO136" s="174"/>
      <c r="AP136" s="174"/>
      <c r="AQ136" s="174"/>
      <c r="AR136" s="174"/>
    </row>
    <row r="137" spans="1:44" ht="11.25" customHeight="1">
      <c r="A137" s="599">
        <v>0.812499999999997</v>
      </c>
      <c r="B137" s="183">
        <f ca="1">IFERROR(INDIRECT("CURVAS_INTRA!"&amp;ADDRESS(VLOOKUP($A137,CURVAS_INTRA!$A$3:$B$50,2,0),HLOOKUP($C$14,CURVAS_INTRA!$1:$2,2,0)))/3*$C$5,$B$19)</f>
        <v>4.7201012191427836</v>
      </c>
      <c r="C137" s="345">
        <f ca="1">IFERROR(INDIRECT("CURVAS_INTRA!"&amp;ADDRESS(VLOOKUP($A137,CURVAS_INTRA!$A$53:$B$100,2,0),HLOOKUP($C$14,CURVAS_INTRA!$1:$2,2,0)))*$C$6,C136)</f>
        <v>795.14811595948345</v>
      </c>
      <c r="D137" s="183">
        <f ca="1">IFERROR(ROUNDUP(IF(B137=0,0,Agents(B137*C137/600,$C$7,$C$8,C137))/(1-($H$7*(IFERROR(INDIRECT("CURVAS_INTRA!"&amp;ADDRESS(VLOOKUP($A137,CURVAS_INTRA!$A$103:$B$150,2,0),HLOOKUP($C$14,CURVAS_INTRA!$1:$2,2,0))),0)))),0),0)</f>
        <v>13</v>
      </c>
      <c r="E137" s="345">
        <f t="shared" si="36"/>
        <v>14</v>
      </c>
      <c r="F137" s="346">
        <f t="shared" ca="1" si="46"/>
        <v>1</v>
      </c>
      <c r="G137" s="185">
        <f ca="1">IFERROR(DelayQ(B137*C137/600,E137*((1-$H$7*VLOOKUP(A137,CURVAS_INTRA!$A$103:$AD$150,HLOOKUP($C$14,CURVAS_INTRA!$A$101:$AD$102,2,0),0))),$C$8,C137),0)</f>
        <v>0.94669999999999999</v>
      </c>
      <c r="H137" s="221">
        <v>0</v>
      </c>
      <c r="I137" s="221">
        <v>0</v>
      </c>
      <c r="J137" s="221">
        <v>0</v>
      </c>
      <c r="K137" s="221">
        <v>0</v>
      </c>
      <c r="L137" s="137">
        <f t="shared" si="55"/>
        <v>0</v>
      </c>
      <c r="M137" s="186">
        <f t="shared" si="65"/>
        <v>0</v>
      </c>
      <c r="N137" s="137">
        <f>SUM(J100:J137)</f>
        <v>12</v>
      </c>
      <c r="O137" s="188">
        <f t="shared" si="67"/>
        <v>2</v>
      </c>
      <c r="P137" s="201">
        <f t="shared" ca="1" si="47"/>
        <v>0.54811611288174089</v>
      </c>
      <c r="Q137" s="202">
        <f t="shared" ca="1" si="48"/>
        <v>0.59027889079572105</v>
      </c>
      <c r="R137" s="174">
        <f ca="1">IF(AND(ROW()&gt;=$B$1,ROW()&lt;=$C$1),SUM(F137:$F$163)+SUM($F$20:F30),"")</f>
        <v>-2</v>
      </c>
      <c r="S137" s="339"/>
      <c r="T137" s="241">
        <f t="shared" ca="1" si="50"/>
        <v>1</v>
      </c>
      <c r="U137" s="247">
        <f ca="1">IF(IFERROR(DelayQ(B137*C137/600,(S137/(1-$H$5))+E137*((1-$H$7)*VLOOKUP(A137,CURVAS_INTRA!$A$103:$AD$150,HLOOKUP($C$14,CURVAS_INTRA!$A$101:$AD$102,2,0),0)),$C$8,C137),0)=0,"",IFERROR(DelayQ(B137*C137/600,S137+E137*((1-$H$7)*VLOOKUP(A137,CURVAS_INTRA!$A$103:$AD$150,HLOOKUP($C$14,CURVAS_INTRA!$A$101:$AD$102,2,0),0)),$C$8,C137),0))</f>
        <v>0.94669999999999999</v>
      </c>
      <c r="V137" s="281">
        <f t="shared" ca="1" si="51"/>
        <v>0.94669999999999999</v>
      </c>
      <c r="W137" s="174">
        <f t="shared" si="35"/>
        <v>14</v>
      </c>
      <c r="X137" s="227">
        <v>0.812499999999997</v>
      </c>
      <c r="Y137" s="220">
        <f t="shared" si="52"/>
        <v>14</v>
      </c>
      <c r="Z137" s="221">
        <f t="shared" si="56"/>
        <v>0</v>
      </c>
      <c r="AA137" s="221">
        <f t="shared" si="57"/>
        <v>0</v>
      </c>
      <c r="AB137" s="221">
        <f t="shared" si="58"/>
        <v>0</v>
      </c>
      <c r="AC137" s="221">
        <f t="shared" si="59"/>
        <v>0</v>
      </c>
      <c r="AD137" s="221">
        <f t="shared" si="60"/>
        <v>0</v>
      </c>
      <c r="AE137" s="221">
        <f t="shared" si="61"/>
        <v>0</v>
      </c>
      <c r="AF137" s="221">
        <f t="shared" si="62"/>
        <v>0</v>
      </c>
      <c r="AG137" s="222">
        <f t="shared" si="53"/>
        <v>14</v>
      </c>
      <c r="AH137" s="222">
        <f t="shared" si="63"/>
        <v>14</v>
      </c>
      <c r="AJ137" s="291">
        <f t="shared" ca="1" si="64"/>
        <v>10</v>
      </c>
      <c r="AK137" s="291">
        <f ca="1">IFERROR(ROUNDUP(IF(B137=0,0,Agents(B137*C137/600,$C$7,$C$8,C137))/(1-($J$12*(IFERROR(INDIRECT("CURVAS_INTRA!"&amp;ADDRESS(VLOOKUP($A137,CURVAS_INTRA!$A$103:$B$150,2,0),HLOOKUP($C$14,CURVAS_INTRA!$1:$2,2,0))),0)))),0),0)</f>
        <v>12</v>
      </c>
      <c r="AM137" s="488">
        <f t="shared" si="54"/>
        <v>0</v>
      </c>
      <c r="AN137" s="174"/>
      <c r="AO137" s="174"/>
      <c r="AP137" s="174"/>
      <c r="AQ137" s="174"/>
      <c r="AR137" s="174"/>
    </row>
    <row r="138" spans="1:44" ht="11.25" customHeight="1">
      <c r="A138" s="599">
        <v>0.81944444444444398</v>
      </c>
      <c r="B138" s="183">
        <f ca="1">IFERROR(INDIRECT("CURVAS_INTRA!"&amp;ADDRESS(VLOOKUP($A137,CURVAS_INTRA!$A$3:$B$50,2,0),HLOOKUP($C$14,CURVAS_INTRA!$1:$2,2,0)))/3*$C$5,$B$19)</f>
        <v>4.7201012191427836</v>
      </c>
      <c r="C138" s="345">
        <f ca="1">IFERROR(INDIRECT("CURVAS_INTRA!"&amp;ADDRESS(VLOOKUP($A138,CURVAS_INTRA!$A$53:$B$100,2,0),HLOOKUP($C$14,CURVAS_INTRA!$1:$2,2,0)))*$C$6,C137)</f>
        <v>795.14811595948345</v>
      </c>
      <c r="D138" s="183">
        <f ca="1">IFERROR(ROUNDUP(IF(B138=0,0,Agents(B138*C138/600,$C$7,$C$8,C138))/(1-($H$7*(IFERROR(INDIRECT("CURVAS_INTRA!"&amp;ADDRESS(VLOOKUP($A137,CURVAS_INTRA!$A$103:$B$150,2,0),HLOOKUP($C$14,CURVAS_INTRA!$1:$2,2,0))),0)))),0),0)</f>
        <v>13</v>
      </c>
      <c r="E138" s="345">
        <f t="shared" si="36"/>
        <v>14</v>
      </c>
      <c r="F138" s="346">
        <f t="shared" ca="1" si="46"/>
        <v>1</v>
      </c>
      <c r="G138" s="185">
        <f ca="1">IFERROR(DelayQ(B138*C138/600,E138*((1-$H$7*VLOOKUP(A137,CURVAS_INTRA!$A$103:$AD$150,HLOOKUP($C$14,CURVAS_INTRA!$A$101:$AD$102,2,0),0))),$C$8,C138),0)</f>
        <v>0.94669999999999999</v>
      </c>
      <c r="H138" s="221">
        <v>0</v>
      </c>
      <c r="I138" s="221">
        <v>0</v>
      </c>
      <c r="J138" s="221">
        <v>0</v>
      </c>
      <c r="K138" s="221">
        <v>0</v>
      </c>
      <c r="L138" s="137">
        <f t="shared" si="55"/>
        <v>0</v>
      </c>
      <c r="M138" s="186">
        <f t="shared" si="65"/>
        <v>0</v>
      </c>
      <c r="N138" s="137">
        <f t="shared" si="66"/>
        <v>12</v>
      </c>
      <c r="O138" s="188">
        <f t="shared" si="67"/>
        <v>2</v>
      </c>
      <c r="P138" s="201">
        <f t="shared" ca="1" si="47"/>
        <v>0.54811611288174089</v>
      </c>
      <c r="Q138" s="202">
        <f t="shared" ca="1" si="48"/>
        <v>0.59027889079572105</v>
      </c>
      <c r="R138" s="174">
        <f ca="1">IF(AND(ROW()&gt;=$B$1,ROW()&lt;=$C$1),SUM(F138:$F$163)+SUM($F$20:F31),"")</f>
        <v>-1</v>
      </c>
      <c r="S138" s="339"/>
      <c r="T138" s="241">
        <f t="shared" ca="1" si="50"/>
        <v>1</v>
      </c>
      <c r="U138" s="247">
        <f ca="1">IF(IFERROR(DelayQ(B138*C138/600,(S138/(1-$H$5))+E138*((1-$H$7)*VLOOKUP(A137,CURVAS_INTRA!$A$103:$AD$150,HLOOKUP($C$14,CURVAS_INTRA!$A$101:$AD$102,2,0),0)),$C$8,C138),0)=0,"",IFERROR(DelayQ(B138*C138/600,S138+E138*((1-$H$7)*VLOOKUP(A137,CURVAS_INTRA!$A$103:$AD$150,HLOOKUP($C$14,CURVAS_INTRA!$A$101:$AD$102,2,0),0)),$C$8,C138),0))</f>
        <v>0.94669999999999999</v>
      </c>
      <c r="V138" s="281">
        <f t="shared" ca="1" si="51"/>
        <v>0.94669999999999999</v>
      </c>
      <c r="W138" s="174">
        <f t="shared" si="35"/>
        <v>14</v>
      </c>
      <c r="X138" s="227">
        <v>0.81944444444444398</v>
      </c>
      <c r="Y138" s="220">
        <f t="shared" si="52"/>
        <v>14</v>
      </c>
      <c r="Z138" s="221">
        <f t="shared" si="56"/>
        <v>0</v>
      </c>
      <c r="AA138" s="221">
        <f t="shared" si="57"/>
        <v>0</v>
      </c>
      <c r="AB138" s="221">
        <f t="shared" si="58"/>
        <v>0</v>
      </c>
      <c r="AC138" s="221">
        <f t="shared" si="59"/>
        <v>0</v>
      </c>
      <c r="AD138" s="221">
        <f t="shared" si="60"/>
        <v>0</v>
      </c>
      <c r="AE138" s="221">
        <f t="shared" si="61"/>
        <v>0</v>
      </c>
      <c r="AF138" s="221">
        <f t="shared" si="62"/>
        <v>0</v>
      </c>
      <c r="AG138" s="222">
        <f t="shared" si="53"/>
        <v>14</v>
      </c>
      <c r="AH138" s="222">
        <f t="shared" si="63"/>
        <v>14</v>
      </c>
      <c r="AJ138" s="291">
        <f t="shared" ca="1" si="64"/>
        <v>10</v>
      </c>
      <c r="AK138" s="291">
        <f ca="1">IFERROR(ROUNDUP(IF(B138=0,0,Agents(B138*C138/600,$C$7,$C$8,C138))/(1-($J$12*(IFERROR(INDIRECT("CURVAS_INTRA!"&amp;ADDRESS(VLOOKUP($A138,CURVAS_INTRA!$A$103:$B$150,2,0),HLOOKUP($C$14,CURVAS_INTRA!$1:$2,2,0))),0)+IFERROR(INDIRECT("CURVAS_INTRA!"&amp;ADDRESS(VLOOKUP($A137,CURVAS_INTRA!$A$103:$B$150,2,0),HLOOKUP($C$14,CURVAS_INTRA!$1:$2,2,0))),0)))),0),0)</f>
        <v>12</v>
      </c>
      <c r="AM138" s="488">
        <f t="shared" si="54"/>
        <v>0</v>
      </c>
      <c r="AN138" s="174"/>
      <c r="AO138" s="174"/>
      <c r="AP138" s="174"/>
      <c r="AQ138" s="174"/>
      <c r="AR138" s="174"/>
    </row>
    <row r="139" spans="1:44" ht="11.25" customHeight="1">
      <c r="A139" s="599">
        <v>0.82638888888888895</v>
      </c>
      <c r="B139" s="183">
        <f ca="1">IFERROR(INDIRECT("CURVAS_INTRA!"&amp;ADDRESS(VLOOKUP($A137,CURVAS_INTRA!$A$3:$B$50,2,0),HLOOKUP($C$14,CURVAS_INTRA!$1:$2,2,0)))/3*$C$5,B136)</f>
        <v>4.7201012191427836</v>
      </c>
      <c r="C139" s="345">
        <f ca="1">IFERROR(INDIRECT("CURVAS_INTRA!"&amp;ADDRESS(VLOOKUP($A139,CURVAS_INTRA!$A$53:$B$100,2,0),HLOOKUP($C$14,CURVAS_INTRA!$1:$2,2,0)))*$C$6,C138)</f>
        <v>795.14811595948345</v>
      </c>
      <c r="D139" s="183">
        <f ca="1">IFERROR(ROUNDUP(IF(B139=0,0,Agents(B139*C139/600,$C$7,$C$8,C139))/(1-($H$7*(IFERROR(INDIRECT("CURVAS_INTRA!"&amp;ADDRESS(VLOOKUP($A137,CURVAS_INTRA!$A$103:$B$150,2,0),HLOOKUP($C$14,CURVAS_INTRA!$1:$2,2,0))),0)))),0),0)</f>
        <v>13</v>
      </c>
      <c r="E139" s="345">
        <f t="shared" si="36"/>
        <v>14</v>
      </c>
      <c r="F139" s="346">
        <f t="shared" ca="1" si="46"/>
        <v>1</v>
      </c>
      <c r="G139" s="185">
        <f ca="1">IFERROR(DelayQ(B139*C139/600,E139*((1-$H$7*VLOOKUP(A137,CURVAS_INTRA!$A$103:$AD$150,HLOOKUP($C$14,CURVAS_INTRA!$A$101:$AD$102,2,0),0))),$C$8,C139),0)</f>
        <v>0.94669999999999999</v>
      </c>
      <c r="H139" s="221">
        <v>0</v>
      </c>
      <c r="I139" s="221">
        <v>0</v>
      </c>
      <c r="J139" s="221">
        <v>0</v>
      </c>
      <c r="K139" s="221">
        <v>0</v>
      </c>
      <c r="L139" s="137">
        <f t="shared" si="55"/>
        <v>0</v>
      </c>
      <c r="M139" s="186">
        <f t="shared" si="65"/>
        <v>0</v>
      </c>
      <c r="N139" s="183">
        <f>SUM(J102:J139)</f>
        <v>12</v>
      </c>
      <c r="O139" s="188">
        <f t="shared" si="67"/>
        <v>2</v>
      </c>
      <c r="P139" s="201">
        <f t="shared" ca="1" si="47"/>
        <v>0.54811611288174089</v>
      </c>
      <c r="Q139" s="202">
        <f t="shared" ca="1" si="48"/>
        <v>0.59027889079572105</v>
      </c>
      <c r="R139" s="174">
        <f ca="1">IF(AND(ROW()&gt;=$B$1,ROW()&lt;=$C$1),SUM(F139:$F$163)+SUM($F$20:F32),"")</f>
        <v>0</v>
      </c>
      <c r="S139" s="339"/>
      <c r="T139" s="241">
        <f t="shared" ca="1" si="50"/>
        <v>1</v>
      </c>
      <c r="U139" s="247">
        <f ca="1">IF(IFERROR(DelayQ(B139*C139/600,(S139/(1-$H$5))+E139*((1-$H$7)*VLOOKUP(A137,CURVAS_INTRA!$A$103:$AD$150,HLOOKUP($C$14,CURVAS_INTRA!$A$101:$AD$102,2,0),0)),$C$8,C139),0)=0,"",IFERROR(DelayQ(B139*C139/600,S139+E139*((1-$H$7)*VLOOKUP(A137,CURVAS_INTRA!$A$103:$AD$150,HLOOKUP($C$14,CURVAS_INTRA!$A$101:$AD$102,2,0),0)),$C$8,C139),0))</f>
        <v>0.94669999999999999</v>
      </c>
      <c r="V139" s="281">
        <f t="shared" ca="1" si="51"/>
        <v>0.94669999999999999</v>
      </c>
      <c r="W139" s="174">
        <f t="shared" si="35"/>
        <v>14</v>
      </c>
      <c r="X139" s="227">
        <v>0.82638888888888895</v>
      </c>
      <c r="Y139" s="220">
        <f t="shared" si="52"/>
        <v>14</v>
      </c>
      <c r="Z139" s="221">
        <f t="shared" si="56"/>
        <v>0</v>
      </c>
      <c r="AA139" s="221">
        <f t="shared" si="57"/>
        <v>0</v>
      </c>
      <c r="AB139" s="221">
        <f t="shared" si="58"/>
        <v>0</v>
      </c>
      <c r="AC139" s="221">
        <f t="shared" si="59"/>
        <v>0</v>
      </c>
      <c r="AD139" s="221">
        <f t="shared" si="60"/>
        <v>0</v>
      </c>
      <c r="AE139" s="221">
        <f t="shared" si="61"/>
        <v>0</v>
      </c>
      <c r="AF139" s="221">
        <f t="shared" si="62"/>
        <v>0</v>
      </c>
      <c r="AG139" s="222">
        <f t="shared" si="53"/>
        <v>14</v>
      </c>
      <c r="AH139" s="222">
        <f t="shared" si="63"/>
        <v>14</v>
      </c>
      <c r="AJ139" s="291">
        <f t="shared" ca="1" si="64"/>
        <v>10</v>
      </c>
      <c r="AK139" s="291">
        <f ca="1">IFERROR(ROUNDUP(IF(B139=0,0,Agents(B139*C139/600,$C$7,$C$8,C139))/(1-($J$12*(IFERROR(INDIRECT("CURVAS_INTRA!"&amp;ADDRESS(VLOOKUP($A139,CURVAS_INTRA!$A$103:$B$150,2,0),HLOOKUP($C$14,CURVAS_INTRA!$1:$2,2,0))),0)+IFERROR(INDIRECT("CURVAS_INTRA!"&amp;ADDRESS(VLOOKUP($A138,CURVAS_INTRA!$A$103:$B$150,2,0),HLOOKUP($C$14,CURVAS_INTRA!$1:$2,2,0))),0)+IFERROR(INDIRECT("CURVAS_INTRA!"&amp;ADDRESS(VLOOKUP($A137,CURVAS_INTRA!$A$103:$B$150,2,0),HLOOKUP($C$14,CURVAS_INTRA!$1:$2,2,0))),0)))),0),0)</f>
        <v>12</v>
      </c>
      <c r="AM139" s="488">
        <f t="shared" si="54"/>
        <v>0</v>
      </c>
      <c r="AN139" s="174"/>
      <c r="AO139" s="174"/>
      <c r="AP139" s="174"/>
      <c r="AQ139" s="174"/>
      <c r="AR139" s="174"/>
    </row>
    <row r="140" spans="1:44" ht="11.25" customHeight="1">
      <c r="A140" s="599">
        <v>0.83333333333333004</v>
      </c>
      <c r="B140" s="183">
        <f ca="1">IFERROR(INDIRECT("CURVAS_INTRA!"&amp;ADDRESS(VLOOKUP($A140,CURVAS_INTRA!$A$3:$B$50,2,0),HLOOKUP($C$14,CURVAS_INTRA!$1:$2,2,0)))/3*$C$5,$B$19)</f>
        <v>4.8439720755335447</v>
      </c>
      <c r="C140" s="345">
        <f ca="1">IFERROR(INDIRECT("CURVAS_INTRA!"&amp;ADDRESS(VLOOKUP($A140,CURVAS_INTRA!$A$53:$B$100,2,0),HLOOKUP($C$14,CURVAS_INTRA!$1:$2,2,0)))*$C$6,C139)</f>
        <v>772.31038458107275</v>
      </c>
      <c r="D140" s="183">
        <f ca="1">IFERROR(ROUNDUP(IF(B140=0,0,Agents(B140*C140/600,$C$7,$C$8,C140))/(1-($H$7*(IFERROR(INDIRECT("CURVAS_INTRA!"&amp;ADDRESS(VLOOKUP($A140,CURVAS_INTRA!$A$103:$B$150,2,0),HLOOKUP($C$14,CURVAS_INTRA!$1:$2,2,0))),0)))),0),0)</f>
        <v>13</v>
      </c>
      <c r="E140" s="345">
        <f t="shared" si="36"/>
        <v>14</v>
      </c>
      <c r="F140" s="346">
        <f t="shared" ca="1" si="46"/>
        <v>1</v>
      </c>
      <c r="G140" s="185">
        <f ca="1">IFERROR(DelayQ(B140*C140/600,E140*((1-$H$7*VLOOKUP(A140,CURVAS_INTRA!$A$103:$AD$150,HLOOKUP($C$14,CURVAS_INTRA!$A$101:$AD$102,2,0),0))),$C$8,C140),0)</f>
        <v>0.94799999999999995</v>
      </c>
      <c r="H140" s="221">
        <v>0</v>
      </c>
      <c r="I140" s="221">
        <v>0</v>
      </c>
      <c r="J140" s="221">
        <v>0</v>
      </c>
      <c r="K140" s="221">
        <v>0</v>
      </c>
      <c r="L140" s="137">
        <f t="shared" si="55"/>
        <v>0</v>
      </c>
      <c r="M140" s="186">
        <f t="shared" si="65"/>
        <v>0</v>
      </c>
      <c r="N140" s="183">
        <f>SUM(J103:J140)</f>
        <v>12</v>
      </c>
      <c r="O140" s="468">
        <f>SUM(K92:K140)</f>
        <v>2</v>
      </c>
      <c r="P140" s="201">
        <f t="shared" ca="1" si="47"/>
        <v>0.54634469236258976</v>
      </c>
      <c r="Q140" s="202">
        <f t="shared" ca="1" si="48"/>
        <v>0.58837120715971203</v>
      </c>
      <c r="R140" s="174">
        <f ca="1">IF(AND(ROW()&gt;=$B$1,ROW()&lt;=$C$1),SUM(F140:$F$163)+SUM($F$20:F33),"")</f>
        <v>1</v>
      </c>
      <c r="S140" s="339"/>
      <c r="T140" s="241">
        <f t="shared" ca="1" si="50"/>
        <v>1</v>
      </c>
      <c r="U140" s="247">
        <f ca="1">IF(IFERROR(DelayQ(B140*C140/600,(S140/(1-$H$5))+E140*((1-$H$7)*VLOOKUP(A140,CURVAS_INTRA!$A$103:$AD$150,HLOOKUP($C$14,CURVAS_INTRA!$A$101:$AD$102,2,0),0)),$C$8,C140),0)=0,"",IFERROR(DelayQ(B140*C140/600,S140+E140*((1-$H$7)*VLOOKUP(A140,CURVAS_INTRA!$A$103:$AD$150,HLOOKUP($C$14,CURVAS_INTRA!$A$101:$AD$102,2,0),0)),$C$8,C140),0))</f>
        <v>0.94799999999999995</v>
      </c>
      <c r="V140" s="281">
        <f t="shared" ca="1" si="51"/>
        <v>0.94799999999999995</v>
      </c>
      <c r="W140" s="174">
        <f t="shared" si="35"/>
        <v>14</v>
      </c>
      <c r="X140" s="227">
        <v>0.83333333333333004</v>
      </c>
      <c r="Y140" s="220">
        <f t="shared" si="52"/>
        <v>14</v>
      </c>
      <c r="Z140" s="221">
        <f t="shared" si="56"/>
        <v>0</v>
      </c>
      <c r="AA140" s="221">
        <f t="shared" si="57"/>
        <v>0</v>
      </c>
      <c r="AB140" s="221">
        <f t="shared" si="58"/>
        <v>0</v>
      </c>
      <c r="AC140" s="221">
        <f t="shared" si="59"/>
        <v>0</v>
      </c>
      <c r="AD140" s="221">
        <f t="shared" si="60"/>
        <v>0</v>
      </c>
      <c r="AE140" s="221">
        <f t="shared" si="61"/>
        <v>0</v>
      </c>
      <c r="AF140" s="221">
        <f t="shared" si="62"/>
        <v>0</v>
      </c>
      <c r="AG140" s="222">
        <f t="shared" si="53"/>
        <v>14</v>
      </c>
      <c r="AH140" s="222">
        <f t="shared" si="63"/>
        <v>14</v>
      </c>
      <c r="AJ140" s="291">
        <f t="shared" ca="1" si="64"/>
        <v>10</v>
      </c>
      <c r="AK140" s="291">
        <f ca="1">IFERROR(ROUNDUP(IF(B140=0,0,Agents(B140*C140/600,$C$7,$C$8,C140))/(1-($J$12*(IFERROR(INDIRECT("CURVAS_INTRA!"&amp;ADDRESS(VLOOKUP($A140,CURVAS_INTRA!$A$103:$B$150,2,0),HLOOKUP($C$14,CURVAS_INTRA!$1:$2,2,0))),0)))),0),0)</f>
        <v>12</v>
      </c>
      <c r="AM140" s="488">
        <f t="shared" si="54"/>
        <v>0</v>
      </c>
      <c r="AN140" s="174"/>
      <c r="AO140" s="174"/>
      <c r="AP140" s="174"/>
      <c r="AQ140" s="174"/>
      <c r="AR140" s="174"/>
    </row>
    <row r="141" spans="1:44" ht="11.25" customHeight="1">
      <c r="A141" s="599">
        <v>0.84027777777777801</v>
      </c>
      <c r="B141" s="183">
        <f ca="1">IFERROR(INDIRECT("CURVAS_INTRA!"&amp;ADDRESS(VLOOKUP($A140,CURVAS_INTRA!$A$3:$B$50,2,0),HLOOKUP($C$14,CURVAS_INTRA!$1:$2,2,0)))/3*$C$5,$B$19)</f>
        <v>4.8439720755335447</v>
      </c>
      <c r="C141" s="345">
        <f ca="1">IFERROR(INDIRECT("CURVAS_INTRA!"&amp;ADDRESS(VLOOKUP($A141,CURVAS_INTRA!$A$53:$B$100,2,0),HLOOKUP($C$14,CURVAS_INTRA!$1:$2,2,0)))*$C$6,C140)</f>
        <v>772.31038458107275</v>
      </c>
      <c r="D141" s="183">
        <f ca="1">IFERROR(ROUNDUP(IF(B141=0,0,Agents(B141*C141/600,$C$7,$C$8,C141))/(1-($H$7*(IFERROR(INDIRECT("CURVAS_INTRA!"&amp;ADDRESS(VLOOKUP($A140,CURVAS_INTRA!$A$103:$B$150,2,0),HLOOKUP($C$14,CURVAS_INTRA!$1:$2,2,0))),0)))),0),0)</f>
        <v>13</v>
      </c>
      <c r="E141" s="345">
        <f t="shared" si="36"/>
        <v>10</v>
      </c>
      <c r="F141" s="346">
        <f t="shared" ca="1" si="46"/>
        <v>-3</v>
      </c>
      <c r="G141" s="185">
        <f ca="1">IFERROR(DelayQ(B141*C141/600,E141*((1-$H$7*VLOOKUP(A140,CURVAS_INTRA!$A$103:$AD$150,HLOOKUP($C$14,CURVAS_INTRA!$A$101:$AD$102,2,0),0))),$C$8,C141),0)</f>
        <v>0.62029999999999996</v>
      </c>
      <c r="H141" s="221">
        <v>0</v>
      </c>
      <c r="I141" s="221">
        <v>0</v>
      </c>
      <c r="J141" s="221">
        <v>0</v>
      </c>
      <c r="K141" s="221">
        <v>0</v>
      </c>
      <c r="L141" s="137">
        <f t="shared" si="55"/>
        <v>0</v>
      </c>
      <c r="M141" s="186">
        <f t="shared" si="65"/>
        <v>0</v>
      </c>
      <c r="N141" s="183">
        <f>SUM(J104:J141)</f>
        <v>8</v>
      </c>
      <c r="O141" s="188">
        <f t="shared" si="67"/>
        <v>2</v>
      </c>
      <c r="P141" s="201">
        <f t="shared" ca="1" si="47"/>
        <v>0.76488256930762566</v>
      </c>
      <c r="Q141" s="202">
        <f t="shared" ca="1" si="48"/>
        <v>0.58837120715971203</v>
      </c>
      <c r="R141" s="174">
        <f ca="1">IF(AND(ROW()&gt;=$B$1,ROW()&lt;=$C$1),SUM(F141:$F$163)+SUM($F$20:F34),"")</f>
        <v>2</v>
      </c>
      <c r="S141" s="339"/>
      <c r="T141" s="241">
        <f t="shared" ca="1" si="50"/>
        <v>-3</v>
      </c>
      <c r="U141" s="247">
        <f ca="1">IF(IFERROR(DelayQ(B141*C141/600,(S141/(1-$H$5))+E141*((1-$H$7)*VLOOKUP(A140,CURVAS_INTRA!$A$103:$AD$150,HLOOKUP($C$14,CURVAS_INTRA!$A$101:$AD$102,2,0),0)),$C$8,C141),0)=0,"",IFERROR(DelayQ(B141*C141/600,S141+E141*((1-$H$7)*VLOOKUP(A140,CURVAS_INTRA!$A$103:$AD$150,HLOOKUP($C$14,CURVAS_INTRA!$A$101:$AD$102,2,0),0)),$C$8,C141),0))</f>
        <v>0.62029999999999996</v>
      </c>
      <c r="V141" s="281">
        <f t="shared" ca="1" si="51"/>
        <v>0.62029999999999996</v>
      </c>
      <c r="W141" s="174">
        <f t="shared" si="35"/>
        <v>10</v>
      </c>
      <c r="X141" s="227">
        <v>0.84027777777777801</v>
      </c>
      <c r="Y141" s="220">
        <f t="shared" si="52"/>
        <v>10</v>
      </c>
      <c r="Z141" s="221">
        <f t="shared" si="56"/>
        <v>0</v>
      </c>
      <c r="AA141" s="221">
        <f t="shared" si="57"/>
        <v>0</v>
      </c>
      <c r="AB141" s="221">
        <f t="shared" si="58"/>
        <v>0</v>
      </c>
      <c r="AC141" s="221">
        <f t="shared" si="59"/>
        <v>0</v>
      </c>
      <c r="AD141" s="221">
        <f t="shared" si="60"/>
        <v>0</v>
      </c>
      <c r="AE141" s="221">
        <f t="shared" si="61"/>
        <v>0</v>
      </c>
      <c r="AF141" s="221">
        <f t="shared" si="62"/>
        <v>0</v>
      </c>
      <c r="AG141" s="222">
        <f t="shared" si="53"/>
        <v>10</v>
      </c>
      <c r="AH141" s="222">
        <f t="shared" si="63"/>
        <v>10</v>
      </c>
      <c r="AJ141" s="291">
        <f t="shared" ca="1" si="64"/>
        <v>10</v>
      </c>
      <c r="AK141" s="291">
        <f ca="1">IFERROR(ROUNDUP(IF(B141=0,0,Agents(B141*C141/600,$C$7,$C$8,C141))/(1-($J$12*(IFERROR(INDIRECT("CURVAS_INTRA!"&amp;ADDRESS(VLOOKUP($A141,CURVAS_INTRA!$A$103:$B$150,2,0),HLOOKUP($C$14,CURVAS_INTRA!$1:$2,2,0))),0)+IFERROR(INDIRECT("CURVAS_INTRA!"&amp;ADDRESS(VLOOKUP($A140,CURVAS_INTRA!$A$103:$B$150,2,0),HLOOKUP($C$14,CURVAS_INTRA!$1:$2,2,0))),0)))),0),0)</f>
        <v>12</v>
      </c>
      <c r="AM141" s="488">
        <f t="shared" si="54"/>
        <v>0</v>
      </c>
      <c r="AN141" s="174"/>
      <c r="AO141" s="174"/>
      <c r="AP141" s="174"/>
      <c r="AQ141" s="174"/>
      <c r="AR141" s="174"/>
    </row>
    <row r="142" spans="1:44" ht="11.25" customHeight="1">
      <c r="A142" s="599">
        <v>0.84722222222222199</v>
      </c>
      <c r="B142" s="183">
        <f ca="1">IFERROR(INDIRECT("CURVAS_INTRA!"&amp;ADDRESS(VLOOKUP($A140,CURVAS_INTRA!$A$3:$B$50,2,0),HLOOKUP($C$14,CURVAS_INTRA!$1:$2,2,0)))/3*$C$5,B139)</f>
        <v>4.8439720755335447</v>
      </c>
      <c r="C142" s="345">
        <f ca="1">IFERROR(INDIRECT("CURVAS_INTRA!"&amp;ADDRESS(VLOOKUP($A142,CURVAS_INTRA!$A$53:$B$100,2,0),HLOOKUP($C$14,CURVAS_INTRA!$1:$2,2,0)))*$C$6,C141)</f>
        <v>772.31038458107275</v>
      </c>
      <c r="D142" s="183">
        <f ca="1">IFERROR(ROUNDUP(IF(B142=0,0,Agents(B142*C142/600,$C$7,$C$8,C142))/(1-($H$7*(IFERROR(INDIRECT("CURVAS_INTRA!"&amp;ADDRESS(VLOOKUP($A140,CURVAS_INTRA!$A$103:$B$150,2,0),HLOOKUP($C$14,CURVAS_INTRA!$1:$2,2,0))),0)))),0),0)</f>
        <v>13</v>
      </c>
      <c r="E142" s="345">
        <f t="shared" si="36"/>
        <v>10</v>
      </c>
      <c r="F142" s="346">
        <f t="shared" ca="1" si="46"/>
        <v>-3</v>
      </c>
      <c r="G142" s="185">
        <f ca="1">IFERROR(DelayQ(B142*C142/600,E142*((1-$H$7*VLOOKUP(A140,CURVAS_INTRA!$A$103:$AD$150,HLOOKUP($C$14,CURVAS_INTRA!$A$101:$AD$102,2,0),0))),$C$8,C142),0)</f>
        <v>0.62029999999999996</v>
      </c>
      <c r="H142" s="221">
        <v>0</v>
      </c>
      <c r="I142" s="221">
        <v>0</v>
      </c>
      <c r="J142" s="221">
        <v>0</v>
      </c>
      <c r="K142" s="221">
        <v>0</v>
      </c>
      <c r="L142" s="137">
        <f t="shared" si="55"/>
        <v>0</v>
      </c>
      <c r="M142" s="186">
        <f t="shared" si="65"/>
        <v>0</v>
      </c>
      <c r="N142" s="137">
        <f t="shared" si="66"/>
        <v>8</v>
      </c>
      <c r="O142" s="188">
        <f t="shared" si="67"/>
        <v>2</v>
      </c>
      <c r="P142" s="201">
        <f t="shared" ca="1" si="47"/>
        <v>0.76488256930762566</v>
      </c>
      <c r="Q142" s="202">
        <f t="shared" ca="1" si="48"/>
        <v>0.58837120715971203</v>
      </c>
      <c r="R142" s="174">
        <f ca="1">IF(AND(ROW()&gt;=$B$1,ROW()&lt;=$C$1),SUM(F142:$F$163)+SUM($F$20:F35),"")</f>
        <v>7</v>
      </c>
      <c r="S142" s="339"/>
      <c r="T142" s="241">
        <f t="shared" ca="1" si="50"/>
        <v>-3</v>
      </c>
      <c r="U142" s="247">
        <f ca="1">IF(IFERROR(DelayQ(B142*C142/600,(S142/(1-$H$5))+E142*((1-$H$7)*VLOOKUP(A140,CURVAS_INTRA!$A$103:$AD$150,HLOOKUP($C$14,CURVAS_INTRA!$A$101:$AD$102,2,0),0)),$C$8,C142),0)=0,"",IFERROR(DelayQ(B142*C142/600,S142+E142*((1-$H$7)*VLOOKUP(A140,CURVAS_INTRA!$A$103:$AD$150,HLOOKUP($C$14,CURVAS_INTRA!$A$101:$AD$102,2,0),0)),$C$8,C142),0))</f>
        <v>0.62029999999999996</v>
      </c>
      <c r="V142" s="281">
        <f t="shared" ca="1" si="51"/>
        <v>0.62029999999999996</v>
      </c>
      <c r="W142" s="174">
        <f t="shared" si="35"/>
        <v>10</v>
      </c>
      <c r="X142" s="227">
        <v>0.84722222222222199</v>
      </c>
      <c r="Y142" s="220">
        <f t="shared" si="52"/>
        <v>10</v>
      </c>
      <c r="Z142" s="221">
        <f t="shared" si="56"/>
        <v>0</v>
      </c>
      <c r="AA142" s="221">
        <f t="shared" si="57"/>
        <v>0</v>
      </c>
      <c r="AB142" s="221">
        <f t="shared" si="58"/>
        <v>0</v>
      </c>
      <c r="AC142" s="221">
        <f t="shared" si="59"/>
        <v>0</v>
      </c>
      <c r="AD142" s="221">
        <f t="shared" si="60"/>
        <v>0</v>
      </c>
      <c r="AE142" s="221">
        <f t="shared" si="61"/>
        <v>0</v>
      </c>
      <c r="AF142" s="221">
        <f t="shared" si="62"/>
        <v>0</v>
      </c>
      <c r="AG142" s="222">
        <f t="shared" si="53"/>
        <v>10</v>
      </c>
      <c r="AH142" s="222">
        <f t="shared" si="63"/>
        <v>10</v>
      </c>
      <c r="AJ142" s="291">
        <f t="shared" ca="1" si="64"/>
        <v>10</v>
      </c>
      <c r="AK142" s="291">
        <f ca="1">IFERROR(ROUNDUP(IF(B142=0,0,Agents(B142*C142/600,$C$7,$C$8,C142))/(1-($J$12*(IFERROR(INDIRECT("CURVAS_INTRA!"&amp;ADDRESS(VLOOKUP($A142,CURVAS_INTRA!$A$103:$B$150,2,0),HLOOKUP($C$14,CURVAS_INTRA!$1:$2,2,0))),0)+IFERROR(INDIRECT("CURVAS_INTRA!"&amp;ADDRESS(VLOOKUP($A141,CURVAS_INTRA!$A$103:$B$150,2,0),HLOOKUP($C$14,CURVAS_INTRA!$1:$2,2,0))),0)+IFERROR(INDIRECT("CURVAS_INTRA!"&amp;ADDRESS(VLOOKUP($A140,CURVAS_INTRA!$A$103:$B$150,2,0),HLOOKUP($C$14,CURVAS_INTRA!$1:$2,2,0))),0)))),0),0)</f>
        <v>12</v>
      </c>
      <c r="AM142" s="488">
        <f t="shared" si="54"/>
        <v>0</v>
      </c>
      <c r="AN142" s="174"/>
      <c r="AO142" s="174"/>
      <c r="AP142" s="174"/>
      <c r="AQ142" s="174"/>
      <c r="AR142" s="174"/>
    </row>
    <row r="143" spans="1:44" ht="11.25" customHeight="1">
      <c r="A143" s="599">
        <v>0.85416666666666297</v>
      </c>
      <c r="B143" s="183">
        <f ca="1">IFERROR(INDIRECT("CURVAS_INTRA!"&amp;ADDRESS(VLOOKUP($A143,CURVAS_INTRA!$A$3:$B$50,2,0),HLOOKUP($C$14,CURVAS_INTRA!$1:$2,2,0)))/3*$C$5,$B$19)</f>
        <v>4.5777148536119858</v>
      </c>
      <c r="C143" s="345">
        <f ca="1">IFERROR(INDIRECT("CURVAS_INTRA!"&amp;ADDRESS(VLOOKUP($A143,CURVAS_INTRA!$A$53:$B$100,2,0),HLOOKUP($C$14,CURVAS_INTRA!$1:$2,2,0)))*$C$6,C142)</f>
        <v>765.82708163854443</v>
      </c>
      <c r="D143" s="183">
        <f ca="1">IFERROR(ROUNDUP(IF(B143=0,0,Agents(B143*C143/600,$C$7,$C$8,C143))/(1-($H$7*(IFERROR(INDIRECT("CURVAS_INTRA!"&amp;ADDRESS(VLOOKUP($A143,CURVAS_INTRA!$A$103:$B$150,2,0),HLOOKUP($C$14,CURVAS_INTRA!$1:$2,2,0))),0)))),0),0)</f>
        <v>12</v>
      </c>
      <c r="E143" s="345">
        <f t="shared" si="36"/>
        <v>10</v>
      </c>
      <c r="F143" s="346">
        <f t="shared" ca="1" si="46"/>
        <v>-2</v>
      </c>
      <c r="G143" s="185">
        <f ca="1">IFERROR(DelayQ(B143*C143/600,E143*((1-$H$7*VLOOKUP(A143,CURVAS_INTRA!$A$103:$AD$150,HLOOKUP($C$14,CURVAS_INTRA!$A$101:$AD$102,2,0),0))),$C$8,C143),0)</f>
        <v>0.70750000000000002</v>
      </c>
      <c r="H143" s="221">
        <v>0</v>
      </c>
      <c r="I143" s="221">
        <v>0</v>
      </c>
      <c r="J143" s="221">
        <v>0</v>
      </c>
      <c r="K143" s="221">
        <v>0</v>
      </c>
      <c r="L143" s="137">
        <f t="shared" si="55"/>
        <v>0</v>
      </c>
      <c r="M143" s="186">
        <f t="shared" si="65"/>
        <v>0</v>
      </c>
      <c r="N143" s="183">
        <f>SUM(J106:J143)</f>
        <v>8</v>
      </c>
      <c r="O143" s="188">
        <f t="shared" si="67"/>
        <v>2</v>
      </c>
      <c r="P143" s="201">
        <f t="shared" ca="1" si="47"/>
        <v>0.71677147846833467</v>
      </c>
      <c r="Q143" s="202">
        <f t="shared" ca="1" si="48"/>
        <v>0.5973095653902788</v>
      </c>
      <c r="R143" s="174">
        <f ca="1">IF(AND(ROW()&gt;=$B$1,ROW()&lt;=$C$1),SUM(F143:$F$163)+SUM($F$20:F36),"")</f>
        <v>12</v>
      </c>
      <c r="S143" s="339"/>
      <c r="T143" s="241">
        <f t="shared" ca="1" si="50"/>
        <v>-2</v>
      </c>
      <c r="U143" s="247">
        <f ca="1">IF(IFERROR(DelayQ(B143*C143/600,(S143/(1-$H$5))+E143*((1-$H$7)*VLOOKUP(A143,CURVAS_INTRA!$A$103:$AD$150,HLOOKUP($C$14,CURVAS_INTRA!$A$101:$AD$102,2,0),0)),$C$8,C143),0)=0,"",IFERROR(DelayQ(B143*C143/600,S143+E143*((1-$H$7)*VLOOKUP(A143,CURVAS_INTRA!$A$103:$AD$150,HLOOKUP($C$14,CURVAS_INTRA!$A$101:$AD$102,2,0),0)),$C$8,C143),0))</f>
        <v>0.70750000000000002</v>
      </c>
      <c r="V143" s="281">
        <f t="shared" ca="1" si="51"/>
        <v>0.70750000000000002</v>
      </c>
      <c r="W143" s="174">
        <f t="shared" si="35"/>
        <v>10</v>
      </c>
      <c r="X143" s="227">
        <v>0.85416666666666297</v>
      </c>
      <c r="Y143" s="220">
        <f t="shared" si="52"/>
        <v>10</v>
      </c>
      <c r="Z143" s="221">
        <f t="shared" si="56"/>
        <v>0</v>
      </c>
      <c r="AA143" s="221">
        <f t="shared" si="57"/>
        <v>0</v>
      </c>
      <c r="AB143" s="221">
        <f t="shared" si="58"/>
        <v>0</v>
      </c>
      <c r="AC143" s="221">
        <f t="shared" si="59"/>
        <v>0</v>
      </c>
      <c r="AD143" s="221">
        <f t="shared" si="60"/>
        <v>0</v>
      </c>
      <c r="AE143" s="221">
        <f t="shared" si="61"/>
        <v>0</v>
      </c>
      <c r="AF143" s="221">
        <f t="shared" si="62"/>
        <v>0</v>
      </c>
      <c r="AG143" s="222">
        <f t="shared" si="53"/>
        <v>10</v>
      </c>
      <c r="AH143" s="222">
        <f t="shared" si="63"/>
        <v>10</v>
      </c>
      <c r="AJ143" s="291">
        <f t="shared" ca="1" si="64"/>
        <v>9</v>
      </c>
      <c r="AK143" s="291">
        <f ca="1">IFERROR(ROUNDUP(IF(B143=0,0,Agents(B143*C143/600,$C$7,$C$8,C143))/(1-($J$12*(IFERROR(INDIRECT("CURVAS_INTRA!"&amp;ADDRESS(VLOOKUP($A143,CURVAS_INTRA!$A$103:$B$150,2,0),HLOOKUP($C$14,CURVAS_INTRA!$1:$2,2,0))),0)))),0),0)</f>
        <v>11</v>
      </c>
      <c r="AM143" s="488">
        <f t="shared" si="54"/>
        <v>0</v>
      </c>
      <c r="AN143" s="174"/>
      <c r="AO143" s="174"/>
      <c r="AP143" s="174"/>
      <c r="AQ143" s="174"/>
      <c r="AR143" s="174"/>
    </row>
    <row r="144" spans="1:44" ht="11.25" customHeight="1">
      <c r="A144" s="599">
        <v>0.86111111111111105</v>
      </c>
      <c r="B144" s="183">
        <f ca="1">IFERROR(INDIRECT("CURVAS_INTRA!"&amp;ADDRESS(VLOOKUP($A143,CURVAS_INTRA!$A$3:$B$50,2,0),HLOOKUP($C$14,CURVAS_INTRA!$1:$2,2,0)))/3*$C$5,$B$19)</f>
        <v>4.5777148536119858</v>
      </c>
      <c r="C144" s="345">
        <f ca="1">IFERROR(INDIRECT("CURVAS_INTRA!"&amp;ADDRESS(VLOOKUP($A144,CURVAS_INTRA!$A$53:$B$100,2,0),HLOOKUP($C$14,CURVAS_INTRA!$1:$2,2,0)))*$C$6,C143)</f>
        <v>765.82708163854443</v>
      </c>
      <c r="D144" s="183">
        <f ca="1">IFERROR(ROUNDUP(IF(B144=0,0,Agents(B144*C144/600,$C$7,$C$8,C144))/(1-($H$7*(IFERROR(INDIRECT("CURVAS_INTRA!"&amp;ADDRESS(VLOOKUP($A143,CURVAS_INTRA!$A$103:$B$150,2,0),HLOOKUP($C$14,CURVAS_INTRA!$1:$2,2,0))),0)))),0),0)</f>
        <v>12</v>
      </c>
      <c r="E144" s="345">
        <f t="shared" si="36"/>
        <v>8</v>
      </c>
      <c r="F144" s="346">
        <f t="shared" ca="1" si="46"/>
        <v>-4</v>
      </c>
      <c r="G144" s="185">
        <f ca="1">IFERROR(DelayQ(B144*C144/600,E144*((1-$H$7*VLOOKUP(A143,CURVAS_INTRA!$A$103:$AD$150,HLOOKUP($C$14,CURVAS_INTRA!$A$101:$AD$102,2,0),0))),$C$8,C144),0)</f>
        <v>0.24759999999999999</v>
      </c>
      <c r="H144" s="221">
        <v>0</v>
      </c>
      <c r="I144" s="221">
        <v>0</v>
      </c>
      <c r="J144" s="221">
        <v>0</v>
      </c>
      <c r="K144" s="221">
        <v>0</v>
      </c>
      <c r="L144" s="137">
        <f t="shared" si="55"/>
        <v>0</v>
      </c>
      <c r="M144" s="186">
        <f t="shared" si="65"/>
        <v>0</v>
      </c>
      <c r="N144" s="137">
        <f t="shared" si="66"/>
        <v>6</v>
      </c>
      <c r="O144" s="188">
        <f t="shared" si="67"/>
        <v>2</v>
      </c>
      <c r="P144" s="201">
        <f t="shared" ca="1" si="47"/>
        <v>0.89596434808541825</v>
      </c>
      <c r="Q144" s="202">
        <f t="shared" ca="1" si="48"/>
        <v>0.5973095653902788</v>
      </c>
      <c r="R144" s="174">
        <f ca="1">IF(AND(ROW()&gt;=$B$1,ROW()&lt;=$C$1),SUM(F144:$F$163)+SUM($F$20:F37),"")</f>
        <v>16</v>
      </c>
      <c r="S144" s="339"/>
      <c r="T144" s="241">
        <f t="shared" ca="1" si="50"/>
        <v>-4</v>
      </c>
      <c r="U144" s="247">
        <f ca="1">IF(IFERROR(DelayQ(B144*C144/600,(S144/(1-$H$5))+E144*((1-$H$7)*VLOOKUP(A143,CURVAS_INTRA!$A$103:$AD$150,HLOOKUP($C$14,CURVAS_INTRA!$A$101:$AD$102,2,0),0)),$C$8,C144),0)=0,"",IFERROR(DelayQ(B144*C144/600,S144+E144*((1-$H$7)*VLOOKUP(A143,CURVAS_INTRA!$A$103:$AD$150,HLOOKUP($C$14,CURVAS_INTRA!$A$101:$AD$102,2,0),0)),$C$8,C144),0))</f>
        <v>0.24759999999999999</v>
      </c>
      <c r="V144" s="281">
        <f t="shared" ca="1" si="51"/>
        <v>0.24759999999999999</v>
      </c>
      <c r="W144" s="174">
        <f t="shared" si="35"/>
        <v>8</v>
      </c>
      <c r="X144" s="227">
        <v>0.86111111111111105</v>
      </c>
      <c r="Y144" s="220">
        <f t="shared" si="52"/>
        <v>8</v>
      </c>
      <c r="Z144" s="221">
        <f t="shared" si="56"/>
        <v>0</v>
      </c>
      <c r="AA144" s="221">
        <f t="shared" si="57"/>
        <v>0</v>
      </c>
      <c r="AB144" s="221">
        <f t="shared" si="58"/>
        <v>0</v>
      </c>
      <c r="AC144" s="221">
        <f t="shared" si="59"/>
        <v>0</v>
      </c>
      <c r="AD144" s="221">
        <f t="shared" si="60"/>
        <v>0</v>
      </c>
      <c r="AE144" s="221">
        <f t="shared" si="61"/>
        <v>0</v>
      </c>
      <c r="AF144" s="221">
        <f t="shared" si="62"/>
        <v>0</v>
      </c>
      <c r="AG144" s="222">
        <f t="shared" si="53"/>
        <v>8</v>
      </c>
      <c r="AH144" s="222">
        <f t="shared" si="63"/>
        <v>8</v>
      </c>
      <c r="AJ144" s="291">
        <f t="shared" ca="1" si="64"/>
        <v>9</v>
      </c>
      <c r="AK144" s="291">
        <f ca="1">IFERROR(ROUNDUP(IF(B144=0,0,Agents(B144*C144/600,$C$7,$C$8,C144))/(1-($J$12*(IFERROR(INDIRECT("CURVAS_INTRA!"&amp;ADDRESS(VLOOKUP($A144,CURVAS_INTRA!$A$103:$B$150,2,0),HLOOKUP($C$14,CURVAS_INTRA!$1:$2,2,0))),0)+IFERROR(INDIRECT("CURVAS_INTRA!"&amp;ADDRESS(VLOOKUP($A143,CURVAS_INTRA!$A$103:$B$150,2,0),HLOOKUP($C$14,CURVAS_INTRA!$1:$2,2,0))),0)))),0),0)</f>
        <v>11</v>
      </c>
      <c r="AM144" s="488">
        <f t="shared" si="54"/>
        <v>0</v>
      </c>
      <c r="AN144" s="174"/>
      <c r="AO144" s="174"/>
      <c r="AP144" s="174"/>
      <c r="AQ144" s="174"/>
      <c r="AR144" s="174"/>
    </row>
    <row r="145" spans="1:44" ht="11.25" customHeight="1">
      <c r="A145" s="599">
        <v>0.86805555555555503</v>
      </c>
      <c r="B145" s="183">
        <f ca="1">IFERROR(INDIRECT("CURVAS_INTRA!"&amp;ADDRESS(VLOOKUP($A143,CURVAS_INTRA!$A$3:$B$50,2,0),HLOOKUP($C$14,CURVAS_INTRA!$1:$2,2,0)))/3*$C$5,B142)</f>
        <v>4.5777148536119858</v>
      </c>
      <c r="C145" s="345">
        <f ca="1">IFERROR(INDIRECT("CURVAS_INTRA!"&amp;ADDRESS(VLOOKUP($A145,CURVAS_INTRA!$A$53:$B$100,2,0),HLOOKUP($C$14,CURVAS_INTRA!$1:$2,2,0)))*$C$6,C144)</f>
        <v>765.82708163854443</v>
      </c>
      <c r="D145" s="183">
        <f ca="1">IFERROR(ROUNDUP(IF(B145=0,0,Agents(B145*C145/600,$C$7,$C$8,C145))/(1-($H$7*(IFERROR(INDIRECT("CURVAS_INTRA!"&amp;ADDRESS(VLOOKUP($A143,CURVAS_INTRA!$A$103:$B$150,2,0),HLOOKUP($C$14,CURVAS_INTRA!$1:$2,2,0))),0)))),0),0)</f>
        <v>12</v>
      </c>
      <c r="E145" s="345">
        <f t="shared" si="36"/>
        <v>8</v>
      </c>
      <c r="F145" s="346">
        <f t="shared" ca="1" si="46"/>
        <v>-4</v>
      </c>
      <c r="G145" s="185">
        <f ca="1">IFERROR(DelayQ(B145*C145/600,E145*((1-$H$7*VLOOKUP(A143,CURVAS_INTRA!$A$103:$AD$150,HLOOKUP($C$14,CURVAS_INTRA!$A$101:$AD$102,2,0),0))),$C$8,C145),0)</f>
        <v>0.24759999999999999</v>
      </c>
      <c r="H145" s="221">
        <v>0</v>
      </c>
      <c r="I145" s="221">
        <v>0</v>
      </c>
      <c r="J145" s="221">
        <v>0</v>
      </c>
      <c r="K145" s="221">
        <v>0</v>
      </c>
      <c r="L145" s="137">
        <f t="shared" si="55"/>
        <v>0</v>
      </c>
      <c r="M145" s="186">
        <f t="shared" si="65"/>
        <v>0</v>
      </c>
      <c r="N145" s="137">
        <f>SUM(J108:J145)</f>
        <v>6</v>
      </c>
      <c r="O145" s="188">
        <f t="shared" si="67"/>
        <v>2</v>
      </c>
      <c r="P145" s="201">
        <f t="shared" ca="1" si="47"/>
        <v>0.89596434808541825</v>
      </c>
      <c r="Q145" s="202">
        <f t="shared" ca="1" si="48"/>
        <v>0.5973095653902788</v>
      </c>
      <c r="R145" s="174">
        <f ca="1">IF(AND(ROW()&gt;=$B$1,ROW()&lt;=$C$1),SUM(F145:$F$163)+SUM($F$20:F38),"")</f>
        <v>22</v>
      </c>
      <c r="S145" s="339"/>
      <c r="T145" s="241">
        <f t="shared" ca="1" si="50"/>
        <v>-4</v>
      </c>
      <c r="U145" s="247">
        <f ca="1">IF(IFERROR(DelayQ(B145*C145/600,(S145/(1-$H$5))+E145*((1-$H$7)*VLOOKUP(A143,CURVAS_INTRA!$A$103:$AD$150,HLOOKUP($C$14,CURVAS_INTRA!$A$101:$AD$102,2,0),0)),$C$8,C145),0)=0,"",IFERROR(DelayQ(B145*C145/600,S145+E145*((1-$H$7)*VLOOKUP(A143,CURVAS_INTRA!$A$103:$AD$150,HLOOKUP($C$14,CURVAS_INTRA!$A$101:$AD$102,2,0),0)),$C$8,C145),0))</f>
        <v>0.24759999999999999</v>
      </c>
      <c r="V145" s="281">
        <f t="shared" ca="1" si="51"/>
        <v>0.24759999999999999</v>
      </c>
      <c r="W145" s="174">
        <f t="shared" ref="W145:W163" si="68">S145+E145</f>
        <v>8</v>
      </c>
      <c r="X145" s="227">
        <v>0.86805555555555503</v>
      </c>
      <c r="Y145" s="220">
        <f t="shared" si="52"/>
        <v>8</v>
      </c>
      <c r="Z145" s="221">
        <f t="shared" si="56"/>
        <v>0</v>
      </c>
      <c r="AA145" s="221">
        <f t="shared" si="57"/>
        <v>0</v>
      </c>
      <c r="AB145" s="221">
        <f t="shared" si="58"/>
        <v>0</v>
      </c>
      <c r="AC145" s="221">
        <f t="shared" si="59"/>
        <v>0</v>
      </c>
      <c r="AD145" s="221">
        <f t="shared" si="60"/>
        <v>0</v>
      </c>
      <c r="AE145" s="221">
        <f t="shared" si="61"/>
        <v>0</v>
      </c>
      <c r="AF145" s="221">
        <f t="shared" si="62"/>
        <v>0</v>
      </c>
      <c r="AG145" s="222">
        <f t="shared" si="53"/>
        <v>8</v>
      </c>
      <c r="AH145" s="222">
        <f t="shared" si="63"/>
        <v>8</v>
      </c>
      <c r="AJ145" s="291">
        <f t="shared" ca="1" si="64"/>
        <v>9</v>
      </c>
      <c r="AK145" s="291">
        <f ca="1">IFERROR(ROUNDUP(IF(B145=0,0,Agents(B145*C145/600,$C$7,$C$8,C145))/(1-($J$12*(IFERROR(INDIRECT("CURVAS_INTRA!"&amp;ADDRESS(VLOOKUP($A145,CURVAS_INTRA!$A$103:$B$150,2,0),HLOOKUP($C$14,CURVAS_INTRA!$1:$2,2,0))),0)+IFERROR(INDIRECT("CURVAS_INTRA!"&amp;ADDRESS(VLOOKUP($A144,CURVAS_INTRA!$A$103:$B$150,2,0),HLOOKUP($C$14,CURVAS_INTRA!$1:$2,2,0))),0)+IFERROR(INDIRECT("CURVAS_INTRA!"&amp;ADDRESS(VLOOKUP($A143,CURVAS_INTRA!$A$103:$B$150,2,0),HLOOKUP($C$14,CURVAS_INTRA!$1:$2,2,0))),0)))),0),0)</f>
        <v>11</v>
      </c>
      <c r="AM145" s="488">
        <f t="shared" si="54"/>
        <v>0</v>
      </c>
      <c r="AN145" s="174"/>
      <c r="AO145" s="174"/>
      <c r="AP145" s="174"/>
      <c r="AQ145" s="174"/>
      <c r="AR145" s="174"/>
    </row>
    <row r="146" spans="1:44" ht="11.25" customHeight="1">
      <c r="A146" s="599">
        <v>0.874999999999996</v>
      </c>
      <c r="B146" s="183">
        <f ca="1">IFERROR(INDIRECT("CURVAS_INTRA!"&amp;ADDRESS(VLOOKUP($A146,CURVAS_INTRA!$A$3:$B$50,2,0),HLOOKUP($C$14,CURVAS_INTRA!$1:$2,2,0)))/3*$C$5,$B$19)</f>
        <v>4.0427041786393385</v>
      </c>
      <c r="C146" s="345">
        <f ca="1">IFERROR(INDIRECT("CURVAS_INTRA!"&amp;ADDRESS(VLOOKUP($A146,CURVAS_INTRA!$A$53:$B$100,2,0),HLOOKUP($C$14,CURVAS_INTRA!$1:$2,2,0)))*$C$6,C145)</f>
        <v>761.70488901424108</v>
      </c>
      <c r="D146" s="183">
        <f ca="1">IFERROR(ROUNDUP(IF(B146=0,0,Agents(B146*C146/600,$C$7,$C$8,C146))/(1-($H$7*(IFERROR(INDIRECT("CURVAS_INTRA!"&amp;ADDRESS(VLOOKUP($A146,CURVAS_INTRA!$A$103:$B$150,2,0),HLOOKUP($C$14,CURVAS_INTRA!$1:$2,2,0))),0)))),0),0)</f>
        <v>10</v>
      </c>
      <c r="E146" s="345">
        <f t="shared" si="36"/>
        <v>8</v>
      </c>
      <c r="F146" s="346">
        <f t="shared" ca="1" si="46"/>
        <v>-2</v>
      </c>
      <c r="G146" s="185">
        <f ca="1">IFERROR(DelayQ(B146*C146/600,E146*((1-$H$7*VLOOKUP(A146,CURVAS_INTRA!$A$103:$AD$150,HLOOKUP($C$14,CURVAS_INTRA!$A$101:$AD$102,2,0),0))),$C$8,C146),0)</f>
        <v>0.47670000000000001</v>
      </c>
      <c r="H146" s="221">
        <v>0</v>
      </c>
      <c r="I146" s="221">
        <v>0</v>
      </c>
      <c r="J146" s="221">
        <v>0</v>
      </c>
      <c r="K146" s="221">
        <v>0</v>
      </c>
      <c r="L146" s="137">
        <f t="shared" si="55"/>
        <v>0</v>
      </c>
      <c r="M146" s="186">
        <f t="shared" si="65"/>
        <v>0</v>
      </c>
      <c r="N146" s="183">
        <f>SUM(J109:J146)</f>
        <v>6</v>
      </c>
      <c r="O146" s="188">
        <f t="shared" si="67"/>
        <v>2</v>
      </c>
      <c r="P146" s="201">
        <f ca="1">IFERROR(IF((B146*C146)/(E146*600*(1-$H$7))&gt;1,1,(B146*C146)/(E146*600*(1-$H$7))),"")</f>
        <v>0.78699138489777976</v>
      </c>
      <c r="Q146" s="202">
        <f t="shared" ca="1" si="48"/>
        <v>0.62959310791822376</v>
      </c>
      <c r="R146" s="174">
        <f ca="1">IF(AND(ROW()&gt;=$B$1,ROW()&lt;=$C$1),SUM(F146:$F$163)+SUM($F$20:F39),"")</f>
        <v>28</v>
      </c>
      <c r="S146" s="339"/>
      <c r="T146" s="241">
        <f t="shared" ca="1" si="50"/>
        <v>-2</v>
      </c>
      <c r="U146" s="247">
        <f ca="1">IF(IFERROR(DelayQ(B146*C146/600,(S146/(1-$H$5))+E146*((1-$H$7)*VLOOKUP(A146,CURVAS_INTRA!$A$103:$AD$150,HLOOKUP($C$14,CURVAS_INTRA!$A$101:$AD$102,2,0),0)),$C$8,C146),0)=0,"",IFERROR(DelayQ(B146*C146/600,S146+E146*((1-$H$7)*VLOOKUP(A146,CURVAS_INTRA!$A$103:$AD$150,HLOOKUP($C$14,CURVAS_INTRA!$A$101:$AD$102,2,0),0)),$C$8,C146),0))</f>
        <v>0.47670000000000001</v>
      </c>
      <c r="V146" s="281">
        <f t="shared" ca="1" si="51"/>
        <v>0.47670000000000001</v>
      </c>
      <c r="W146" s="174">
        <f t="shared" si="68"/>
        <v>8</v>
      </c>
      <c r="X146" s="227">
        <v>0.874999999999996</v>
      </c>
      <c r="Y146" s="220">
        <f t="shared" si="52"/>
        <v>8</v>
      </c>
      <c r="Z146" s="221">
        <f t="shared" si="56"/>
        <v>0</v>
      </c>
      <c r="AA146" s="221">
        <f t="shared" si="57"/>
        <v>0</v>
      </c>
      <c r="AB146" s="221">
        <f t="shared" si="58"/>
        <v>0</v>
      </c>
      <c r="AC146" s="221">
        <f t="shared" si="59"/>
        <v>0</v>
      </c>
      <c r="AD146" s="221">
        <f t="shared" si="60"/>
        <v>0</v>
      </c>
      <c r="AE146" s="221">
        <f t="shared" si="61"/>
        <v>0</v>
      </c>
      <c r="AF146" s="221">
        <f t="shared" si="62"/>
        <v>0</v>
      </c>
      <c r="AG146" s="222">
        <f t="shared" si="53"/>
        <v>8</v>
      </c>
      <c r="AH146" s="222">
        <f t="shared" si="63"/>
        <v>8</v>
      </c>
      <c r="AJ146" s="291">
        <f t="shared" ca="1" si="64"/>
        <v>8</v>
      </c>
      <c r="AK146" s="291">
        <f ca="1">IFERROR(ROUNDUP(IF(B146=0,0,Agents(B146*C146/600,$C$7,$C$8,C146))/(1-($J$12*(IFERROR(INDIRECT("CURVAS_INTRA!"&amp;ADDRESS(VLOOKUP($A146,CURVAS_INTRA!$A$103:$B$150,2,0),HLOOKUP($C$14,CURVAS_INTRA!$1:$2,2,0))),0)))),0),0)</f>
        <v>9</v>
      </c>
      <c r="AM146" s="488">
        <f t="shared" si="54"/>
        <v>0</v>
      </c>
      <c r="AN146" s="174"/>
      <c r="AO146" s="174"/>
      <c r="AP146" s="174"/>
      <c r="AQ146" s="174"/>
      <c r="AR146" s="174"/>
    </row>
    <row r="147" spans="1:44" ht="11.25" customHeight="1">
      <c r="A147" s="599">
        <v>0.88194444444444398</v>
      </c>
      <c r="B147" s="183">
        <f ca="1">IFERROR(INDIRECT("CURVAS_INTRA!"&amp;ADDRESS(VLOOKUP($A146,CURVAS_INTRA!$A$3:$B$50,2,0),HLOOKUP($C$14,CURVAS_INTRA!$1:$2,2,0)))/3*$C$5,$B$19)</f>
        <v>4.0427041786393385</v>
      </c>
      <c r="C147" s="345">
        <f ca="1">IFERROR(INDIRECT("CURVAS_INTRA!"&amp;ADDRESS(VLOOKUP($A147,CURVAS_INTRA!$A$53:$B$100,2,0),HLOOKUP($C$14,CURVAS_INTRA!$1:$2,2,0)))*$C$6,C146)</f>
        <v>761.70488901424108</v>
      </c>
      <c r="D147" s="183">
        <f ca="1">IFERROR(ROUNDUP(IF(B147=0,0,Agents(B147*C147/600,$C$7,$C$8,C147))/(1-($H$7*(IFERROR(INDIRECT("CURVAS_INTRA!"&amp;ADDRESS(VLOOKUP($A146,CURVAS_INTRA!$A$103:$B$150,2,0),HLOOKUP($C$14,CURVAS_INTRA!$1:$2,2,0))),0)))),0),0)</f>
        <v>10</v>
      </c>
      <c r="E147" s="345">
        <f t="shared" si="36"/>
        <v>8</v>
      </c>
      <c r="F147" s="346">
        <f t="shared" ca="1" si="46"/>
        <v>-2</v>
      </c>
      <c r="G147" s="185">
        <f ca="1">IFERROR(DelayQ(B147*C147/600,E147*((1-$H$7*VLOOKUP(A146,CURVAS_INTRA!$A$103:$AD$150,HLOOKUP($C$14,CURVAS_INTRA!$A$101:$AD$102,2,0),0))),$C$8,C147),0)</f>
        <v>0.47670000000000001</v>
      </c>
      <c r="H147" s="221">
        <v>0</v>
      </c>
      <c r="I147" s="221">
        <v>0</v>
      </c>
      <c r="J147" s="221">
        <v>0</v>
      </c>
      <c r="K147" s="221">
        <v>0</v>
      </c>
      <c r="L147" s="137">
        <f t="shared" si="55"/>
        <v>0</v>
      </c>
      <c r="M147" s="186">
        <f t="shared" si="65"/>
        <v>0</v>
      </c>
      <c r="N147" s="137">
        <f t="shared" si="66"/>
        <v>6</v>
      </c>
      <c r="O147" s="188">
        <f t="shared" si="67"/>
        <v>2</v>
      </c>
      <c r="P147" s="201">
        <f t="shared" ca="1" si="47"/>
        <v>0.78699138489777976</v>
      </c>
      <c r="Q147" s="202">
        <f t="shared" ca="1" si="48"/>
        <v>0.62959310791822376</v>
      </c>
      <c r="R147" s="174">
        <f ca="1">IF(AND(ROW()&gt;=$B$1,ROW()&lt;=$C$1),SUM(F147:$F$163)+SUM($F$20:F40),"")</f>
        <v>32</v>
      </c>
      <c r="S147" s="339"/>
      <c r="T147" s="241">
        <f t="shared" ca="1" si="50"/>
        <v>-2</v>
      </c>
      <c r="U147" s="247">
        <f ca="1">IF(IFERROR(DelayQ(B147*C147/600,(S147/(1-$H$5))+E147*((1-$H$7)*VLOOKUP(A146,CURVAS_INTRA!$A$103:$AD$150,HLOOKUP($C$14,CURVAS_INTRA!$A$101:$AD$102,2,0),0)),$C$8,C147),0)=0,"",IFERROR(DelayQ(B147*C147/600,S147+E147*((1-$H$7)*VLOOKUP(A146,CURVAS_INTRA!$A$103:$AD$150,HLOOKUP($C$14,CURVAS_INTRA!$A$101:$AD$102,2,0),0)),$C$8,C147),0))</f>
        <v>0.47670000000000001</v>
      </c>
      <c r="V147" s="281">
        <f t="shared" ca="1" si="51"/>
        <v>0.47670000000000001</v>
      </c>
      <c r="W147" s="174">
        <f t="shared" si="68"/>
        <v>8</v>
      </c>
      <c r="X147" s="227">
        <v>0.88194444444444398</v>
      </c>
      <c r="Y147" s="220">
        <f t="shared" si="52"/>
        <v>8</v>
      </c>
      <c r="Z147" s="221">
        <f t="shared" si="56"/>
        <v>0</v>
      </c>
      <c r="AA147" s="221">
        <f t="shared" si="57"/>
        <v>0</v>
      </c>
      <c r="AB147" s="221">
        <f t="shared" si="58"/>
        <v>0</v>
      </c>
      <c r="AC147" s="221">
        <f t="shared" si="59"/>
        <v>0</v>
      </c>
      <c r="AD147" s="221">
        <f t="shared" si="60"/>
        <v>0</v>
      </c>
      <c r="AE147" s="221">
        <f t="shared" si="61"/>
        <v>0</v>
      </c>
      <c r="AF147" s="221">
        <f t="shared" si="62"/>
        <v>0</v>
      </c>
      <c r="AG147" s="222">
        <f t="shared" si="53"/>
        <v>8</v>
      </c>
      <c r="AH147" s="222">
        <f t="shared" si="63"/>
        <v>8</v>
      </c>
      <c r="AJ147" s="291">
        <f t="shared" ca="1" si="64"/>
        <v>8</v>
      </c>
      <c r="AK147" s="291">
        <f ca="1">IFERROR(ROUNDUP(IF(B147=0,0,Agents(B147*C147/600,$C$7,$C$8,C147))/(1-($J$12*(IFERROR(INDIRECT("CURVAS_INTRA!"&amp;ADDRESS(VLOOKUP($A147,CURVAS_INTRA!$A$103:$B$150,2,0),HLOOKUP($C$14,CURVAS_INTRA!$1:$2,2,0))),0)+IFERROR(INDIRECT("CURVAS_INTRA!"&amp;ADDRESS(VLOOKUP($A146,CURVAS_INTRA!$A$103:$B$150,2,0),HLOOKUP($C$14,CURVAS_INTRA!$1:$2,2,0))),0)))),0),0)</f>
        <v>9</v>
      </c>
      <c r="AM147" s="488">
        <f t="shared" si="54"/>
        <v>0</v>
      </c>
      <c r="AN147" s="174"/>
      <c r="AO147" s="174"/>
      <c r="AP147" s="174"/>
      <c r="AQ147" s="174"/>
      <c r="AR147" s="174"/>
    </row>
    <row r="148" spans="1:44" ht="11.25" customHeight="1">
      <c r="A148" s="599">
        <v>0.88888888888888895</v>
      </c>
      <c r="B148" s="183">
        <f ca="1">IFERROR(INDIRECT("CURVAS_INTRA!"&amp;ADDRESS(VLOOKUP($A146,CURVAS_INTRA!$A$3:$B$50,2,0),HLOOKUP($C$14,CURVAS_INTRA!$1:$2,2,0)))/3*$C$5,B145)</f>
        <v>4.0427041786393385</v>
      </c>
      <c r="C148" s="345">
        <f ca="1">IFERROR(INDIRECT("CURVAS_INTRA!"&amp;ADDRESS(VLOOKUP($A148,CURVAS_INTRA!$A$53:$B$100,2,0),HLOOKUP($C$14,CURVAS_INTRA!$1:$2,2,0)))*$C$6,C147)</f>
        <v>761.70488901424108</v>
      </c>
      <c r="D148" s="183">
        <f ca="1">IFERROR(ROUNDUP(IF(B148=0,0,Agents(B148*C148/600,$C$7,$C$8,C148))/(1-($H$7*(IFERROR(INDIRECT("CURVAS_INTRA!"&amp;ADDRESS(VLOOKUP($A146,CURVAS_INTRA!$A$103:$B$150,2,0),HLOOKUP($C$14,CURVAS_INTRA!$1:$2,2,0))),0)))),0),0)</f>
        <v>10</v>
      </c>
      <c r="E148" s="345">
        <f t="shared" ref="E148:E154" si="69">ROUNDUP(SUM(L148:O148),0)</f>
        <v>8</v>
      </c>
      <c r="F148" s="346">
        <f t="shared" ca="1" si="46"/>
        <v>-2</v>
      </c>
      <c r="G148" s="185">
        <f ca="1">IFERROR(DelayQ(B148*C148/600,E148*((1-$H$7*VLOOKUP(A146,CURVAS_INTRA!$A$103:$AD$150,HLOOKUP($C$14,CURVAS_INTRA!$A$101:$AD$102,2,0),0))),$C$8,C148),0)</f>
        <v>0.47670000000000001</v>
      </c>
      <c r="H148" s="221">
        <v>0</v>
      </c>
      <c r="I148" s="221">
        <v>0</v>
      </c>
      <c r="J148" s="221">
        <v>0</v>
      </c>
      <c r="K148" s="221">
        <v>0</v>
      </c>
      <c r="L148" s="137">
        <f t="shared" si="55"/>
        <v>0</v>
      </c>
      <c r="M148" s="186">
        <f t="shared" si="65"/>
        <v>0</v>
      </c>
      <c r="N148" s="137">
        <f t="shared" si="66"/>
        <v>6</v>
      </c>
      <c r="O148" s="188">
        <f t="shared" si="67"/>
        <v>2</v>
      </c>
      <c r="P148" s="201">
        <f t="shared" ca="1" si="47"/>
        <v>0.78699138489777976</v>
      </c>
      <c r="Q148" s="202">
        <f t="shared" ca="1" si="48"/>
        <v>0.62959310791822376</v>
      </c>
      <c r="R148" s="174">
        <f ca="1">IF(AND(ROW()&gt;=$B$1,ROW()&lt;=$C$1),SUM(F148:$F$163)+SUM($F$20:F41),"")</f>
        <v>36</v>
      </c>
      <c r="S148" s="339"/>
      <c r="T148" s="241">
        <f t="shared" ca="1" si="50"/>
        <v>-2</v>
      </c>
      <c r="U148" s="247">
        <f ca="1">IF(IFERROR(DelayQ(B148*C148/600,(S148/(1-$H$5))+E148*((1-$H$7)*VLOOKUP(A146,CURVAS_INTRA!$A$103:$AD$150,HLOOKUP($C$14,CURVAS_INTRA!$A$101:$AD$102,2,0),0)),$C$8,C148),0)=0,"",IFERROR(DelayQ(B148*C148/600,S148+E148*((1-$H$7)*VLOOKUP(A146,CURVAS_INTRA!$A$103:$AD$150,HLOOKUP($C$14,CURVAS_INTRA!$A$101:$AD$102,2,0),0)),$C$8,C148),0))</f>
        <v>0.47670000000000001</v>
      </c>
      <c r="V148" s="281">
        <f t="shared" ca="1" si="51"/>
        <v>0.47670000000000001</v>
      </c>
      <c r="W148" s="174">
        <f>S148+E148</f>
        <v>8</v>
      </c>
      <c r="X148" s="227">
        <v>0.88888888888888895</v>
      </c>
      <c r="Y148" s="220">
        <f t="shared" si="52"/>
        <v>8</v>
      </c>
      <c r="Z148" s="221">
        <f t="shared" ref="Z148:Z163" si="70">IFERROR(((IF($Z$17="Não",$H$8,0)*$E$6+IF($Z$17="Não",$I$8,0)*$E$7+IF($Z$17="Não",$J$8,0)*$E$8+IF($Z$17="Não",$K$8,0)*$E$9)/SUM($E$6:$E$9))*SUM(L148:O148),0)</f>
        <v>0</v>
      </c>
      <c r="AA148" s="221">
        <f t="shared" ref="AA148:AA163" si="71">IFERROR(((IF($AA$17="Não",$H$9,0)*$E$6+IF($AA$17="Não",$I$9,0)*$E$7+IF($AA$17="Não",$J$9,0)*$E$8+IF($AA$17="Não",$K$9,0)*$E$9)/SUM($E$6:$E$9))*SUM(L148:O148),0)</f>
        <v>0</v>
      </c>
      <c r="AB148" s="221">
        <f t="shared" ref="AB148:AB163" si="72">IFERROR(((IF($AB$17="Não",$H$10,0)*$E$6+IF($AB$17="Não",$I$10,0)*$E$7+IF($AB$17="Não",$J$10,0)*$E$8+IF($AB$17="Não",$K$10,0)*$E$9)/SUM($E$6:$E$9))*SUM(L148:O148),0)</f>
        <v>0</v>
      </c>
      <c r="AC148" s="221">
        <f t="shared" ref="AC148:AC163" si="73">IFERROR(((IF($AC$17="Não",$H$11,0)*$E$6+IF($AC$17="Não",$I$11,0)*$E$7+IF($AC$17="Não",$J$11,0)*$E$8+IF($AC$17="Não",$K$11,0)*$E$9)/SUM($E$6:$E$9))*SUM(L148:O148),0)</f>
        <v>0</v>
      </c>
      <c r="AD148" s="221">
        <f t="shared" ref="AD148:AD163" si="74">IFERROR(((IF($AD$17="Não",$H$12,0)*$E$6+IF($AD$17="Não",$I$12,0)*$E$7+IF($AD$17="Não",$J$12,0)*$E$8+IF($AD$17="Não",$K$12,0)*$E$9)/SUM($E$6:$E$9))*SUM(L148:O148),0)</f>
        <v>0</v>
      </c>
      <c r="AE148" s="221">
        <f t="shared" ref="AE148:AE163" si="75">IFERROR(((IF($AE$17="Não",$H$13,0)*$E$6+IF($AE$17="Não",$I$13,0)*$E$7+IF($AE$17="Não",$J$13,0)*$E$8+IF($AE$17="Não",$K$13,0)*$E$9)/SUM($E$6:$E$9))*SUM(L148:O148),0)</f>
        <v>0</v>
      </c>
      <c r="AF148" s="221">
        <f t="shared" ref="AF148:AF163" si="76">IFERROR(((IF($AF$17="Não",$H$14,0)*$E$6+IF($AF$17="Não",$I$14,0)*$E$7+IF($AF$17="Não",$J$14,0)*$E$8+IF($AF$17="Não",$K$14,0)*$E$9)/SUM($E$6:$E$9))*SUM(L148:O148),0)</f>
        <v>0</v>
      </c>
      <c r="AG148" s="222">
        <f t="shared" si="53"/>
        <v>8</v>
      </c>
      <c r="AH148" s="222">
        <f t="shared" ref="AH148:AH163" si="77">AG148+S148</f>
        <v>8</v>
      </c>
      <c r="AJ148" s="291">
        <f t="shared" ref="AJ148:AJ163" ca="1" si="78">IF(B148+C148=0,0,(Agents(B148*C148/600,$C$7,$C$8,C148)))</f>
        <v>8</v>
      </c>
      <c r="AK148" s="291">
        <f ca="1">IFERROR(ROUNDUP(IF(B148=0,0,Agents(B148*C148/600,$C$7,$C$8,C148))/(1-($J$12*(IFERROR(INDIRECT("CURVAS_INTRA!"&amp;ADDRESS(VLOOKUP($A148,CURVAS_INTRA!$A$103:$B$150,2,0),HLOOKUP($C$14,CURVAS_INTRA!$1:$2,2,0))),0)+IFERROR(INDIRECT("CURVAS_INTRA!"&amp;ADDRESS(VLOOKUP($A147,CURVAS_INTRA!$A$103:$B$150,2,0),HLOOKUP($C$14,CURVAS_INTRA!$1:$2,2,0))),0)+IFERROR(INDIRECT("CURVAS_INTRA!"&amp;ADDRESS(VLOOKUP($A146,CURVAS_INTRA!$A$103:$B$150,2,0),HLOOKUP($C$14,CURVAS_INTRA!$1:$2,2,0))),0)))),0),0)</f>
        <v>9</v>
      </c>
      <c r="AM148" s="488">
        <f t="shared" si="54"/>
        <v>0</v>
      </c>
      <c r="AN148" s="174"/>
      <c r="AO148" s="174"/>
      <c r="AP148" s="174"/>
      <c r="AQ148" s="174"/>
      <c r="AR148" s="174"/>
    </row>
    <row r="149" spans="1:44" ht="11.25" customHeight="1">
      <c r="A149" s="599">
        <v>0.89583333333333004</v>
      </c>
      <c r="B149" s="183">
        <f ca="1">IFERROR(INDIRECT("CURVAS_INTRA!"&amp;ADDRESS(VLOOKUP($A149,CURVAS_INTRA!$A$3:$B$50,2,0),HLOOKUP($C$14,CURVAS_INTRA!$1:$2,2,0)))/3*$C$5,$B$19)</f>
        <v>3.3487739250709851</v>
      </c>
      <c r="C149" s="345">
        <f ca="1">IFERROR(INDIRECT("CURVAS_INTRA!"&amp;ADDRESS(VLOOKUP($A149,CURVAS_INTRA!$A$53:$B$100,2,0),HLOOKUP($C$14,CURVAS_INTRA!$1:$2,2,0)))*$C$6,C148)</f>
        <v>727.91631384333061</v>
      </c>
      <c r="D149" s="183">
        <f ca="1">IFERROR(ROUNDUP(IF(B149=0,0,Agents(B149*C149/600,$C$7,$C$8,C149))/(1-($H$7*(IFERROR(INDIRECT("CURVAS_INTRA!"&amp;ADDRESS(VLOOKUP($A149,CURVAS_INTRA!$A$103:$B$150,2,0),HLOOKUP($C$14,CURVAS_INTRA!$1:$2,2,0))),0)))),0),0)</f>
        <v>9</v>
      </c>
      <c r="E149" s="345">
        <f t="shared" si="69"/>
        <v>8</v>
      </c>
      <c r="F149" s="346">
        <f t="shared" ref="F149:F163" ca="1" si="79">E149-D149</f>
        <v>-1</v>
      </c>
      <c r="G149" s="185">
        <f ca="1">IFERROR(DelayQ(B149*C149/600,E149*((1-$H$7*VLOOKUP(A149,CURVAS_INTRA!$A$103:$AD$150,HLOOKUP($C$14,CURVAS_INTRA!$A$101:$AD$102,2,0),0))),$C$8,C149),0)</f>
        <v>0.74880000000000002</v>
      </c>
      <c r="H149" s="221">
        <v>0</v>
      </c>
      <c r="I149" s="221">
        <v>0</v>
      </c>
      <c r="J149" s="221">
        <v>0</v>
      </c>
      <c r="K149" s="221">
        <v>0</v>
      </c>
      <c r="L149" s="137">
        <f t="shared" si="55"/>
        <v>0</v>
      </c>
      <c r="M149" s="186">
        <f t="shared" si="65"/>
        <v>0</v>
      </c>
      <c r="N149" s="183">
        <f>SUM(J112:J149)</f>
        <v>6</v>
      </c>
      <c r="O149" s="188">
        <f t="shared" si="67"/>
        <v>2</v>
      </c>
      <c r="P149" s="201">
        <f t="shared" ref="P149:P163" ca="1" si="80">IFERROR(IF((B149*C149)/(E149*600*(1-$H$7))&gt;1,1,(B149*C149)/(E149*600*(1-$H$7))),"")</f>
        <v>0.62298638267311179</v>
      </c>
      <c r="Q149" s="202">
        <f t="shared" ref="Q149:Q163" ca="1" si="81">IFERROR(IF((B149*C149)/(D149*600*(1-$H$7))&gt;1,1,(B149*C149)/(D149*600*(1-$H$7))),"")</f>
        <v>0.55376567348721051</v>
      </c>
      <c r="R149" s="174">
        <f ca="1">IF(AND(ROW()&gt;=$B$1,ROW()&lt;=$C$1),SUM(F149:$F$163)+SUM($F$20:F42),"")</f>
        <v>40</v>
      </c>
      <c r="S149" s="339"/>
      <c r="T149" s="241">
        <f t="shared" ref="T149:T163" ca="1" si="82">S149+F149</f>
        <v>-1</v>
      </c>
      <c r="U149" s="247">
        <f ca="1">IF(IFERROR(DelayQ(B149*C149/600,(S149/(1-$H$5))+E149*((1-$H$7)*VLOOKUP(A149,CURVAS_INTRA!$A$103:$AD$150,HLOOKUP($C$14,CURVAS_INTRA!$A$101:$AD$102,2,0),0)),$C$8,C149),0)=0,"",IFERROR(DelayQ(B149*C149/600,S149+E149*((1-$H$7)*VLOOKUP(A149,CURVAS_INTRA!$A$103:$AD$150,HLOOKUP($C$14,CURVAS_INTRA!$A$101:$AD$102,2,0),0)),$C$8,C149),0))</f>
        <v>0.74880000000000002</v>
      </c>
      <c r="V149" s="281">
        <f t="shared" ref="V149:V163" ca="1" si="83">IF(S149="",G149,U149)</f>
        <v>0.74880000000000002</v>
      </c>
      <c r="W149" s="174">
        <f t="shared" si="68"/>
        <v>8</v>
      </c>
      <c r="X149" s="227">
        <v>0.89583333333333004</v>
      </c>
      <c r="Y149" s="220">
        <f t="shared" ref="Y149:Y163" si="84">SUM(L149:O149)</f>
        <v>8</v>
      </c>
      <c r="Z149" s="221">
        <f t="shared" si="70"/>
        <v>0</v>
      </c>
      <c r="AA149" s="221">
        <f t="shared" si="71"/>
        <v>0</v>
      </c>
      <c r="AB149" s="221">
        <f t="shared" si="72"/>
        <v>0</v>
      </c>
      <c r="AC149" s="221">
        <f t="shared" si="73"/>
        <v>0</v>
      </c>
      <c r="AD149" s="221">
        <f t="shared" si="74"/>
        <v>0</v>
      </c>
      <c r="AE149" s="221">
        <f t="shared" si="75"/>
        <v>0</v>
      </c>
      <c r="AF149" s="221">
        <f t="shared" si="76"/>
        <v>0</v>
      </c>
      <c r="AG149" s="222">
        <f t="shared" ref="AG149:AG163" si="85">Y149-SUM(Z149:AF149)</f>
        <v>8</v>
      </c>
      <c r="AH149" s="222">
        <f t="shared" si="77"/>
        <v>8</v>
      </c>
      <c r="AJ149" s="291">
        <f t="shared" ca="1" si="78"/>
        <v>7</v>
      </c>
      <c r="AK149" s="291">
        <f ca="1">IFERROR(ROUNDUP(IF(B149=0,0,Agents(B149*C149/600,$C$7,$C$8,C149))/(1-($J$12*(IFERROR(INDIRECT("CURVAS_INTRA!"&amp;ADDRESS(VLOOKUP($A149,CURVAS_INTRA!$A$103:$B$150,2,0),HLOOKUP($C$14,CURVAS_INTRA!$1:$2,2,0))),0)))),0),0)</f>
        <v>8</v>
      </c>
      <c r="AM149" s="488">
        <f t="shared" ref="AM149:AM163" si="86">SUM(H149:K149)</f>
        <v>0</v>
      </c>
      <c r="AN149" s="174"/>
      <c r="AO149" s="174"/>
      <c r="AP149" s="174"/>
      <c r="AQ149" s="174"/>
      <c r="AR149" s="174"/>
    </row>
    <row r="150" spans="1:44" ht="11.25" customHeight="1">
      <c r="A150" s="599">
        <v>0.90277777777777801</v>
      </c>
      <c r="B150" s="183">
        <f ca="1">IFERROR(INDIRECT("CURVAS_INTRA!"&amp;ADDRESS(VLOOKUP($A149,CURVAS_INTRA!$A$3:$B$50,2,0),HLOOKUP($C$14,CURVAS_INTRA!$1:$2,2,0)))/3*$C$5,$B$19)</f>
        <v>3.3487739250709851</v>
      </c>
      <c r="C150" s="345">
        <f ca="1">IFERROR(INDIRECT("CURVAS_INTRA!"&amp;ADDRESS(VLOOKUP($A150,CURVAS_INTRA!$A$53:$B$100,2,0),HLOOKUP($C$14,CURVAS_INTRA!$1:$2,2,0)))*$C$6,C149)</f>
        <v>727.91631384333061</v>
      </c>
      <c r="D150" s="183">
        <f ca="1">IFERROR(ROUNDUP(IF(B150=0,0,Agents(B150*C150/600,$C$7,$C$8,C150))/(1-($H$7*(IFERROR(INDIRECT("CURVAS_INTRA!"&amp;ADDRESS(VLOOKUP($A149,CURVAS_INTRA!$A$103:$B$150,2,0),HLOOKUP($C$14,CURVAS_INTRA!$1:$2,2,0))),0)))),0),0)</f>
        <v>9</v>
      </c>
      <c r="E150" s="345">
        <f t="shared" si="69"/>
        <v>8</v>
      </c>
      <c r="F150" s="346">
        <f t="shared" ca="1" si="79"/>
        <v>-1</v>
      </c>
      <c r="G150" s="185">
        <f ca="1">IFERROR(DelayQ(B150*C150/600,E150*((1-$H$7*VLOOKUP(A149,CURVAS_INTRA!$A$103:$AD$150,HLOOKUP($C$14,CURVAS_INTRA!$A$101:$AD$102,2,0),0))),$C$8,C150),0)</f>
        <v>0.74880000000000002</v>
      </c>
      <c r="H150" s="221">
        <v>0</v>
      </c>
      <c r="I150" s="221">
        <v>0</v>
      </c>
      <c r="J150" s="221">
        <v>0</v>
      </c>
      <c r="K150" s="221">
        <v>0</v>
      </c>
      <c r="L150" s="137">
        <f t="shared" si="55"/>
        <v>0</v>
      </c>
      <c r="M150" s="186">
        <f t="shared" si="65"/>
        <v>0</v>
      </c>
      <c r="N150" s="137">
        <f t="shared" si="66"/>
        <v>6</v>
      </c>
      <c r="O150" s="188">
        <f t="shared" si="67"/>
        <v>2</v>
      </c>
      <c r="P150" s="201">
        <f t="shared" ca="1" si="80"/>
        <v>0.62298638267311179</v>
      </c>
      <c r="Q150" s="202">
        <f ca="1">IFERROR(IF((B150*C150)/(D150*600*(1-$H$7))&gt;1,1,(B150*C150)/(D150*600*(1-$H$7))),"")</f>
        <v>0.55376567348721051</v>
      </c>
      <c r="R150" s="174">
        <f ca="1">IF(AND(ROW()&gt;=$B$1,ROW()&lt;=$C$1),SUM(F150:$F$163)+SUM($F$20:F43),"")</f>
        <v>43</v>
      </c>
      <c r="S150" s="339"/>
      <c r="T150" s="241">
        <f t="shared" ca="1" si="82"/>
        <v>-1</v>
      </c>
      <c r="U150" s="247">
        <f ca="1">IF(IFERROR(DelayQ(B150*C150/600,(S150/(1-$H$5))+E150*((1-$H$7)*VLOOKUP(A149,CURVAS_INTRA!$A$103:$AD$150,HLOOKUP($C$14,CURVAS_INTRA!$A$101:$AD$102,2,0),0)),$C$8,C150),0)=0,"",IFERROR(DelayQ(B150*C150/600,S150+E150*((1-$H$7)*VLOOKUP(A149,CURVAS_INTRA!$A$103:$AD$150,HLOOKUP($C$14,CURVAS_INTRA!$A$101:$AD$102,2,0),0)),$C$8,C150),0))</f>
        <v>0.74880000000000002</v>
      </c>
      <c r="V150" s="281">
        <f t="shared" ca="1" si="83"/>
        <v>0.74880000000000002</v>
      </c>
      <c r="W150" s="174">
        <f t="shared" si="68"/>
        <v>8</v>
      </c>
      <c r="X150" s="227">
        <v>0.90277777777777801</v>
      </c>
      <c r="Y150" s="220">
        <f t="shared" si="84"/>
        <v>8</v>
      </c>
      <c r="Z150" s="221">
        <f t="shared" si="70"/>
        <v>0</v>
      </c>
      <c r="AA150" s="221">
        <f t="shared" si="71"/>
        <v>0</v>
      </c>
      <c r="AB150" s="221">
        <f t="shared" si="72"/>
        <v>0</v>
      </c>
      <c r="AC150" s="221">
        <f t="shared" si="73"/>
        <v>0</v>
      </c>
      <c r="AD150" s="221">
        <f t="shared" si="74"/>
        <v>0</v>
      </c>
      <c r="AE150" s="221">
        <f t="shared" si="75"/>
        <v>0</v>
      </c>
      <c r="AF150" s="221">
        <f t="shared" si="76"/>
        <v>0</v>
      </c>
      <c r="AG150" s="222">
        <f t="shared" si="85"/>
        <v>8</v>
      </c>
      <c r="AH150" s="222">
        <f t="shared" si="77"/>
        <v>8</v>
      </c>
      <c r="AJ150" s="291">
        <f t="shared" ca="1" si="78"/>
        <v>7</v>
      </c>
      <c r="AK150" s="291">
        <f ca="1">IFERROR(ROUNDUP(IF(B150=0,0,Agents(B150*C150/600,$C$7,$C$8,C150))/(1-($J$12*(IFERROR(INDIRECT("CURVAS_INTRA!"&amp;ADDRESS(VLOOKUP($A150,CURVAS_INTRA!$A$103:$B$150,2,0),HLOOKUP($C$14,CURVAS_INTRA!$1:$2,2,0))),0)+IFERROR(INDIRECT("CURVAS_INTRA!"&amp;ADDRESS(VLOOKUP($A149,CURVAS_INTRA!$A$103:$B$150,2,0),HLOOKUP($C$14,CURVAS_INTRA!$1:$2,2,0))),0)))),0),0)</f>
        <v>8</v>
      </c>
      <c r="AM150" s="488">
        <f t="shared" si="86"/>
        <v>0</v>
      </c>
      <c r="AN150" s="174"/>
      <c r="AO150" s="174"/>
      <c r="AP150" s="174"/>
      <c r="AQ150" s="174"/>
      <c r="AR150" s="174"/>
    </row>
    <row r="151" spans="1:44" ht="11.25" customHeight="1">
      <c r="A151" s="599">
        <v>0.90972222222222199</v>
      </c>
      <c r="B151" s="183">
        <f ca="1">IFERROR(INDIRECT("CURVAS_INTRA!"&amp;ADDRESS(VLOOKUP($A149,CURVAS_INTRA!$A$3:$B$50,2,0),HLOOKUP($C$14,CURVAS_INTRA!$1:$2,2,0)))/3*$C$5,B148)</f>
        <v>3.3487739250709851</v>
      </c>
      <c r="C151" s="345">
        <f ca="1">IFERROR(INDIRECT("CURVAS_INTRA!"&amp;ADDRESS(VLOOKUP($A151,CURVAS_INTRA!$A$53:$B$100,2,0),HLOOKUP($C$14,CURVAS_INTRA!$1:$2,2,0)))*$C$6,C150)</f>
        <v>727.91631384333061</v>
      </c>
      <c r="D151" s="183">
        <f ca="1">IFERROR(ROUNDUP(IF(B151=0,0,Agents(B151*C151/600,$C$7,$C$8,C151))/(1-($H$7*(IFERROR(INDIRECT("CURVAS_INTRA!"&amp;ADDRESS(VLOOKUP($A149,CURVAS_INTRA!$A$103:$B$150,2,0),HLOOKUP($C$14,CURVAS_INTRA!$1:$2,2,0))),0)))),0),0)</f>
        <v>9</v>
      </c>
      <c r="E151" s="345">
        <f t="shared" si="69"/>
        <v>8</v>
      </c>
      <c r="F151" s="346">
        <f t="shared" ca="1" si="79"/>
        <v>-1</v>
      </c>
      <c r="G151" s="185">
        <f ca="1">IFERROR(DelayQ(B151*C151/600,E151*((1-$H$7*VLOOKUP(A149,CURVAS_INTRA!$A$103:$AD$150,HLOOKUP($C$14,CURVAS_INTRA!$A$101:$AD$102,2,0),0))),$C$8,C151),0)</f>
        <v>0.74880000000000002</v>
      </c>
      <c r="H151" s="221">
        <v>0</v>
      </c>
      <c r="I151" s="221">
        <v>0</v>
      </c>
      <c r="J151" s="221">
        <v>0</v>
      </c>
      <c r="K151" s="221">
        <v>0</v>
      </c>
      <c r="L151" s="137">
        <f t="shared" si="55"/>
        <v>0</v>
      </c>
      <c r="M151" s="186">
        <f t="shared" si="65"/>
        <v>0</v>
      </c>
      <c r="N151" s="183">
        <f>SUM(J114:J151)</f>
        <v>6</v>
      </c>
      <c r="O151" s="188">
        <f t="shared" si="67"/>
        <v>2</v>
      </c>
      <c r="P151" s="201">
        <f t="shared" ca="1" si="80"/>
        <v>0.62298638267311179</v>
      </c>
      <c r="Q151" s="202">
        <f t="shared" ca="1" si="81"/>
        <v>0.55376567348721051</v>
      </c>
      <c r="R151" s="174">
        <f ca="1">IF(AND(ROW()&gt;=$B$1,ROW()&lt;=$C$1),SUM(F151:$F$163)+SUM($F$20:F44),"")</f>
        <v>46</v>
      </c>
      <c r="S151" s="339"/>
      <c r="T151" s="241">
        <f t="shared" ca="1" si="82"/>
        <v>-1</v>
      </c>
      <c r="U151" s="247">
        <f ca="1">IF(IFERROR(DelayQ(B151*C151/600,(S151/(1-$H$5))+E151*((1-$H$7)*VLOOKUP(A149,CURVAS_INTRA!$A$103:$AD$150,HLOOKUP($C$14,CURVAS_INTRA!$A$101:$AD$102,2,0),0)),$C$8,C151),0)=0,"",IFERROR(DelayQ(B151*C151/600,S151+E151*((1-$H$7)*VLOOKUP(A149,CURVAS_INTRA!$A$103:$AD$150,HLOOKUP($C$14,CURVAS_INTRA!$A$101:$AD$102,2,0),0)),$C$8,C151),0))</f>
        <v>0.74880000000000002</v>
      </c>
      <c r="V151" s="281">
        <f t="shared" ca="1" si="83"/>
        <v>0.74880000000000002</v>
      </c>
      <c r="W151" s="174">
        <f t="shared" si="68"/>
        <v>8</v>
      </c>
      <c r="X151" s="227">
        <v>0.90972222222222199</v>
      </c>
      <c r="Y151" s="220">
        <f t="shared" si="84"/>
        <v>8</v>
      </c>
      <c r="Z151" s="221">
        <f t="shared" si="70"/>
        <v>0</v>
      </c>
      <c r="AA151" s="221">
        <f t="shared" si="71"/>
        <v>0</v>
      </c>
      <c r="AB151" s="221">
        <f t="shared" si="72"/>
        <v>0</v>
      </c>
      <c r="AC151" s="221">
        <f t="shared" si="73"/>
        <v>0</v>
      </c>
      <c r="AD151" s="221">
        <f t="shared" si="74"/>
        <v>0</v>
      </c>
      <c r="AE151" s="221">
        <f t="shared" si="75"/>
        <v>0</v>
      </c>
      <c r="AF151" s="221">
        <f t="shared" si="76"/>
        <v>0</v>
      </c>
      <c r="AG151" s="222">
        <f t="shared" si="85"/>
        <v>8</v>
      </c>
      <c r="AH151" s="222">
        <f t="shared" si="77"/>
        <v>8</v>
      </c>
      <c r="AJ151" s="291">
        <f t="shared" ca="1" si="78"/>
        <v>7</v>
      </c>
      <c r="AK151" s="291">
        <f ca="1">IFERROR(ROUNDUP(IF(B151=0,0,Agents(B151*C151/600,$C$7,$C$8,C151))/(1-($J$12*(IFERROR(INDIRECT("CURVAS_INTRA!"&amp;ADDRESS(VLOOKUP($A151,CURVAS_INTRA!$A$103:$B$150,2,0),HLOOKUP($C$14,CURVAS_INTRA!$1:$2,2,0))),0)+IFERROR(INDIRECT("CURVAS_INTRA!"&amp;ADDRESS(VLOOKUP($A150,CURVAS_INTRA!$A$103:$B$150,2,0),HLOOKUP($C$14,CURVAS_INTRA!$1:$2,2,0))),0)+IFERROR(INDIRECT("CURVAS_INTRA!"&amp;ADDRESS(VLOOKUP($A149,CURVAS_INTRA!$A$103:$B$150,2,0),HLOOKUP($C$14,CURVAS_INTRA!$1:$2,2,0))),0)))),0),0)</f>
        <v>8</v>
      </c>
      <c r="AM151" s="488">
        <f t="shared" si="86"/>
        <v>0</v>
      </c>
      <c r="AN151" s="174"/>
      <c r="AO151" s="174"/>
      <c r="AP151" s="174"/>
      <c r="AQ151" s="174"/>
      <c r="AR151" s="174"/>
    </row>
    <row r="152" spans="1:44" ht="11.25" customHeight="1">
      <c r="A152" s="599">
        <v>0.91666666666666397</v>
      </c>
      <c r="B152" s="183">
        <f ca="1">IFERROR(INDIRECT("CURVAS_INTRA!"&amp;ADDRESS(VLOOKUP($A152,CURVAS_INTRA!$A$3:$B$50,2,0),HLOOKUP($C$14,CURVAS_INTRA!$1:$2,2,0)))/3*$C$5,$B$19)</f>
        <v>1.6361527373915403</v>
      </c>
      <c r="C152" s="183">
        <f ca="1">IFERROR(INDIRECT("CURVAS_INTRA!"&amp;ADDRESS(VLOOKUP($A152,CURVAS_INTRA!$A$53:$B$100,2,0),HLOOKUP($C$14,CURVAS_INTRA!$1:$2,2,0)))*$C$6,C151)</f>
        <v>687.19992034905738</v>
      </c>
      <c r="D152" s="183">
        <f ca="1">IFERROR(ROUNDUP(IF(B152=0,0,Agents(B152*C152/600,$C$7,$C$8,C152))/(1-($H$7*(IFERROR(INDIRECT("CURVAS_INTRA!"&amp;ADDRESS(VLOOKUP($A152,CURVAS_INTRA!$A$103:$B$150,2,0),HLOOKUP($C$14,CURVAS_INTRA!$1:$2,2,0))),0)))),0),0)</f>
        <v>5</v>
      </c>
      <c r="E152" s="183">
        <f t="shared" si="69"/>
        <v>8</v>
      </c>
      <c r="F152" s="241">
        <f t="shared" ca="1" si="79"/>
        <v>3</v>
      </c>
      <c r="G152" s="185">
        <f ca="1">IFERROR(DelayQ(B152*C152/600,E152*((1-$H$7*VLOOKUP(A152,CURVAS_INTRA!$A$103:$AD$150,HLOOKUP($C$14,CURVAS_INTRA!$A$101:$AD$102,2,0),0))),$C$8,C152),0)</f>
        <v>0.98870000000000002</v>
      </c>
      <c r="H152" s="221">
        <v>0</v>
      </c>
      <c r="I152" s="221">
        <v>0</v>
      </c>
      <c r="J152" s="221">
        <v>0</v>
      </c>
      <c r="K152" s="221">
        <v>0</v>
      </c>
      <c r="L152" s="137">
        <f t="shared" si="55"/>
        <v>0</v>
      </c>
      <c r="M152" s="186">
        <f t="shared" si="65"/>
        <v>0</v>
      </c>
      <c r="N152" s="183">
        <f>SUM(J115:J152)</f>
        <v>6</v>
      </c>
      <c r="O152" s="188">
        <f t="shared" si="67"/>
        <v>2</v>
      </c>
      <c r="P152" s="201">
        <f t="shared" ca="1" si="80"/>
        <v>0.28735464084657741</v>
      </c>
      <c r="Q152" s="202">
        <f t="shared" ca="1" si="81"/>
        <v>0.45976742535452392</v>
      </c>
      <c r="R152" s="174">
        <f ca="1">IF(AND(ROW()&gt;=$B$1,ROW()&lt;=$C$1),SUM(F152:$F$163)+SUM($F$20:F45),"")</f>
        <v>49</v>
      </c>
      <c r="S152" s="339"/>
      <c r="T152" s="241">
        <f t="shared" ca="1" si="82"/>
        <v>3</v>
      </c>
      <c r="U152" s="247">
        <f ca="1">IF(IFERROR(DelayQ(B152*C152/600,(S152/(1-$H$5))+E152*((1-$H$7)*VLOOKUP(A152,CURVAS_INTRA!$A$103:$AD$150,HLOOKUP($C$14,CURVAS_INTRA!$A$101:$AD$102,2,0),0)),$C$8,C152),0)=0,"",IFERROR(DelayQ(B152*C152/600,S152+E152*((1-$H$7)*VLOOKUP(A152,CURVAS_INTRA!$A$103:$AD$150,HLOOKUP($C$14,CURVAS_INTRA!$A$101:$AD$102,2,0),0)),$C$8,C152),0))</f>
        <v>0.98870000000000002</v>
      </c>
      <c r="V152" s="281">
        <f t="shared" ca="1" si="83"/>
        <v>0.98870000000000002</v>
      </c>
      <c r="W152" s="174">
        <f t="shared" si="68"/>
        <v>8</v>
      </c>
      <c r="X152" s="227">
        <v>0.91666666666666397</v>
      </c>
      <c r="Y152" s="220">
        <f t="shared" si="84"/>
        <v>8</v>
      </c>
      <c r="Z152" s="221">
        <f t="shared" si="70"/>
        <v>0</v>
      </c>
      <c r="AA152" s="221">
        <f t="shared" si="71"/>
        <v>0</v>
      </c>
      <c r="AB152" s="221">
        <f t="shared" si="72"/>
        <v>0</v>
      </c>
      <c r="AC152" s="221">
        <f t="shared" si="73"/>
        <v>0</v>
      </c>
      <c r="AD152" s="221">
        <f t="shared" si="74"/>
        <v>0</v>
      </c>
      <c r="AE152" s="221">
        <f t="shared" si="75"/>
        <v>0</v>
      </c>
      <c r="AF152" s="221">
        <f t="shared" si="76"/>
        <v>0</v>
      </c>
      <c r="AG152" s="222">
        <f t="shared" si="85"/>
        <v>8</v>
      </c>
      <c r="AH152" s="222">
        <f t="shared" si="77"/>
        <v>8</v>
      </c>
      <c r="AJ152" s="291">
        <f t="shared" ca="1" si="78"/>
        <v>4</v>
      </c>
      <c r="AK152" s="291">
        <f ca="1">IFERROR(ROUNDUP(IF(B152=0,0,Agents(B152*C152/600,$C$7,$C$8,C152))/(1-($J$12*(IFERROR(INDIRECT("CURVAS_INTRA!"&amp;ADDRESS(VLOOKUP($A152,CURVAS_INTRA!$A$103:$B$150,2,0),HLOOKUP($C$14,CURVAS_INTRA!$1:$2,2,0))),0)))),0),0)</f>
        <v>5</v>
      </c>
      <c r="AM152" s="488">
        <f t="shared" si="86"/>
        <v>0</v>
      </c>
    </row>
    <row r="153" spans="1:44" ht="11.25" customHeight="1">
      <c r="A153" s="599">
        <v>0.92361111111111105</v>
      </c>
      <c r="B153" s="183">
        <f ca="1">IFERROR(INDIRECT("CURVAS_INTRA!"&amp;ADDRESS(VLOOKUP($A152,CURVAS_INTRA!$A$3:$B$50,2,0),HLOOKUP($C$14,CURVAS_INTRA!$1:$2,2,0)))/3*$C$5,$B$19)</f>
        <v>1.6361527373915403</v>
      </c>
      <c r="C153" s="183">
        <f ca="1">IFERROR(INDIRECT("CURVAS_INTRA!"&amp;ADDRESS(VLOOKUP($A153,CURVAS_INTRA!$A$53:$B$100,2,0),HLOOKUP($C$14,CURVAS_INTRA!$1:$2,2,0)))*$C$6,C152)</f>
        <v>687.19992034905738</v>
      </c>
      <c r="D153" s="183">
        <f ca="1">IFERROR(ROUNDUP(IF(B153=0,0,Agents(B153*C153/600,$C$7,$C$8,C153))/(1-($H$7*(IFERROR(INDIRECT("CURVAS_INTRA!"&amp;ADDRESS(VLOOKUP($A152,CURVAS_INTRA!$A$103:$B$150,2,0),HLOOKUP($C$14,CURVAS_INTRA!$1:$2,2,0))),0)))),0),0)</f>
        <v>5</v>
      </c>
      <c r="E153" s="183">
        <f t="shared" si="69"/>
        <v>6</v>
      </c>
      <c r="F153" s="241">
        <f t="shared" ca="1" si="79"/>
        <v>1</v>
      </c>
      <c r="G153" s="185">
        <f ca="1">IFERROR(DelayQ(B153*C153/600,E153*((1-$H$7*VLOOKUP(A152,CURVAS_INTRA!$A$103:$AD$150,HLOOKUP($C$14,CURVAS_INTRA!$A$101:$AD$102,2,0),0))),$C$8,C153),0)</f>
        <v>0.88370000000000004</v>
      </c>
      <c r="H153" s="221">
        <v>0</v>
      </c>
      <c r="I153" s="221">
        <v>0</v>
      </c>
      <c r="J153" s="221">
        <v>0</v>
      </c>
      <c r="K153" s="221">
        <v>0</v>
      </c>
      <c r="L153" s="137">
        <f t="shared" si="55"/>
        <v>0</v>
      </c>
      <c r="M153" s="186">
        <f t="shared" si="65"/>
        <v>0</v>
      </c>
      <c r="N153" s="137">
        <f t="shared" si="66"/>
        <v>4</v>
      </c>
      <c r="O153" s="188">
        <f t="shared" si="67"/>
        <v>2</v>
      </c>
      <c r="P153" s="201">
        <f t="shared" ca="1" si="80"/>
        <v>0.38313952112876987</v>
      </c>
      <c r="Q153" s="202">
        <f t="shared" ca="1" si="81"/>
        <v>0.45976742535452392</v>
      </c>
      <c r="R153" s="174">
        <f ca="1">IF(AND(ROW()&gt;=$B$1,ROW()&lt;=$C$1),SUM(F153:$F$163)+SUM($F$20:F46),"")</f>
        <v>48</v>
      </c>
      <c r="S153" s="339"/>
      <c r="T153" s="241">
        <f t="shared" ca="1" si="82"/>
        <v>1</v>
      </c>
      <c r="U153" s="247">
        <f ca="1">IF(IFERROR(DelayQ(B153*C153/600,(S153/(1-$H$5))+E153*((1-$H$7)*VLOOKUP(A152,CURVAS_INTRA!$A$103:$AD$150,HLOOKUP($C$14,CURVAS_INTRA!$A$101:$AD$102,2,0),0)),$C$8,C153),0)=0,"",IFERROR(DelayQ(B153*C153/600,S153+E153*((1-$H$7)*VLOOKUP(A152,CURVAS_INTRA!$A$103:$AD$150,HLOOKUP($C$14,CURVAS_INTRA!$A$101:$AD$102,2,0),0)),$C$8,C153),0))</f>
        <v>0.88370000000000004</v>
      </c>
      <c r="V153" s="281">
        <f t="shared" ca="1" si="83"/>
        <v>0.88370000000000004</v>
      </c>
      <c r="W153" s="174">
        <f t="shared" si="68"/>
        <v>6</v>
      </c>
      <c r="X153" s="227">
        <v>0.92361111111111105</v>
      </c>
      <c r="Y153" s="220">
        <f t="shared" si="84"/>
        <v>6</v>
      </c>
      <c r="Z153" s="221">
        <f t="shared" si="70"/>
        <v>0</v>
      </c>
      <c r="AA153" s="221">
        <f t="shared" si="71"/>
        <v>0</v>
      </c>
      <c r="AB153" s="221">
        <f t="shared" si="72"/>
        <v>0</v>
      </c>
      <c r="AC153" s="221">
        <f t="shared" si="73"/>
        <v>0</v>
      </c>
      <c r="AD153" s="221">
        <f t="shared" si="74"/>
        <v>0</v>
      </c>
      <c r="AE153" s="221">
        <f t="shared" si="75"/>
        <v>0</v>
      </c>
      <c r="AF153" s="221">
        <f t="shared" si="76"/>
        <v>0</v>
      </c>
      <c r="AG153" s="222">
        <f t="shared" si="85"/>
        <v>6</v>
      </c>
      <c r="AH153" s="222">
        <f t="shared" si="77"/>
        <v>6</v>
      </c>
      <c r="AJ153" s="291">
        <f t="shared" ca="1" si="78"/>
        <v>4</v>
      </c>
      <c r="AK153" s="291">
        <f ca="1">IFERROR(ROUNDUP(IF(B153=0,0,Agents(B153*C153/600,$C$7,$C$8,C153))/(1-($J$12*(IFERROR(INDIRECT("CURVAS_INTRA!"&amp;ADDRESS(VLOOKUP($A153,CURVAS_INTRA!$A$103:$B$150,2,0),HLOOKUP($C$14,CURVAS_INTRA!$1:$2,2,0))),0)+IFERROR(INDIRECT("CURVAS_INTRA!"&amp;ADDRESS(VLOOKUP($A152,CURVAS_INTRA!$A$103:$B$150,2,0),HLOOKUP($C$14,CURVAS_INTRA!$1:$2,2,0))),0)))),0),0)</f>
        <v>5</v>
      </c>
      <c r="AM153" s="488">
        <f t="shared" si="86"/>
        <v>0</v>
      </c>
    </row>
    <row r="154" spans="1:44" ht="11.25" customHeight="1">
      <c r="A154" s="599">
        <v>0.93055555555555503</v>
      </c>
      <c r="B154" s="183">
        <f ca="1">IFERROR(INDIRECT("CURVAS_INTRA!"&amp;ADDRESS(VLOOKUP($A152,CURVAS_INTRA!$A$3:$B$50,2,0),HLOOKUP($C$14,CURVAS_INTRA!$1:$2,2,0)))/3*$C$5,B151)</f>
        <v>1.6361527373915403</v>
      </c>
      <c r="C154" s="183">
        <f ca="1">IFERROR(INDIRECT("CURVAS_INTRA!"&amp;ADDRESS(VLOOKUP($A154,CURVAS_INTRA!$A$53:$B$100,2,0),HLOOKUP($C$14,CURVAS_INTRA!$1:$2,2,0)))*$C$6,C153)</f>
        <v>687.19992034905738</v>
      </c>
      <c r="D154" s="183">
        <f ca="1">IFERROR(ROUNDUP(IF(B154=0,0,Agents(B154*C154/600,$C$7,$C$8,C154))/(1-($H$7*(IFERROR(INDIRECT("CURVAS_INTRA!"&amp;ADDRESS(VLOOKUP($A152,CURVAS_INTRA!$A$103:$B$150,2,0),HLOOKUP($C$14,CURVAS_INTRA!$1:$2,2,0))),0)))),0),0)</f>
        <v>5</v>
      </c>
      <c r="E154" s="183">
        <f t="shared" si="69"/>
        <v>6</v>
      </c>
      <c r="F154" s="241">
        <f t="shared" ca="1" si="79"/>
        <v>1</v>
      </c>
      <c r="G154" s="185">
        <f ca="1">IFERROR(DelayQ(B154*C154/600,E154*((1-$H$7*VLOOKUP(A152,CURVAS_INTRA!$A$103:$AD$150,HLOOKUP($C$14,CURVAS_INTRA!$A$101:$AD$102,2,0),0))),$C$8,C154),0)</f>
        <v>0.88370000000000004</v>
      </c>
      <c r="H154" s="221">
        <v>0</v>
      </c>
      <c r="I154" s="221">
        <v>0</v>
      </c>
      <c r="J154" s="221">
        <v>0</v>
      </c>
      <c r="K154" s="221">
        <v>0</v>
      </c>
      <c r="L154" s="137">
        <f t="shared" si="55"/>
        <v>0</v>
      </c>
      <c r="M154" s="186">
        <f t="shared" si="65"/>
        <v>0</v>
      </c>
      <c r="N154" s="137">
        <f t="shared" si="66"/>
        <v>4</v>
      </c>
      <c r="O154" s="188">
        <f t="shared" si="67"/>
        <v>2</v>
      </c>
      <c r="P154" s="201">
        <f t="shared" ca="1" si="80"/>
        <v>0.38313952112876987</v>
      </c>
      <c r="Q154" s="202">
        <f t="shared" ca="1" si="81"/>
        <v>0.45976742535452392</v>
      </c>
      <c r="R154" s="174">
        <f ca="1">IF(AND(ROW()&gt;=$B$1,ROW()&lt;=$C$1),SUM(F154:$F$163)+SUM($F$20:F47),"")</f>
        <v>49</v>
      </c>
      <c r="S154" s="339"/>
      <c r="T154" s="241">
        <f t="shared" ca="1" si="82"/>
        <v>1</v>
      </c>
      <c r="U154" s="247">
        <f ca="1">IF(IFERROR(DelayQ(B154*C154/600,(S154/(1-$H$5))+E154*((1-$H$7)*VLOOKUP(A152,CURVAS_INTRA!$A$103:$AD$150,HLOOKUP($C$14,CURVAS_INTRA!$A$101:$AD$102,2,0),0)),$C$8,C154),0)=0,"",IFERROR(DelayQ(B154*C154/600,S154+E154*((1-$H$7)*VLOOKUP(A152,CURVAS_INTRA!$A$103:$AD$150,HLOOKUP($C$14,CURVAS_INTRA!$A$101:$AD$102,2,0),0)),$C$8,C154),0))</f>
        <v>0.88370000000000004</v>
      </c>
      <c r="V154" s="281">
        <f t="shared" ca="1" si="83"/>
        <v>0.88370000000000004</v>
      </c>
      <c r="W154" s="174">
        <f t="shared" si="68"/>
        <v>6</v>
      </c>
      <c r="X154" s="227">
        <v>0.93055555555555503</v>
      </c>
      <c r="Y154" s="220">
        <f t="shared" si="84"/>
        <v>6</v>
      </c>
      <c r="Z154" s="221">
        <f t="shared" si="70"/>
        <v>0</v>
      </c>
      <c r="AA154" s="221">
        <f t="shared" si="71"/>
        <v>0</v>
      </c>
      <c r="AB154" s="221">
        <f t="shared" si="72"/>
        <v>0</v>
      </c>
      <c r="AC154" s="221">
        <f t="shared" si="73"/>
        <v>0</v>
      </c>
      <c r="AD154" s="221">
        <f t="shared" si="74"/>
        <v>0</v>
      </c>
      <c r="AE154" s="221">
        <f t="shared" si="75"/>
        <v>0</v>
      </c>
      <c r="AF154" s="221">
        <f t="shared" si="76"/>
        <v>0</v>
      </c>
      <c r="AG154" s="222">
        <f t="shared" si="85"/>
        <v>6</v>
      </c>
      <c r="AH154" s="222">
        <f t="shared" si="77"/>
        <v>6</v>
      </c>
      <c r="AJ154" s="291">
        <f t="shared" ca="1" si="78"/>
        <v>4</v>
      </c>
      <c r="AK154" s="291">
        <f ca="1">IFERROR(ROUNDUP(IF(B154=0,0,Agents(B154*C154/600,$C$7,$C$8,C154))/(1-($J$12*(IFERROR(INDIRECT("CURVAS_INTRA!"&amp;ADDRESS(VLOOKUP($A154,CURVAS_INTRA!$A$103:$B$150,2,0),HLOOKUP($C$14,CURVAS_INTRA!$1:$2,2,0))),0)+IFERROR(INDIRECT("CURVAS_INTRA!"&amp;ADDRESS(VLOOKUP($A153,CURVAS_INTRA!$A$103:$B$150,2,0),HLOOKUP($C$14,CURVAS_INTRA!$1:$2,2,0))),0)+IFERROR(INDIRECT("CURVAS_INTRA!"&amp;ADDRESS(VLOOKUP($A152,CURVAS_INTRA!$A$103:$B$150,2,0),HLOOKUP($C$14,CURVAS_INTRA!$1:$2,2,0))),0)))),0),0)</f>
        <v>5</v>
      </c>
      <c r="AM154" s="488">
        <f t="shared" si="86"/>
        <v>0</v>
      </c>
    </row>
    <row r="155" spans="1:44" ht="11.25" customHeight="1">
      <c r="A155" s="599">
        <v>0.937499999999998</v>
      </c>
      <c r="B155" s="183">
        <f ca="1">IFERROR(INDIRECT("CURVAS_INTRA!"&amp;ADDRESS(VLOOKUP($A155,CURVAS_INTRA!$A$3:$B$50,2,0),HLOOKUP($C$14,CURVAS_INTRA!$1:$2,2,0)))/3*$C$5,$B$19)</f>
        <v>1.3067004814525489</v>
      </c>
      <c r="C155" s="183">
        <f ca="1">IFERROR(INDIRECT("CURVAS_INTRA!"&amp;ADDRESS(VLOOKUP($A155,CURVAS_INTRA!$A$53:$B$100,2,0),HLOOKUP($C$14,CURVAS_INTRA!$1:$2,2,0)))*$C$6,C154)</f>
        <v>684.22866397510506</v>
      </c>
      <c r="D155" s="183">
        <f ca="1">IFERROR(ROUNDUP(IF(B155=0,0,Agents(B155*C155/600,$C$7,$C$8,C155))/(1-($H$7*(IFERROR(INDIRECT("CURVAS_INTRA!"&amp;ADDRESS(VLOOKUP($A155,CURVAS_INTRA!$A$103:$B$150,2,0),HLOOKUP($C$14,CURVAS_INTRA!$1:$2,2,0))),0)))),0),0)</f>
        <v>5</v>
      </c>
      <c r="E155" s="183">
        <f t="shared" ref="E155:E163" si="87">ROUNDUP(SUM(L155:O155),0)</f>
        <v>6</v>
      </c>
      <c r="F155" s="241">
        <f t="shared" ca="1" si="79"/>
        <v>1</v>
      </c>
      <c r="G155" s="185">
        <f ca="1">IFERROR(DelayQ(B155*C155/600,E155*((1-$H$7*VLOOKUP(A155,CURVAS_INTRA!$A$103:$AD$150,HLOOKUP($C$14,CURVAS_INTRA!$A$101:$AD$102,2,0),0))),$C$8,C155),0)</f>
        <v>0.93989999999999996</v>
      </c>
      <c r="H155" s="221">
        <v>0</v>
      </c>
      <c r="I155" s="221">
        <v>0</v>
      </c>
      <c r="J155" s="221">
        <v>0</v>
      </c>
      <c r="K155" s="221">
        <v>0</v>
      </c>
      <c r="L155" s="137">
        <f t="shared" si="55"/>
        <v>0</v>
      </c>
      <c r="M155" s="186">
        <f t="shared" si="65"/>
        <v>0</v>
      </c>
      <c r="N155" s="137">
        <f t="shared" si="66"/>
        <v>4</v>
      </c>
      <c r="O155" s="188">
        <f t="shared" si="67"/>
        <v>2</v>
      </c>
      <c r="P155" s="201">
        <f t="shared" ca="1" si="80"/>
        <v>0.3046683378943672</v>
      </c>
      <c r="Q155" s="202">
        <f t="shared" ca="1" si="81"/>
        <v>0.36560200547324068</v>
      </c>
      <c r="R155" s="174">
        <f ca="1">IF(AND(ROW()&gt;=$B$1,ROW()&lt;=$C$1),SUM(F155:$F$163)+SUM($F$20:F48),"")</f>
        <v>50</v>
      </c>
      <c r="S155" s="339"/>
      <c r="T155" s="241">
        <f t="shared" ca="1" si="82"/>
        <v>1</v>
      </c>
      <c r="U155" s="247">
        <f ca="1">IF(IFERROR(DelayQ(B155*C155/600,(S155/(1-$H$5))+E155*((1-$H$7)*VLOOKUP(A155,CURVAS_INTRA!$A$103:$AD$150,HLOOKUP($C$14,CURVAS_INTRA!$A$101:$AD$102,2,0),0)),$C$8,C155),0)=0,"",IFERROR(DelayQ(B155*C155/600,S155+E155*((1-$H$7)*VLOOKUP(A155,CURVAS_INTRA!$A$103:$AD$150,HLOOKUP($C$14,CURVAS_INTRA!$A$101:$AD$102,2,0),0)),$C$8,C155),0))</f>
        <v>0.93989999999999996</v>
      </c>
      <c r="V155" s="281">
        <f t="shared" ca="1" si="83"/>
        <v>0.93989999999999996</v>
      </c>
      <c r="W155" s="174">
        <f t="shared" si="68"/>
        <v>6</v>
      </c>
      <c r="X155" s="227">
        <v>0.937499999999998</v>
      </c>
      <c r="Y155" s="220">
        <f t="shared" si="84"/>
        <v>6</v>
      </c>
      <c r="Z155" s="221">
        <f t="shared" si="70"/>
        <v>0</v>
      </c>
      <c r="AA155" s="221">
        <f t="shared" si="71"/>
        <v>0</v>
      </c>
      <c r="AB155" s="221">
        <f t="shared" si="72"/>
        <v>0</v>
      </c>
      <c r="AC155" s="221">
        <f t="shared" si="73"/>
        <v>0</v>
      </c>
      <c r="AD155" s="221">
        <f t="shared" si="74"/>
        <v>0</v>
      </c>
      <c r="AE155" s="221">
        <f t="shared" si="75"/>
        <v>0</v>
      </c>
      <c r="AF155" s="221">
        <f t="shared" si="76"/>
        <v>0</v>
      </c>
      <c r="AG155" s="222">
        <f t="shared" si="85"/>
        <v>6</v>
      </c>
      <c r="AH155" s="222">
        <f t="shared" si="77"/>
        <v>6</v>
      </c>
      <c r="AJ155" s="291">
        <f t="shared" ca="1" si="78"/>
        <v>4</v>
      </c>
      <c r="AK155" s="291">
        <f ca="1">IFERROR(ROUNDUP(IF(B155=0,0,Agents(B155*C155/600,$C$7,$C$8,C155))/(1-($J$12*(IFERROR(INDIRECT("CURVAS_INTRA!"&amp;ADDRESS(VLOOKUP($A155,CURVAS_INTRA!$A$103:$B$150,2,0),HLOOKUP($C$14,CURVAS_INTRA!$1:$2,2,0))),0)))),0),0)</f>
        <v>5</v>
      </c>
      <c r="AM155" s="488">
        <f t="shared" si="86"/>
        <v>0</v>
      </c>
    </row>
    <row r="156" spans="1:44" ht="11.25" customHeight="1">
      <c r="A156" s="599">
        <v>0.94444444444444398</v>
      </c>
      <c r="B156" s="183">
        <f ca="1">IFERROR(INDIRECT("CURVAS_INTRA!"&amp;ADDRESS(VLOOKUP($A155,CURVAS_INTRA!$A$3:$B$50,2,0),HLOOKUP($C$14,CURVAS_INTRA!$1:$2,2,0)))/3*$C$5,$B$19)</f>
        <v>1.3067004814525489</v>
      </c>
      <c r="C156" s="183">
        <f ca="1">IFERROR(INDIRECT("CURVAS_INTRA!"&amp;ADDRESS(VLOOKUP($A156,CURVAS_INTRA!$A$53:$B$100,2,0),HLOOKUP($C$14,CURVAS_INTRA!$1:$2,2,0)))*$C$6,C155)</f>
        <v>684.22866397510506</v>
      </c>
      <c r="D156" s="183">
        <f ca="1">IFERROR(ROUNDUP(IF(B156=0,0,Agents(B156*C156/600,$C$7,$C$8,C156))/(1-($H$7*(IFERROR(INDIRECT("CURVAS_INTRA!"&amp;ADDRESS(VLOOKUP($A155,CURVAS_INTRA!$A$103:$B$150,2,0),HLOOKUP($C$14,CURVAS_INTRA!$1:$2,2,0))),0)))),0),0)</f>
        <v>5</v>
      </c>
      <c r="E156" s="183">
        <f t="shared" si="87"/>
        <v>6</v>
      </c>
      <c r="F156" s="241">
        <f t="shared" ca="1" si="79"/>
        <v>1</v>
      </c>
      <c r="G156" s="185">
        <f ca="1">IFERROR(DelayQ(B156*C156/600,E156*((1-$H$7*VLOOKUP(A155,CURVAS_INTRA!$A$103:$AD$150,HLOOKUP($C$14,CURVAS_INTRA!$A$101:$AD$102,2,0),0))),$C$8,C156),0)</f>
        <v>0.93989999999999996</v>
      </c>
      <c r="H156" s="221">
        <v>0</v>
      </c>
      <c r="I156" s="221">
        <v>0</v>
      </c>
      <c r="J156" s="221">
        <v>0</v>
      </c>
      <c r="K156" s="221">
        <v>0</v>
      </c>
      <c r="L156" s="137">
        <f t="shared" si="55"/>
        <v>0</v>
      </c>
      <c r="M156" s="186">
        <f t="shared" si="65"/>
        <v>0</v>
      </c>
      <c r="N156" s="137">
        <f t="shared" si="66"/>
        <v>4</v>
      </c>
      <c r="O156" s="188">
        <f t="shared" si="67"/>
        <v>2</v>
      </c>
      <c r="P156" s="201">
        <f t="shared" ca="1" si="80"/>
        <v>0.3046683378943672</v>
      </c>
      <c r="Q156" s="202">
        <f t="shared" ca="1" si="81"/>
        <v>0.36560200547324068</v>
      </c>
      <c r="R156" s="174">
        <f ca="1">IF(AND(ROW()&gt;=$B$1,ROW()&lt;=$C$1),SUM(F156:$F$163)+SUM($F$20:F49),"")</f>
        <v>51</v>
      </c>
      <c r="S156" s="339"/>
      <c r="T156" s="241">
        <f t="shared" ca="1" si="82"/>
        <v>1</v>
      </c>
      <c r="U156" s="247">
        <f ca="1">IF(IFERROR(DelayQ(B156*C156/600,(S156/(1-$H$5))+E156*((1-$H$7)*VLOOKUP(A155,CURVAS_INTRA!$A$103:$AD$150,HLOOKUP($C$14,CURVAS_INTRA!$A$101:$AD$102,2,0),0)),$C$8,C156),0)=0,"",IFERROR(DelayQ(B156*C156/600,S156+E156*((1-$H$7)*VLOOKUP(A155,CURVAS_INTRA!$A$103:$AD$150,HLOOKUP($C$14,CURVAS_INTRA!$A$101:$AD$102,2,0),0)),$C$8,C156),0))</f>
        <v>0.93989999999999996</v>
      </c>
      <c r="V156" s="281">
        <f t="shared" ca="1" si="83"/>
        <v>0.93989999999999996</v>
      </c>
      <c r="W156" s="174">
        <f t="shared" si="68"/>
        <v>6</v>
      </c>
      <c r="X156" s="227">
        <v>0.94444444444444398</v>
      </c>
      <c r="Y156" s="220">
        <f t="shared" si="84"/>
        <v>6</v>
      </c>
      <c r="Z156" s="221">
        <f t="shared" si="70"/>
        <v>0</v>
      </c>
      <c r="AA156" s="221">
        <f t="shared" si="71"/>
        <v>0</v>
      </c>
      <c r="AB156" s="221">
        <f t="shared" si="72"/>
        <v>0</v>
      </c>
      <c r="AC156" s="221">
        <f t="shared" si="73"/>
        <v>0</v>
      </c>
      <c r="AD156" s="221">
        <f t="shared" si="74"/>
        <v>0</v>
      </c>
      <c r="AE156" s="221">
        <f t="shared" si="75"/>
        <v>0</v>
      </c>
      <c r="AF156" s="221">
        <f t="shared" si="76"/>
        <v>0</v>
      </c>
      <c r="AG156" s="222">
        <f t="shared" si="85"/>
        <v>6</v>
      </c>
      <c r="AH156" s="222">
        <f t="shared" si="77"/>
        <v>6</v>
      </c>
      <c r="AJ156" s="291">
        <f t="shared" ca="1" si="78"/>
        <v>4</v>
      </c>
      <c r="AK156" s="291">
        <f ca="1">IFERROR(ROUNDUP(IF(B156=0,0,Agents(B156*C156/600,$C$7,$C$8,C156))/(1-($J$12*(IFERROR(INDIRECT("CURVAS_INTRA!"&amp;ADDRESS(VLOOKUP($A156,CURVAS_INTRA!$A$103:$B$150,2,0),HLOOKUP($C$14,CURVAS_INTRA!$1:$2,2,0))),0)+IFERROR(INDIRECT("CURVAS_INTRA!"&amp;ADDRESS(VLOOKUP($A155,CURVAS_INTRA!$A$103:$B$150,2,0),HLOOKUP($C$14,CURVAS_INTRA!$1:$2,2,0))),0)))),0),0)</f>
        <v>5</v>
      </c>
      <c r="AM156" s="488">
        <f t="shared" si="86"/>
        <v>0</v>
      </c>
    </row>
    <row r="157" spans="1:44" ht="11.25" customHeight="1">
      <c r="A157" s="599">
        <v>0.95138888888888895</v>
      </c>
      <c r="B157" s="183">
        <f ca="1">IFERROR(INDIRECT("CURVAS_INTRA!"&amp;ADDRESS(VLOOKUP($A155,CURVAS_INTRA!$A$3:$B$50,2,0),HLOOKUP($C$14,CURVAS_INTRA!$1:$2,2,0)))/3*$C$5,B154)</f>
        <v>1.3067004814525489</v>
      </c>
      <c r="C157" s="183">
        <f ca="1">IFERROR(INDIRECT("CURVAS_INTRA!"&amp;ADDRESS(VLOOKUP($A157,CURVAS_INTRA!$A$53:$B$100,2,0),HLOOKUP($C$14,CURVAS_INTRA!$1:$2,2,0)))*$C$6,C156)</f>
        <v>684.22866397510506</v>
      </c>
      <c r="D157" s="183">
        <f ca="1">IFERROR(ROUNDUP(IF(B157=0,0,Agents(B157*C157/600,$C$7,$C$8,C157))/(1-($H$7*(IFERROR(INDIRECT("CURVAS_INTRA!"&amp;ADDRESS(VLOOKUP($A155,CURVAS_INTRA!$A$103:$B$150,2,0),HLOOKUP($C$14,CURVAS_INTRA!$1:$2,2,0))),0)))),0),0)</f>
        <v>5</v>
      </c>
      <c r="E157" s="183">
        <f t="shared" si="87"/>
        <v>4</v>
      </c>
      <c r="F157" s="241">
        <f t="shared" ca="1" si="79"/>
        <v>-1</v>
      </c>
      <c r="G157" s="185">
        <f ca="1">IFERROR(DelayQ(B157*C157/600,E157*((1-$H$7*VLOOKUP(A155,CURVAS_INTRA!$A$103:$AD$150,HLOOKUP($C$14,CURVAS_INTRA!$A$101:$AD$102,2,0),0))),$C$8,C157),0)</f>
        <v>0.79110000000000003</v>
      </c>
      <c r="H157" s="221">
        <v>0</v>
      </c>
      <c r="I157" s="221">
        <v>0</v>
      </c>
      <c r="J157" s="221">
        <v>0</v>
      </c>
      <c r="K157" s="221">
        <v>0</v>
      </c>
      <c r="L157" s="137">
        <f t="shared" si="55"/>
        <v>0</v>
      </c>
      <c r="M157" s="186">
        <f t="shared" si="65"/>
        <v>0</v>
      </c>
      <c r="N157" s="137">
        <f t="shared" si="66"/>
        <v>4</v>
      </c>
      <c r="O157" s="188">
        <f t="shared" si="67"/>
        <v>0</v>
      </c>
      <c r="P157" s="201">
        <f t="shared" ca="1" si="80"/>
        <v>0.45700250684155086</v>
      </c>
      <c r="Q157" s="202">
        <f t="shared" ca="1" si="81"/>
        <v>0.36560200547324068</v>
      </c>
      <c r="R157" s="174">
        <f ca="1">IF(AND(ROW()&gt;=$B$1,ROW()&lt;=$C$1),SUM(F157:$F$163)+SUM($F$20:F50),"")</f>
        <v>51</v>
      </c>
      <c r="S157" s="339"/>
      <c r="T157" s="241">
        <f t="shared" ca="1" si="82"/>
        <v>-1</v>
      </c>
      <c r="U157" s="247">
        <f ca="1">IF(IFERROR(DelayQ(B157*C157/600,(S157/(1-$H$5))+E157*((1-$H$7)*VLOOKUP(A155,CURVAS_INTRA!$A$103:$AD$150,HLOOKUP($C$14,CURVAS_INTRA!$A$101:$AD$102,2,0),0)),$C$8,C157),0)=0,"",IFERROR(DelayQ(B157*C157/600,S157+E157*((1-$H$7)*VLOOKUP(A155,CURVAS_INTRA!$A$103:$AD$150,HLOOKUP($C$14,CURVAS_INTRA!$A$101:$AD$102,2,0),0)),$C$8,C157),0))</f>
        <v>0.79110000000000003</v>
      </c>
      <c r="V157" s="281">
        <f t="shared" ca="1" si="83"/>
        <v>0.79110000000000003</v>
      </c>
      <c r="W157" s="174">
        <f t="shared" si="68"/>
        <v>4</v>
      </c>
      <c r="X157" s="227">
        <v>0.95138888888888895</v>
      </c>
      <c r="Y157" s="220">
        <f t="shared" si="84"/>
        <v>4</v>
      </c>
      <c r="Z157" s="221">
        <f t="shared" si="70"/>
        <v>0</v>
      </c>
      <c r="AA157" s="221">
        <f t="shared" si="71"/>
        <v>0</v>
      </c>
      <c r="AB157" s="221">
        <f t="shared" si="72"/>
        <v>0</v>
      </c>
      <c r="AC157" s="221">
        <f t="shared" si="73"/>
        <v>0</v>
      </c>
      <c r="AD157" s="221">
        <f t="shared" si="74"/>
        <v>0</v>
      </c>
      <c r="AE157" s="221">
        <f t="shared" si="75"/>
        <v>0</v>
      </c>
      <c r="AF157" s="221">
        <f t="shared" si="76"/>
        <v>0</v>
      </c>
      <c r="AG157" s="222">
        <f t="shared" si="85"/>
        <v>4</v>
      </c>
      <c r="AH157" s="222">
        <f t="shared" si="77"/>
        <v>4</v>
      </c>
      <c r="AJ157" s="291">
        <f t="shared" ca="1" si="78"/>
        <v>4</v>
      </c>
      <c r="AK157" s="291">
        <f ca="1">IFERROR(ROUNDUP(IF(B157=0,0,Agents(B157*C157/600,$C$7,$C$8,C157))/(1-($J$12*(IFERROR(INDIRECT("CURVAS_INTRA!"&amp;ADDRESS(VLOOKUP($A157,CURVAS_INTRA!$A$103:$B$150,2,0),HLOOKUP($C$14,CURVAS_INTRA!$1:$2,2,0))),0)+IFERROR(INDIRECT("CURVAS_INTRA!"&amp;ADDRESS(VLOOKUP($A156,CURVAS_INTRA!$A$103:$B$150,2,0),HLOOKUP($C$14,CURVAS_INTRA!$1:$2,2,0))),0)+IFERROR(INDIRECT("CURVAS_INTRA!"&amp;ADDRESS(VLOOKUP($A155,CURVAS_INTRA!$A$103:$B$150,2,0),HLOOKUP($C$14,CURVAS_INTRA!$1:$2,2,0))),0)))),0),0)</f>
        <v>5</v>
      </c>
      <c r="AM157" s="488">
        <f t="shared" si="86"/>
        <v>0</v>
      </c>
    </row>
    <row r="158" spans="1:44" ht="11.25" customHeight="1">
      <c r="A158" s="599">
        <v>0.95833333333333204</v>
      </c>
      <c r="B158" s="183">
        <f ca="1">IFERROR(INDIRECT("CURVAS_INTRA!"&amp;ADDRESS(VLOOKUP($A158,CURVAS_INTRA!$A$3:$B$50,2,0),HLOOKUP($C$14,CURVAS_INTRA!$1:$2,2,0)))/3*$C$5,$B$19)</f>
        <v>0.9597650763546608</v>
      </c>
      <c r="C158" s="183">
        <f ca="1">IFERROR(INDIRECT("CURVAS_INTRA!"&amp;ADDRESS(VLOOKUP($A158,CURVAS_INTRA!$A$53:$B$100,2,0),HLOOKUP($C$14,CURVAS_INTRA!$1:$2,2,0)))*$C$6,C157)</f>
        <v>650.26577111839015</v>
      </c>
      <c r="D158" s="183">
        <f ca="1">IFERROR(ROUNDUP(IF(B158=0,0,Agents(B158*C158/600,$C$7,$C$8,C158))/(1-($H$7*(IFERROR(INDIRECT("CURVAS_INTRA!"&amp;ADDRESS(VLOOKUP($A158,CURVAS_INTRA!$A$103:$B$150,2,0),HLOOKUP($C$14,CURVAS_INTRA!$1:$2,2,0))),0)))),0),0)</f>
        <v>4</v>
      </c>
      <c r="E158" s="183">
        <f t="shared" si="87"/>
        <v>4</v>
      </c>
      <c r="F158" s="241">
        <f t="shared" ca="1" si="79"/>
        <v>0</v>
      </c>
      <c r="G158" s="185">
        <f ca="1">IFERROR(DelayQ(B158*C158/600,E158*((1-$H$7*VLOOKUP(A158,CURVAS_INTRA!$A$103:$AD$150,HLOOKUP($C$14,CURVAS_INTRA!$A$101:$AD$102,2,0),0))),$C$8,C158),0)</f>
        <v>0.91</v>
      </c>
      <c r="H158" s="221">
        <v>0</v>
      </c>
      <c r="I158" s="221">
        <v>0</v>
      </c>
      <c r="J158" s="221">
        <v>0</v>
      </c>
      <c r="K158" s="221">
        <v>0</v>
      </c>
      <c r="L158" s="137">
        <f t="shared" si="55"/>
        <v>0</v>
      </c>
      <c r="M158" s="186">
        <f t="shared" si="65"/>
        <v>0</v>
      </c>
      <c r="N158" s="137">
        <f t="shared" si="66"/>
        <v>4</v>
      </c>
      <c r="O158" s="188">
        <f t="shared" si="67"/>
        <v>0</v>
      </c>
      <c r="P158" s="201">
        <f t="shared" ca="1" si="80"/>
        <v>0.3190047166467892</v>
      </c>
      <c r="Q158" s="202">
        <f t="shared" ca="1" si="81"/>
        <v>0.3190047166467892</v>
      </c>
      <c r="R158" s="174">
        <f ca="1">IF(AND(ROW()&gt;=$B$1,ROW()&lt;=$C$1),SUM(F158:$F$163)+SUM($F$20:F51),"")</f>
        <v>53</v>
      </c>
      <c r="S158" s="339"/>
      <c r="T158" s="241">
        <f t="shared" ca="1" si="82"/>
        <v>0</v>
      </c>
      <c r="U158" s="247">
        <f ca="1">IF(IFERROR(DelayQ(B158*C158/600,(S158/(1-$H$5))+E158*((1-$H$7)*VLOOKUP(A158,CURVAS_INTRA!$A$103:$AD$150,HLOOKUP($C$14,CURVAS_INTRA!$A$101:$AD$102,2,0),0)),$C$8,C158),0)=0,"",IFERROR(DelayQ(B158*C158/600,S158+E158*((1-$H$7)*VLOOKUP(A158,CURVAS_INTRA!$A$103:$AD$150,HLOOKUP($C$14,CURVAS_INTRA!$A$101:$AD$102,2,0),0)),$C$8,C158),0))</f>
        <v>0.91</v>
      </c>
      <c r="V158" s="281">
        <f t="shared" ca="1" si="83"/>
        <v>0.91</v>
      </c>
      <c r="W158" s="174">
        <f t="shared" si="68"/>
        <v>4</v>
      </c>
      <c r="X158" s="227">
        <v>0.95833333333333204</v>
      </c>
      <c r="Y158" s="220">
        <f t="shared" si="84"/>
        <v>4</v>
      </c>
      <c r="Z158" s="221">
        <f t="shared" si="70"/>
        <v>0</v>
      </c>
      <c r="AA158" s="221">
        <f t="shared" si="71"/>
        <v>0</v>
      </c>
      <c r="AB158" s="221">
        <f t="shared" si="72"/>
        <v>0</v>
      </c>
      <c r="AC158" s="221">
        <f t="shared" si="73"/>
        <v>0</v>
      </c>
      <c r="AD158" s="221">
        <f t="shared" si="74"/>
        <v>0</v>
      </c>
      <c r="AE158" s="221">
        <f t="shared" si="75"/>
        <v>0</v>
      </c>
      <c r="AF158" s="221">
        <f t="shared" si="76"/>
        <v>0</v>
      </c>
      <c r="AG158" s="222">
        <f t="shared" si="85"/>
        <v>4</v>
      </c>
      <c r="AH158" s="222">
        <f t="shared" si="77"/>
        <v>4</v>
      </c>
      <c r="AJ158" s="291">
        <f t="shared" ca="1" si="78"/>
        <v>3</v>
      </c>
      <c r="AK158" s="291">
        <f ca="1">IFERROR(ROUNDUP(IF(B158=0,0,Agents(B158*C158/600,$C$7,$C$8,C158))/(1-($J$12*(IFERROR(INDIRECT("CURVAS_INTRA!"&amp;ADDRESS(VLOOKUP($A158,CURVAS_INTRA!$A$103:$B$150,2,0),HLOOKUP($C$14,CURVAS_INTRA!$1:$2,2,0))),0)))),0),0)</f>
        <v>4</v>
      </c>
      <c r="AM158" s="488">
        <f t="shared" si="86"/>
        <v>0</v>
      </c>
    </row>
    <row r="159" spans="1:44" ht="11.25" customHeight="1">
      <c r="A159" s="599">
        <v>0.96527777777777801</v>
      </c>
      <c r="B159" s="183">
        <f ca="1">IFERROR(INDIRECT("CURVAS_INTRA!"&amp;ADDRESS(VLOOKUP($A158,CURVAS_INTRA!$A$3:$B$50,2,0),HLOOKUP($C$14,CURVAS_INTRA!$1:$2,2,0)))/3*$C$5,$B$19)</f>
        <v>0.9597650763546608</v>
      </c>
      <c r="C159" s="183">
        <f ca="1">IFERROR(INDIRECT("CURVAS_INTRA!"&amp;ADDRESS(VLOOKUP($A159,CURVAS_INTRA!$A$53:$B$100,2,0),HLOOKUP($C$14,CURVAS_INTRA!$1:$2,2,0)))*$C$6,C158)</f>
        <v>650.26577111839015</v>
      </c>
      <c r="D159" s="183">
        <f ca="1">IFERROR(ROUNDUP(IF(B159=0,0,Agents(B159*C159/600,$C$7,$C$8,C159))/(1-($H$7*(IFERROR(INDIRECT("CURVAS_INTRA!"&amp;ADDRESS(VLOOKUP($A158,CURVAS_INTRA!$A$103:$B$150,2,0),HLOOKUP($C$14,CURVAS_INTRA!$1:$2,2,0))),0)))),0),0)</f>
        <v>4</v>
      </c>
      <c r="E159" s="183">
        <f t="shared" si="87"/>
        <v>4</v>
      </c>
      <c r="F159" s="241">
        <f t="shared" ca="1" si="79"/>
        <v>0</v>
      </c>
      <c r="G159" s="185">
        <f ca="1">IFERROR(DelayQ(B159*C159/600,E159*((1-$H$7*VLOOKUP(A158,CURVAS_INTRA!$A$103:$AD$150,HLOOKUP($C$14,CURVAS_INTRA!$A$101:$AD$102,2,0),0))),$C$8,C159),0)</f>
        <v>0.91</v>
      </c>
      <c r="H159" s="221">
        <v>0</v>
      </c>
      <c r="I159" s="221">
        <v>0</v>
      </c>
      <c r="J159" s="221">
        <v>0</v>
      </c>
      <c r="K159" s="221">
        <v>0</v>
      </c>
      <c r="L159" s="137">
        <f t="shared" si="55"/>
        <v>0</v>
      </c>
      <c r="M159" s="186">
        <f t="shared" si="65"/>
        <v>0</v>
      </c>
      <c r="N159" s="137">
        <f t="shared" si="66"/>
        <v>4</v>
      </c>
      <c r="O159" s="188">
        <f t="shared" si="67"/>
        <v>0</v>
      </c>
      <c r="P159" s="201">
        <f t="shared" ca="1" si="80"/>
        <v>0.3190047166467892</v>
      </c>
      <c r="Q159" s="202">
        <f t="shared" ca="1" si="81"/>
        <v>0.3190047166467892</v>
      </c>
      <c r="R159" s="174">
        <f ca="1">IF(AND(ROW()&gt;=$B$1,ROW()&lt;=$C$1),SUM(F159:$F$163)+SUM($F$20:F52),"")</f>
        <v>54</v>
      </c>
      <c r="S159" s="339"/>
      <c r="T159" s="241">
        <f t="shared" ca="1" si="82"/>
        <v>0</v>
      </c>
      <c r="U159" s="247">
        <f ca="1">IF(IFERROR(DelayQ(B159*C159/600,(S159/(1-$H$5))+E159*((1-$H$7)*VLOOKUP(A158,CURVAS_INTRA!$A$103:$AD$150,HLOOKUP($C$14,CURVAS_INTRA!$A$101:$AD$102,2,0),0)),$C$8,C159),0)=0,"",IFERROR(DelayQ(B159*C159/600,S159+E159*((1-$H$7)*VLOOKUP(A158,CURVAS_INTRA!$A$103:$AD$150,HLOOKUP($C$14,CURVAS_INTRA!$A$101:$AD$102,2,0),0)),$C$8,C159),0))</f>
        <v>0.91</v>
      </c>
      <c r="V159" s="281">
        <f t="shared" ca="1" si="83"/>
        <v>0.91</v>
      </c>
      <c r="W159" s="174">
        <f t="shared" si="68"/>
        <v>4</v>
      </c>
      <c r="X159" s="227">
        <v>0.96527777777777801</v>
      </c>
      <c r="Y159" s="220">
        <f t="shared" si="84"/>
        <v>4</v>
      </c>
      <c r="Z159" s="221">
        <f t="shared" si="70"/>
        <v>0</v>
      </c>
      <c r="AA159" s="221">
        <f t="shared" si="71"/>
        <v>0</v>
      </c>
      <c r="AB159" s="221">
        <f t="shared" si="72"/>
        <v>0</v>
      </c>
      <c r="AC159" s="221">
        <f t="shared" si="73"/>
        <v>0</v>
      </c>
      <c r="AD159" s="221">
        <f t="shared" si="74"/>
        <v>0</v>
      </c>
      <c r="AE159" s="221">
        <f t="shared" si="75"/>
        <v>0</v>
      </c>
      <c r="AF159" s="221">
        <f t="shared" si="76"/>
        <v>0</v>
      </c>
      <c r="AG159" s="222">
        <f t="shared" si="85"/>
        <v>4</v>
      </c>
      <c r="AH159" s="222">
        <f t="shared" si="77"/>
        <v>4</v>
      </c>
      <c r="AJ159" s="291">
        <f t="shared" ca="1" si="78"/>
        <v>3</v>
      </c>
      <c r="AK159" s="291">
        <f ca="1">IFERROR(ROUNDUP(IF(B159=0,0,Agents(B159*C159/600,$C$7,$C$8,C159))/(1-($J$12*(IFERROR(INDIRECT("CURVAS_INTRA!"&amp;ADDRESS(VLOOKUP($A159,CURVAS_INTRA!$A$103:$B$150,2,0),HLOOKUP($C$14,CURVAS_INTRA!$1:$2,2,0))),0)+IFERROR(INDIRECT("CURVAS_INTRA!"&amp;ADDRESS(VLOOKUP($A158,CURVAS_INTRA!$A$103:$B$150,2,0),HLOOKUP($C$14,CURVAS_INTRA!$1:$2,2,0))),0)))),0),0)</f>
        <v>4</v>
      </c>
      <c r="AM159" s="488">
        <f t="shared" si="86"/>
        <v>0</v>
      </c>
    </row>
    <row r="160" spans="1:44" ht="11.25" customHeight="1">
      <c r="A160" s="599">
        <v>0.97222222222222199</v>
      </c>
      <c r="B160" s="183">
        <f ca="1">IFERROR(INDIRECT("CURVAS_INTRA!"&amp;ADDRESS(VLOOKUP($A158,CURVAS_INTRA!$A$3:$B$50,2,0),HLOOKUP($C$14,CURVAS_INTRA!$1:$2,2,0)))/3*$C$5,B157)</f>
        <v>0.9597650763546608</v>
      </c>
      <c r="C160" s="183">
        <f ca="1">IFERROR(INDIRECT("CURVAS_INTRA!"&amp;ADDRESS(VLOOKUP($A160,CURVAS_INTRA!$A$53:$B$100,2,0),HLOOKUP($C$14,CURVAS_INTRA!$1:$2,2,0)))*$C$6,C159)</f>
        <v>650.26577111839015</v>
      </c>
      <c r="D160" s="183">
        <f ca="1">IFERROR(ROUNDUP(IF(B160=0,0,Agents(B160*C160/600,$C$7,$C$8,C160))/(1-($H$7*(IFERROR(INDIRECT("CURVAS_INTRA!"&amp;ADDRESS(VLOOKUP($A158,CURVAS_INTRA!$A$103:$B$150,2,0),HLOOKUP($C$14,CURVAS_INTRA!$1:$2,2,0))),0)))),0),0)</f>
        <v>4</v>
      </c>
      <c r="E160" s="183">
        <f t="shared" si="87"/>
        <v>4</v>
      </c>
      <c r="F160" s="241">
        <f t="shared" ca="1" si="79"/>
        <v>0</v>
      </c>
      <c r="G160" s="185">
        <f ca="1">IFERROR(DelayQ(B160*C160/600,E160*((1-$H$7*VLOOKUP(A158,CURVAS_INTRA!$A$103:$AD$150,HLOOKUP($C$14,CURVAS_INTRA!$A$101:$AD$102,2,0),0))),$C$8,C160),0)</f>
        <v>0.91</v>
      </c>
      <c r="H160" s="221">
        <v>0</v>
      </c>
      <c r="I160" s="221">
        <v>0</v>
      </c>
      <c r="J160" s="221">
        <v>0</v>
      </c>
      <c r="K160" s="221">
        <v>0</v>
      </c>
      <c r="L160" s="137">
        <f t="shared" si="55"/>
        <v>0</v>
      </c>
      <c r="M160" s="186">
        <f t="shared" si="65"/>
        <v>0</v>
      </c>
      <c r="N160" s="137">
        <f t="shared" si="66"/>
        <v>4</v>
      </c>
      <c r="O160" s="188">
        <f t="shared" si="67"/>
        <v>0</v>
      </c>
      <c r="P160" s="201">
        <f t="shared" ca="1" si="80"/>
        <v>0.3190047166467892</v>
      </c>
      <c r="Q160" s="202">
        <f t="shared" ca="1" si="81"/>
        <v>0.3190047166467892</v>
      </c>
      <c r="R160" s="174">
        <f ca="1">IF(AND(ROW()&gt;=$B$1,ROW()&lt;=$C$1),SUM(F160:$F$163)+SUM($F$20:F53),"")</f>
        <v>55</v>
      </c>
      <c r="S160" s="339"/>
      <c r="T160" s="241">
        <f t="shared" ca="1" si="82"/>
        <v>0</v>
      </c>
      <c r="U160" s="247">
        <f ca="1">IF(IFERROR(DelayQ(B160*C160/600,(S160/(1-$H$5))+E160*((1-$H$7)*VLOOKUP(A158,CURVAS_INTRA!$A$103:$AD$150,HLOOKUP($C$14,CURVAS_INTRA!$A$101:$AD$102,2,0),0)),$C$8,C160),0)=0,"",IFERROR(DelayQ(B160*C160/600,S160+E160*((1-$H$7)*VLOOKUP(A158,CURVAS_INTRA!$A$103:$AD$150,HLOOKUP($C$14,CURVAS_INTRA!$A$101:$AD$102,2,0),0)),$C$8,C160),0))</f>
        <v>0.91</v>
      </c>
      <c r="V160" s="281">
        <f t="shared" ca="1" si="83"/>
        <v>0.91</v>
      </c>
      <c r="W160" s="174">
        <f t="shared" si="68"/>
        <v>4</v>
      </c>
      <c r="X160" s="227">
        <v>0.97222222222222199</v>
      </c>
      <c r="Y160" s="220">
        <f t="shared" si="84"/>
        <v>4</v>
      </c>
      <c r="Z160" s="221">
        <f t="shared" si="70"/>
        <v>0</v>
      </c>
      <c r="AA160" s="221">
        <f t="shared" si="71"/>
        <v>0</v>
      </c>
      <c r="AB160" s="221">
        <f t="shared" si="72"/>
        <v>0</v>
      </c>
      <c r="AC160" s="221">
        <f t="shared" si="73"/>
        <v>0</v>
      </c>
      <c r="AD160" s="221">
        <f t="shared" si="74"/>
        <v>0</v>
      </c>
      <c r="AE160" s="221">
        <f t="shared" si="75"/>
        <v>0</v>
      </c>
      <c r="AF160" s="221">
        <f t="shared" si="76"/>
        <v>0</v>
      </c>
      <c r="AG160" s="222">
        <f t="shared" si="85"/>
        <v>4</v>
      </c>
      <c r="AH160" s="222">
        <f t="shared" si="77"/>
        <v>4</v>
      </c>
      <c r="AJ160" s="291">
        <f t="shared" ca="1" si="78"/>
        <v>3</v>
      </c>
      <c r="AK160" s="291">
        <f ca="1">IFERROR(ROUNDUP(IF(B160=0,0,Agents(B160*C160/600,$C$7,$C$8,C160))/(1-($J$12*(IFERROR(INDIRECT("CURVAS_INTRA!"&amp;ADDRESS(VLOOKUP($A160,CURVAS_INTRA!$A$103:$B$150,2,0),HLOOKUP($C$14,CURVAS_INTRA!$1:$2,2,0))),0)+IFERROR(INDIRECT("CURVAS_INTRA!"&amp;ADDRESS(VLOOKUP($A159,CURVAS_INTRA!$A$103:$B$150,2,0),HLOOKUP($C$14,CURVAS_INTRA!$1:$2,2,0))),0)+IFERROR(INDIRECT("CURVAS_INTRA!"&amp;ADDRESS(VLOOKUP($A158,CURVAS_INTRA!$A$103:$B$150,2,0),HLOOKUP($C$14,CURVAS_INTRA!$1:$2,2,0))),0)))),0),0)</f>
        <v>4</v>
      </c>
      <c r="AM160" s="488">
        <f t="shared" si="86"/>
        <v>0</v>
      </c>
    </row>
    <row r="161" spans="1:39" ht="11.25" customHeight="1">
      <c r="A161" s="599">
        <v>0.97916666666666596</v>
      </c>
      <c r="B161" s="183">
        <f ca="1">IFERROR(INDIRECT("CURVAS_INTRA!"&amp;ADDRESS(VLOOKUP($A161,CURVAS_INTRA!$A$3:$B$50,2,0),HLOOKUP($C$14,CURVAS_INTRA!$1:$2,2,0)))/3*$C$5,$B$19)</f>
        <v>0.71485937716856107</v>
      </c>
      <c r="C161" s="183">
        <f ca="1">IFERROR(INDIRECT("CURVAS_INTRA!"&amp;ADDRESS(VLOOKUP($A161,CURVAS_INTRA!$A$53:$B$100,2,0),HLOOKUP($C$14,CURVAS_INTRA!$1:$2,2,0)))*$C$6,C160)</f>
        <v>650.14851530788053</v>
      </c>
      <c r="D161" s="183">
        <f ca="1">IFERROR(ROUNDUP(IF(B161=0,0,Agents(B161*C161/600,$C$7,$C$8,C161))/(1-($H$7*(IFERROR(INDIRECT("CURVAS_INTRA!"&amp;ADDRESS(VLOOKUP($A161,CURVAS_INTRA!$A$103:$B$150,2,0),HLOOKUP($C$14,CURVAS_INTRA!$1:$2,2,0))),0)))),0),0)</f>
        <v>4</v>
      </c>
      <c r="E161" s="183">
        <f t="shared" si="87"/>
        <v>4</v>
      </c>
      <c r="F161" s="241">
        <f t="shared" ca="1" si="79"/>
        <v>0</v>
      </c>
      <c r="G161" s="185">
        <f ca="1">IFERROR(DelayQ(B161*C161/600,E161*((1-$H$7*VLOOKUP(A161,CURVAS_INTRA!$A$103:$AD$150,HLOOKUP($C$14,CURVAS_INTRA!$A$101:$AD$102,2,0),0))),$C$8,C161),0)</f>
        <v>0.95669999999999999</v>
      </c>
      <c r="H161" s="221">
        <v>0</v>
      </c>
      <c r="I161" s="221">
        <v>0</v>
      </c>
      <c r="J161" s="221">
        <v>0</v>
      </c>
      <c r="K161" s="221">
        <v>0</v>
      </c>
      <c r="L161" s="137">
        <f t="shared" si="55"/>
        <v>0</v>
      </c>
      <c r="M161" s="186">
        <f t="shared" si="65"/>
        <v>0</v>
      </c>
      <c r="N161" s="137">
        <f t="shared" si="66"/>
        <v>4</v>
      </c>
      <c r="O161" s="188">
        <f t="shared" si="67"/>
        <v>0</v>
      </c>
      <c r="P161" s="201">
        <f t="shared" ca="1" si="80"/>
        <v>0.23756062593506613</v>
      </c>
      <c r="Q161" s="202">
        <f t="shared" ca="1" si="81"/>
        <v>0.23756062593506613</v>
      </c>
      <c r="R161" s="174">
        <f ca="1">IF(AND(ROW()&gt;=$B$1,ROW()&lt;=$C$1),SUM(F161:$F$163)+SUM($F$20:F54),"")</f>
        <v>56</v>
      </c>
      <c r="S161" s="339"/>
      <c r="T161" s="241">
        <f t="shared" ca="1" si="82"/>
        <v>0</v>
      </c>
      <c r="U161" s="247">
        <f ca="1">IF(IFERROR(DelayQ(B161*C161/600,(S161/(1-$H$5))+E161*((1-$H$7)*VLOOKUP(A161,CURVAS_INTRA!$A$103:$AD$150,HLOOKUP($C$14,CURVAS_INTRA!$A$101:$AD$102,2,0),0)),$C$8,C161),0)=0,"",IFERROR(DelayQ(B161*C161/600,S161+E161*((1-$H$7)*VLOOKUP(A161,CURVAS_INTRA!$A$103:$AD$150,HLOOKUP($C$14,CURVAS_INTRA!$A$101:$AD$102,2,0),0)),$C$8,C161),0))</f>
        <v>0.95669999999999999</v>
      </c>
      <c r="V161" s="281">
        <f t="shared" ca="1" si="83"/>
        <v>0.95669999999999999</v>
      </c>
      <c r="W161" s="174">
        <f t="shared" si="68"/>
        <v>4</v>
      </c>
      <c r="X161" s="227">
        <v>0.97916666666666596</v>
      </c>
      <c r="Y161" s="220">
        <f t="shared" si="84"/>
        <v>4</v>
      </c>
      <c r="Z161" s="221">
        <f t="shared" si="70"/>
        <v>0</v>
      </c>
      <c r="AA161" s="221">
        <f t="shared" si="71"/>
        <v>0</v>
      </c>
      <c r="AB161" s="221">
        <f t="shared" si="72"/>
        <v>0</v>
      </c>
      <c r="AC161" s="221">
        <f t="shared" si="73"/>
        <v>0</v>
      </c>
      <c r="AD161" s="221">
        <f t="shared" si="74"/>
        <v>0</v>
      </c>
      <c r="AE161" s="221">
        <f t="shared" si="75"/>
        <v>0</v>
      </c>
      <c r="AF161" s="221">
        <f t="shared" si="76"/>
        <v>0</v>
      </c>
      <c r="AG161" s="222">
        <f t="shared" si="85"/>
        <v>4</v>
      </c>
      <c r="AH161" s="222">
        <f t="shared" si="77"/>
        <v>4</v>
      </c>
      <c r="AJ161" s="291">
        <f t="shared" ca="1" si="78"/>
        <v>3</v>
      </c>
      <c r="AK161" s="291">
        <f ca="1">IFERROR(ROUNDUP(IF(B161=0,0,Agents(B161*C161/600,$C$7,$C$8,C161))/(1-($J$12*(IFERROR(INDIRECT("CURVAS_INTRA!"&amp;ADDRESS(VLOOKUP($A161,CURVAS_INTRA!$A$103:$B$150,2,0),HLOOKUP($C$14,CURVAS_INTRA!$1:$2,2,0))),0)))),0),0)</f>
        <v>4</v>
      </c>
      <c r="AM161" s="488">
        <f t="shared" si="86"/>
        <v>0</v>
      </c>
    </row>
    <row r="162" spans="1:39" ht="11.25" customHeight="1">
      <c r="A162" s="599">
        <v>0.98611111111111105</v>
      </c>
      <c r="B162" s="183">
        <f ca="1">IFERROR(INDIRECT("CURVAS_INTRA!"&amp;ADDRESS(VLOOKUP($A161,CURVAS_INTRA!$A$3:$B$50,2,0),HLOOKUP($C$14,CURVAS_INTRA!$1:$2,2,0)))/3*$C$5,$B$19)</f>
        <v>0.71485937716856107</v>
      </c>
      <c r="C162" s="183">
        <f ca="1">IFERROR(INDIRECT("CURVAS_INTRA!"&amp;ADDRESS(VLOOKUP($A162,CURVAS_INTRA!$A$53:$B$100,2,0),HLOOKUP($C$14,CURVAS_INTRA!$1:$2,2,0)))*$C$6,C161)</f>
        <v>650.14851530788053</v>
      </c>
      <c r="D162" s="183">
        <f ca="1">IFERROR(ROUNDUP(IF(B162=0,0,Agents(B162*C162/600,$C$7,$C$8,C162))/(1-($H$7*(IFERROR(INDIRECT("CURVAS_INTRA!"&amp;ADDRESS(VLOOKUP($A161,CURVAS_INTRA!$A$103:$B$150,2,0),HLOOKUP($C$14,CURVAS_INTRA!$1:$2,2,0))),0)))),0),0)</f>
        <v>4</v>
      </c>
      <c r="E162" s="183">
        <f t="shared" si="87"/>
        <v>4</v>
      </c>
      <c r="F162" s="241">
        <f t="shared" ca="1" si="79"/>
        <v>0</v>
      </c>
      <c r="G162" s="185">
        <f ca="1">IFERROR(DelayQ(B162*C162/600,E162*((1-$H$7*VLOOKUP(A161,CURVAS_INTRA!$A$103:$AD$150,HLOOKUP($C$14,CURVAS_INTRA!$A$101:$AD$102,2,0),0))),$C$8,C162),0)</f>
        <v>0.95669999999999999</v>
      </c>
      <c r="H162" s="221">
        <v>0</v>
      </c>
      <c r="I162" s="221">
        <v>0</v>
      </c>
      <c r="J162" s="221">
        <v>0</v>
      </c>
      <c r="K162" s="221">
        <v>0</v>
      </c>
      <c r="L162" s="137">
        <f t="shared" si="55"/>
        <v>0</v>
      </c>
      <c r="M162" s="186">
        <f t="shared" si="65"/>
        <v>0</v>
      </c>
      <c r="N162" s="137">
        <f t="shared" si="66"/>
        <v>4</v>
      </c>
      <c r="O162" s="188">
        <f t="shared" si="67"/>
        <v>0</v>
      </c>
      <c r="P162" s="201">
        <f t="shared" ca="1" si="80"/>
        <v>0.23756062593506613</v>
      </c>
      <c r="Q162" s="202">
        <f t="shared" ca="1" si="81"/>
        <v>0.23756062593506613</v>
      </c>
      <c r="R162" s="174">
        <f ca="1">IF(AND(ROW()&gt;=$B$1,ROW()&lt;=$C$1),SUM(F162:$F$163)+SUM($F$20:F55),"")</f>
        <v>57</v>
      </c>
      <c r="S162" s="339"/>
      <c r="T162" s="241">
        <f t="shared" ca="1" si="82"/>
        <v>0</v>
      </c>
      <c r="U162" s="247">
        <f ca="1">IF(IFERROR(DelayQ(B162*C162/600,(S162/(1-$H$5))+E162*((1-$H$7)*VLOOKUP(A161,CURVAS_INTRA!$A$103:$AD$150,HLOOKUP($C$14,CURVAS_INTRA!$A$101:$AD$102,2,0),0)),$C$8,C162),0)=0,"",IFERROR(DelayQ(B162*C162/600,S162+E162*((1-$H$7)*VLOOKUP(A161,CURVAS_INTRA!$A$103:$AD$150,HLOOKUP($C$14,CURVAS_INTRA!$A$101:$AD$102,2,0),0)),$C$8,C162),0))</f>
        <v>0.95669999999999999</v>
      </c>
      <c r="V162" s="281">
        <f t="shared" ca="1" si="83"/>
        <v>0.95669999999999999</v>
      </c>
      <c r="W162" s="174">
        <f t="shared" si="68"/>
        <v>4</v>
      </c>
      <c r="X162" s="227">
        <v>0.98611111111111105</v>
      </c>
      <c r="Y162" s="220">
        <f t="shared" si="84"/>
        <v>4</v>
      </c>
      <c r="Z162" s="221">
        <f t="shared" si="70"/>
        <v>0</v>
      </c>
      <c r="AA162" s="221">
        <f t="shared" si="71"/>
        <v>0</v>
      </c>
      <c r="AB162" s="221">
        <f t="shared" si="72"/>
        <v>0</v>
      </c>
      <c r="AC162" s="221">
        <f t="shared" si="73"/>
        <v>0</v>
      </c>
      <c r="AD162" s="221">
        <f t="shared" si="74"/>
        <v>0</v>
      </c>
      <c r="AE162" s="221">
        <f t="shared" si="75"/>
        <v>0</v>
      </c>
      <c r="AF162" s="221">
        <f t="shared" si="76"/>
        <v>0</v>
      </c>
      <c r="AG162" s="222">
        <f t="shared" si="85"/>
        <v>4</v>
      </c>
      <c r="AH162" s="222">
        <f t="shared" si="77"/>
        <v>4</v>
      </c>
      <c r="AJ162" s="291">
        <f t="shared" ca="1" si="78"/>
        <v>3</v>
      </c>
      <c r="AK162" s="291">
        <f ca="1">IFERROR(ROUNDUP(IF(B162=0,0,Agents(B162*C162/600,$C$7,$C$8,C162))/(1-($J$12*(IFERROR(INDIRECT("CURVAS_INTRA!"&amp;ADDRESS(VLOOKUP($A162,CURVAS_INTRA!$A$103:$B$150,2,0),HLOOKUP($C$14,CURVAS_INTRA!$1:$2,2,0))),0)+IFERROR(INDIRECT("CURVAS_INTRA!"&amp;ADDRESS(VLOOKUP($A161,CURVAS_INTRA!$A$103:$B$150,2,0),HLOOKUP($C$14,CURVAS_INTRA!$1:$2,2,0))),0)))),0),0)</f>
        <v>4</v>
      </c>
      <c r="AM162" s="488">
        <f t="shared" si="86"/>
        <v>0</v>
      </c>
    </row>
    <row r="163" spans="1:39" ht="11.25" customHeight="1">
      <c r="A163" s="600">
        <v>0.99305555555555503</v>
      </c>
      <c r="B163" s="183">
        <f ca="1">IFERROR(INDIRECT("CURVAS_INTRA!"&amp;ADDRESS(VLOOKUP($A161,CURVAS_INTRA!$A$3:$B$50,2,0),HLOOKUP($C$14,CURVAS_INTRA!$1:$2,2,0)))/3*$C$5,B160)</f>
        <v>0.71485937716856107</v>
      </c>
      <c r="C163" s="184">
        <f ca="1">IFERROR(INDIRECT("CURVAS_INTRA!"&amp;ADDRESS(VLOOKUP($A163,CURVAS_INTRA!$A$53:$B$100,2,0),HLOOKUP($C$14,CURVAS_INTRA!$1:$2,2,0)))*$C$6,C162)</f>
        <v>650.14851530788053</v>
      </c>
      <c r="D163" s="183">
        <f ca="1">IFERROR(ROUNDUP(IF(B163=0,0,Agents(B163*C163/600,$C$7,$C$8,C163))/(1-($H$7*(IFERROR(INDIRECT("CURVAS_INTRA!"&amp;ADDRESS(VLOOKUP($A161,CURVAS_INTRA!$A$103:$B$150,2,0),HLOOKUP($C$14,CURVAS_INTRA!$1:$2,2,0))),0)))),0),0)</f>
        <v>4</v>
      </c>
      <c r="E163" s="276">
        <f t="shared" si="87"/>
        <v>4</v>
      </c>
      <c r="F163" s="242">
        <f t="shared" ca="1" si="79"/>
        <v>0</v>
      </c>
      <c r="G163" s="185">
        <f ca="1">IFERROR(DelayQ(B163*C163/600,E163*((1-$H$7*VLOOKUP(A161,CURVAS_INTRA!$A$103:$AD$150,HLOOKUP($C$14,CURVAS_INTRA!$A$101:$AD$102,2,0),0))),$C$8,C163),0)</f>
        <v>0.95669999999999999</v>
      </c>
      <c r="H163" s="221">
        <v>0</v>
      </c>
      <c r="I163" s="221">
        <v>0</v>
      </c>
      <c r="J163" s="221">
        <v>0</v>
      </c>
      <c r="K163" s="221">
        <v>0</v>
      </c>
      <c r="L163" s="140">
        <f t="shared" si="55"/>
        <v>0</v>
      </c>
      <c r="M163" s="186">
        <f>SUM(I132:I163)</f>
        <v>0</v>
      </c>
      <c r="N163" s="140">
        <f>SUM(J126:J163)</f>
        <v>4</v>
      </c>
      <c r="O163" s="189">
        <f t="shared" si="67"/>
        <v>0</v>
      </c>
      <c r="P163" s="201">
        <f t="shared" ca="1" si="80"/>
        <v>0.23756062593506613</v>
      </c>
      <c r="Q163" s="202">
        <f t="shared" ca="1" si="81"/>
        <v>0.23756062593506613</v>
      </c>
      <c r="R163" s="174">
        <f ca="1">IF(AND(ROW()&gt;=$B$1,ROW()&lt;=$C$1),SUM(F163:$F$163)+SUM($F$20:F56),"")</f>
        <v>57</v>
      </c>
      <c r="S163" s="339"/>
      <c r="T163" s="241">
        <f t="shared" ca="1" si="82"/>
        <v>0</v>
      </c>
      <c r="U163" s="247">
        <f ca="1">IF(IFERROR(DelayQ(B163*C163/600,(S163/(1-$H$5))+E163*((1-$H$7)*VLOOKUP(A161,CURVAS_INTRA!$A$103:$AD$150,HLOOKUP($C$14,CURVAS_INTRA!$A$101:$AD$102,2,0),0)),$C$8,C163),0)=0,"",IFERROR(DelayQ(B163*C163/600,S163+E163*((1-$H$7)*VLOOKUP(A161,CURVAS_INTRA!$A$103:$AD$150,HLOOKUP($C$14,CURVAS_INTRA!$A$101:$AD$102,2,0),0)),$C$8,C163),0))</f>
        <v>0.95669999999999999</v>
      </c>
      <c r="V163" s="281">
        <f t="shared" ca="1" si="83"/>
        <v>0.95669999999999999</v>
      </c>
      <c r="W163" s="174">
        <f t="shared" si="68"/>
        <v>4</v>
      </c>
      <c r="X163" s="228">
        <v>0.99305555555555503</v>
      </c>
      <c r="Y163" s="223">
        <f t="shared" si="84"/>
        <v>4</v>
      </c>
      <c r="Z163" s="224">
        <f t="shared" si="70"/>
        <v>0</v>
      </c>
      <c r="AA163" s="224">
        <f t="shared" si="71"/>
        <v>0</v>
      </c>
      <c r="AB163" s="224">
        <f t="shared" si="72"/>
        <v>0</v>
      </c>
      <c r="AC163" s="224">
        <f t="shared" si="73"/>
        <v>0</v>
      </c>
      <c r="AD163" s="224">
        <f t="shared" si="74"/>
        <v>0</v>
      </c>
      <c r="AE163" s="224">
        <f t="shared" si="75"/>
        <v>0</v>
      </c>
      <c r="AF163" s="224">
        <f t="shared" si="76"/>
        <v>0</v>
      </c>
      <c r="AG163" s="225">
        <f t="shared" si="85"/>
        <v>4</v>
      </c>
      <c r="AH163" s="225">
        <f t="shared" si="77"/>
        <v>4</v>
      </c>
      <c r="AJ163" s="292">
        <f t="shared" ca="1" si="78"/>
        <v>3</v>
      </c>
      <c r="AK163" s="292">
        <f ca="1">IFERROR(ROUNDUP(IF(B163=0,0,Agents(B163*C163/600,$C$7,$C$8,C163))/(1-($J$12*(IFERROR(INDIRECT("CURVAS_INTRA!"&amp;ADDRESS(VLOOKUP($A163,CURVAS_INTRA!$A$103:$B$150,2,0),HLOOKUP($C$14,CURVAS_INTRA!$1:$2,2,0))),0)+IFERROR(INDIRECT("CURVAS_INTRA!"&amp;ADDRESS(VLOOKUP($A162,CURVAS_INTRA!$A$103:$B$150,2,0),HLOOKUP($C$14,CURVAS_INTRA!$1:$2,2,0))),0)+IFERROR(INDIRECT("CURVAS_INTRA!"&amp;ADDRESS(VLOOKUP($A161,CURVAS_INTRA!$A$103:$B$150,2,0),HLOOKUP($C$14,CURVAS_INTRA!$1:$2,2,0))),0)))),0),0)</f>
        <v>4</v>
      </c>
      <c r="AM163" s="488">
        <f t="shared" si="86"/>
        <v>0</v>
      </c>
    </row>
    <row r="164" spans="1:39" ht="11.25" customHeight="1">
      <c r="A164" s="601">
        <v>1</v>
      </c>
      <c r="D164" s="277">
        <f ca="1">LARGE(D20:D163,1)</f>
        <v>23</v>
      </c>
      <c r="E164" s="277">
        <f>LARGE(E20:E163,1)</f>
        <v>19</v>
      </c>
      <c r="O164" s="122"/>
    </row>
    <row r="165" spans="1:39" ht="11.25" customHeight="1">
      <c r="A165" s="601">
        <v>1</v>
      </c>
      <c r="E165" s="526"/>
      <c r="O165" s="122"/>
    </row>
    <row r="166" spans="1:39" ht="11.25" customHeight="1">
      <c r="A166" s="601">
        <v>1</v>
      </c>
      <c r="B166" s="177"/>
      <c r="C166" s="350"/>
      <c r="O166" s="122"/>
    </row>
    <row r="167" spans="1:39" ht="11.25" customHeight="1">
      <c r="A167" s="601">
        <v>1</v>
      </c>
      <c r="B167" s="177"/>
      <c r="C167" s="350"/>
      <c r="O167" s="122"/>
    </row>
    <row r="168" spans="1:39" ht="11.25" customHeight="1">
      <c r="A168" s="601">
        <v>1</v>
      </c>
      <c r="B168" s="177"/>
      <c r="C168" s="350"/>
      <c r="O168" s="122"/>
    </row>
    <row r="169" spans="1:39" ht="11.25" customHeight="1">
      <c r="A169" s="601">
        <v>1</v>
      </c>
      <c r="B169" s="177"/>
      <c r="C169" s="350"/>
      <c r="O169" s="122"/>
    </row>
    <row r="170" spans="1:39" ht="11.25" customHeight="1">
      <c r="A170" s="601">
        <v>1</v>
      </c>
      <c r="B170" s="177"/>
      <c r="C170" s="350"/>
      <c r="O170" s="122"/>
    </row>
    <row r="171" spans="1:39" ht="11.25" customHeight="1">
      <c r="A171" s="601">
        <v>1</v>
      </c>
      <c r="B171" s="177"/>
      <c r="C171" s="350"/>
      <c r="O171" s="122"/>
    </row>
    <row r="172" spans="1:39" ht="11.25" customHeight="1">
      <c r="A172" s="601">
        <v>1</v>
      </c>
      <c r="B172" s="177"/>
      <c r="C172" s="350"/>
      <c r="O172" s="122"/>
    </row>
    <row r="173" spans="1:39" ht="11.25" customHeight="1">
      <c r="A173" s="601">
        <v>1</v>
      </c>
      <c r="O173" s="122"/>
    </row>
    <row r="174" spans="1:39" ht="11.25" customHeight="1">
      <c r="A174" s="601">
        <v>1</v>
      </c>
      <c r="O174" s="122"/>
    </row>
    <row r="175" spans="1:39" ht="11.25" customHeight="1">
      <c r="A175" s="601">
        <v>1</v>
      </c>
      <c r="O175" s="122"/>
    </row>
    <row r="176" spans="1:39" ht="11.25" customHeight="1">
      <c r="A176" s="601">
        <v>1</v>
      </c>
      <c r="O176" s="122"/>
    </row>
    <row r="177" spans="1:15" ht="11.25" customHeight="1">
      <c r="A177" s="601">
        <v>1</v>
      </c>
      <c r="B177" s="177"/>
      <c r="O177" s="122"/>
    </row>
    <row r="178" spans="1:15" ht="11.25" customHeight="1">
      <c r="A178" s="601">
        <v>1</v>
      </c>
      <c r="B178" s="177"/>
      <c r="C178" s="177"/>
      <c r="O178" s="122"/>
    </row>
    <row r="179" spans="1:15" ht="11.25" customHeight="1">
      <c r="A179" s="601">
        <v>1</v>
      </c>
      <c r="B179" s="177"/>
      <c r="O179" s="122"/>
    </row>
    <row r="180" spans="1:15" ht="11.25" customHeight="1">
      <c r="A180" s="601">
        <v>1</v>
      </c>
      <c r="B180" s="177"/>
      <c r="O180" s="122"/>
    </row>
    <row r="181" spans="1:15" ht="11.25" customHeight="1">
      <c r="A181" s="601">
        <v>1</v>
      </c>
      <c r="B181" s="177"/>
      <c r="O181" s="122"/>
    </row>
    <row r="182" spans="1:15" ht="11.25" customHeight="1">
      <c r="A182" s="601">
        <v>1</v>
      </c>
      <c r="B182" s="177"/>
      <c r="O182" s="122"/>
    </row>
    <row r="183" spans="1:15" ht="11.25" customHeight="1">
      <c r="A183" s="601">
        <v>1</v>
      </c>
      <c r="B183" s="177"/>
      <c r="O183" s="122"/>
    </row>
    <row r="184" spans="1:15" ht="11.25" customHeight="1">
      <c r="A184" s="601">
        <v>1</v>
      </c>
      <c r="B184" s="177"/>
      <c r="O184" s="122"/>
    </row>
    <row r="185" spans="1:15" ht="11.25" customHeight="1">
      <c r="A185" s="601">
        <v>1</v>
      </c>
      <c r="B185" s="177"/>
      <c r="O185" s="122"/>
    </row>
    <row r="186" spans="1:15" ht="11.25" customHeight="1">
      <c r="A186" s="601">
        <v>1</v>
      </c>
      <c r="B186" s="177"/>
      <c r="O186" s="122"/>
    </row>
    <row r="187" spans="1:15" ht="11.25" customHeight="1">
      <c r="A187" s="601">
        <v>1</v>
      </c>
      <c r="B187" s="177"/>
      <c r="O187" s="122"/>
    </row>
    <row r="188" spans="1:15" ht="11.25" customHeight="1">
      <c r="A188" s="601">
        <v>1</v>
      </c>
      <c r="B188" s="177"/>
      <c r="O188" s="122"/>
    </row>
    <row r="189" spans="1:15" ht="11.25" customHeight="1">
      <c r="A189" s="601">
        <v>1</v>
      </c>
      <c r="O189" s="122"/>
    </row>
    <row r="190" spans="1:15" ht="11.25" customHeight="1">
      <c r="A190" s="601">
        <v>1</v>
      </c>
      <c r="O190" s="122"/>
    </row>
    <row r="191" spans="1:15" ht="11.25" customHeight="1">
      <c r="A191" s="601">
        <v>1</v>
      </c>
      <c r="O191" s="122"/>
    </row>
    <row r="192" spans="1:15" ht="11.25" customHeight="1">
      <c r="A192" s="601">
        <v>1</v>
      </c>
      <c r="O192" s="122"/>
    </row>
    <row r="193" spans="1:15" ht="11.25" customHeight="1">
      <c r="A193" s="601">
        <v>1</v>
      </c>
      <c r="O193" s="122"/>
    </row>
    <row r="194" spans="1:15" ht="11.25" customHeight="1">
      <c r="A194" s="601">
        <v>1</v>
      </c>
      <c r="O194" s="122"/>
    </row>
    <row r="195" spans="1:15" ht="11.25" customHeight="1">
      <c r="A195" s="601">
        <v>1</v>
      </c>
      <c r="O195" s="122"/>
    </row>
    <row r="196" spans="1:15" ht="11.25" customHeight="1">
      <c r="A196" s="601">
        <v>1</v>
      </c>
      <c r="O196" s="122"/>
    </row>
    <row r="197" spans="1:15" ht="11.25" customHeight="1">
      <c r="A197" s="601">
        <v>1</v>
      </c>
      <c r="O197" s="122"/>
    </row>
    <row r="198" spans="1:15" ht="11.25" customHeight="1">
      <c r="A198" s="601">
        <v>1</v>
      </c>
      <c r="O198" s="122"/>
    </row>
    <row r="199" spans="1:15" ht="11.25" customHeight="1">
      <c r="A199" s="601">
        <v>1</v>
      </c>
      <c r="O199" s="122"/>
    </row>
    <row r="200" spans="1:15" ht="11.25" customHeight="1">
      <c r="A200" s="601">
        <v>1</v>
      </c>
      <c r="O200" s="122"/>
    </row>
    <row r="201" spans="1:15" ht="11.25" customHeight="1">
      <c r="A201" s="601">
        <v>1</v>
      </c>
      <c r="O201" s="122"/>
    </row>
    <row r="202" spans="1:15" ht="11.25" customHeight="1">
      <c r="A202" s="601">
        <v>1</v>
      </c>
      <c r="O202" s="122"/>
    </row>
    <row r="203" spans="1:15" ht="11.25" customHeight="1">
      <c r="A203" s="601">
        <v>1</v>
      </c>
      <c r="O203" s="122"/>
    </row>
    <row r="204" spans="1:15" ht="11.25" customHeight="1">
      <c r="A204" s="601">
        <v>1</v>
      </c>
      <c r="O204" s="122"/>
    </row>
    <row r="205" spans="1:15" ht="11.25" customHeight="1">
      <c r="A205" s="601">
        <v>1</v>
      </c>
      <c r="O205" s="122"/>
    </row>
    <row r="206" spans="1:15" ht="11.25" customHeight="1">
      <c r="A206" s="601">
        <v>1</v>
      </c>
      <c r="O206" s="122"/>
    </row>
    <row r="207" spans="1:15" ht="11.25" customHeight="1">
      <c r="A207" s="601">
        <v>1</v>
      </c>
      <c r="O207" s="122"/>
    </row>
    <row r="208" spans="1:15" ht="11.25" customHeight="1">
      <c r="A208" s="601">
        <v>1</v>
      </c>
      <c r="O208" s="122"/>
    </row>
    <row r="209" spans="1:15" ht="11.25" customHeight="1">
      <c r="A209" s="601">
        <v>1</v>
      </c>
      <c r="O209" s="122"/>
    </row>
    <row r="210" spans="1:15" ht="11.25" customHeight="1">
      <c r="A210" s="601">
        <v>1</v>
      </c>
      <c r="O210" s="122"/>
    </row>
    <row r="211" spans="1:15" ht="11.25" customHeight="1">
      <c r="A211" s="601">
        <v>1</v>
      </c>
      <c r="O211" s="122"/>
    </row>
    <row r="212" spans="1:15" ht="11.25" customHeight="1">
      <c r="O212" s="122"/>
    </row>
    <row r="213" spans="1:15" ht="11.25" customHeight="1">
      <c r="O213" s="122"/>
    </row>
    <row r="214" spans="1:15" ht="11.25" customHeight="1">
      <c r="O214" s="122"/>
    </row>
    <row r="215" spans="1:15" ht="11.25" customHeight="1">
      <c r="O215" s="122"/>
    </row>
  </sheetData>
  <mergeCells count="9">
    <mergeCell ref="M18:N18"/>
    <mergeCell ref="U2:V2"/>
    <mergeCell ref="X2:Y2"/>
    <mergeCell ref="X1:Y1"/>
    <mergeCell ref="U1:V1"/>
    <mergeCell ref="H7:K7"/>
    <mergeCell ref="H5:K5"/>
    <mergeCell ref="H6:K6"/>
    <mergeCell ref="M3:P4"/>
  </mergeCells>
  <conditionalFormatting sqref="T20:T163 F20:F49 F76:F163">
    <cfRule type="cellIs" dxfId="11" priority="26" operator="lessThan">
      <formula>0</formula>
    </cfRule>
  </conditionalFormatting>
  <conditionalFormatting sqref="E20:E49 E76:E163 E165">
    <cfRule type="expression" dxfId="10" priority="25">
      <formula>E20:E163=$E$164</formula>
    </cfRule>
  </conditionalFormatting>
  <conditionalFormatting sqref="D20:D163">
    <cfRule type="expression" dxfId="9" priority="24">
      <formula>D20:D163=$D$164</formula>
    </cfRule>
  </conditionalFormatting>
  <conditionalFormatting sqref="D164:E164">
    <cfRule type="expression" dxfId="8" priority="23">
      <formula>D164:D307=$D$164</formula>
    </cfRule>
  </conditionalFormatting>
  <conditionalFormatting sqref="H20:K163">
    <cfRule type="cellIs" dxfId="7" priority="17" operator="greaterThan">
      <formula>0</formula>
    </cfRule>
  </conditionalFormatting>
  <conditionalFormatting sqref="M3:P4">
    <cfRule type="cellIs" dxfId="6" priority="14" operator="equal">
      <formula>"Erlang"</formula>
    </cfRule>
    <cfRule type="cellIs" dxfId="5" priority="15" operator="equal">
      <formula>"Erlang"</formula>
    </cfRule>
  </conditionalFormatting>
  <conditionalFormatting sqref="P19:Q19">
    <cfRule type="expression" dxfId="4" priority="13">
      <formula>$P$19&lt;$Q$19</formula>
    </cfRule>
  </conditionalFormatting>
  <conditionalFormatting sqref="F50:F73">
    <cfRule type="cellIs" dxfId="3" priority="9" operator="lessThan">
      <formula>0</formula>
    </cfRule>
  </conditionalFormatting>
  <conditionalFormatting sqref="E50:E73">
    <cfRule type="expression" dxfId="2" priority="8">
      <formula>E50:E193=$E$164</formula>
    </cfRule>
  </conditionalFormatting>
  <conditionalFormatting sqref="F74:F75">
    <cfRule type="cellIs" dxfId="1" priority="6" operator="lessThan">
      <formula>0</formula>
    </cfRule>
  </conditionalFormatting>
  <conditionalFormatting sqref="E74:E75">
    <cfRule type="expression" dxfId="0" priority="5">
      <formula>E74:E217=$E$164</formula>
    </cfRule>
  </conditionalFormatting>
  <dataValidations disablePrompts="1" count="2">
    <dataValidation type="list" allowBlank="1" showInputMessage="1" showErrorMessage="1" sqref="C14" xr:uid="{00000000-0002-0000-0500-000000000000}">
      <formula1>NOME_CURVAS</formula1>
    </dataValidation>
    <dataValidation type="list" allowBlank="1" showInputMessage="1" showErrorMessage="1" sqref="C11" xr:uid="{00000000-0002-0000-0500-000001000000}">
      <formula1>NOME_CURVAS_DIM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UARDAR_DIM_BR">
                <anchor moveWithCells="1">
                  <from>
                    <xdr:col>11</xdr:col>
                    <xdr:colOff>200025</xdr:colOff>
                    <xdr:row>4</xdr:row>
                    <xdr:rowOff>85725</xdr:rowOff>
                  </from>
                  <to>
                    <xdr:col>14</xdr:col>
                    <xdr:colOff>123825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LIMPAR_DIM">
                <anchor moveWithCells="1">
                  <from>
                    <xdr:col>11</xdr:col>
                    <xdr:colOff>200025</xdr:colOff>
                    <xdr:row>13</xdr:row>
                    <xdr:rowOff>19050</xdr:rowOff>
                  </from>
                  <to>
                    <xdr:col>14</xdr:col>
                    <xdr:colOff>123825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EXCLUI_DIM">
                <anchor moveWithCells="1">
                  <from>
                    <xdr:col>11</xdr:col>
                    <xdr:colOff>200025</xdr:colOff>
                    <xdr:row>7</xdr:row>
                    <xdr:rowOff>66675</xdr:rowOff>
                  </from>
                  <to>
                    <xdr:col>14</xdr:col>
                    <xdr:colOff>123825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CARREGAR_DIM">
                <anchor moveWithCells="1">
                  <from>
                    <xdr:col>11</xdr:col>
                    <xdr:colOff>200025</xdr:colOff>
                    <xdr:row>10</xdr:row>
                    <xdr:rowOff>47625</xdr:rowOff>
                  </from>
                  <to>
                    <xdr:col>14</xdr:col>
                    <xdr:colOff>123825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GRAF_DET_ON">
                <anchor moveWithCells="1">
                  <from>
                    <xdr:col>16</xdr:col>
                    <xdr:colOff>581025</xdr:colOff>
                    <xdr:row>2</xdr:row>
                    <xdr:rowOff>114300</xdr:rowOff>
                  </from>
                  <to>
                    <xdr:col>19</xdr:col>
                    <xdr:colOff>171450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S">
                <anchor moveWithCells="1">
                  <from>
                    <xdr:col>0</xdr:col>
                    <xdr:colOff>114300</xdr:colOff>
                    <xdr:row>9</xdr:row>
                    <xdr:rowOff>9525</xdr:rowOff>
                  </from>
                  <to>
                    <xdr:col>0</xdr:col>
                    <xdr:colOff>400050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0" name="Button 41">
              <controlPr defaultSize="0" print="0" autoFill="0" autoPict="0" macro="[0]!userdim">
                <anchor moveWithCells="1">
                  <from>
                    <xdr:col>14</xdr:col>
                    <xdr:colOff>152400</xdr:colOff>
                    <xdr:row>6</xdr:row>
                    <xdr:rowOff>28575</xdr:rowOff>
                  </from>
                  <to>
                    <xdr:col>16</xdr:col>
                    <xdr:colOff>28575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1" name="Button 44">
              <controlPr defaultSize="0" print="0" autoFill="0" autoPict="0" macro="[0]!ESPECIAL">
                <anchor moveWithCells="1">
                  <from>
                    <xdr:col>14</xdr:col>
                    <xdr:colOff>152400</xdr:colOff>
                    <xdr:row>13</xdr:row>
                    <xdr:rowOff>19050</xdr:rowOff>
                  </from>
                  <to>
                    <xdr:col>16</xdr:col>
                    <xdr:colOff>28575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2" name="Button 45">
              <controlPr defaultSize="0" print="0" autoFill="0" autoPict="0" macro="[0]!ESPECIAL_2">
                <anchor moveWithCells="1">
                  <from>
                    <xdr:col>14</xdr:col>
                    <xdr:colOff>152400</xdr:colOff>
                    <xdr:row>11</xdr:row>
                    <xdr:rowOff>85725</xdr:rowOff>
                  </from>
                  <to>
                    <xdr:col>16</xdr:col>
                    <xdr:colOff>28575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3" name="Button 47">
              <controlPr defaultSize="0" print="0" autoFill="0" autoPict="0" macro="[0]!user3">
                <anchor moveWithCells="1">
                  <from>
                    <xdr:col>14</xdr:col>
                    <xdr:colOff>152400</xdr:colOff>
                    <xdr:row>4</xdr:row>
                    <xdr:rowOff>85725</xdr:rowOff>
                  </from>
                  <to>
                    <xdr:col>16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4" name="Button 53">
              <controlPr defaultSize="0" print="0" autoFill="0" autoPict="0" macro="[0]!EX_US9">
                <anchor moveWithCells="1">
                  <from>
                    <xdr:col>14</xdr:col>
                    <xdr:colOff>152400</xdr:colOff>
                    <xdr:row>8</xdr:row>
                    <xdr:rowOff>142875</xdr:rowOff>
                  </from>
                  <to>
                    <xdr:col>16</xdr:col>
                    <xdr:colOff>28575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5" name="Check Box 55">
              <controlPr defaultSize="0" autoFill="0" autoLine="0" autoPict="0" macro="[0]!PINTAR_HORARIO">
                <anchor moveWithCells="1">
                  <from>
                    <xdr:col>11</xdr:col>
                    <xdr:colOff>209550</xdr:colOff>
                    <xdr:row>0</xdr:row>
                    <xdr:rowOff>38100</xdr:rowOff>
                  </from>
                  <to>
                    <xdr:col>15</xdr:col>
                    <xdr:colOff>419100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6" name="Button 58">
              <controlPr defaultSize="0" print="0" autoFill="0" autoPict="0" macro="[0]!AVALIA_CONS_DIA">
                <anchor moveWithCells="1">
                  <from>
                    <xdr:col>5</xdr:col>
                    <xdr:colOff>19050</xdr:colOff>
                    <xdr:row>16</xdr:row>
                    <xdr:rowOff>9525</xdr:rowOff>
                  </from>
                  <to>
                    <xdr:col>6</xdr:col>
                    <xdr:colOff>657225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Button 61">
              <controlPr defaultSize="0" print="0" autoFill="0" autoPict="0" macro="[0]!EXE_PROPORCAO">
                <anchor moveWithCells="1">
                  <from>
                    <xdr:col>14</xdr:col>
                    <xdr:colOff>19050</xdr:colOff>
                    <xdr:row>14</xdr:row>
                    <xdr:rowOff>123825</xdr:rowOff>
                  </from>
                  <to>
                    <xdr:col>14</xdr:col>
                    <xdr:colOff>247650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>
    <tabColor theme="3"/>
  </sheetPr>
  <dimension ref="A1:DL1491"/>
  <sheetViews>
    <sheetView showGridLines="0" tabSelected="1" topLeftCell="AG12" zoomScale="70" zoomScaleNormal="70" workbookViewId="0">
      <selection activeCell="AR27" sqref="AR27"/>
    </sheetView>
  </sheetViews>
  <sheetFormatPr defaultRowHeight="15" outlineLevelCol="1"/>
  <cols>
    <col min="1" max="1" width="4.625" customWidth="1" outlineLevel="1"/>
    <col min="2" max="2" width="6.375" customWidth="1" outlineLevel="1"/>
    <col min="3" max="4" width="8.625" customWidth="1" outlineLevel="1"/>
    <col min="5" max="6" width="8" customWidth="1" outlineLevel="1"/>
    <col min="7" max="8" width="8.625" customWidth="1" outlineLevel="1"/>
    <col min="9" max="9" width="8" customWidth="1" outlineLevel="1"/>
    <col min="10" max="11" width="8.625" customWidth="1" outlineLevel="1"/>
    <col min="12" max="12" width="8" customWidth="1" outlineLevel="1"/>
    <col min="13" max="13" width="12.25" customWidth="1" outlineLevel="1"/>
    <col min="14" max="14" width="11.875" customWidth="1" outlineLevel="1"/>
    <col min="15" max="15" width="12.25" customWidth="1" outlineLevel="1"/>
    <col min="16" max="16" width="8.625" customWidth="1" outlineLevel="1"/>
    <col min="17" max="26" width="9.125" customWidth="1" outlineLevel="1"/>
    <col min="27" max="32" width="8" customWidth="1" outlineLevel="1"/>
    <col min="33" max="33" width="3" customWidth="1"/>
    <col min="34" max="37" width="9.625" customWidth="1"/>
    <col min="38" max="38" width="11.75" bestFit="1" customWidth="1"/>
    <col min="39" max="39" width="9.625" customWidth="1"/>
    <col min="40" max="40" width="9.625" hidden="1" customWidth="1" outlineLevel="1"/>
    <col min="41" max="42" width="9.375" hidden="1" customWidth="1" outlineLevel="1"/>
    <col min="43" max="43" width="9.375" customWidth="1" collapsed="1"/>
    <col min="44" max="49" width="9.375" customWidth="1"/>
    <col min="50" max="50" width="7.625" bestFit="1" customWidth="1"/>
    <col min="51" max="51" width="12.125" bestFit="1" customWidth="1"/>
    <col min="52" max="56" width="9.375" customWidth="1"/>
    <col min="57" max="57" width="1.875" customWidth="1"/>
    <col min="58" max="64" width="9" hidden="1" customWidth="1" outlineLevel="1"/>
    <col min="65" max="65" width="9" collapsed="1"/>
    <col min="66" max="66" width="1.875" customWidth="1"/>
    <col min="68" max="68" width="7.625" customWidth="1"/>
    <col min="69" max="69" width="8.375" customWidth="1"/>
    <col min="70" max="70" width="6.375" customWidth="1"/>
    <col min="71" max="112" width="6.375" hidden="1" customWidth="1"/>
    <col min="113" max="116" width="6.375" customWidth="1"/>
  </cols>
  <sheetData>
    <row r="1" spans="1:116" ht="27" customHeight="1">
      <c r="A1" s="571" t="s">
        <v>608</v>
      </c>
      <c r="B1" s="397" t="s">
        <v>628</v>
      </c>
      <c r="C1" s="397" t="s">
        <v>591</v>
      </c>
      <c r="D1" s="397" t="s">
        <v>590</v>
      </c>
      <c r="E1" s="289" t="s">
        <v>593</v>
      </c>
      <c r="F1" s="289" t="s">
        <v>657</v>
      </c>
      <c r="G1" s="397" t="s">
        <v>667</v>
      </c>
      <c r="H1" s="397" t="s">
        <v>668</v>
      </c>
      <c r="I1" s="397" t="s">
        <v>677</v>
      </c>
      <c r="J1" s="397" t="s">
        <v>678</v>
      </c>
      <c r="K1" s="397" t="s">
        <v>679</v>
      </c>
      <c r="L1" s="397" t="s">
        <v>680</v>
      </c>
      <c r="M1" s="397" t="s">
        <v>684</v>
      </c>
      <c r="N1" s="397" t="s">
        <v>685</v>
      </c>
      <c r="O1" s="397" t="s">
        <v>686</v>
      </c>
      <c r="P1" s="303" t="s">
        <v>658</v>
      </c>
      <c r="Q1" s="397" t="s">
        <v>599</v>
      </c>
      <c r="R1" s="397" t="s">
        <v>670</v>
      </c>
      <c r="S1" s="397" t="s">
        <v>671</v>
      </c>
      <c r="T1" s="397" t="s">
        <v>672</v>
      </c>
      <c r="U1" s="397" t="s">
        <v>673</v>
      </c>
      <c r="V1" s="397" t="s">
        <v>674</v>
      </c>
      <c r="W1" s="397" t="s">
        <v>676</v>
      </c>
      <c r="X1" s="397" t="s">
        <v>675</v>
      </c>
      <c r="Y1" s="397" t="s">
        <v>652</v>
      </c>
      <c r="Z1" s="397" t="s">
        <v>669</v>
      </c>
      <c r="AA1" s="397" t="s">
        <v>642</v>
      </c>
      <c r="AB1" s="397" t="s">
        <v>643</v>
      </c>
      <c r="AC1" s="397" t="s">
        <v>644</v>
      </c>
      <c r="AD1" s="397" t="s">
        <v>645</v>
      </c>
      <c r="AE1" s="397" t="s">
        <v>647</v>
      </c>
      <c r="AF1" s="398" t="s">
        <v>646</v>
      </c>
      <c r="AO1" s="149" t="s">
        <v>614</v>
      </c>
      <c r="AP1" s="149" t="s">
        <v>614</v>
      </c>
      <c r="AQ1" s="149" t="s">
        <v>614</v>
      </c>
      <c r="AR1" s="149" t="s">
        <v>614</v>
      </c>
      <c r="AS1" s="149" t="s">
        <v>614</v>
      </c>
      <c r="AT1" s="149"/>
      <c r="AU1" s="149"/>
      <c r="AV1" s="149"/>
      <c r="AW1" s="149"/>
      <c r="AX1" s="149" t="s">
        <v>614</v>
      </c>
      <c r="AY1" s="149"/>
      <c r="AZ1" s="149"/>
      <c r="BA1" s="149"/>
      <c r="BB1" s="149"/>
      <c r="BC1" s="149" t="s">
        <v>621</v>
      </c>
      <c r="BD1" s="149" t="s">
        <v>620</v>
      </c>
      <c r="BP1" s="149"/>
      <c r="BQ1" s="428" t="b">
        <v>0</v>
      </c>
      <c r="DK1" s="472" t="s">
        <v>791</v>
      </c>
      <c r="DL1" s="475">
        <f>CONFIG!F46</f>
        <v>0.9</v>
      </c>
    </row>
    <row r="2" spans="1:116">
      <c r="A2" s="161">
        <v>1</v>
      </c>
      <c r="B2" s="156">
        <v>0</v>
      </c>
      <c r="C2" s="157">
        <v>0.84891136594416139</v>
      </c>
      <c r="D2" s="157">
        <v>711.50954519463187</v>
      </c>
      <c r="E2" s="158">
        <v>0.71020000000000005</v>
      </c>
      <c r="F2" s="158">
        <v>0.71020000000000005</v>
      </c>
      <c r="G2" s="157">
        <v>3</v>
      </c>
      <c r="H2" s="157">
        <v>3.333333333333333</v>
      </c>
      <c r="I2" s="157">
        <v>0.33333333333333304</v>
      </c>
      <c r="J2" s="157">
        <v>2</v>
      </c>
      <c r="K2" s="157">
        <v>2.3242105263157895</v>
      </c>
      <c r="L2" s="157">
        <v>0.3242105263157895</v>
      </c>
      <c r="M2" s="157">
        <v>3</v>
      </c>
      <c r="N2" s="157">
        <v>2.9824561403508771</v>
      </c>
      <c r="O2" s="157">
        <v>-1.7543859649122862E-2</v>
      </c>
      <c r="P2" s="157"/>
      <c r="Q2" s="157">
        <v>2</v>
      </c>
      <c r="R2" s="157">
        <v>0</v>
      </c>
      <c r="S2" s="157">
        <v>0</v>
      </c>
      <c r="T2" s="157">
        <v>0</v>
      </c>
      <c r="U2" s="157">
        <v>0</v>
      </c>
      <c r="V2" s="157">
        <v>0</v>
      </c>
      <c r="W2" s="157">
        <v>0</v>
      </c>
      <c r="X2" s="157">
        <v>0</v>
      </c>
      <c r="Y2" s="157">
        <v>2</v>
      </c>
      <c r="Z2" s="157">
        <v>2</v>
      </c>
      <c r="AA2" s="157">
        <v>0</v>
      </c>
      <c r="AB2" s="157">
        <v>0</v>
      </c>
      <c r="AC2" s="157">
        <v>2</v>
      </c>
      <c r="AD2" s="157">
        <v>0</v>
      </c>
      <c r="AE2" s="159">
        <v>0.21656405227159187</v>
      </c>
      <c r="AF2" s="160">
        <v>0.1443760348477279</v>
      </c>
      <c r="AH2" s="393" t="s">
        <v>608</v>
      </c>
      <c r="AI2" s="393" t="s">
        <v>609</v>
      </c>
      <c r="AJ2" s="393" t="s">
        <v>607</v>
      </c>
      <c r="AK2" s="393" t="s">
        <v>638</v>
      </c>
      <c r="AL2" s="393" t="s">
        <v>606</v>
      </c>
      <c r="AM2" s="393" t="s">
        <v>590</v>
      </c>
      <c r="AN2" s="393" t="s">
        <v>627</v>
      </c>
      <c r="AO2" s="393" t="s">
        <v>689</v>
      </c>
      <c r="AP2" s="393" t="s">
        <v>690</v>
      </c>
      <c r="AQ2" s="393" t="s">
        <v>691</v>
      </c>
      <c r="AR2" s="393" t="s">
        <v>692</v>
      </c>
      <c r="AS2" s="393" t="s">
        <v>682</v>
      </c>
      <c r="AT2" s="533" t="s">
        <v>820</v>
      </c>
      <c r="AU2" s="194" t="s">
        <v>779</v>
      </c>
      <c r="AV2" s="195" t="s">
        <v>793</v>
      </c>
      <c r="AW2" s="196" t="s">
        <v>794</v>
      </c>
      <c r="AX2" s="393" t="s">
        <v>693</v>
      </c>
      <c r="AY2" s="288" t="s">
        <v>593</v>
      </c>
      <c r="AZ2" s="288" t="s">
        <v>657</v>
      </c>
      <c r="BA2" s="377" t="s">
        <v>687</v>
      </c>
      <c r="BB2" s="377" t="s">
        <v>688</v>
      </c>
      <c r="BC2" s="393" t="s">
        <v>640</v>
      </c>
      <c r="BD2" s="393" t="s">
        <v>640</v>
      </c>
      <c r="BF2" s="394" t="s">
        <v>616</v>
      </c>
      <c r="BG2" s="395" t="s">
        <v>602</v>
      </c>
      <c r="BH2" s="395" t="s">
        <v>594</v>
      </c>
      <c r="BI2" s="395" t="s">
        <v>595</v>
      </c>
      <c r="BJ2" s="395" t="s">
        <v>615</v>
      </c>
      <c r="BK2" s="395" t="s">
        <v>596</v>
      </c>
      <c r="BL2" s="395" t="s">
        <v>597</v>
      </c>
      <c r="BM2" s="395" t="s">
        <v>654</v>
      </c>
      <c r="BO2" s="396" t="s">
        <v>766</v>
      </c>
      <c r="BQ2" s="427"/>
      <c r="BR2" s="427"/>
      <c r="BS2" s="427"/>
      <c r="BT2" s="427"/>
      <c r="BU2" s="427"/>
      <c r="BV2" s="427"/>
      <c r="BW2" s="427"/>
      <c r="BX2" s="427"/>
      <c r="BY2" s="427"/>
      <c r="BZ2" s="427"/>
      <c r="CA2" s="427"/>
      <c r="CB2" s="427"/>
      <c r="CC2" s="427"/>
      <c r="CD2" s="427"/>
      <c r="CE2" s="427"/>
      <c r="CF2" s="427"/>
      <c r="CG2" s="427"/>
      <c r="CH2" s="427"/>
      <c r="CI2" s="427"/>
      <c r="CJ2" s="427"/>
      <c r="CK2" s="427"/>
      <c r="CL2" s="427"/>
      <c r="CM2" s="427"/>
      <c r="CN2" s="427"/>
      <c r="CO2" s="427"/>
      <c r="CP2" s="427"/>
      <c r="CQ2" s="427"/>
      <c r="CR2" s="427"/>
      <c r="CS2" s="427"/>
      <c r="CT2" s="427"/>
      <c r="CU2" s="427"/>
      <c r="CV2" s="427"/>
      <c r="CW2" s="427"/>
      <c r="CX2" s="427"/>
      <c r="CY2" s="427"/>
      <c r="CZ2" s="427"/>
      <c r="DA2" s="427"/>
      <c r="DB2" s="427"/>
      <c r="DC2" s="427"/>
      <c r="DD2" s="427"/>
      <c r="DE2" s="427"/>
      <c r="DF2" s="427"/>
      <c r="DG2" s="427"/>
      <c r="DH2" s="427"/>
      <c r="DI2" s="427"/>
      <c r="DJ2" s="427"/>
      <c r="DK2" s="427"/>
      <c r="DL2" s="427"/>
    </row>
    <row r="3" spans="1:116">
      <c r="A3" s="572">
        <v>1</v>
      </c>
      <c r="B3" s="162">
        <v>2.0833333333333332E-2</v>
      </c>
      <c r="C3" s="163">
        <v>0.59323206377909665</v>
      </c>
      <c r="D3" s="163">
        <v>646.67843316002666</v>
      </c>
      <c r="E3" s="164">
        <v>0.80979999999999996</v>
      </c>
      <c r="F3" s="164">
        <v>0.80979999999999996</v>
      </c>
      <c r="G3" s="163">
        <v>3</v>
      </c>
      <c r="H3" s="163">
        <v>3.333333333333333</v>
      </c>
      <c r="I3" s="163">
        <v>0.33333333333333304</v>
      </c>
      <c r="J3" s="163">
        <v>2</v>
      </c>
      <c r="K3" s="163">
        <v>2.3242105263157895</v>
      </c>
      <c r="L3" s="163">
        <v>0.3242105263157895</v>
      </c>
      <c r="M3" s="163">
        <v>3</v>
      </c>
      <c r="N3" s="163">
        <v>2.9824561403508771</v>
      </c>
      <c r="O3" s="163">
        <v>-1.7543859649122862E-2</v>
      </c>
      <c r="P3" s="163"/>
      <c r="Q3" s="163">
        <v>2</v>
      </c>
      <c r="R3" s="163">
        <v>0</v>
      </c>
      <c r="S3" s="163">
        <v>0</v>
      </c>
      <c r="T3" s="163">
        <v>0</v>
      </c>
      <c r="U3" s="163">
        <v>0</v>
      </c>
      <c r="V3" s="163">
        <v>0</v>
      </c>
      <c r="W3" s="163">
        <v>0</v>
      </c>
      <c r="X3" s="163">
        <v>0</v>
      </c>
      <c r="Y3" s="163">
        <v>2</v>
      </c>
      <c r="Z3" s="163">
        <v>2</v>
      </c>
      <c r="AA3" s="163">
        <v>0</v>
      </c>
      <c r="AB3" s="163">
        <v>0</v>
      </c>
      <c r="AC3" s="163">
        <v>2</v>
      </c>
      <c r="AD3" s="163">
        <v>0</v>
      </c>
      <c r="AE3" s="165">
        <v>0.13754863467304781</v>
      </c>
      <c r="AF3" s="166">
        <v>9.1699089782031867E-2</v>
      </c>
      <c r="AH3" s="150">
        <f>CONFIG!B6</f>
        <v>46235</v>
      </c>
      <c r="AI3" s="135" t="str">
        <f>CONFIG!C6</f>
        <v>sáb</v>
      </c>
      <c r="AJ3" s="135">
        <f>CONFIG!D6</f>
        <v>25</v>
      </c>
      <c r="AK3" s="151">
        <f>IFERROR(AN3/$AN$34,0)</f>
        <v>1.166507608844926E-2</v>
      </c>
      <c r="AL3" s="139">
        <f>CONFIG!E6</f>
        <v>156.75306339373316</v>
      </c>
      <c r="AM3" s="136">
        <f>CONFIG!F6</f>
        <v>754.04945507311538</v>
      </c>
      <c r="AN3" s="136">
        <f>AM3*AL3/60</f>
        <v>1969.9927005514332</v>
      </c>
      <c r="AO3" s="136">
        <v>12.401263823064772</v>
      </c>
      <c r="AP3" s="136">
        <v>16.192733017377567</v>
      </c>
      <c r="AQ3" s="136">
        <v>18.078947368421051</v>
      </c>
      <c r="AR3" s="136">
        <v>18</v>
      </c>
      <c r="AS3" s="136">
        <v>-7.8947368421051323E-2</v>
      </c>
      <c r="AT3" s="136">
        <v>0</v>
      </c>
      <c r="AU3" s="136">
        <v>0</v>
      </c>
      <c r="AV3" s="136">
        <v>18</v>
      </c>
      <c r="AW3" s="136">
        <v>0</v>
      </c>
      <c r="AX3" s="136">
        <v>0</v>
      </c>
      <c r="AY3" s="304">
        <v>0.8380009867665783</v>
      </c>
      <c r="AZ3" s="304">
        <v>0.8380009867665783</v>
      </c>
      <c r="BA3" s="136">
        <v>8</v>
      </c>
      <c r="BB3" s="136">
        <v>8</v>
      </c>
      <c r="BC3" s="304">
        <v>0.37012947470173141</v>
      </c>
      <c r="BD3" s="304">
        <v>0.37175284959077409</v>
      </c>
      <c r="BF3" s="294">
        <f>CONFIG!O6</f>
        <v>0</v>
      </c>
      <c r="BG3" s="295">
        <f>CONFIG!P6</f>
        <v>0</v>
      </c>
      <c r="BH3" s="295">
        <f>CONFIG!Q6</f>
        <v>8.2051282051282051E-2</v>
      </c>
      <c r="BI3" s="295">
        <f>CONFIG!R6</f>
        <v>0</v>
      </c>
      <c r="BJ3" s="295">
        <f>CONFIG!S6</f>
        <v>8.6369770580296892E-2</v>
      </c>
      <c r="BK3" s="295">
        <f>CONFIG!T6</f>
        <v>1.641025641025641E-2</v>
      </c>
      <c r="BL3" s="295">
        <f>CONFIG!U6</f>
        <v>0</v>
      </c>
      <c r="BM3" s="295">
        <f>CONFIG!V6</f>
        <v>0.18483130904183537</v>
      </c>
      <c r="BO3" s="296">
        <v>0.12573099415204678</v>
      </c>
      <c r="BQ3" s="430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158"/>
      <c r="CC3" s="158"/>
      <c r="CD3" s="158"/>
      <c r="CE3" s="158"/>
      <c r="CF3" s="158"/>
      <c r="CG3" s="158"/>
      <c r="CH3" s="158"/>
      <c r="CI3" s="158"/>
      <c r="CJ3" s="158"/>
      <c r="CK3" s="158"/>
      <c r="CL3" s="158"/>
      <c r="CM3" s="158"/>
      <c r="CN3" s="158"/>
      <c r="CO3" s="158"/>
      <c r="CP3" s="158"/>
      <c r="CQ3" s="158"/>
      <c r="CR3" s="158"/>
      <c r="CS3" s="158"/>
      <c r="CT3" s="158"/>
      <c r="CU3" s="158"/>
      <c r="CV3" s="158"/>
      <c r="CW3" s="158"/>
      <c r="CX3" s="158"/>
      <c r="CY3" s="158"/>
      <c r="CZ3" s="158"/>
      <c r="DA3" s="158"/>
      <c r="DB3" s="158"/>
      <c r="DC3" s="158"/>
      <c r="DD3" s="158"/>
      <c r="DE3" s="158"/>
      <c r="DF3" s="158"/>
      <c r="DG3" s="158"/>
      <c r="DH3" s="158"/>
      <c r="DI3" s="158"/>
      <c r="DJ3" s="158"/>
      <c r="DK3" s="158"/>
      <c r="DL3" s="431"/>
    </row>
    <row r="4" spans="1:116">
      <c r="A4" s="572">
        <v>1</v>
      </c>
      <c r="B4" s="162">
        <v>4.1666666666666664E-2</v>
      </c>
      <c r="C4" s="163">
        <v>0.6571034571147305</v>
      </c>
      <c r="D4" s="163">
        <v>676.83561501434031</v>
      </c>
      <c r="E4" s="164">
        <v>0.78139999999999998</v>
      </c>
      <c r="F4" s="164">
        <v>0.78139999999999998</v>
      </c>
      <c r="G4" s="163">
        <v>3</v>
      </c>
      <c r="H4" s="163">
        <v>3.333333333333333</v>
      </c>
      <c r="I4" s="163">
        <v>0.33333333333333304</v>
      </c>
      <c r="J4" s="163">
        <v>2</v>
      </c>
      <c r="K4" s="163">
        <v>2.3242105263157895</v>
      </c>
      <c r="L4" s="163">
        <v>0.3242105263157895</v>
      </c>
      <c r="M4" s="163">
        <v>3</v>
      </c>
      <c r="N4" s="163">
        <v>2.9824561403508771</v>
      </c>
      <c r="O4" s="163">
        <v>-1.7543859649122862E-2</v>
      </c>
      <c r="P4" s="163"/>
      <c r="Q4" s="163">
        <v>2</v>
      </c>
      <c r="R4" s="163">
        <v>0</v>
      </c>
      <c r="S4" s="163">
        <v>0</v>
      </c>
      <c r="T4" s="163">
        <v>0</v>
      </c>
      <c r="U4" s="163">
        <v>0</v>
      </c>
      <c r="V4" s="163">
        <v>0</v>
      </c>
      <c r="W4" s="163">
        <v>0</v>
      </c>
      <c r="X4" s="163">
        <v>0</v>
      </c>
      <c r="Y4" s="163">
        <v>2</v>
      </c>
      <c r="Z4" s="163">
        <v>2</v>
      </c>
      <c r="AA4" s="163">
        <v>0</v>
      </c>
      <c r="AB4" s="163">
        <v>0</v>
      </c>
      <c r="AC4" s="163">
        <v>2</v>
      </c>
      <c r="AD4" s="163">
        <v>0</v>
      </c>
      <c r="AE4" s="165">
        <v>0.15946311571485616</v>
      </c>
      <c r="AF4" s="166">
        <v>0.10630874380990411</v>
      </c>
      <c r="AH4" s="152">
        <f>CONFIG!B7</f>
        <v>46236</v>
      </c>
      <c r="AI4" s="138" t="str">
        <f>CONFIG!C7</f>
        <v>dom</v>
      </c>
      <c r="AJ4" s="138">
        <f>CONFIG!D7</f>
        <v>30</v>
      </c>
      <c r="AK4" s="153">
        <f t="shared" ref="AK4:AK33" si="0">IFERROR(AN4/$AN$34,0)</f>
        <v>8.2679597563559328E-3</v>
      </c>
      <c r="AL4" s="139">
        <f>CONFIG!E7</f>
        <v>113.67951701500908</v>
      </c>
      <c r="AM4" s="139">
        <f>CONFIG!F7</f>
        <v>736.96086447426023</v>
      </c>
      <c r="AN4" s="139">
        <f t="shared" ref="AN4:AN26" si="1">AM4*AL4/60</f>
        <v>1396.2892522066245</v>
      </c>
      <c r="AO4" s="139">
        <v>9.8736176935229079</v>
      </c>
      <c r="AP4" s="139">
        <v>13.665086887835704</v>
      </c>
      <c r="AQ4" s="139">
        <v>14.447368421052632</v>
      </c>
      <c r="AR4" s="139">
        <v>14</v>
      </c>
      <c r="AS4" s="139">
        <v>-0.44736842105263186</v>
      </c>
      <c r="AT4" s="139">
        <v>0</v>
      </c>
      <c r="AU4" s="139">
        <v>0</v>
      </c>
      <c r="AV4" s="139">
        <v>14</v>
      </c>
      <c r="AW4" s="139">
        <v>0</v>
      </c>
      <c r="AX4" s="139">
        <v>0</v>
      </c>
      <c r="AY4" s="305">
        <v>0.80181724404300103</v>
      </c>
      <c r="AZ4" s="305">
        <v>0.80181724404300103</v>
      </c>
      <c r="BA4" s="139">
        <v>6</v>
      </c>
      <c r="BB4" s="139">
        <v>6</v>
      </c>
      <c r="BC4" s="305">
        <v>0.32828333867810328</v>
      </c>
      <c r="BD4" s="305">
        <v>0.33877359574112537</v>
      </c>
      <c r="BF4" s="297">
        <f>CONFIG!O7</f>
        <v>0</v>
      </c>
      <c r="BG4" s="298">
        <f>CONFIG!P7</f>
        <v>0</v>
      </c>
      <c r="BH4" s="298">
        <f>CONFIG!Q7</f>
        <v>8.2051282051282051E-2</v>
      </c>
      <c r="BI4" s="298">
        <f>CONFIG!R7</f>
        <v>0</v>
      </c>
      <c r="BJ4" s="298">
        <f>CONFIG!S7</f>
        <v>8.6369770580296892E-2</v>
      </c>
      <c r="BK4" s="298">
        <f>CONFIG!T7</f>
        <v>1.641025641025641E-2</v>
      </c>
      <c r="BL4" s="298">
        <f>CONFIG!U7</f>
        <v>0</v>
      </c>
      <c r="BM4" s="298">
        <f>CONFIG!V7</f>
        <v>0.18483130904183537</v>
      </c>
      <c r="BO4" s="299">
        <v>0.15789473684210525</v>
      </c>
      <c r="BQ4" s="432"/>
      <c r="BR4" s="164"/>
      <c r="BS4" s="164"/>
      <c r="BT4" s="164"/>
      <c r="BU4" s="164"/>
      <c r="BV4" s="164"/>
      <c r="BW4" s="164"/>
      <c r="BX4" s="164"/>
      <c r="BY4" s="164"/>
      <c r="BZ4" s="164"/>
      <c r="CA4" s="164"/>
      <c r="CB4" s="164"/>
      <c r="CC4" s="164"/>
      <c r="CD4" s="164"/>
      <c r="CE4" s="164"/>
      <c r="CF4" s="164"/>
      <c r="CG4" s="164"/>
      <c r="CH4" s="164"/>
      <c r="CI4" s="164"/>
      <c r="CJ4" s="164"/>
      <c r="CK4" s="164"/>
      <c r="CL4" s="164"/>
      <c r="CM4" s="164"/>
      <c r="CN4" s="164"/>
      <c r="CO4" s="164"/>
      <c r="CP4" s="164"/>
      <c r="CQ4" s="164"/>
      <c r="CR4" s="164"/>
      <c r="CS4" s="164"/>
      <c r="CT4" s="164"/>
      <c r="CU4" s="164"/>
      <c r="CV4" s="164"/>
      <c r="CW4" s="164"/>
      <c r="CX4" s="164"/>
      <c r="CY4" s="164"/>
      <c r="CZ4" s="164"/>
      <c r="DA4" s="164"/>
      <c r="DB4" s="164"/>
      <c r="DC4" s="164"/>
      <c r="DD4" s="164"/>
      <c r="DE4" s="164"/>
      <c r="DF4" s="164"/>
      <c r="DG4" s="164"/>
      <c r="DH4" s="164"/>
      <c r="DI4" s="164"/>
      <c r="DJ4" s="164"/>
      <c r="DK4" s="164"/>
      <c r="DL4" s="433"/>
    </row>
    <row r="5" spans="1:116">
      <c r="A5" s="572">
        <v>1</v>
      </c>
      <c r="B5" s="162">
        <v>6.25E-2</v>
      </c>
      <c r="C5" s="163">
        <v>0.4686362714567528</v>
      </c>
      <c r="D5" s="163">
        <v>673.06972305512954</v>
      </c>
      <c r="E5" s="164">
        <v>0.84160000000000001</v>
      </c>
      <c r="F5" s="164">
        <v>0.84160000000000001</v>
      </c>
      <c r="G5" s="163">
        <v>2</v>
      </c>
      <c r="H5" s="163">
        <v>3.333333333333333</v>
      </c>
      <c r="I5" s="163">
        <v>1.333333333333333</v>
      </c>
      <c r="J5" s="163">
        <v>1</v>
      </c>
      <c r="K5" s="163">
        <v>1.5494736842105263</v>
      </c>
      <c r="L5" s="163">
        <v>0.54947368421052634</v>
      </c>
      <c r="M5" s="163">
        <v>2</v>
      </c>
      <c r="N5" s="163">
        <v>2.9824561403508771</v>
      </c>
      <c r="O5" s="163">
        <v>0.98245614035087714</v>
      </c>
      <c r="P5" s="163"/>
      <c r="Q5" s="163">
        <v>2</v>
      </c>
      <c r="R5" s="163">
        <v>0</v>
      </c>
      <c r="S5" s="163">
        <v>0</v>
      </c>
      <c r="T5" s="163">
        <v>0</v>
      </c>
      <c r="U5" s="163">
        <v>0</v>
      </c>
      <c r="V5" s="163">
        <v>0</v>
      </c>
      <c r="W5" s="163">
        <v>0</v>
      </c>
      <c r="X5" s="163">
        <v>0</v>
      </c>
      <c r="Y5" s="163">
        <v>2</v>
      </c>
      <c r="Z5" s="163">
        <v>2</v>
      </c>
      <c r="AA5" s="163">
        <v>0</v>
      </c>
      <c r="AB5" s="163">
        <v>0</v>
      </c>
      <c r="AC5" s="163">
        <v>2</v>
      </c>
      <c r="AD5" s="163">
        <v>0</v>
      </c>
      <c r="AE5" s="165">
        <v>0.11309391650469348</v>
      </c>
      <c r="AF5" s="166">
        <v>0.11309391650469348</v>
      </c>
      <c r="AH5" s="152">
        <f>CONFIG!B8</f>
        <v>46237</v>
      </c>
      <c r="AI5" s="138" t="str">
        <f>CONFIG!C8</f>
        <v>seg</v>
      </c>
      <c r="AJ5" s="138">
        <f>CONFIG!D8</f>
        <v>2</v>
      </c>
      <c r="AK5" s="153">
        <f t="shared" si="0"/>
        <v>5.1227358167669414E-2</v>
      </c>
      <c r="AL5" s="139">
        <f>CONFIG!E8</f>
        <v>625.15259197302589</v>
      </c>
      <c r="AM5" s="139">
        <f>CONFIG!F8</f>
        <v>830.31754490563583</v>
      </c>
      <c r="AN5" s="139">
        <f t="shared" si="1"/>
        <v>8651.2527559739592</v>
      </c>
      <c r="AO5" s="139">
        <v>34.360189573459714</v>
      </c>
      <c r="AP5" s="139">
        <v>40.521327014218009</v>
      </c>
      <c r="AQ5" s="139">
        <v>44.210526315789473</v>
      </c>
      <c r="AR5" s="139">
        <v>41.026315789473685</v>
      </c>
      <c r="AS5" s="139">
        <v>-3.1842105263157876</v>
      </c>
      <c r="AT5" s="139">
        <v>0</v>
      </c>
      <c r="AU5" s="139">
        <v>0</v>
      </c>
      <c r="AV5" s="139">
        <v>32</v>
      </c>
      <c r="AW5" s="139">
        <v>7</v>
      </c>
      <c r="AX5" s="139">
        <v>0</v>
      </c>
      <c r="AY5" s="305">
        <v>0.63861058571920648</v>
      </c>
      <c r="AZ5" s="305">
        <v>0.63861058571920648</v>
      </c>
      <c r="BA5" s="139">
        <v>19</v>
      </c>
      <c r="BB5" s="139">
        <v>19</v>
      </c>
      <c r="BC5" s="305">
        <v>0.63171651082874214</v>
      </c>
      <c r="BD5" s="305">
        <v>0.68074646452359644</v>
      </c>
      <c r="BF5" s="297">
        <f>CONFIG!O8</f>
        <v>0</v>
      </c>
      <c r="BG5" s="298">
        <f>CONFIG!P8</f>
        <v>0</v>
      </c>
      <c r="BH5" s="298">
        <f>CONFIG!Q8</f>
        <v>8.2051282051282051E-2</v>
      </c>
      <c r="BI5" s="298">
        <f>CONFIG!R8</f>
        <v>0</v>
      </c>
      <c r="BJ5" s="298">
        <f>CONFIG!S8</f>
        <v>8.6369770580296892E-2</v>
      </c>
      <c r="BK5" s="298">
        <f>CONFIG!T8</f>
        <v>1.641025641025641E-2</v>
      </c>
      <c r="BL5" s="298">
        <f>CONFIG!U8</f>
        <v>0</v>
      </c>
      <c r="BM5" s="298">
        <f>CONFIG!V8</f>
        <v>0.18483130904183537</v>
      </c>
      <c r="BO5" s="299">
        <v>0.11545862732520847</v>
      </c>
      <c r="BQ5" s="432"/>
      <c r="BR5" s="164"/>
      <c r="BS5" s="164"/>
      <c r="BT5" s="164"/>
      <c r="BU5" s="164"/>
      <c r="BV5" s="164"/>
      <c r="BW5" s="164"/>
      <c r="BX5" s="164"/>
      <c r="BY5" s="164"/>
      <c r="BZ5" s="164"/>
      <c r="CA5" s="164"/>
      <c r="CB5" s="164"/>
      <c r="CC5" s="164"/>
      <c r="CD5" s="164"/>
      <c r="CE5" s="164"/>
      <c r="CF5" s="164"/>
      <c r="CG5" s="164"/>
      <c r="CH5" s="164"/>
      <c r="CI5" s="164"/>
      <c r="CJ5" s="164"/>
      <c r="CK5" s="164"/>
      <c r="CL5" s="164"/>
      <c r="CM5" s="164"/>
      <c r="CN5" s="164"/>
      <c r="CO5" s="164"/>
      <c r="CP5" s="164"/>
      <c r="CQ5" s="164"/>
      <c r="CR5" s="164"/>
      <c r="CS5" s="164"/>
      <c r="CT5" s="164"/>
      <c r="CU5" s="164"/>
      <c r="CV5" s="164"/>
      <c r="CW5" s="164"/>
      <c r="CX5" s="164"/>
      <c r="CY5" s="164"/>
      <c r="CZ5" s="164"/>
      <c r="DA5" s="164"/>
      <c r="DB5" s="164"/>
      <c r="DC5" s="164"/>
      <c r="DD5" s="164"/>
      <c r="DE5" s="164"/>
      <c r="DF5" s="164"/>
      <c r="DG5" s="164"/>
      <c r="DH5" s="164"/>
      <c r="DI5" s="164"/>
      <c r="DJ5" s="164"/>
      <c r="DK5" s="164"/>
      <c r="DL5" s="433"/>
    </row>
    <row r="6" spans="1:116">
      <c r="A6" s="572">
        <v>1</v>
      </c>
      <c r="B6" s="162">
        <v>8.3333333333333329E-2</v>
      </c>
      <c r="C6" s="163">
        <v>0.36087302180749631</v>
      </c>
      <c r="D6" s="163">
        <v>671.1986639145133</v>
      </c>
      <c r="E6" s="164">
        <v>0.87690000000000001</v>
      </c>
      <c r="F6" s="164">
        <v>0.87690000000000001</v>
      </c>
      <c r="G6" s="163">
        <v>2</v>
      </c>
      <c r="H6" s="163">
        <v>3.333333333333333</v>
      </c>
      <c r="I6" s="163">
        <v>1.333333333333333</v>
      </c>
      <c r="J6" s="163">
        <v>1</v>
      </c>
      <c r="K6" s="163">
        <v>1.5494736842105263</v>
      </c>
      <c r="L6" s="163">
        <v>0.54947368421052634</v>
      </c>
      <c r="M6" s="163">
        <v>2</v>
      </c>
      <c r="N6" s="163">
        <v>2.9824561403508771</v>
      </c>
      <c r="O6" s="163">
        <v>0.98245614035087714</v>
      </c>
      <c r="P6" s="163"/>
      <c r="Q6" s="163">
        <v>2</v>
      </c>
      <c r="R6" s="163">
        <v>0</v>
      </c>
      <c r="S6" s="163">
        <v>0</v>
      </c>
      <c r="T6" s="163">
        <v>0</v>
      </c>
      <c r="U6" s="163">
        <v>0</v>
      </c>
      <c r="V6" s="163">
        <v>0</v>
      </c>
      <c r="W6" s="163">
        <v>0</v>
      </c>
      <c r="X6" s="163">
        <v>0</v>
      </c>
      <c r="Y6" s="163">
        <v>2</v>
      </c>
      <c r="Z6" s="163">
        <v>2</v>
      </c>
      <c r="AA6" s="163">
        <v>0</v>
      </c>
      <c r="AB6" s="163">
        <v>0</v>
      </c>
      <c r="AC6" s="163">
        <v>2</v>
      </c>
      <c r="AD6" s="163">
        <v>0</v>
      </c>
      <c r="AE6" s="165">
        <v>8.6845793922095904E-2</v>
      </c>
      <c r="AF6" s="166">
        <v>8.6845793922095904E-2</v>
      </c>
      <c r="AH6" s="152">
        <f>CONFIG!B9</f>
        <v>46238</v>
      </c>
      <c r="AI6" s="138" t="str">
        <f>CONFIG!C9</f>
        <v>ter</v>
      </c>
      <c r="AJ6" s="138">
        <f>CONFIG!D9</f>
        <v>6</v>
      </c>
      <c r="AK6" s="153">
        <f t="shared" si="0"/>
        <v>4.6747706284212688E-2</v>
      </c>
      <c r="AL6" s="139">
        <f>CONFIG!E9</f>
        <v>580.15689604865418</v>
      </c>
      <c r="AM6" s="139">
        <f>CONFIG!F9</f>
        <v>816.47546592005881</v>
      </c>
      <c r="AN6" s="139">
        <f t="shared" si="1"/>
        <v>7894.7312001343344</v>
      </c>
      <c r="AO6" s="139">
        <v>31.753554502369667</v>
      </c>
      <c r="AP6" s="139">
        <v>37.519747235387044</v>
      </c>
      <c r="AQ6" s="139">
        <v>40.736842105263158</v>
      </c>
      <c r="AR6" s="139">
        <v>41.026315789473685</v>
      </c>
      <c r="AS6" s="139">
        <v>0.28947368421052744</v>
      </c>
      <c r="AT6" s="139">
        <v>0</v>
      </c>
      <c r="AU6" s="139">
        <v>0</v>
      </c>
      <c r="AV6" s="139">
        <v>32</v>
      </c>
      <c r="AW6" s="139">
        <v>7</v>
      </c>
      <c r="AX6" s="139">
        <v>0</v>
      </c>
      <c r="AY6" s="305">
        <v>0.77269862597125671</v>
      </c>
      <c r="AZ6" s="305">
        <v>0.77269862597125671</v>
      </c>
      <c r="BA6" s="139">
        <v>19</v>
      </c>
      <c r="BB6" s="139">
        <v>19</v>
      </c>
      <c r="BC6" s="305">
        <v>0.6256319228413646</v>
      </c>
      <c r="BD6" s="305">
        <v>0.62121758599001431</v>
      </c>
      <c r="BF6" s="297">
        <f>CONFIG!O9</f>
        <v>0</v>
      </c>
      <c r="BG6" s="298">
        <f>CONFIG!P9</f>
        <v>0</v>
      </c>
      <c r="BH6" s="298">
        <f>CONFIG!Q9</f>
        <v>8.2051282051282051E-2</v>
      </c>
      <c r="BI6" s="298">
        <f>CONFIG!R9</f>
        <v>0</v>
      </c>
      <c r="BJ6" s="298">
        <f>CONFIG!S9</f>
        <v>8.6369770580296892E-2</v>
      </c>
      <c r="BK6" s="298">
        <f>CONFIG!T9</f>
        <v>1.641025641025641E-2</v>
      </c>
      <c r="BL6" s="298">
        <f>CONFIG!U9</f>
        <v>0</v>
      </c>
      <c r="BM6" s="298">
        <f>CONFIG!V9</f>
        <v>0.18483130904183537</v>
      </c>
      <c r="BO6" s="299">
        <v>0.11545862732520847</v>
      </c>
      <c r="BQ6" s="432"/>
      <c r="BR6" s="164"/>
      <c r="BS6" s="164"/>
      <c r="BT6" s="164"/>
      <c r="BU6" s="164"/>
      <c r="BV6" s="164"/>
      <c r="BW6" s="164"/>
      <c r="BX6" s="164"/>
      <c r="BY6" s="164"/>
      <c r="BZ6" s="164"/>
      <c r="CA6" s="164"/>
      <c r="CB6" s="164"/>
      <c r="CC6" s="164"/>
      <c r="CD6" s="164"/>
      <c r="CE6" s="164"/>
      <c r="CF6" s="164"/>
      <c r="CG6" s="164"/>
      <c r="CH6" s="164"/>
      <c r="CI6" s="164"/>
      <c r="CJ6" s="164"/>
      <c r="CK6" s="164"/>
      <c r="CL6" s="164"/>
      <c r="CM6" s="164"/>
      <c r="CN6" s="164"/>
      <c r="CO6" s="164"/>
      <c r="CP6" s="164"/>
      <c r="CQ6" s="164"/>
      <c r="CR6" s="164"/>
      <c r="CS6" s="164"/>
      <c r="CT6" s="164"/>
      <c r="CU6" s="164"/>
      <c r="CV6" s="164"/>
      <c r="CW6" s="164"/>
      <c r="CX6" s="164"/>
      <c r="CY6" s="164"/>
      <c r="CZ6" s="164"/>
      <c r="DA6" s="164"/>
      <c r="DB6" s="164"/>
      <c r="DC6" s="164"/>
      <c r="DD6" s="164"/>
      <c r="DE6" s="164"/>
      <c r="DF6" s="164"/>
      <c r="DG6" s="164"/>
      <c r="DH6" s="164"/>
      <c r="DI6" s="164"/>
      <c r="DJ6" s="164"/>
      <c r="DK6" s="164"/>
      <c r="DL6" s="433"/>
    </row>
    <row r="7" spans="1:116">
      <c r="A7" s="572">
        <v>1</v>
      </c>
      <c r="B7" s="162">
        <v>0.10416666666666667</v>
      </c>
      <c r="C7" s="163">
        <v>0.29905965713072541</v>
      </c>
      <c r="D7" s="163">
        <v>633.10112546037749</v>
      </c>
      <c r="E7" s="164">
        <v>0.9030999999999999</v>
      </c>
      <c r="F7" s="164">
        <v>0.9030999999999999</v>
      </c>
      <c r="G7" s="163">
        <v>2</v>
      </c>
      <c r="H7" s="163">
        <v>3.333333333333333</v>
      </c>
      <c r="I7" s="163">
        <v>1.333333333333333</v>
      </c>
      <c r="J7" s="163">
        <v>1</v>
      </c>
      <c r="K7" s="163">
        <v>1.5494736842105263</v>
      </c>
      <c r="L7" s="163">
        <v>0.54947368421052634</v>
      </c>
      <c r="M7" s="163">
        <v>2</v>
      </c>
      <c r="N7" s="163">
        <v>2.9824561403508771</v>
      </c>
      <c r="O7" s="163">
        <v>0.98245614035087714</v>
      </c>
      <c r="P7" s="163"/>
      <c r="Q7" s="163">
        <v>2</v>
      </c>
      <c r="R7" s="163">
        <v>0</v>
      </c>
      <c r="S7" s="163">
        <v>0</v>
      </c>
      <c r="T7" s="163">
        <v>0</v>
      </c>
      <c r="U7" s="163">
        <v>0</v>
      </c>
      <c r="V7" s="163">
        <v>0</v>
      </c>
      <c r="W7" s="163">
        <v>0</v>
      </c>
      <c r="X7" s="163">
        <v>0</v>
      </c>
      <c r="Y7" s="163">
        <v>2</v>
      </c>
      <c r="Z7" s="163">
        <v>2</v>
      </c>
      <c r="AA7" s="163">
        <v>0</v>
      </c>
      <c r="AB7" s="163">
        <v>0</v>
      </c>
      <c r="AC7" s="163">
        <v>2</v>
      </c>
      <c r="AD7" s="163">
        <v>0</v>
      </c>
      <c r="AE7" s="165">
        <v>6.7885060097295447E-2</v>
      </c>
      <c r="AF7" s="166">
        <v>6.7885060097295447E-2</v>
      </c>
      <c r="AH7" s="152">
        <f>CONFIG!B10</f>
        <v>46239</v>
      </c>
      <c r="AI7" s="138" t="str">
        <f>CONFIG!C10</f>
        <v>qua</v>
      </c>
      <c r="AJ7" s="138">
        <f>CONFIG!D10</f>
        <v>10</v>
      </c>
      <c r="AK7" s="153">
        <f>IFERROR(AN7/$AN$34,0)</f>
        <v>4.4219349622396743E-2</v>
      </c>
      <c r="AL7" s="139">
        <f>CONFIG!E10</f>
        <v>537.14872870473926</v>
      </c>
      <c r="AM7" s="139">
        <f>CONFIG!F10</f>
        <v>834.1537180429043</v>
      </c>
      <c r="AN7" s="139">
        <f t="shared" si="1"/>
        <v>7467.7434865179594</v>
      </c>
      <c r="AO7" s="139">
        <v>30.568720379146921</v>
      </c>
      <c r="AP7" s="139">
        <v>36.334913112164294</v>
      </c>
      <c r="AQ7" s="139">
        <v>39.315789473684212</v>
      </c>
      <c r="AR7" s="139">
        <v>41.026315789473685</v>
      </c>
      <c r="AS7" s="139">
        <v>1.7105263157894726</v>
      </c>
      <c r="AT7" s="139">
        <v>0</v>
      </c>
      <c r="AU7" s="139">
        <v>0</v>
      </c>
      <c r="AV7" s="139">
        <v>32</v>
      </c>
      <c r="AW7" s="139">
        <v>7</v>
      </c>
      <c r="AX7" s="139">
        <v>0</v>
      </c>
      <c r="AY7" s="304">
        <v>0.82286613322594104</v>
      </c>
      <c r="AZ7" s="305">
        <v>0.82286613322594104</v>
      </c>
      <c r="BA7" s="139">
        <v>19</v>
      </c>
      <c r="BB7" s="139">
        <v>19</v>
      </c>
      <c r="BC7" s="305">
        <v>0.61318469067646597</v>
      </c>
      <c r="BD7" s="305">
        <v>0.58761894026339967</v>
      </c>
      <c r="BF7" s="297">
        <f>CONFIG!O10</f>
        <v>0</v>
      </c>
      <c r="BG7" s="298">
        <f>CONFIG!P10</f>
        <v>0</v>
      </c>
      <c r="BH7" s="298">
        <f>CONFIG!Q10</f>
        <v>8.2051282051282051E-2</v>
      </c>
      <c r="BI7" s="298">
        <f>CONFIG!R10</f>
        <v>0</v>
      </c>
      <c r="BJ7" s="298">
        <f>CONFIG!S10</f>
        <v>8.6369770580296892E-2</v>
      </c>
      <c r="BK7" s="298">
        <f>CONFIG!T10</f>
        <v>1.641025641025641E-2</v>
      </c>
      <c r="BL7" s="298">
        <f>CONFIG!U10</f>
        <v>0</v>
      </c>
      <c r="BM7" s="298">
        <f>CONFIG!V10</f>
        <v>0.18483130904183537</v>
      </c>
      <c r="BO7" s="299">
        <v>0.11545862732520847</v>
      </c>
      <c r="BQ7" s="432"/>
      <c r="BR7" s="164"/>
      <c r="BS7" s="164"/>
      <c r="BT7" s="164"/>
      <c r="BU7" s="164"/>
      <c r="BV7" s="164"/>
      <c r="BW7" s="164"/>
      <c r="BX7" s="164"/>
      <c r="BY7" s="164"/>
      <c r="BZ7" s="164"/>
      <c r="CA7" s="164"/>
      <c r="CB7" s="164"/>
      <c r="CC7" s="164"/>
      <c r="CD7" s="164"/>
      <c r="CE7" s="164"/>
      <c r="CF7" s="164"/>
      <c r="CG7" s="164"/>
      <c r="CH7" s="164"/>
      <c r="CI7" s="164"/>
      <c r="CJ7" s="164"/>
      <c r="CK7" s="164"/>
      <c r="CL7" s="164"/>
      <c r="CM7" s="164"/>
      <c r="CN7" s="164"/>
      <c r="CO7" s="164"/>
      <c r="CP7" s="164"/>
      <c r="CQ7" s="164"/>
      <c r="CR7" s="164"/>
      <c r="CS7" s="164"/>
      <c r="CT7" s="164"/>
      <c r="CU7" s="164"/>
      <c r="CV7" s="164"/>
      <c r="CW7" s="164"/>
      <c r="CX7" s="164"/>
      <c r="CY7" s="164"/>
      <c r="CZ7" s="164"/>
      <c r="DA7" s="164"/>
      <c r="DB7" s="164"/>
      <c r="DC7" s="164"/>
      <c r="DD7" s="164"/>
      <c r="DE7" s="164"/>
      <c r="DF7" s="164"/>
      <c r="DG7" s="164"/>
      <c r="DH7" s="164"/>
      <c r="DI7" s="164"/>
      <c r="DJ7" s="164"/>
      <c r="DK7" s="164"/>
      <c r="DL7" s="433"/>
    </row>
    <row r="8" spans="1:116">
      <c r="A8" s="572">
        <v>1</v>
      </c>
      <c r="B8" s="162">
        <v>0.125</v>
      </c>
      <c r="C8" s="163">
        <v>0.22714359413806567</v>
      </c>
      <c r="D8" s="163">
        <v>635.89624495040857</v>
      </c>
      <c r="E8" s="164">
        <v>0.92549999999999999</v>
      </c>
      <c r="F8" s="164">
        <v>0.92549999999999999</v>
      </c>
      <c r="G8" s="163">
        <v>2</v>
      </c>
      <c r="H8" s="163">
        <v>3.333333333333333</v>
      </c>
      <c r="I8" s="163">
        <v>1.333333333333333</v>
      </c>
      <c r="J8" s="163">
        <v>1</v>
      </c>
      <c r="K8" s="163">
        <v>1.5494736842105263</v>
      </c>
      <c r="L8" s="163">
        <v>0.54947368421052634</v>
      </c>
      <c r="M8" s="163">
        <v>2</v>
      </c>
      <c r="N8" s="163">
        <v>2.9824561403508771</v>
      </c>
      <c r="O8" s="163">
        <v>0.98245614035087714</v>
      </c>
      <c r="P8" s="163"/>
      <c r="Q8" s="163">
        <v>2</v>
      </c>
      <c r="R8" s="163">
        <v>0</v>
      </c>
      <c r="S8" s="163">
        <v>0</v>
      </c>
      <c r="T8" s="163">
        <v>0</v>
      </c>
      <c r="U8" s="163">
        <v>0</v>
      </c>
      <c r="V8" s="163">
        <v>0</v>
      </c>
      <c r="W8" s="163">
        <v>0</v>
      </c>
      <c r="X8" s="163">
        <v>0</v>
      </c>
      <c r="Y8" s="163">
        <v>2</v>
      </c>
      <c r="Z8" s="163">
        <v>2</v>
      </c>
      <c r="AA8" s="163">
        <v>0</v>
      </c>
      <c r="AB8" s="163">
        <v>0</v>
      </c>
      <c r="AC8" s="163">
        <v>2</v>
      </c>
      <c r="AD8" s="163">
        <v>0</v>
      </c>
      <c r="AE8" s="165">
        <v>5.178810788348763E-2</v>
      </c>
      <c r="AF8" s="166">
        <v>5.178810788348763E-2</v>
      </c>
      <c r="AH8" s="152">
        <f>CONFIG!B11</f>
        <v>46240</v>
      </c>
      <c r="AI8" s="138" t="str">
        <f>CONFIG!C11</f>
        <v>qui</v>
      </c>
      <c r="AJ8" s="138">
        <f>CONFIG!D11</f>
        <v>18</v>
      </c>
      <c r="AK8" s="153">
        <f t="shared" si="0"/>
        <v>3.6417774111342886E-2</v>
      </c>
      <c r="AL8" s="139">
        <f>CONFIG!E11</f>
        <v>488.93661671929232</v>
      </c>
      <c r="AM8" s="139">
        <f>CONFIG!F11</f>
        <v>754.72567790748269</v>
      </c>
      <c r="AN8" s="139">
        <f t="shared" si="1"/>
        <v>6150.216991787649</v>
      </c>
      <c r="AO8" s="139">
        <v>26.145339652448655</v>
      </c>
      <c r="AP8" s="139">
        <v>31.674565560821481</v>
      </c>
      <c r="AQ8" s="139">
        <v>34.10526315789474</v>
      </c>
      <c r="AR8" s="139">
        <v>41.026315789473685</v>
      </c>
      <c r="AS8" s="139">
        <v>6.9210526315789451</v>
      </c>
      <c r="AT8" s="139">
        <v>0</v>
      </c>
      <c r="AU8" s="139">
        <v>0</v>
      </c>
      <c r="AV8" s="139">
        <v>32</v>
      </c>
      <c r="AW8" s="139">
        <v>7</v>
      </c>
      <c r="AX8" s="139">
        <v>0</v>
      </c>
      <c r="AY8" s="305">
        <v>0.93719227031144847</v>
      </c>
      <c r="AZ8" s="305">
        <v>0.93719227031144847</v>
      </c>
      <c r="BA8" s="139">
        <v>19</v>
      </c>
      <c r="BB8" s="139">
        <v>19</v>
      </c>
      <c r="BC8" s="305">
        <v>0.58215408110526146</v>
      </c>
      <c r="BD8" s="305">
        <v>0.48394591989250729</v>
      </c>
      <c r="BF8" s="297">
        <f>CONFIG!O11</f>
        <v>0</v>
      </c>
      <c r="BG8" s="298">
        <f>CONFIG!P11</f>
        <v>0</v>
      </c>
      <c r="BH8" s="298">
        <f>CONFIG!Q11</f>
        <v>8.2051282051282051E-2</v>
      </c>
      <c r="BI8" s="298">
        <f>CONFIG!R11</f>
        <v>0</v>
      </c>
      <c r="BJ8" s="298">
        <f>CONFIG!S11</f>
        <v>8.6369770580296892E-2</v>
      </c>
      <c r="BK8" s="298">
        <f>CONFIG!T11</f>
        <v>1.641025641025641E-2</v>
      </c>
      <c r="BL8" s="298">
        <f>CONFIG!U11</f>
        <v>0</v>
      </c>
      <c r="BM8" s="298">
        <f>CONFIG!V11</f>
        <v>0.18483130904183537</v>
      </c>
      <c r="BO8" s="299">
        <v>0.11545862732520847</v>
      </c>
      <c r="BQ8" s="432"/>
      <c r="BR8" s="164"/>
      <c r="BS8" s="164"/>
      <c r="BT8" s="164"/>
      <c r="BU8" s="164"/>
      <c r="BV8" s="164"/>
      <c r="BW8" s="164"/>
      <c r="BX8" s="164"/>
      <c r="BY8" s="164"/>
      <c r="BZ8" s="164"/>
      <c r="CA8" s="164"/>
      <c r="CB8" s="164"/>
      <c r="CC8" s="164"/>
      <c r="CD8" s="164"/>
      <c r="CE8" s="164"/>
      <c r="CF8" s="164"/>
      <c r="CG8" s="164"/>
      <c r="CH8" s="164"/>
      <c r="CI8" s="164"/>
      <c r="CJ8" s="164"/>
      <c r="CK8" s="164"/>
      <c r="CL8" s="164"/>
      <c r="CM8" s="164"/>
      <c r="CN8" s="164"/>
      <c r="CO8" s="164"/>
      <c r="CP8" s="164"/>
      <c r="CQ8" s="164"/>
      <c r="CR8" s="164"/>
      <c r="CS8" s="164"/>
      <c r="CT8" s="164"/>
      <c r="CU8" s="164"/>
      <c r="CV8" s="164"/>
      <c r="CW8" s="164"/>
      <c r="CX8" s="164"/>
      <c r="CY8" s="164"/>
      <c r="CZ8" s="164"/>
      <c r="DA8" s="164"/>
      <c r="DB8" s="164"/>
      <c r="DC8" s="164"/>
      <c r="DD8" s="164"/>
      <c r="DE8" s="164"/>
      <c r="DF8" s="164"/>
      <c r="DG8" s="164"/>
      <c r="DH8" s="164"/>
      <c r="DI8" s="164"/>
      <c r="DJ8" s="164"/>
      <c r="DK8" s="164"/>
      <c r="DL8" s="433"/>
    </row>
    <row r="9" spans="1:116">
      <c r="A9" s="572">
        <v>1</v>
      </c>
      <c r="B9" s="162">
        <v>0.14583333333333334</v>
      </c>
      <c r="C9" s="163">
        <v>0.17966910412393328</v>
      </c>
      <c r="D9" s="163">
        <v>664.6096557559182</v>
      </c>
      <c r="E9" s="164">
        <v>0.93800000000000006</v>
      </c>
      <c r="F9" s="164">
        <v>0.93800000000000006</v>
      </c>
      <c r="G9" s="163">
        <v>2</v>
      </c>
      <c r="H9" s="163">
        <v>3.333333333333333</v>
      </c>
      <c r="I9" s="163">
        <v>1.333333333333333</v>
      </c>
      <c r="J9" s="163">
        <v>1</v>
      </c>
      <c r="K9" s="163">
        <v>1.5494736842105263</v>
      </c>
      <c r="L9" s="163">
        <v>0.54947368421052634</v>
      </c>
      <c r="M9" s="163">
        <v>2</v>
      </c>
      <c r="N9" s="163">
        <v>2.9824561403508771</v>
      </c>
      <c r="O9" s="163">
        <v>0.98245614035087714</v>
      </c>
      <c r="P9" s="163"/>
      <c r="Q9" s="163">
        <v>2</v>
      </c>
      <c r="R9" s="163">
        <v>0</v>
      </c>
      <c r="S9" s="163">
        <v>0</v>
      </c>
      <c r="T9" s="163">
        <v>0</v>
      </c>
      <c r="U9" s="163">
        <v>0</v>
      </c>
      <c r="V9" s="163">
        <v>0</v>
      </c>
      <c r="W9" s="163">
        <v>0</v>
      </c>
      <c r="X9" s="163">
        <v>0</v>
      </c>
      <c r="Y9" s="163">
        <v>2</v>
      </c>
      <c r="Z9" s="163">
        <v>2</v>
      </c>
      <c r="AA9" s="163">
        <v>0</v>
      </c>
      <c r="AB9" s="163">
        <v>0</v>
      </c>
      <c r="AC9" s="163">
        <v>2</v>
      </c>
      <c r="AD9" s="163">
        <v>0</v>
      </c>
      <c r="AE9" s="165">
        <v>4.2813756933005896E-2</v>
      </c>
      <c r="AF9" s="166">
        <v>4.2813756933005896E-2</v>
      </c>
      <c r="AH9" s="152">
        <f>CONFIG!B12</f>
        <v>46241</v>
      </c>
      <c r="AI9" s="138" t="str">
        <f>CONFIG!C12</f>
        <v>sex</v>
      </c>
      <c r="AJ9" s="138">
        <f>CONFIG!D12</f>
        <v>15</v>
      </c>
      <c r="AK9" s="153">
        <f t="shared" si="0"/>
        <v>3.9614035749402157E-2</v>
      </c>
      <c r="AL9" s="139">
        <f>CONFIG!E12</f>
        <v>512.24330766054254</v>
      </c>
      <c r="AM9" s="139">
        <f>CONFIG!F12</f>
        <v>783.61201696091393</v>
      </c>
      <c r="AN9" s="139">
        <f t="shared" si="1"/>
        <v>6690.0001915101284</v>
      </c>
      <c r="AO9" s="139">
        <v>27.804107424960506</v>
      </c>
      <c r="AP9" s="139">
        <v>33.412322274881518</v>
      </c>
      <c r="AQ9" s="139">
        <v>35.921052631578945</v>
      </c>
      <c r="AR9" s="139">
        <v>41.026315789473685</v>
      </c>
      <c r="AS9" s="139">
        <v>5.1052631578947398</v>
      </c>
      <c r="AT9" s="139">
        <v>0</v>
      </c>
      <c r="AU9" s="139">
        <v>0</v>
      </c>
      <c r="AV9" s="139">
        <v>32</v>
      </c>
      <c r="AW9" s="139">
        <v>7</v>
      </c>
      <c r="AX9" s="139">
        <v>0</v>
      </c>
      <c r="AY9" s="305">
        <v>0.90192988138690544</v>
      </c>
      <c r="AZ9" s="305">
        <v>0.90192988138690544</v>
      </c>
      <c r="BA9" s="139">
        <v>19</v>
      </c>
      <c r="BB9" s="139">
        <v>19</v>
      </c>
      <c r="BC9" s="305">
        <v>0.60123739978758528</v>
      </c>
      <c r="BD9" s="305">
        <v>0.52642017364339566</v>
      </c>
      <c r="BF9" s="297">
        <f>CONFIG!O12</f>
        <v>0</v>
      </c>
      <c r="BG9" s="298">
        <f>CONFIG!P12</f>
        <v>0</v>
      </c>
      <c r="BH9" s="298">
        <f>CONFIG!Q12</f>
        <v>8.2051282051282051E-2</v>
      </c>
      <c r="BI9" s="298">
        <f>CONFIG!R12</f>
        <v>0</v>
      </c>
      <c r="BJ9" s="298">
        <f>CONFIG!S12</f>
        <v>8.6369770580296892E-2</v>
      </c>
      <c r="BK9" s="298">
        <f>CONFIG!T12</f>
        <v>1.641025641025641E-2</v>
      </c>
      <c r="BL9" s="298">
        <f>CONFIG!U12</f>
        <v>0</v>
      </c>
      <c r="BM9" s="298">
        <f>CONFIG!V12</f>
        <v>0.18483130904183537</v>
      </c>
      <c r="BO9" s="299">
        <v>0.11545862732520847</v>
      </c>
      <c r="BQ9" s="432"/>
      <c r="BR9" s="164"/>
      <c r="BS9" s="164"/>
      <c r="BT9" s="164"/>
      <c r="BU9" s="164"/>
      <c r="BV9" s="164"/>
      <c r="BW9" s="164"/>
      <c r="BX9" s="164"/>
      <c r="BY9" s="164"/>
      <c r="BZ9" s="164"/>
      <c r="CA9" s="164"/>
      <c r="CB9" s="164"/>
      <c r="CC9" s="164"/>
      <c r="CD9" s="164"/>
      <c r="CE9" s="164"/>
      <c r="CF9" s="164"/>
      <c r="CG9" s="164"/>
      <c r="CH9" s="164"/>
      <c r="CI9" s="164"/>
      <c r="CJ9" s="164"/>
      <c r="CK9" s="164"/>
      <c r="CL9" s="164"/>
      <c r="CM9" s="164"/>
      <c r="CN9" s="164"/>
      <c r="CO9" s="164"/>
      <c r="CP9" s="164"/>
      <c r="CQ9" s="164"/>
      <c r="CR9" s="164"/>
      <c r="CS9" s="164"/>
      <c r="CT9" s="164"/>
      <c r="CU9" s="164"/>
      <c r="CV9" s="164"/>
      <c r="CW9" s="164"/>
      <c r="CX9" s="164"/>
      <c r="CY9" s="164"/>
      <c r="CZ9" s="164"/>
      <c r="DA9" s="164"/>
      <c r="DB9" s="164"/>
      <c r="DC9" s="164"/>
      <c r="DD9" s="164"/>
      <c r="DE9" s="164"/>
      <c r="DF9" s="164"/>
      <c r="DG9" s="164"/>
      <c r="DH9" s="164"/>
      <c r="DI9" s="164"/>
      <c r="DJ9" s="164"/>
      <c r="DK9" s="164"/>
      <c r="DL9" s="433"/>
    </row>
    <row r="10" spans="1:116">
      <c r="A10" s="572">
        <v>1</v>
      </c>
      <c r="B10" s="162">
        <v>0.16666666666666666</v>
      </c>
      <c r="C10" s="163">
        <v>0.21203901411527593</v>
      </c>
      <c r="D10" s="163">
        <v>626.85162760399294</v>
      </c>
      <c r="E10" s="164">
        <v>0.93129999999999991</v>
      </c>
      <c r="F10" s="164">
        <v>0.93129999999999991</v>
      </c>
      <c r="G10" s="163">
        <v>2</v>
      </c>
      <c r="H10" s="163">
        <v>3.333333333333333</v>
      </c>
      <c r="I10" s="163">
        <v>1.333333333333333</v>
      </c>
      <c r="J10" s="163">
        <v>1</v>
      </c>
      <c r="K10" s="163">
        <v>1.5494736842105263</v>
      </c>
      <c r="L10" s="163">
        <v>0.54947368421052634</v>
      </c>
      <c r="M10" s="163">
        <v>2</v>
      </c>
      <c r="N10" s="163">
        <v>2.9824561403508771</v>
      </c>
      <c r="O10" s="163">
        <v>0.98245614035087714</v>
      </c>
      <c r="P10" s="163"/>
      <c r="Q10" s="163">
        <v>2</v>
      </c>
      <c r="R10" s="163">
        <v>0</v>
      </c>
      <c r="S10" s="163">
        <v>0</v>
      </c>
      <c r="T10" s="163">
        <v>0</v>
      </c>
      <c r="U10" s="163">
        <v>0</v>
      </c>
      <c r="V10" s="163">
        <v>0</v>
      </c>
      <c r="W10" s="163">
        <v>0</v>
      </c>
      <c r="X10" s="163">
        <v>0</v>
      </c>
      <c r="Y10" s="163">
        <v>2</v>
      </c>
      <c r="Z10" s="163">
        <v>2</v>
      </c>
      <c r="AA10" s="163">
        <v>0</v>
      </c>
      <c r="AB10" s="163">
        <v>0</v>
      </c>
      <c r="AC10" s="163">
        <v>2</v>
      </c>
      <c r="AD10" s="163">
        <v>0</v>
      </c>
      <c r="AE10" s="165">
        <v>4.7656684427091409E-2</v>
      </c>
      <c r="AF10" s="166">
        <v>4.7656684427091409E-2</v>
      </c>
      <c r="AH10" s="152">
        <f>CONFIG!B13</f>
        <v>46242</v>
      </c>
      <c r="AI10" s="138" t="str">
        <f>CONFIG!C13</f>
        <v>sáb</v>
      </c>
      <c r="AJ10" s="138">
        <f>CONFIG!D13</f>
        <v>23</v>
      </c>
      <c r="AK10" s="153">
        <f t="shared" si="0"/>
        <v>1.251848448113633E-2</v>
      </c>
      <c r="AL10" s="139">
        <f>CONFIG!E13</f>
        <v>167.63446188682519</v>
      </c>
      <c r="AM10" s="139">
        <f>CONFIG!F13</f>
        <v>756.68781756368185</v>
      </c>
      <c r="AN10" s="139">
        <f t="shared" si="1"/>
        <v>2114.1159185600659</v>
      </c>
      <c r="AO10" s="139">
        <v>13.033175355450238</v>
      </c>
      <c r="AP10" s="139">
        <v>16.824644549763033</v>
      </c>
      <c r="AQ10" s="139">
        <v>18.868421052631579</v>
      </c>
      <c r="AR10" s="139">
        <v>18</v>
      </c>
      <c r="AS10" s="139">
        <v>-0.86842105263157876</v>
      </c>
      <c r="AT10" s="139">
        <v>0</v>
      </c>
      <c r="AU10" s="139">
        <v>0</v>
      </c>
      <c r="AV10" s="139">
        <v>18</v>
      </c>
      <c r="AW10" s="139">
        <v>0</v>
      </c>
      <c r="AX10" s="139">
        <v>0</v>
      </c>
      <c r="AY10" s="304">
        <v>0.81109751609715353</v>
      </c>
      <c r="AZ10" s="305">
        <v>0.81109751609715353</v>
      </c>
      <c r="BA10" s="139">
        <v>8</v>
      </c>
      <c r="BB10" s="139">
        <v>8</v>
      </c>
      <c r="BC10" s="305">
        <v>0.38058829866140231</v>
      </c>
      <c r="BD10" s="305">
        <v>0.39895001482489101</v>
      </c>
      <c r="BF10" s="297">
        <f>CONFIG!O13</f>
        <v>0</v>
      </c>
      <c r="BG10" s="298">
        <f>CONFIG!P13</f>
        <v>0</v>
      </c>
      <c r="BH10" s="298">
        <f>CONFIG!Q13</f>
        <v>8.2051282051282051E-2</v>
      </c>
      <c r="BI10" s="298">
        <f>CONFIG!R13</f>
        <v>0</v>
      </c>
      <c r="BJ10" s="298">
        <f>CONFIG!S13</f>
        <v>8.6369770580296892E-2</v>
      </c>
      <c r="BK10" s="298">
        <f>CONFIG!T13</f>
        <v>1.641025641025641E-2</v>
      </c>
      <c r="BL10" s="298">
        <f>CONFIG!U13</f>
        <v>0</v>
      </c>
      <c r="BM10" s="298">
        <f>CONFIG!V13</f>
        <v>0.18483130904183537</v>
      </c>
      <c r="BO10" s="299">
        <v>0.12573099415204678</v>
      </c>
      <c r="BQ10" s="432"/>
      <c r="BR10" s="164"/>
      <c r="BS10" s="164"/>
      <c r="BT10" s="164"/>
      <c r="BU10" s="164"/>
      <c r="BV10" s="164"/>
      <c r="BW10" s="164"/>
      <c r="BX10" s="164"/>
      <c r="BY10" s="164"/>
      <c r="BZ10" s="164"/>
      <c r="CA10" s="164"/>
      <c r="CB10" s="164"/>
      <c r="CC10" s="164"/>
      <c r="CD10" s="164"/>
      <c r="CE10" s="164"/>
      <c r="CF10" s="164"/>
      <c r="CG10" s="164"/>
      <c r="CH10" s="164"/>
      <c r="CI10" s="164"/>
      <c r="CJ10" s="164"/>
      <c r="CK10" s="164"/>
      <c r="CL10" s="164"/>
      <c r="CM10" s="164"/>
      <c r="CN10" s="164"/>
      <c r="CO10" s="164"/>
      <c r="CP10" s="164"/>
      <c r="CQ10" s="164"/>
      <c r="CR10" s="164"/>
      <c r="CS10" s="164"/>
      <c r="CT10" s="164"/>
      <c r="CU10" s="164"/>
      <c r="CV10" s="164"/>
      <c r="CW10" s="164"/>
      <c r="CX10" s="164"/>
      <c r="CY10" s="164"/>
      <c r="CZ10" s="164"/>
      <c r="DA10" s="164"/>
      <c r="DB10" s="164"/>
      <c r="DC10" s="164"/>
      <c r="DD10" s="164"/>
      <c r="DE10" s="164"/>
      <c r="DF10" s="164"/>
      <c r="DG10" s="164"/>
      <c r="DH10" s="164"/>
      <c r="DI10" s="164"/>
      <c r="DJ10" s="164"/>
      <c r="DK10" s="164"/>
      <c r="DL10" s="433"/>
    </row>
    <row r="11" spans="1:116">
      <c r="A11" s="572">
        <v>1</v>
      </c>
      <c r="B11" s="162">
        <v>0.1875</v>
      </c>
      <c r="C11" s="163">
        <v>0.31816681388315166</v>
      </c>
      <c r="D11" s="163">
        <v>610.69536175591657</v>
      </c>
      <c r="E11" s="164">
        <v>0.90079999999999993</v>
      </c>
      <c r="F11" s="164">
        <v>0.90079999999999993</v>
      </c>
      <c r="G11" s="163">
        <v>2</v>
      </c>
      <c r="H11" s="163">
        <v>3.333333333333333</v>
      </c>
      <c r="I11" s="163">
        <v>1.333333333333333</v>
      </c>
      <c r="J11" s="163">
        <v>1</v>
      </c>
      <c r="K11" s="163">
        <v>1.5494736842105263</v>
      </c>
      <c r="L11" s="163">
        <v>0.54947368421052634</v>
      </c>
      <c r="M11" s="163">
        <v>2</v>
      </c>
      <c r="N11" s="163">
        <v>2.9824561403508771</v>
      </c>
      <c r="O11" s="163">
        <v>0.98245614035087714</v>
      </c>
      <c r="P11" s="163"/>
      <c r="Q11" s="163">
        <v>2</v>
      </c>
      <c r="R11" s="163">
        <v>0</v>
      </c>
      <c r="S11" s="163">
        <v>0</v>
      </c>
      <c r="T11" s="163">
        <v>0</v>
      </c>
      <c r="U11" s="163">
        <v>0</v>
      </c>
      <c r="V11" s="163">
        <v>0</v>
      </c>
      <c r="W11" s="163">
        <v>0</v>
      </c>
      <c r="X11" s="163">
        <v>0</v>
      </c>
      <c r="Y11" s="163">
        <v>2</v>
      </c>
      <c r="Z11" s="163">
        <v>2</v>
      </c>
      <c r="AA11" s="163">
        <v>0</v>
      </c>
      <c r="AB11" s="163">
        <v>0</v>
      </c>
      <c r="AC11" s="163">
        <v>2</v>
      </c>
      <c r="AD11" s="163">
        <v>0</v>
      </c>
      <c r="AE11" s="165">
        <v>6.9666307226729979E-2</v>
      </c>
      <c r="AF11" s="166">
        <v>6.9666307226729979E-2</v>
      </c>
      <c r="AH11" s="152">
        <f>CONFIG!B14</f>
        <v>46243</v>
      </c>
      <c r="AI11" s="138" t="str">
        <f>CONFIG!C14</f>
        <v>dom</v>
      </c>
      <c r="AJ11" s="138">
        <f>CONFIG!D14</f>
        <v>28</v>
      </c>
      <c r="AK11" s="153">
        <f t="shared" si="0"/>
        <v>9.034538496983064E-3</v>
      </c>
      <c r="AL11" s="139">
        <f>CONFIG!E14</f>
        <v>122.02392117529872</v>
      </c>
      <c r="AM11" s="139">
        <f>CONFIG!F14</f>
        <v>750.22112239831574</v>
      </c>
      <c r="AN11" s="139">
        <f t="shared" si="1"/>
        <v>1525.748718392937</v>
      </c>
      <c r="AO11" s="139">
        <v>10.584518167456556</v>
      </c>
      <c r="AP11" s="139">
        <v>14.375987361769353</v>
      </c>
      <c r="AQ11" s="139">
        <v>15.552631578947368</v>
      </c>
      <c r="AR11" s="139">
        <v>14</v>
      </c>
      <c r="AS11" s="139">
        <v>-1.5526315789473681</v>
      </c>
      <c r="AT11" s="139">
        <v>0</v>
      </c>
      <c r="AU11" s="139">
        <v>0</v>
      </c>
      <c r="AV11" s="139">
        <v>14</v>
      </c>
      <c r="AW11" s="139">
        <v>0</v>
      </c>
      <c r="AX11" s="139">
        <v>0</v>
      </c>
      <c r="AY11" s="305">
        <v>0.77043232755729252</v>
      </c>
      <c r="AZ11" s="305">
        <v>0.77043232755729252</v>
      </c>
      <c r="BA11" s="139">
        <v>6</v>
      </c>
      <c r="BB11" s="139">
        <v>6</v>
      </c>
      <c r="BC11" s="305">
        <v>0.33322787520996311</v>
      </c>
      <c r="BD11" s="305">
        <v>0.3701835982125718</v>
      </c>
      <c r="BF11" s="297">
        <f>CONFIG!O14</f>
        <v>0</v>
      </c>
      <c r="BG11" s="298">
        <f>CONFIG!P14</f>
        <v>0</v>
      </c>
      <c r="BH11" s="298">
        <f>CONFIG!Q14</f>
        <v>8.2051282051282051E-2</v>
      </c>
      <c r="BI11" s="298">
        <f>CONFIG!R14</f>
        <v>0</v>
      </c>
      <c r="BJ11" s="298">
        <f>CONFIG!S14</f>
        <v>8.6369770580296892E-2</v>
      </c>
      <c r="BK11" s="298">
        <f>CONFIG!T14</f>
        <v>1.641025641025641E-2</v>
      </c>
      <c r="BL11" s="298">
        <f>CONFIG!U14</f>
        <v>0</v>
      </c>
      <c r="BM11" s="298">
        <f>CONFIG!V14</f>
        <v>0.18483130904183537</v>
      </c>
      <c r="BO11" s="299">
        <v>0.15789473684210525</v>
      </c>
      <c r="BQ11" s="432"/>
      <c r="BR11" s="164"/>
      <c r="BS11" s="164"/>
      <c r="BT11" s="164"/>
      <c r="BU11" s="164"/>
      <c r="BV11" s="164"/>
      <c r="BW11" s="164"/>
      <c r="BX11" s="164"/>
      <c r="BY11" s="164"/>
      <c r="BZ11" s="164"/>
      <c r="CA11" s="164"/>
      <c r="CB11" s="164"/>
      <c r="CC11" s="164"/>
      <c r="CD11" s="164"/>
      <c r="CE11" s="164"/>
      <c r="CF11" s="164"/>
      <c r="CG11" s="164"/>
      <c r="CH11" s="164"/>
      <c r="CI11" s="164"/>
      <c r="CJ11" s="164"/>
      <c r="CK11" s="164"/>
      <c r="CL11" s="164"/>
      <c r="CM11" s="164"/>
      <c r="CN11" s="164"/>
      <c r="CO11" s="164"/>
      <c r="CP11" s="164"/>
      <c r="CQ11" s="164"/>
      <c r="CR11" s="164"/>
      <c r="CS11" s="164"/>
      <c r="CT11" s="164"/>
      <c r="CU11" s="164"/>
      <c r="CV11" s="164"/>
      <c r="CW11" s="164"/>
      <c r="CX11" s="164"/>
      <c r="CY11" s="164"/>
      <c r="CZ11" s="164"/>
      <c r="DA11" s="164"/>
      <c r="DB11" s="164"/>
      <c r="DC11" s="164"/>
      <c r="DD11" s="164"/>
      <c r="DE11" s="164"/>
      <c r="DF11" s="164"/>
      <c r="DG11" s="164"/>
      <c r="DH11" s="164"/>
      <c r="DI11" s="164"/>
      <c r="DJ11" s="164"/>
      <c r="DK11" s="164"/>
      <c r="DL11" s="433"/>
    </row>
    <row r="12" spans="1:116">
      <c r="A12" s="572">
        <v>1</v>
      </c>
      <c r="B12" s="162">
        <v>0.20833333333333334</v>
      </c>
      <c r="C12" s="163">
        <v>0.58409425850171059</v>
      </c>
      <c r="D12" s="163">
        <v>660.56123064585699</v>
      </c>
      <c r="E12" s="164">
        <v>0.80869999999999997</v>
      </c>
      <c r="F12" s="164">
        <v>0.80869999999999997</v>
      </c>
      <c r="G12" s="163">
        <v>3</v>
      </c>
      <c r="H12" s="163">
        <v>3.333333333333333</v>
      </c>
      <c r="I12" s="163">
        <v>0.33333333333333304</v>
      </c>
      <c r="J12" s="163">
        <v>2</v>
      </c>
      <c r="K12" s="163">
        <v>2.3242105263157895</v>
      </c>
      <c r="L12" s="163">
        <v>0.3242105263157895</v>
      </c>
      <c r="M12" s="163">
        <v>3</v>
      </c>
      <c r="N12" s="163">
        <v>2.9824561403508771</v>
      </c>
      <c r="O12" s="163">
        <v>-1.7543859649122862E-2</v>
      </c>
      <c r="P12" s="163"/>
      <c r="Q12" s="163">
        <v>2</v>
      </c>
      <c r="R12" s="163">
        <v>0</v>
      </c>
      <c r="S12" s="163">
        <v>0</v>
      </c>
      <c r="T12" s="163">
        <v>0</v>
      </c>
      <c r="U12" s="163">
        <v>0</v>
      </c>
      <c r="V12" s="163">
        <v>0</v>
      </c>
      <c r="W12" s="163">
        <v>0</v>
      </c>
      <c r="X12" s="163">
        <v>0</v>
      </c>
      <c r="Y12" s="163">
        <v>2</v>
      </c>
      <c r="Z12" s="163">
        <v>2</v>
      </c>
      <c r="AA12" s="163">
        <v>0</v>
      </c>
      <c r="AB12" s="163">
        <v>0</v>
      </c>
      <c r="AC12" s="163">
        <v>2</v>
      </c>
      <c r="AD12" s="163">
        <v>0</v>
      </c>
      <c r="AE12" s="165">
        <v>0.13833730415859594</v>
      </c>
      <c r="AF12" s="166">
        <v>9.2224869439063967E-2</v>
      </c>
      <c r="AH12" s="152">
        <f>CONFIG!B15</f>
        <v>46244</v>
      </c>
      <c r="AI12" s="138" t="str">
        <f>CONFIG!C15</f>
        <v>seg</v>
      </c>
      <c r="AJ12" s="138">
        <f>CONFIG!D15</f>
        <v>1</v>
      </c>
      <c r="AK12" s="153">
        <f t="shared" si="0"/>
        <v>5.1484227528032951E-2</v>
      </c>
      <c r="AL12" s="139">
        <f>CONFIG!E15</f>
        <v>634.2256436951435</v>
      </c>
      <c r="AM12" s="139">
        <f>CONFIG!F15</f>
        <v>822.54315846666714</v>
      </c>
      <c r="AN12" s="139">
        <f t="shared" si="1"/>
        <v>8694.6327357593073</v>
      </c>
      <c r="AO12" s="139">
        <v>34.360189573459714</v>
      </c>
      <c r="AP12" s="139">
        <v>40.521327014218009</v>
      </c>
      <c r="AQ12" s="139">
        <v>44.210526315789473</v>
      </c>
      <c r="AR12" s="139">
        <v>41.026315789473685</v>
      </c>
      <c r="AS12" s="139">
        <v>-3.1842105263157876</v>
      </c>
      <c r="AT12" s="139">
        <v>0</v>
      </c>
      <c r="AU12" s="139">
        <v>0</v>
      </c>
      <c r="AV12" s="139">
        <v>32</v>
      </c>
      <c r="AW12" s="139">
        <v>7</v>
      </c>
      <c r="AX12" s="139">
        <v>0</v>
      </c>
      <c r="AY12" s="305">
        <v>0.63059663601532756</v>
      </c>
      <c r="AZ12" s="305">
        <v>0.63059663601532756</v>
      </c>
      <c r="BA12" s="139">
        <v>19</v>
      </c>
      <c r="BB12" s="139">
        <v>19</v>
      </c>
      <c r="BC12" s="305">
        <v>0.63488412715470166</v>
      </c>
      <c r="BD12" s="305">
        <v>0.68415993176388623</v>
      </c>
      <c r="BF12" s="297">
        <f>CONFIG!O15</f>
        <v>0</v>
      </c>
      <c r="BG12" s="298">
        <f>CONFIG!P15</f>
        <v>0</v>
      </c>
      <c r="BH12" s="298">
        <f>CONFIG!Q15</f>
        <v>8.2051282051282051E-2</v>
      </c>
      <c r="BI12" s="298">
        <f>CONFIG!R15</f>
        <v>0</v>
      </c>
      <c r="BJ12" s="298">
        <f>CONFIG!S15</f>
        <v>8.6369770580296892E-2</v>
      </c>
      <c r="BK12" s="298">
        <f>CONFIG!T15</f>
        <v>1.641025641025641E-2</v>
      </c>
      <c r="BL12" s="298">
        <f>CONFIG!U15</f>
        <v>0</v>
      </c>
      <c r="BM12" s="298">
        <f>CONFIG!V15</f>
        <v>0.18483130904183537</v>
      </c>
      <c r="BO12" s="299">
        <v>0.11545862732520847</v>
      </c>
      <c r="BQ12" s="432"/>
      <c r="BR12" s="164"/>
      <c r="BS12" s="164"/>
      <c r="BT12" s="164"/>
      <c r="BU12" s="164"/>
      <c r="BV12" s="164"/>
      <c r="BW12" s="164"/>
      <c r="BX12" s="164"/>
      <c r="BY12" s="164"/>
      <c r="BZ12" s="164"/>
      <c r="CA12" s="164"/>
      <c r="CB12" s="164"/>
      <c r="CC12" s="164"/>
      <c r="CD12" s="164"/>
      <c r="CE12" s="164"/>
      <c r="CF12" s="164"/>
      <c r="CG12" s="164"/>
      <c r="CH12" s="164"/>
      <c r="CI12" s="164"/>
      <c r="CJ12" s="164"/>
      <c r="CK12" s="164"/>
      <c r="CL12" s="164"/>
      <c r="CM12" s="164"/>
      <c r="CN12" s="164"/>
      <c r="CO12" s="164"/>
      <c r="CP12" s="164"/>
      <c r="CQ12" s="164"/>
      <c r="CR12" s="164"/>
      <c r="CS12" s="164"/>
      <c r="CT12" s="164"/>
      <c r="CU12" s="164"/>
      <c r="CV12" s="164"/>
      <c r="CW12" s="164"/>
      <c r="CX12" s="164"/>
      <c r="CY12" s="164"/>
      <c r="CZ12" s="164"/>
      <c r="DA12" s="164"/>
      <c r="DB12" s="164"/>
      <c r="DC12" s="164"/>
      <c r="DD12" s="164"/>
      <c r="DE12" s="164"/>
      <c r="DF12" s="164"/>
      <c r="DG12" s="164"/>
      <c r="DH12" s="164"/>
      <c r="DI12" s="164"/>
      <c r="DJ12" s="164"/>
      <c r="DK12" s="164"/>
      <c r="DL12" s="433"/>
    </row>
    <row r="13" spans="1:116">
      <c r="A13" s="572">
        <v>1</v>
      </c>
      <c r="B13" s="162">
        <v>0.22916666666666666</v>
      </c>
      <c r="C13" s="163">
        <v>1.0107951316532611</v>
      </c>
      <c r="D13" s="163">
        <v>682.10004674554023</v>
      </c>
      <c r="E13" s="164">
        <v>0.67410000000000003</v>
      </c>
      <c r="F13" s="164">
        <v>0.67410000000000003</v>
      </c>
      <c r="G13" s="163">
        <v>3</v>
      </c>
      <c r="H13" s="163">
        <v>3.333333333333333</v>
      </c>
      <c r="I13" s="163">
        <v>0.33333333333333304</v>
      </c>
      <c r="J13" s="163">
        <v>2</v>
      </c>
      <c r="K13" s="163">
        <v>2.3242105263157895</v>
      </c>
      <c r="L13" s="163">
        <v>0.3242105263157895</v>
      </c>
      <c r="M13" s="163">
        <v>3</v>
      </c>
      <c r="N13" s="163">
        <v>2.9824561403508771</v>
      </c>
      <c r="O13" s="163">
        <v>-1.7543859649122862E-2</v>
      </c>
      <c r="P13" s="163"/>
      <c r="Q13" s="163">
        <v>2</v>
      </c>
      <c r="R13" s="163">
        <v>0</v>
      </c>
      <c r="S13" s="163">
        <v>0</v>
      </c>
      <c r="T13" s="163">
        <v>0</v>
      </c>
      <c r="U13" s="163">
        <v>0</v>
      </c>
      <c r="V13" s="163">
        <v>0</v>
      </c>
      <c r="W13" s="163">
        <v>0</v>
      </c>
      <c r="X13" s="163">
        <v>0</v>
      </c>
      <c r="Y13" s="163">
        <v>2</v>
      </c>
      <c r="Z13" s="163">
        <v>2</v>
      </c>
      <c r="AA13" s="163">
        <v>0</v>
      </c>
      <c r="AB13" s="163">
        <v>0</v>
      </c>
      <c r="AC13" s="163">
        <v>2</v>
      </c>
      <c r="AD13" s="163">
        <v>0</v>
      </c>
      <c r="AE13" s="165">
        <v>0.24720344060360472</v>
      </c>
      <c r="AF13" s="166">
        <v>0.16480229373573649</v>
      </c>
      <c r="AH13" s="152">
        <f>CONFIG!B16</f>
        <v>46245</v>
      </c>
      <c r="AI13" s="138" t="str">
        <f>CONFIG!C16</f>
        <v>ter</v>
      </c>
      <c r="AJ13" s="138">
        <f>CONFIG!D16</f>
        <v>7</v>
      </c>
      <c r="AK13" s="153">
        <f t="shared" si="0"/>
        <v>4.6110491455004551E-2</v>
      </c>
      <c r="AL13" s="139">
        <f>CONFIG!E16</f>
        <v>575.74224749401139</v>
      </c>
      <c r="AM13" s="139">
        <f>CONFIG!F16</f>
        <v>811.52133815577804</v>
      </c>
      <c r="AN13" s="139">
        <f t="shared" si="1"/>
        <v>7787.1186519859211</v>
      </c>
      <c r="AO13" s="139">
        <v>31.437598736176934</v>
      </c>
      <c r="AP13" s="139">
        <v>37.203791469194314</v>
      </c>
      <c r="AQ13" s="139">
        <v>40.342105263157897</v>
      </c>
      <c r="AR13" s="139">
        <v>41.026315789473685</v>
      </c>
      <c r="AS13" s="139">
        <v>0.6842105263157876</v>
      </c>
      <c r="AT13" s="139">
        <v>0</v>
      </c>
      <c r="AU13" s="139">
        <v>0</v>
      </c>
      <c r="AV13" s="139">
        <v>32</v>
      </c>
      <c r="AW13" s="139">
        <v>7</v>
      </c>
      <c r="AX13" s="139">
        <v>0</v>
      </c>
      <c r="AY13" s="305">
        <v>0.78721552054208244</v>
      </c>
      <c r="AZ13" s="305">
        <v>0.78721552054208244</v>
      </c>
      <c r="BA13" s="139">
        <v>19</v>
      </c>
      <c r="BB13" s="139">
        <v>19</v>
      </c>
      <c r="BC13" s="305">
        <v>0.623142175703987</v>
      </c>
      <c r="BD13" s="305">
        <v>0.61274981100334325</v>
      </c>
      <c r="BF13" s="297">
        <f>CONFIG!O16</f>
        <v>0</v>
      </c>
      <c r="BG13" s="298">
        <f>CONFIG!P16</f>
        <v>0</v>
      </c>
      <c r="BH13" s="298">
        <f>CONFIG!Q16</f>
        <v>8.2051282051282051E-2</v>
      </c>
      <c r="BI13" s="298">
        <f>CONFIG!R16</f>
        <v>0</v>
      </c>
      <c r="BJ13" s="298">
        <f>CONFIG!S16</f>
        <v>8.6369770580296892E-2</v>
      </c>
      <c r="BK13" s="298">
        <f>CONFIG!T16</f>
        <v>1.641025641025641E-2</v>
      </c>
      <c r="BL13" s="298">
        <f>CONFIG!U16</f>
        <v>0</v>
      </c>
      <c r="BM13" s="298">
        <f>CONFIG!V16</f>
        <v>0.18483130904183537</v>
      </c>
      <c r="BO13" s="299">
        <v>0.11545862732520847</v>
      </c>
      <c r="BQ13" s="432"/>
      <c r="BR13" s="164"/>
      <c r="BS13" s="164"/>
      <c r="BT13" s="164"/>
      <c r="BU13" s="164"/>
      <c r="BV13" s="164"/>
      <c r="BW13" s="164"/>
      <c r="BX13" s="164"/>
      <c r="BY13" s="164"/>
      <c r="BZ13" s="164"/>
      <c r="CA13" s="164"/>
      <c r="CB13" s="164"/>
      <c r="CC13" s="164"/>
      <c r="CD13" s="164"/>
      <c r="CE13" s="164"/>
      <c r="CF13" s="164"/>
      <c r="CG13" s="164"/>
      <c r="CH13" s="164"/>
      <c r="CI13" s="164"/>
      <c r="CJ13" s="164"/>
      <c r="CK13" s="164"/>
      <c r="CL13" s="164"/>
      <c r="CM13" s="164"/>
      <c r="CN13" s="164"/>
      <c r="CO13" s="164"/>
      <c r="CP13" s="164"/>
      <c r="CQ13" s="164"/>
      <c r="CR13" s="164"/>
      <c r="CS13" s="164"/>
      <c r="CT13" s="164"/>
      <c r="CU13" s="164"/>
      <c r="CV13" s="164"/>
      <c r="CW13" s="164"/>
      <c r="CX13" s="164"/>
      <c r="CY13" s="164"/>
      <c r="CZ13" s="164"/>
      <c r="DA13" s="164"/>
      <c r="DB13" s="164"/>
      <c r="DC13" s="164"/>
      <c r="DD13" s="164"/>
      <c r="DE13" s="164"/>
      <c r="DF13" s="164"/>
      <c r="DG13" s="164"/>
      <c r="DH13" s="164"/>
      <c r="DI13" s="164"/>
      <c r="DJ13" s="164"/>
      <c r="DK13" s="164"/>
      <c r="DL13" s="433"/>
    </row>
    <row r="14" spans="1:116">
      <c r="A14" s="572">
        <v>1</v>
      </c>
      <c r="B14" s="162">
        <v>0.25</v>
      </c>
      <c r="C14" s="163">
        <v>1.5250453507239712</v>
      </c>
      <c r="D14" s="163">
        <v>784.05695313184401</v>
      </c>
      <c r="E14" s="164">
        <v>0.47439999999999999</v>
      </c>
      <c r="F14" s="164">
        <v>0.47439999999999999</v>
      </c>
      <c r="G14" s="163">
        <v>3</v>
      </c>
      <c r="H14" s="163">
        <v>3.333333333333333</v>
      </c>
      <c r="I14" s="163">
        <v>0.33333333333333304</v>
      </c>
      <c r="J14" s="163">
        <v>2</v>
      </c>
      <c r="K14" s="163">
        <v>2.3242105263157895</v>
      </c>
      <c r="L14" s="163">
        <v>0.3242105263157895</v>
      </c>
      <c r="M14" s="163">
        <v>3</v>
      </c>
      <c r="N14" s="163">
        <v>2.9824561403508771</v>
      </c>
      <c r="O14" s="163">
        <v>-1.7543859649122862E-2</v>
      </c>
      <c r="P14" s="163"/>
      <c r="Q14" s="163">
        <v>2</v>
      </c>
      <c r="R14" s="163">
        <v>0</v>
      </c>
      <c r="S14" s="163">
        <v>0</v>
      </c>
      <c r="T14" s="163">
        <v>0</v>
      </c>
      <c r="U14" s="163">
        <v>0</v>
      </c>
      <c r="V14" s="163">
        <v>0</v>
      </c>
      <c r="W14" s="163">
        <v>0</v>
      </c>
      <c r="X14" s="163">
        <v>0</v>
      </c>
      <c r="Y14" s="163">
        <v>2</v>
      </c>
      <c r="Z14" s="163">
        <v>2</v>
      </c>
      <c r="AA14" s="163">
        <v>0</v>
      </c>
      <c r="AB14" s="163">
        <v>0</v>
      </c>
      <c r="AC14" s="163">
        <v>2</v>
      </c>
      <c r="AD14" s="163">
        <v>0</v>
      </c>
      <c r="AE14" s="165">
        <v>0.42871991641104135</v>
      </c>
      <c r="AF14" s="166">
        <v>0.28581327760736086</v>
      </c>
      <c r="AH14" s="152">
        <f>CONFIG!B17</f>
        <v>46246</v>
      </c>
      <c r="AI14" s="138" t="str">
        <f>CONFIG!C17</f>
        <v>qua</v>
      </c>
      <c r="AJ14" s="138">
        <f>CONFIG!D17</f>
        <v>8</v>
      </c>
      <c r="AK14" s="153">
        <f t="shared" si="0"/>
        <v>4.6109893822151332E-2</v>
      </c>
      <c r="AL14" s="139">
        <f>CONFIG!E17</f>
        <v>561.4762413975651</v>
      </c>
      <c r="AM14" s="139">
        <f>CONFIG!F17</f>
        <v>832.12971269891693</v>
      </c>
      <c r="AN14" s="139">
        <f t="shared" si="1"/>
        <v>7787.0177240237263</v>
      </c>
      <c r="AO14" s="139">
        <v>31.516587677725116</v>
      </c>
      <c r="AP14" s="139">
        <v>37.361769352290679</v>
      </c>
      <c r="AQ14" s="139">
        <v>40.578947368421055</v>
      </c>
      <c r="AR14" s="139">
        <v>41.026315789473685</v>
      </c>
      <c r="AS14" s="139">
        <v>0.44736842105263008</v>
      </c>
      <c r="AT14" s="139">
        <v>0</v>
      </c>
      <c r="AU14" s="139">
        <v>0</v>
      </c>
      <c r="AV14" s="139">
        <v>32</v>
      </c>
      <c r="AW14" s="139">
        <v>7</v>
      </c>
      <c r="AX14" s="139">
        <v>0</v>
      </c>
      <c r="AY14" s="304">
        <v>0.78376533327187115</v>
      </c>
      <c r="AZ14" s="305">
        <v>0.78376533327187115</v>
      </c>
      <c r="BA14" s="139">
        <v>19</v>
      </c>
      <c r="BB14" s="139">
        <v>19</v>
      </c>
      <c r="BC14" s="305">
        <v>0.61949712977812665</v>
      </c>
      <c r="BD14" s="305">
        <v>0.61274186922249607</v>
      </c>
      <c r="BF14" s="297">
        <f>CONFIG!O17</f>
        <v>0</v>
      </c>
      <c r="BG14" s="298">
        <f>CONFIG!P17</f>
        <v>0</v>
      </c>
      <c r="BH14" s="298">
        <f>CONFIG!Q17</f>
        <v>8.2051282051282051E-2</v>
      </c>
      <c r="BI14" s="298">
        <f>CONFIG!R17</f>
        <v>0</v>
      </c>
      <c r="BJ14" s="298">
        <f>CONFIG!S17</f>
        <v>8.6369770580296892E-2</v>
      </c>
      <c r="BK14" s="298">
        <f>CONFIG!T17</f>
        <v>1.641025641025641E-2</v>
      </c>
      <c r="BL14" s="298">
        <f>CONFIG!U17</f>
        <v>0</v>
      </c>
      <c r="BM14" s="298">
        <f>CONFIG!V17</f>
        <v>0.18483130904183537</v>
      </c>
      <c r="BO14" s="299">
        <v>0.11545862732520847</v>
      </c>
      <c r="BQ14" s="432"/>
      <c r="BR14" s="164"/>
      <c r="BS14" s="164"/>
      <c r="BT14" s="164"/>
      <c r="BU14" s="164"/>
      <c r="BV14" s="164"/>
      <c r="BW14" s="164"/>
      <c r="BX14" s="164"/>
      <c r="BY14" s="164"/>
      <c r="BZ14" s="164"/>
      <c r="CA14" s="164"/>
      <c r="CB14" s="164"/>
      <c r="CC14" s="164"/>
      <c r="CD14" s="164"/>
      <c r="CE14" s="164"/>
      <c r="CF14" s="164"/>
      <c r="CG14" s="164"/>
      <c r="CH14" s="164"/>
      <c r="CI14" s="164"/>
      <c r="CJ14" s="164"/>
      <c r="CK14" s="164"/>
      <c r="CL14" s="164"/>
      <c r="CM14" s="164"/>
      <c r="CN14" s="164"/>
      <c r="CO14" s="164"/>
      <c r="CP14" s="164"/>
      <c r="CQ14" s="164"/>
      <c r="CR14" s="164"/>
      <c r="CS14" s="164"/>
      <c r="CT14" s="164"/>
      <c r="CU14" s="164"/>
      <c r="CV14" s="164"/>
      <c r="CW14" s="164"/>
      <c r="CX14" s="164"/>
      <c r="CY14" s="164"/>
      <c r="CZ14" s="164"/>
      <c r="DA14" s="164"/>
      <c r="DB14" s="164"/>
      <c r="DC14" s="164"/>
      <c r="DD14" s="164"/>
      <c r="DE14" s="164"/>
      <c r="DF14" s="164"/>
      <c r="DG14" s="164"/>
      <c r="DH14" s="164"/>
      <c r="DI14" s="164"/>
      <c r="DJ14" s="164"/>
      <c r="DK14" s="164"/>
      <c r="DL14" s="433"/>
    </row>
    <row r="15" spans="1:116">
      <c r="A15" s="572">
        <v>1</v>
      </c>
      <c r="B15" s="162">
        <v>0.27083333333333331</v>
      </c>
      <c r="C15" s="163">
        <v>2.2589542062788643</v>
      </c>
      <c r="D15" s="163">
        <v>771.64514465091759</v>
      </c>
      <c r="E15" s="164">
        <v>0.28999999999999998</v>
      </c>
      <c r="F15" s="164">
        <v>0.28999999999999998</v>
      </c>
      <c r="G15" s="163">
        <v>4</v>
      </c>
      <c r="H15" s="163">
        <v>3.333333333333333</v>
      </c>
      <c r="I15" s="163">
        <v>-0.66666666666666696</v>
      </c>
      <c r="J15" s="163">
        <v>3</v>
      </c>
      <c r="K15" s="163">
        <v>3.0989473684210527</v>
      </c>
      <c r="L15" s="163">
        <v>9.8947368421052673E-2</v>
      </c>
      <c r="M15" s="163">
        <v>4</v>
      </c>
      <c r="N15" s="163">
        <v>2.9824561403508771</v>
      </c>
      <c r="O15" s="163">
        <v>-1.0175438596491229</v>
      </c>
      <c r="P15" s="163"/>
      <c r="Q15" s="163">
        <v>2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63">
        <v>0</v>
      </c>
      <c r="Y15" s="163">
        <v>2</v>
      </c>
      <c r="Z15" s="163">
        <v>2</v>
      </c>
      <c r="AA15" s="163">
        <v>0</v>
      </c>
      <c r="AB15" s="163">
        <v>0</v>
      </c>
      <c r="AC15" s="163">
        <v>2</v>
      </c>
      <c r="AD15" s="163">
        <v>0</v>
      </c>
      <c r="AE15" s="165">
        <v>0.62498320237041838</v>
      </c>
      <c r="AF15" s="166">
        <v>0.31249160118520919</v>
      </c>
      <c r="AH15" s="152">
        <f>CONFIG!B18</f>
        <v>46247</v>
      </c>
      <c r="AI15" s="138" t="str">
        <f>CONFIG!C18</f>
        <v>qui</v>
      </c>
      <c r="AJ15" s="138">
        <f>CONFIG!D18</f>
        <v>14</v>
      </c>
      <c r="AK15" s="153">
        <f t="shared" si="0"/>
        <v>4.0370416291616758E-2</v>
      </c>
      <c r="AL15" s="139">
        <f>CONFIG!E18</f>
        <v>526.51059933794818</v>
      </c>
      <c r="AM15" s="139">
        <f>CONFIG!F18</f>
        <v>776.93448897681981</v>
      </c>
      <c r="AN15" s="139">
        <f t="shared" si="1"/>
        <v>6817.7373906251314</v>
      </c>
      <c r="AO15" s="139">
        <v>28.515007898894154</v>
      </c>
      <c r="AP15" s="139">
        <v>34.281200631911531</v>
      </c>
      <c r="AQ15" s="139">
        <v>36.94736842105263</v>
      </c>
      <c r="AR15" s="139">
        <v>41.026315789473685</v>
      </c>
      <c r="AS15" s="139">
        <v>4.0789473684210549</v>
      </c>
      <c r="AT15" s="139">
        <v>0</v>
      </c>
      <c r="AU15" s="139">
        <v>0</v>
      </c>
      <c r="AV15" s="139">
        <v>32</v>
      </c>
      <c r="AW15" s="139">
        <v>7</v>
      </c>
      <c r="AX15" s="139">
        <v>0</v>
      </c>
      <c r="AY15" s="305">
        <v>0.89270762454352803</v>
      </c>
      <c r="AZ15" s="305">
        <v>0.89270762454352803</v>
      </c>
      <c r="BA15" s="139">
        <v>19</v>
      </c>
      <c r="BB15" s="139">
        <v>19</v>
      </c>
      <c r="BC15" s="305">
        <v>0.59569735274097846</v>
      </c>
      <c r="BD15" s="305">
        <v>0.53647150946012434</v>
      </c>
      <c r="BF15" s="297">
        <f>CONFIG!O18</f>
        <v>0</v>
      </c>
      <c r="BG15" s="298">
        <f>CONFIG!P18</f>
        <v>0</v>
      </c>
      <c r="BH15" s="298">
        <f>CONFIG!Q18</f>
        <v>8.2051282051282051E-2</v>
      </c>
      <c r="BI15" s="298">
        <f>CONFIG!R18</f>
        <v>0</v>
      </c>
      <c r="BJ15" s="298">
        <f>CONFIG!S18</f>
        <v>8.6369770580296892E-2</v>
      </c>
      <c r="BK15" s="298">
        <f>CONFIG!T18</f>
        <v>1.641025641025641E-2</v>
      </c>
      <c r="BL15" s="298">
        <f>CONFIG!U18</f>
        <v>0</v>
      </c>
      <c r="BM15" s="298">
        <f>CONFIG!V18</f>
        <v>0.18483130904183537</v>
      </c>
      <c r="BO15" s="299">
        <v>0.11545862732520847</v>
      </c>
      <c r="BQ15" s="432"/>
      <c r="BR15" s="164"/>
      <c r="BS15" s="164"/>
      <c r="BT15" s="164"/>
      <c r="BU15" s="164"/>
      <c r="BV15" s="164"/>
      <c r="BW15" s="164"/>
      <c r="BX15" s="164"/>
      <c r="BY15" s="164"/>
      <c r="BZ15" s="164"/>
      <c r="CA15" s="164"/>
      <c r="CB15" s="164"/>
      <c r="CC15" s="164"/>
      <c r="CD15" s="164"/>
      <c r="CE15" s="164"/>
      <c r="CF15" s="164"/>
      <c r="CG15" s="164"/>
      <c r="CH15" s="164"/>
      <c r="CI15" s="164"/>
      <c r="CJ15" s="164"/>
      <c r="CK15" s="164"/>
      <c r="CL15" s="164"/>
      <c r="CM15" s="164"/>
      <c r="CN15" s="164"/>
      <c r="CO15" s="164"/>
      <c r="CP15" s="164"/>
      <c r="CQ15" s="164"/>
      <c r="CR15" s="164"/>
      <c r="CS15" s="164"/>
      <c r="CT15" s="164"/>
      <c r="CU15" s="164"/>
      <c r="CV15" s="164"/>
      <c r="CW15" s="164"/>
      <c r="CX15" s="164"/>
      <c r="CY15" s="164"/>
      <c r="CZ15" s="164"/>
      <c r="DA15" s="164"/>
      <c r="DB15" s="164"/>
      <c r="DC15" s="164"/>
      <c r="DD15" s="164"/>
      <c r="DE15" s="164"/>
      <c r="DF15" s="164"/>
      <c r="DG15" s="164"/>
      <c r="DH15" s="164"/>
      <c r="DI15" s="164"/>
      <c r="DJ15" s="164"/>
      <c r="DK15" s="164"/>
      <c r="DL15" s="433"/>
    </row>
    <row r="16" spans="1:116">
      <c r="A16" s="572">
        <v>1</v>
      </c>
      <c r="B16" s="162">
        <v>0.29166666666666669</v>
      </c>
      <c r="C16" s="163">
        <v>3.148523763820116</v>
      </c>
      <c r="D16" s="163">
        <v>781.80586357732159</v>
      </c>
      <c r="E16" s="164">
        <v>8.3399999999999988E-2</v>
      </c>
      <c r="F16" s="164">
        <v>8.3399999999999988E-2</v>
      </c>
      <c r="G16" s="163">
        <v>4</v>
      </c>
      <c r="H16" s="163">
        <v>3.333333333333333</v>
      </c>
      <c r="I16" s="163">
        <v>-0.66666666666666696</v>
      </c>
      <c r="J16" s="163">
        <v>3</v>
      </c>
      <c r="K16" s="163">
        <v>3.0989473684210527</v>
      </c>
      <c r="L16" s="163">
        <v>9.8947368421052673E-2</v>
      </c>
      <c r="M16" s="163">
        <v>4</v>
      </c>
      <c r="N16" s="163">
        <v>2.9824561403508771</v>
      </c>
      <c r="O16" s="163">
        <v>-1.0175438596491229</v>
      </c>
      <c r="P16" s="163"/>
      <c r="Q16" s="163">
        <v>2</v>
      </c>
      <c r="R16" s="163">
        <v>0</v>
      </c>
      <c r="S16" s="163">
        <v>0</v>
      </c>
      <c r="T16" s="163">
        <v>0</v>
      </c>
      <c r="U16" s="163">
        <v>0</v>
      </c>
      <c r="V16" s="163">
        <v>0</v>
      </c>
      <c r="W16" s="163">
        <v>0</v>
      </c>
      <c r="X16" s="163">
        <v>0</v>
      </c>
      <c r="Y16" s="163">
        <v>2</v>
      </c>
      <c r="Z16" s="163">
        <v>2</v>
      </c>
      <c r="AA16" s="163">
        <v>0</v>
      </c>
      <c r="AB16" s="163">
        <v>0</v>
      </c>
      <c r="AC16" s="163">
        <v>2</v>
      </c>
      <c r="AD16" s="163">
        <v>0</v>
      </c>
      <c r="AE16" s="165">
        <v>0.88257005704964875</v>
      </c>
      <c r="AF16" s="166">
        <v>0.44128502852482437</v>
      </c>
      <c r="AH16" s="152">
        <f>CONFIG!B19</f>
        <v>46248</v>
      </c>
      <c r="AI16" s="138" t="str">
        <f>CONFIG!C19</f>
        <v>sex</v>
      </c>
      <c r="AJ16" s="138">
        <f>CONFIG!D19</f>
        <v>17</v>
      </c>
      <c r="AK16" s="153">
        <f t="shared" si="0"/>
        <v>3.833007837755327E-2</v>
      </c>
      <c r="AL16" s="139">
        <f>CONFIG!E19</f>
        <v>479.9968657150485</v>
      </c>
      <c r="AM16" s="139">
        <f>CONFIG!F19</f>
        <v>809.15104097959852</v>
      </c>
      <c r="AN16" s="139">
        <f t="shared" si="1"/>
        <v>6473.1660593379347</v>
      </c>
      <c r="AO16" s="139">
        <v>27.488151658767773</v>
      </c>
      <c r="AP16" s="139">
        <v>33.096366508688781</v>
      </c>
      <c r="AQ16" s="139">
        <v>35.60526315789474</v>
      </c>
      <c r="AR16" s="139">
        <v>41.026315789473685</v>
      </c>
      <c r="AS16" s="139">
        <v>5.4210526315789451</v>
      </c>
      <c r="AT16" s="139">
        <v>0</v>
      </c>
      <c r="AU16" s="139">
        <v>0</v>
      </c>
      <c r="AV16" s="139">
        <v>32</v>
      </c>
      <c r="AW16" s="139">
        <v>7</v>
      </c>
      <c r="AX16" s="139">
        <v>0</v>
      </c>
      <c r="AY16" s="305">
        <v>0.91727953927460126</v>
      </c>
      <c r="AZ16" s="305">
        <v>0.91727953927460126</v>
      </c>
      <c r="BA16" s="139">
        <v>19</v>
      </c>
      <c r="BB16" s="139">
        <v>19</v>
      </c>
      <c r="BC16" s="305">
        <v>0.58690993454731866</v>
      </c>
      <c r="BD16" s="305">
        <v>0.50935801247114953</v>
      </c>
      <c r="BF16" s="297">
        <f>CONFIG!O19</f>
        <v>0</v>
      </c>
      <c r="BG16" s="298">
        <f>CONFIG!P19</f>
        <v>0</v>
      </c>
      <c r="BH16" s="298">
        <f>CONFIG!Q19</f>
        <v>8.2051282051282051E-2</v>
      </c>
      <c r="BI16" s="298">
        <f>CONFIG!R19</f>
        <v>0</v>
      </c>
      <c r="BJ16" s="298">
        <f>CONFIG!S19</f>
        <v>8.6369770580296892E-2</v>
      </c>
      <c r="BK16" s="298">
        <f>CONFIG!T19</f>
        <v>1.641025641025641E-2</v>
      </c>
      <c r="BL16" s="298">
        <f>CONFIG!U19</f>
        <v>0</v>
      </c>
      <c r="BM16" s="298">
        <f>CONFIG!V19</f>
        <v>0.18483130904183537</v>
      </c>
      <c r="BO16" s="299">
        <v>0.11545862732520847</v>
      </c>
      <c r="BQ16" s="432"/>
      <c r="BR16" s="164"/>
      <c r="BS16" s="164"/>
      <c r="BT16" s="164"/>
      <c r="BU16" s="164"/>
      <c r="BV16" s="164"/>
      <c r="BW16" s="164"/>
      <c r="BX16" s="164"/>
      <c r="BY16" s="164"/>
      <c r="BZ16" s="164"/>
      <c r="CA16" s="164"/>
      <c r="CB16" s="164"/>
      <c r="CC16" s="164"/>
      <c r="CD16" s="164"/>
      <c r="CE16" s="164"/>
      <c r="CF16" s="164"/>
      <c r="CG16" s="164"/>
      <c r="CH16" s="164"/>
      <c r="CI16" s="164"/>
      <c r="CJ16" s="164"/>
      <c r="CK16" s="164"/>
      <c r="CL16" s="164"/>
      <c r="CM16" s="164"/>
      <c r="CN16" s="164"/>
      <c r="CO16" s="164"/>
      <c r="CP16" s="164"/>
      <c r="CQ16" s="164"/>
      <c r="CR16" s="164"/>
      <c r="CS16" s="164"/>
      <c r="CT16" s="164"/>
      <c r="CU16" s="164"/>
      <c r="CV16" s="164"/>
      <c r="CW16" s="164"/>
      <c r="CX16" s="164"/>
      <c r="CY16" s="164"/>
      <c r="CZ16" s="164"/>
      <c r="DA16" s="164"/>
      <c r="DB16" s="164"/>
      <c r="DC16" s="164"/>
      <c r="DD16" s="164"/>
      <c r="DE16" s="164"/>
      <c r="DF16" s="164"/>
      <c r="DG16" s="164"/>
      <c r="DH16" s="164"/>
      <c r="DI16" s="164"/>
      <c r="DJ16" s="164"/>
      <c r="DK16" s="164"/>
      <c r="DL16" s="433"/>
    </row>
    <row r="17" spans="1:116">
      <c r="A17" s="572">
        <v>1</v>
      </c>
      <c r="B17" s="162">
        <v>0.3125</v>
      </c>
      <c r="C17" s="163">
        <v>4.0018999888282591</v>
      </c>
      <c r="D17" s="163">
        <v>791.5910771709697</v>
      </c>
      <c r="E17" s="164">
        <v>0.68289999999999995</v>
      </c>
      <c r="F17" s="164">
        <v>0.68289999999999995</v>
      </c>
      <c r="G17" s="163">
        <v>6</v>
      </c>
      <c r="H17" s="163">
        <v>6.6666666666666661</v>
      </c>
      <c r="I17" s="163">
        <v>0.66666666666666607</v>
      </c>
      <c r="J17" s="163">
        <v>4</v>
      </c>
      <c r="K17" s="163">
        <v>4.648421052631579</v>
      </c>
      <c r="L17" s="163">
        <v>0.64842105263157901</v>
      </c>
      <c r="M17" s="163">
        <v>5</v>
      </c>
      <c r="N17" s="163">
        <v>5.9649122807017543</v>
      </c>
      <c r="O17" s="163">
        <v>0.96491228070175428</v>
      </c>
      <c r="P17" s="163"/>
      <c r="Q17" s="163">
        <v>4</v>
      </c>
      <c r="R17" s="163">
        <v>0</v>
      </c>
      <c r="S17" s="163">
        <v>0</v>
      </c>
      <c r="T17" s="163">
        <v>0</v>
      </c>
      <c r="U17" s="163">
        <v>0</v>
      </c>
      <c r="V17" s="163">
        <v>0</v>
      </c>
      <c r="W17" s="163">
        <v>0</v>
      </c>
      <c r="X17" s="163">
        <v>0</v>
      </c>
      <c r="Y17" s="163">
        <v>4</v>
      </c>
      <c r="Z17" s="163">
        <v>4</v>
      </c>
      <c r="AA17" s="163">
        <v>0</v>
      </c>
      <c r="AB17" s="163">
        <v>0</v>
      </c>
      <c r="AC17" s="163">
        <v>4</v>
      </c>
      <c r="AD17" s="163">
        <v>0</v>
      </c>
      <c r="AE17" s="165">
        <v>0.56791117654413892</v>
      </c>
      <c r="AF17" s="166">
        <v>0.37860745102942595</v>
      </c>
      <c r="AH17" s="152">
        <f>CONFIG!B20</f>
        <v>46249</v>
      </c>
      <c r="AI17" s="138" t="str">
        <f>CONFIG!C20</f>
        <v>sáb</v>
      </c>
      <c r="AJ17" s="138">
        <f>CONFIG!D20</f>
        <v>24</v>
      </c>
      <c r="AK17" s="153">
        <f t="shared" si="0"/>
        <v>1.2155287270401048E-2</v>
      </c>
      <c r="AL17" s="139">
        <f>CONFIG!E20</f>
        <v>163.09304565069561</v>
      </c>
      <c r="AM17" s="139">
        <f>CONFIG!F20</f>
        <v>755.19320838216959</v>
      </c>
      <c r="AN17" s="139">
        <f t="shared" si="1"/>
        <v>2052.7793401628078</v>
      </c>
      <c r="AO17" s="139">
        <v>12.87519747235387</v>
      </c>
      <c r="AP17" s="139">
        <v>16.666666666666668</v>
      </c>
      <c r="AQ17" s="139">
        <v>18.710526315789473</v>
      </c>
      <c r="AR17" s="139">
        <v>18</v>
      </c>
      <c r="AS17" s="139">
        <v>-0.71052631578947256</v>
      </c>
      <c r="AT17" s="139">
        <v>0</v>
      </c>
      <c r="AU17" s="139">
        <v>0</v>
      </c>
      <c r="AV17" s="139">
        <v>18</v>
      </c>
      <c r="AW17" s="139">
        <v>0</v>
      </c>
      <c r="AX17" s="139">
        <v>0</v>
      </c>
      <c r="AY17" s="304">
        <v>0.8228663331672621</v>
      </c>
      <c r="AZ17" s="305">
        <v>0.8228663331672621</v>
      </c>
      <c r="BA17" s="139">
        <v>8</v>
      </c>
      <c r="BB17" s="139">
        <v>8</v>
      </c>
      <c r="BC17" s="305">
        <v>0.37266487287398864</v>
      </c>
      <c r="BD17" s="305">
        <v>0.38737532838217237</v>
      </c>
      <c r="BF17" s="297">
        <f>CONFIG!O20</f>
        <v>0</v>
      </c>
      <c r="BG17" s="298">
        <f>CONFIG!P20</f>
        <v>0</v>
      </c>
      <c r="BH17" s="298">
        <f>CONFIG!Q20</f>
        <v>8.2051282051282051E-2</v>
      </c>
      <c r="BI17" s="298">
        <f>CONFIG!R20</f>
        <v>0</v>
      </c>
      <c r="BJ17" s="298">
        <f>CONFIG!S20</f>
        <v>8.6369770580296892E-2</v>
      </c>
      <c r="BK17" s="298">
        <f>CONFIG!T20</f>
        <v>1.641025641025641E-2</v>
      </c>
      <c r="BL17" s="298">
        <f>CONFIG!U20</f>
        <v>0</v>
      </c>
      <c r="BM17" s="298">
        <f>CONFIG!V20</f>
        <v>0.18483130904183537</v>
      </c>
      <c r="BO17" s="299">
        <v>0.12573099415204678</v>
      </c>
      <c r="BQ17" s="432"/>
      <c r="BR17" s="164"/>
      <c r="BS17" s="164"/>
      <c r="BT17" s="164"/>
      <c r="BU17" s="164"/>
      <c r="BV17" s="164"/>
      <c r="BW17" s="164"/>
      <c r="BX17" s="164"/>
      <c r="BY17" s="164"/>
      <c r="BZ17" s="164"/>
      <c r="CA17" s="164"/>
      <c r="CB17" s="164"/>
      <c r="CC17" s="164"/>
      <c r="CD17" s="164"/>
      <c r="CE17" s="164"/>
      <c r="CF17" s="164"/>
      <c r="CG17" s="164"/>
      <c r="CH17" s="164"/>
      <c r="CI17" s="164"/>
      <c r="CJ17" s="164"/>
      <c r="CK17" s="164"/>
      <c r="CL17" s="164"/>
      <c r="CM17" s="164"/>
      <c r="CN17" s="164"/>
      <c r="CO17" s="164"/>
      <c r="CP17" s="164"/>
      <c r="CQ17" s="164"/>
      <c r="CR17" s="164"/>
      <c r="CS17" s="164"/>
      <c r="CT17" s="164"/>
      <c r="CU17" s="164"/>
      <c r="CV17" s="164"/>
      <c r="CW17" s="164"/>
      <c r="CX17" s="164"/>
      <c r="CY17" s="164"/>
      <c r="CZ17" s="164"/>
      <c r="DA17" s="164"/>
      <c r="DB17" s="164"/>
      <c r="DC17" s="164"/>
      <c r="DD17" s="164"/>
      <c r="DE17" s="164"/>
      <c r="DF17" s="164"/>
      <c r="DG17" s="164"/>
      <c r="DH17" s="164"/>
      <c r="DI17" s="164"/>
      <c r="DJ17" s="164"/>
      <c r="DK17" s="164"/>
      <c r="DL17" s="433"/>
    </row>
    <row r="18" spans="1:116">
      <c r="A18" s="572">
        <v>1</v>
      </c>
      <c r="B18" s="162">
        <v>0.33333333333333331</v>
      </c>
      <c r="C18" s="163">
        <v>4.8476736056641325</v>
      </c>
      <c r="D18" s="163">
        <v>793.54470169876208</v>
      </c>
      <c r="E18" s="164">
        <v>0.82550000000000001</v>
      </c>
      <c r="F18" s="164">
        <v>0.82550000000000001</v>
      </c>
      <c r="G18" s="163">
        <v>6</v>
      </c>
      <c r="H18" s="163">
        <v>10</v>
      </c>
      <c r="I18" s="163">
        <v>4</v>
      </c>
      <c r="J18" s="163">
        <v>4</v>
      </c>
      <c r="K18" s="163">
        <v>4.648421052631579</v>
      </c>
      <c r="L18" s="163">
        <v>0.64842105263157901</v>
      </c>
      <c r="M18" s="163">
        <v>5</v>
      </c>
      <c r="N18" s="163">
        <v>8.9473684210526319</v>
      </c>
      <c r="O18" s="163">
        <v>3.9473684210526319</v>
      </c>
      <c r="P18" s="163"/>
      <c r="Q18" s="163">
        <v>6</v>
      </c>
      <c r="R18" s="163">
        <v>0</v>
      </c>
      <c r="S18" s="163">
        <v>0</v>
      </c>
      <c r="T18" s="163">
        <v>0</v>
      </c>
      <c r="U18" s="163">
        <v>0</v>
      </c>
      <c r="V18" s="163">
        <v>0</v>
      </c>
      <c r="W18" s="163">
        <v>0</v>
      </c>
      <c r="X18" s="163">
        <v>0</v>
      </c>
      <c r="Y18" s="163">
        <v>6</v>
      </c>
      <c r="Z18" s="163">
        <v>6</v>
      </c>
      <c r="AA18" s="163">
        <v>0</v>
      </c>
      <c r="AB18" s="163">
        <v>0</v>
      </c>
      <c r="AC18" s="163">
        <v>6</v>
      </c>
      <c r="AD18" s="163">
        <v>0</v>
      </c>
      <c r="AE18" s="165">
        <v>0.45975536182476867</v>
      </c>
      <c r="AF18" s="166">
        <v>0.45975536182476867</v>
      </c>
      <c r="AH18" s="152">
        <f>CONFIG!B21</f>
        <v>46250</v>
      </c>
      <c r="AI18" s="138" t="str">
        <f>CONFIG!C21</f>
        <v>dom</v>
      </c>
      <c r="AJ18" s="138">
        <f>CONFIG!D21</f>
        <v>31</v>
      </c>
      <c r="AK18" s="153">
        <f t="shared" si="0"/>
        <v>8.0533992255222772E-3</v>
      </c>
      <c r="AL18" s="139">
        <f>CONFIG!E21</f>
        <v>109.82999145186297</v>
      </c>
      <c r="AM18" s="139">
        <f>CONFIG!F21</f>
        <v>742.9961617069448</v>
      </c>
      <c r="AN18" s="139">
        <f t="shared" si="1"/>
        <v>1360.054368150679</v>
      </c>
      <c r="AO18" s="139">
        <v>9.8736176935229079</v>
      </c>
      <c r="AP18" s="139">
        <v>13.665086887835704</v>
      </c>
      <c r="AQ18" s="139">
        <v>14.447368421052632</v>
      </c>
      <c r="AR18" s="139">
        <v>14</v>
      </c>
      <c r="AS18" s="139">
        <v>-0.44736842105263186</v>
      </c>
      <c r="AT18" s="139">
        <v>0</v>
      </c>
      <c r="AU18" s="139">
        <v>0</v>
      </c>
      <c r="AV18" s="139">
        <v>14</v>
      </c>
      <c r="AW18" s="139">
        <v>0</v>
      </c>
      <c r="AX18" s="139">
        <v>0</v>
      </c>
      <c r="AY18" s="305">
        <v>0.81004651407496264</v>
      </c>
      <c r="AZ18" s="305">
        <v>0.81004651407496264</v>
      </c>
      <c r="BA18" s="139">
        <v>6</v>
      </c>
      <c r="BB18" s="139">
        <v>6</v>
      </c>
      <c r="BC18" s="305">
        <v>0.3197641090874575</v>
      </c>
      <c r="BD18" s="305">
        <v>0.32998213512972591</v>
      </c>
      <c r="BF18" s="297">
        <f>CONFIG!O21</f>
        <v>0</v>
      </c>
      <c r="BG18" s="298">
        <f>CONFIG!P21</f>
        <v>0</v>
      </c>
      <c r="BH18" s="298">
        <f>CONFIG!Q21</f>
        <v>8.2051282051282051E-2</v>
      </c>
      <c r="BI18" s="298">
        <f>CONFIG!R21</f>
        <v>0</v>
      </c>
      <c r="BJ18" s="298">
        <f>CONFIG!S21</f>
        <v>8.6369770580296892E-2</v>
      </c>
      <c r="BK18" s="298">
        <f>CONFIG!T21</f>
        <v>1.641025641025641E-2</v>
      </c>
      <c r="BL18" s="298">
        <f>CONFIG!U21</f>
        <v>0</v>
      </c>
      <c r="BM18" s="298">
        <f>CONFIG!V21</f>
        <v>0.18483130904183537</v>
      </c>
      <c r="BO18" s="299">
        <v>0.15789473684210525</v>
      </c>
      <c r="BQ18" s="432"/>
      <c r="BR18" s="164"/>
      <c r="BS18" s="164"/>
      <c r="BT18" s="164"/>
      <c r="BU18" s="164"/>
      <c r="BV18" s="164"/>
      <c r="BW18" s="164"/>
      <c r="BX18" s="164"/>
      <c r="BY18" s="164"/>
      <c r="BZ18" s="164"/>
      <c r="CA18" s="164"/>
      <c r="CB18" s="164"/>
      <c r="CC18" s="164"/>
      <c r="CD18" s="164"/>
      <c r="CE18" s="164"/>
      <c r="CF18" s="164"/>
      <c r="CG18" s="164"/>
      <c r="CH18" s="164"/>
      <c r="CI18" s="164"/>
      <c r="CJ18" s="164"/>
      <c r="CK18" s="164"/>
      <c r="CL18" s="164"/>
      <c r="CM18" s="164"/>
      <c r="CN18" s="164"/>
      <c r="CO18" s="164"/>
      <c r="CP18" s="164"/>
      <c r="CQ18" s="164"/>
      <c r="CR18" s="164"/>
      <c r="CS18" s="164"/>
      <c r="CT18" s="164"/>
      <c r="CU18" s="164"/>
      <c r="CV18" s="164"/>
      <c r="CW18" s="164"/>
      <c r="CX18" s="164"/>
      <c r="CY18" s="164"/>
      <c r="CZ18" s="164"/>
      <c r="DA18" s="164"/>
      <c r="DB18" s="164"/>
      <c r="DC18" s="164"/>
      <c r="DD18" s="164"/>
      <c r="DE18" s="164"/>
      <c r="DF18" s="164"/>
      <c r="DG18" s="164"/>
      <c r="DH18" s="164"/>
      <c r="DI18" s="164"/>
      <c r="DJ18" s="164"/>
      <c r="DK18" s="164"/>
      <c r="DL18" s="433"/>
    </row>
    <row r="19" spans="1:116">
      <c r="A19" s="572">
        <v>1</v>
      </c>
      <c r="B19" s="162">
        <v>0.35416666666666669</v>
      </c>
      <c r="C19" s="163">
        <v>5.6897516589946155</v>
      </c>
      <c r="D19" s="163">
        <v>793.39333391043147</v>
      </c>
      <c r="E19" s="164">
        <v>0.73629999999999995</v>
      </c>
      <c r="F19" s="164">
        <v>0.73629999999999995</v>
      </c>
      <c r="G19" s="163">
        <v>7</v>
      </c>
      <c r="H19" s="163">
        <v>10</v>
      </c>
      <c r="I19" s="163">
        <v>3</v>
      </c>
      <c r="J19" s="163">
        <v>5</v>
      </c>
      <c r="K19" s="163">
        <v>5.4231578947368426</v>
      </c>
      <c r="L19" s="163">
        <v>0.42315789473684262</v>
      </c>
      <c r="M19" s="163">
        <v>6</v>
      </c>
      <c r="N19" s="163">
        <v>8.9473684210526319</v>
      </c>
      <c r="O19" s="163">
        <v>2.9473684210526319</v>
      </c>
      <c r="P19" s="163"/>
      <c r="Q19" s="163">
        <v>6</v>
      </c>
      <c r="R19" s="163">
        <v>0</v>
      </c>
      <c r="S19" s="163">
        <v>0</v>
      </c>
      <c r="T19" s="163">
        <v>0</v>
      </c>
      <c r="U19" s="163">
        <v>0</v>
      </c>
      <c r="V19" s="163">
        <v>0</v>
      </c>
      <c r="W19" s="163">
        <v>0</v>
      </c>
      <c r="X19" s="163">
        <v>0</v>
      </c>
      <c r="Y19" s="163">
        <v>6</v>
      </c>
      <c r="Z19" s="163">
        <v>6</v>
      </c>
      <c r="AA19" s="163">
        <v>0</v>
      </c>
      <c r="AB19" s="163">
        <v>0</v>
      </c>
      <c r="AC19" s="163">
        <v>6</v>
      </c>
      <c r="AD19" s="163">
        <v>0</v>
      </c>
      <c r="AE19" s="165">
        <v>0.5395154596869387</v>
      </c>
      <c r="AF19" s="166">
        <v>0.46244182258880467</v>
      </c>
      <c r="AH19" s="152">
        <f>CONFIG!B22</f>
        <v>46251</v>
      </c>
      <c r="AI19" s="138" t="str">
        <f>CONFIG!C22</f>
        <v>seg</v>
      </c>
      <c r="AJ19" s="138">
        <f>CONFIG!D22</f>
        <v>3</v>
      </c>
      <c r="AK19" s="153">
        <f t="shared" si="0"/>
        <v>5.0223452469402949E-2</v>
      </c>
      <c r="AL19" s="139">
        <f>CONFIG!E22</f>
        <v>621.90787712400515</v>
      </c>
      <c r="AM19" s="139">
        <f>CONFIG!F22</f>
        <v>818.2929273611602</v>
      </c>
      <c r="AN19" s="139">
        <f t="shared" si="1"/>
        <v>8481.7136220127813</v>
      </c>
      <c r="AO19" s="139">
        <v>33.649289099526065</v>
      </c>
      <c r="AP19" s="139">
        <v>39.573459715639807</v>
      </c>
      <c r="AQ19" s="139">
        <v>43.10526315789474</v>
      </c>
      <c r="AR19" s="139">
        <v>41.026315789473685</v>
      </c>
      <c r="AS19" s="139">
        <v>-2.0789473684210549</v>
      </c>
      <c r="AT19" s="139">
        <v>0</v>
      </c>
      <c r="AU19" s="139">
        <v>0</v>
      </c>
      <c r="AV19" s="139">
        <v>32</v>
      </c>
      <c r="AW19" s="139">
        <v>7</v>
      </c>
      <c r="AX19" s="139">
        <v>0</v>
      </c>
      <c r="AY19" s="305">
        <v>0.66977891593633332</v>
      </c>
      <c r="AZ19" s="305">
        <v>0.66977891593633332</v>
      </c>
      <c r="BA19" s="139">
        <v>19</v>
      </c>
      <c r="BB19" s="139">
        <v>19</v>
      </c>
      <c r="BC19" s="305">
        <v>0.635217152199959</v>
      </c>
      <c r="BD19" s="305">
        <v>0.66740583406256093</v>
      </c>
      <c r="BF19" s="297">
        <f>CONFIG!O22</f>
        <v>0</v>
      </c>
      <c r="BG19" s="298">
        <f>CONFIG!P22</f>
        <v>0</v>
      </c>
      <c r="BH19" s="298">
        <f>CONFIG!Q22</f>
        <v>8.2051282051282051E-2</v>
      </c>
      <c r="BI19" s="298">
        <f>CONFIG!R22</f>
        <v>0</v>
      </c>
      <c r="BJ19" s="298">
        <f>CONFIG!S22</f>
        <v>8.6369770580296892E-2</v>
      </c>
      <c r="BK19" s="298">
        <f>CONFIG!T22</f>
        <v>1.641025641025641E-2</v>
      </c>
      <c r="BL19" s="298">
        <f>CONFIG!U22</f>
        <v>0</v>
      </c>
      <c r="BM19" s="298">
        <f>CONFIG!V22</f>
        <v>0.18483130904183537</v>
      </c>
      <c r="BO19" s="299">
        <v>0.11545862732520847</v>
      </c>
      <c r="BQ19" s="432"/>
      <c r="BR19" s="164"/>
      <c r="BS19" s="164"/>
      <c r="BT19" s="164"/>
      <c r="BU19" s="164"/>
      <c r="BV19" s="164"/>
      <c r="BW19" s="164"/>
      <c r="BX19" s="164"/>
      <c r="BY19" s="164"/>
      <c r="BZ19" s="164"/>
      <c r="CA19" s="164"/>
      <c r="CB19" s="164"/>
      <c r="CC19" s="164"/>
      <c r="CD19" s="164"/>
      <c r="CE19" s="164"/>
      <c r="CF19" s="164"/>
      <c r="CG19" s="164"/>
      <c r="CH19" s="164"/>
      <c r="CI19" s="164"/>
      <c r="CJ19" s="164"/>
      <c r="CK19" s="164"/>
      <c r="CL19" s="164"/>
      <c r="CM19" s="164"/>
      <c r="CN19" s="164"/>
      <c r="CO19" s="164"/>
      <c r="CP19" s="164"/>
      <c r="CQ19" s="164"/>
      <c r="CR19" s="164"/>
      <c r="CS19" s="164"/>
      <c r="CT19" s="164"/>
      <c r="CU19" s="164"/>
      <c r="CV19" s="164"/>
      <c r="CW19" s="164"/>
      <c r="CX19" s="164"/>
      <c r="CY19" s="164"/>
      <c r="CZ19" s="164"/>
      <c r="DA19" s="164"/>
      <c r="DB19" s="164"/>
      <c r="DC19" s="164"/>
      <c r="DD19" s="164"/>
      <c r="DE19" s="164"/>
      <c r="DF19" s="164"/>
      <c r="DG19" s="164"/>
      <c r="DH19" s="164"/>
      <c r="DI19" s="164"/>
      <c r="DJ19" s="164"/>
      <c r="DK19" s="164"/>
      <c r="DL19" s="433"/>
    </row>
    <row r="20" spans="1:116">
      <c r="A20" s="572">
        <v>1</v>
      </c>
      <c r="B20" s="162">
        <v>0.375</v>
      </c>
      <c r="C20" s="163">
        <v>6.280662403272478</v>
      </c>
      <c r="D20" s="163">
        <v>788.70870789169226</v>
      </c>
      <c r="E20" s="164">
        <v>0.66909999999999992</v>
      </c>
      <c r="F20" s="164">
        <v>0.66909999999999992</v>
      </c>
      <c r="G20" s="163">
        <v>7</v>
      </c>
      <c r="H20" s="163">
        <v>10</v>
      </c>
      <c r="I20" s="163">
        <v>3</v>
      </c>
      <c r="J20" s="163">
        <v>5</v>
      </c>
      <c r="K20" s="163">
        <v>5.4231578947368426</v>
      </c>
      <c r="L20" s="163">
        <v>0.42315789473684262</v>
      </c>
      <c r="M20" s="163">
        <v>6</v>
      </c>
      <c r="N20" s="163">
        <v>8.9473684210526319</v>
      </c>
      <c r="O20" s="163">
        <v>2.9473684210526319</v>
      </c>
      <c r="P20" s="163"/>
      <c r="Q20" s="163">
        <v>6</v>
      </c>
      <c r="R20" s="163">
        <v>0</v>
      </c>
      <c r="S20" s="163">
        <v>0</v>
      </c>
      <c r="T20" s="163">
        <v>0</v>
      </c>
      <c r="U20" s="163">
        <v>0</v>
      </c>
      <c r="V20" s="163">
        <v>0</v>
      </c>
      <c r="W20" s="163">
        <v>0</v>
      </c>
      <c r="X20" s="163">
        <v>0</v>
      </c>
      <c r="Y20" s="163">
        <v>6</v>
      </c>
      <c r="Z20" s="163">
        <v>6</v>
      </c>
      <c r="AA20" s="163">
        <v>0</v>
      </c>
      <c r="AB20" s="163">
        <v>0</v>
      </c>
      <c r="AC20" s="163">
        <v>6</v>
      </c>
      <c r="AD20" s="163">
        <v>0</v>
      </c>
      <c r="AE20" s="165">
        <v>0.59203055459308551</v>
      </c>
      <c r="AF20" s="166">
        <v>0.5074547610797876</v>
      </c>
      <c r="AH20" s="152">
        <f>CONFIG!B23</f>
        <v>46252</v>
      </c>
      <c r="AI20" s="138" t="str">
        <f>CONFIG!C23</f>
        <v>ter</v>
      </c>
      <c r="AJ20" s="138">
        <f>CONFIG!D23</f>
        <v>9</v>
      </c>
      <c r="AK20" s="153">
        <f t="shared" si="0"/>
        <v>4.4508733006856344E-2</v>
      </c>
      <c r="AL20" s="139">
        <f>CONFIG!E23</f>
        <v>553.48563715367948</v>
      </c>
      <c r="AM20" s="139">
        <f>CONFIG!F23</f>
        <v>814.83029533743263</v>
      </c>
      <c r="AN20" s="139">
        <f t="shared" si="1"/>
        <v>7516.6144197826625</v>
      </c>
      <c r="AO20" s="139">
        <v>30.568720379146921</v>
      </c>
      <c r="AP20" s="139">
        <v>36.334913112164294</v>
      </c>
      <c r="AQ20" s="139">
        <v>39.315789473684212</v>
      </c>
      <c r="AR20" s="139">
        <v>41.026315789473685</v>
      </c>
      <c r="AS20" s="139">
        <v>1.7105263157894726</v>
      </c>
      <c r="AT20" s="139">
        <v>0</v>
      </c>
      <c r="AU20" s="139">
        <v>0</v>
      </c>
      <c r="AV20" s="139">
        <v>32</v>
      </c>
      <c r="AW20" s="139">
        <v>7</v>
      </c>
      <c r="AX20" s="139">
        <v>0</v>
      </c>
      <c r="AY20" s="305">
        <v>0.82065773728258118</v>
      </c>
      <c r="AZ20" s="305">
        <v>0.82065773728258118</v>
      </c>
      <c r="BA20" s="139">
        <v>19</v>
      </c>
      <c r="BB20" s="139">
        <v>19</v>
      </c>
      <c r="BC20" s="305">
        <v>0.61719753714757053</v>
      </c>
      <c r="BD20" s="305">
        <v>0.59146447754873022</v>
      </c>
      <c r="BF20" s="297">
        <f>CONFIG!O23</f>
        <v>0</v>
      </c>
      <c r="BG20" s="298">
        <f>CONFIG!P23</f>
        <v>0</v>
      </c>
      <c r="BH20" s="298">
        <f>CONFIG!Q23</f>
        <v>8.2051282051282051E-2</v>
      </c>
      <c r="BI20" s="298">
        <f>CONFIG!R23</f>
        <v>0</v>
      </c>
      <c r="BJ20" s="298">
        <f>CONFIG!S23</f>
        <v>8.6369770580296892E-2</v>
      </c>
      <c r="BK20" s="298">
        <f>CONFIG!T23</f>
        <v>1.641025641025641E-2</v>
      </c>
      <c r="BL20" s="298">
        <f>CONFIG!U23</f>
        <v>0</v>
      </c>
      <c r="BM20" s="298">
        <f>CONFIG!V23</f>
        <v>0.18483130904183537</v>
      </c>
      <c r="BO20" s="299">
        <v>0.11545862732520847</v>
      </c>
      <c r="BQ20" s="432"/>
      <c r="BR20" s="164"/>
      <c r="BS20" s="164"/>
      <c r="BT20" s="164"/>
      <c r="BU20" s="164"/>
      <c r="BV20" s="164"/>
      <c r="BW20" s="164"/>
      <c r="BX20" s="164"/>
      <c r="BY20" s="164"/>
      <c r="BZ20" s="164"/>
      <c r="CA20" s="164"/>
      <c r="CB20" s="164"/>
      <c r="CC20" s="164"/>
      <c r="CD20" s="164"/>
      <c r="CE20" s="164"/>
      <c r="CF20" s="164"/>
      <c r="CG20" s="164"/>
      <c r="CH20" s="164"/>
      <c r="CI20" s="164"/>
      <c r="CJ20" s="164"/>
      <c r="CK20" s="164"/>
      <c r="CL20" s="164"/>
      <c r="CM20" s="164"/>
      <c r="CN20" s="164"/>
      <c r="CO20" s="164"/>
      <c r="CP20" s="164"/>
      <c r="CQ20" s="164"/>
      <c r="CR20" s="164"/>
      <c r="CS20" s="164"/>
      <c r="CT20" s="164"/>
      <c r="CU20" s="164"/>
      <c r="CV20" s="164"/>
      <c r="CW20" s="164"/>
      <c r="CX20" s="164"/>
      <c r="CY20" s="164"/>
      <c r="CZ20" s="164"/>
      <c r="DA20" s="164"/>
      <c r="DB20" s="164"/>
      <c r="DC20" s="164"/>
      <c r="DD20" s="164"/>
      <c r="DE20" s="164"/>
      <c r="DF20" s="164"/>
      <c r="DG20" s="164"/>
      <c r="DH20" s="164"/>
      <c r="DI20" s="164"/>
      <c r="DJ20" s="164"/>
      <c r="DK20" s="164"/>
      <c r="DL20" s="433"/>
    </row>
    <row r="21" spans="1:116">
      <c r="A21" s="572">
        <v>1</v>
      </c>
      <c r="B21" s="162">
        <v>0.39583333333333331</v>
      </c>
      <c r="C21" s="163">
        <v>6.7510092396374084</v>
      </c>
      <c r="D21" s="163">
        <v>862.09023208161045</v>
      </c>
      <c r="E21" s="164">
        <v>0.88049999999999995</v>
      </c>
      <c r="F21" s="164">
        <v>0.88049999999999995</v>
      </c>
      <c r="G21" s="163">
        <v>8</v>
      </c>
      <c r="H21" s="163">
        <v>13.333333333333332</v>
      </c>
      <c r="I21" s="163">
        <v>5.3333333333333321</v>
      </c>
      <c r="J21" s="163">
        <v>6</v>
      </c>
      <c r="K21" s="163">
        <v>6.1978947368421053</v>
      </c>
      <c r="L21" s="163">
        <v>0.19789473684210535</v>
      </c>
      <c r="M21" s="163">
        <v>7</v>
      </c>
      <c r="N21" s="163">
        <v>11.929824561403509</v>
      </c>
      <c r="O21" s="163">
        <v>4.9298245614035086</v>
      </c>
      <c r="P21" s="163"/>
      <c r="Q21" s="163">
        <v>8</v>
      </c>
      <c r="R21" s="163">
        <v>0</v>
      </c>
      <c r="S21" s="163">
        <v>0</v>
      </c>
      <c r="T21" s="163">
        <v>0</v>
      </c>
      <c r="U21" s="163">
        <v>0</v>
      </c>
      <c r="V21" s="163">
        <v>0</v>
      </c>
      <c r="W21" s="163">
        <v>0</v>
      </c>
      <c r="X21" s="163">
        <v>0</v>
      </c>
      <c r="Y21" s="163">
        <v>8</v>
      </c>
      <c r="Z21" s="163">
        <v>8</v>
      </c>
      <c r="AA21" s="163">
        <v>0</v>
      </c>
      <c r="AB21" s="163">
        <v>0</v>
      </c>
      <c r="AC21" s="163">
        <v>8</v>
      </c>
      <c r="AD21" s="163">
        <v>0</v>
      </c>
      <c r="AE21" s="165">
        <v>0.52168064670845637</v>
      </c>
      <c r="AF21" s="166">
        <v>0.52168064670845637</v>
      </c>
      <c r="AH21" s="152">
        <f>CONFIG!B24</f>
        <v>46253</v>
      </c>
      <c r="AI21" s="138" t="str">
        <f>CONFIG!C24</f>
        <v>qua</v>
      </c>
      <c r="AJ21" s="138">
        <f>CONFIG!D24</f>
        <v>16</v>
      </c>
      <c r="AK21" s="153">
        <f t="shared" si="0"/>
        <v>3.8979892690075402E-2</v>
      </c>
      <c r="AL21" s="139">
        <f>CONFIG!E24</f>
        <v>485.27262836119309</v>
      </c>
      <c r="AM21" s="139">
        <f>CONFIG!F24</f>
        <v>813.92265102794192</v>
      </c>
      <c r="AN21" s="139">
        <f t="shared" si="1"/>
        <v>6582.9064024506579</v>
      </c>
      <c r="AO21" s="139">
        <v>27.72511848341232</v>
      </c>
      <c r="AP21" s="139">
        <v>33.4913112164297</v>
      </c>
      <c r="AQ21" s="139">
        <v>35.921052631578945</v>
      </c>
      <c r="AR21" s="139">
        <v>41.026315789473685</v>
      </c>
      <c r="AS21" s="139">
        <v>5.1052631578947398</v>
      </c>
      <c r="AT21" s="139">
        <v>0</v>
      </c>
      <c r="AU21" s="139">
        <v>0</v>
      </c>
      <c r="AV21" s="139">
        <v>32</v>
      </c>
      <c r="AW21" s="139">
        <v>7</v>
      </c>
      <c r="AX21" s="139">
        <v>0</v>
      </c>
      <c r="AY21" s="304">
        <v>0.90531077380228087</v>
      </c>
      <c r="AZ21" s="305">
        <v>0.90531077380228087</v>
      </c>
      <c r="BA21" s="139">
        <v>19</v>
      </c>
      <c r="BB21" s="139">
        <v>19</v>
      </c>
      <c r="BC21" s="305">
        <v>0.59161276758664327</v>
      </c>
      <c r="BD21" s="305">
        <v>0.51799321857329583</v>
      </c>
      <c r="BF21" s="297">
        <f>CONFIG!O24</f>
        <v>0</v>
      </c>
      <c r="BG21" s="298">
        <f>CONFIG!P24</f>
        <v>0</v>
      </c>
      <c r="BH21" s="298">
        <f>CONFIG!Q24</f>
        <v>8.2051282051282051E-2</v>
      </c>
      <c r="BI21" s="298">
        <f>CONFIG!R24</f>
        <v>0</v>
      </c>
      <c r="BJ21" s="298">
        <f>CONFIG!S24</f>
        <v>8.6369770580296892E-2</v>
      </c>
      <c r="BK21" s="298">
        <f>CONFIG!T24</f>
        <v>1.641025641025641E-2</v>
      </c>
      <c r="BL21" s="298">
        <f>CONFIG!U24</f>
        <v>0</v>
      </c>
      <c r="BM21" s="298">
        <f>CONFIG!V24</f>
        <v>0.18483130904183537</v>
      </c>
      <c r="BO21" s="299">
        <v>0.11545862732520847</v>
      </c>
      <c r="BQ21" s="432"/>
      <c r="BR21" s="164"/>
      <c r="BS21" s="164"/>
      <c r="BT21" s="164"/>
      <c r="BU21" s="164"/>
      <c r="BV21" s="164"/>
      <c r="BW21" s="164"/>
      <c r="BX21" s="164"/>
      <c r="BY21" s="164"/>
      <c r="BZ21" s="164"/>
      <c r="CA21" s="164"/>
      <c r="CB21" s="164"/>
      <c r="CC21" s="164"/>
      <c r="CD21" s="164"/>
      <c r="CE21" s="164"/>
      <c r="CF21" s="164"/>
      <c r="CG21" s="164"/>
      <c r="CH21" s="164"/>
      <c r="CI21" s="164"/>
      <c r="CJ21" s="164"/>
      <c r="CK21" s="164"/>
      <c r="CL21" s="164"/>
      <c r="CM21" s="164"/>
      <c r="CN21" s="164"/>
      <c r="CO21" s="164"/>
      <c r="CP21" s="164"/>
      <c r="CQ21" s="164"/>
      <c r="CR21" s="164"/>
      <c r="CS21" s="164"/>
      <c r="CT21" s="164"/>
      <c r="CU21" s="164"/>
      <c r="CV21" s="164"/>
      <c r="CW21" s="164"/>
      <c r="CX21" s="164"/>
      <c r="CY21" s="164"/>
      <c r="CZ21" s="164"/>
      <c r="DA21" s="164"/>
      <c r="DB21" s="164"/>
      <c r="DC21" s="164"/>
      <c r="DD21" s="164"/>
      <c r="DE21" s="164"/>
      <c r="DF21" s="164"/>
      <c r="DG21" s="164"/>
      <c r="DH21" s="164"/>
      <c r="DI21" s="164"/>
      <c r="DJ21" s="164"/>
      <c r="DK21" s="164"/>
      <c r="DL21" s="433"/>
    </row>
    <row r="22" spans="1:116">
      <c r="A22" s="572">
        <v>1</v>
      </c>
      <c r="B22" s="162">
        <v>0.41666666666666669</v>
      </c>
      <c r="C22" s="163">
        <v>7.0884559618020058</v>
      </c>
      <c r="D22" s="163">
        <v>777.33921983013158</v>
      </c>
      <c r="E22" s="164">
        <v>0.90400000000000003</v>
      </c>
      <c r="F22" s="164">
        <v>0.90400000000000003</v>
      </c>
      <c r="G22" s="163">
        <v>8</v>
      </c>
      <c r="H22" s="163">
        <v>13.333333333333332</v>
      </c>
      <c r="I22" s="163">
        <v>5.3333333333333321</v>
      </c>
      <c r="J22" s="163">
        <v>6</v>
      </c>
      <c r="K22" s="163">
        <v>6.1978947368421053</v>
      </c>
      <c r="L22" s="163">
        <v>0.19789473684210535</v>
      </c>
      <c r="M22" s="163">
        <v>7</v>
      </c>
      <c r="N22" s="163">
        <v>11.929824561403509</v>
      </c>
      <c r="O22" s="163">
        <v>4.9298245614035086</v>
      </c>
      <c r="P22" s="163"/>
      <c r="Q22" s="163">
        <v>8</v>
      </c>
      <c r="R22" s="163">
        <v>0</v>
      </c>
      <c r="S22" s="163">
        <v>0</v>
      </c>
      <c r="T22" s="163">
        <v>0</v>
      </c>
      <c r="U22" s="163">
        <v>0</v>
      </c>
      <c r="V22" s="163">
        <v>0</v>
      </c>
      <c r="W22" s="163">
        <v>0</v>
      </c>
      <c r="X22" s="163">
        <v>0</v>
      </c>
      <c r="Y22" s="163">
        <v>8</v>
      </c>
      <c r="Z22" s="163">
        <v>8</v>
      </c>
      <c r="AA22" s="163">
        <v>0</v>
      </c>
      <c r="AB22" s="163">
        <v>0</v>
      </c>
      <c r="AC22" s="163">
        <v>8</v>
      </c>
      <c r="AD22" s="163">
        <v>0</v>
      </c>
      <c r="AE22" s="165">
        <v>0.49390739034099912</v>
      </c>
      <c r="AF22" s="166">
        <v>0.49390739034099912</v>
      </c>
      <c r="AH22" s="152">
        <f>CONFIG!B25</f>
        <v>46254</v>
      </c>
      <c r="AI22" s="138" t="str">
        <f>CONFIG!C25</f>
        <v>qui</v>
      </c>
      <c r="AJ22" s="138">
        <f>CONFIG!D25</f>
        <v>19</v>
      </c>
      <c r="AK22" s="153">
        <f t="shared" si="0"/>
        <v>3.5740758058180763E-2</v>
      </c>
      <c r="AL22" s="139">
        <f>CONFIG!E25</f>
        <v>475.46546407875371</v>
      </c>
      <c r="AM22" s="139">
        <f>CONFIG!F25</f>
        <v>761.68091529648768</v>
      </c>
      <c r="AN22" s="139">
        <f t="shared" si="1"/>
        <v>6035.8828311895741</v>
      </c>
      <c r="AO22" s="139">
        <v>25.829383886255926</v>
      </c>
      <c r="AP22" s="139">
        <v>31.358609794628752</v>
      </c>
      <c r="AQ22" s="139">
        <v>33.789473684210527</v>
      </c>
      <c r="AR22" s="139">
        <v>41.026315789473685</v>
      </c>
      <c r="AS22" s="139">
        <v>7.2368421052631575</v>
      </c>
      <c r="AT22" s="139">
        <v>0</v>
      </c>
      <c r="AU22" s="139">
        <v>0</v>
      </c>
      <c r="AV22" s="139">
        <v>32</v>
      </c>
      <c r="AW22" s="139">
        <v>7</v>
      </c>
      <c r="AX22" s="139">
        <v>0</v>
      </c>
      <c r="AY22" s="305">
        <v>0.94301010725911971</v>
      </c>
      <c r="AZ22" s="305">
        <v>0.94301010725911971</v>
      </c>
      <c r="BA22" s="139">
        <v>19</v>
      </c>
      <c r="BB22" s="139">
        <v>19</v>
      </c>
      <c r="BC22" s="305">
        <v>0.57667123119586283</v>
      </c>
      <c r="BD22" s="305">
        <v>0.47494923723892735</v>
      </c>
      <c r="BF22" s="297">
        <f>CONFIG!O25</f>
        <v>0</v>
      </c>
      <c r="BG22" s="298">
        <f>CONFIG!P25</f>
        <v>0</v>
      </c>
      <c r="BH22" s="298">
        <f>CONFIG!Q25</f>
        <v>8.2051282051282051E-2</v>
      </c>
      <c r="BI22" s="298">
        <f>CONFIG!R25</f>
        <v>0</v>
      </c>
      <c r="BJ22" s="298">
        <f>CONFIG!S25</f>
        <v>8.6369770580296892E-2</v>
      </c>
      <c r="BK22" s="298">
        <f>CONFIG!T25</f>
        <v>1.641025641025641E-2</v>
      </c>
      <c r="BL22" s="298">
        <f>CONFIG!U25</f>
        <v>0</v>
      </c>
      <c r="BM22" s="298">
        <f>CONFIG!V25</f>
        <v>0.18483130904183537</v>
      </c>
      <c r="BO22" s="299">
        <v>0.11545862732520847</v>
      </c>
      <c r="BQ22" s="432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433"/>
    </row>
    <row r="23" spans="1:116">
      <c r="A23" s="572">
        <v>1</v>
      </c>
      <c r="B23" s="162">
        <v>0.4375</v>
      </c>
      <c r="C23" s="163">
        <v>7.3507919954592795</v>
      </c>
      <c r="D23" s="163">
        <v>770.2745378090035</v>
      </c>
      <c r="E23" s="164">
        <v>0.89329999999999998</v>
      </c>
      <c r="F23" s="164">
        <v>0.89329999999999998</v>
      </c>
      <c r="G23" s="163">
        <v>8</v>
      </c>
      <c r="H23" s="163">
        <v>13.333333333333332</v>
      </c>
      <c r="I23" s="163">
        <v>5.3333333333333321</v>
      </c>
      <c r="J23" s="163">
        <v>6</v>
      </c>
      <c r="K23" s="163">
        <v>6.1978947368421053</v>
      </c>
      <c r="L23" s="163">
        <v>0.19789473684210535</v>
      </c>
      <c r="M23" s="163">
        <v>7</v>
      </c>
      <c r="N23" s="163">
        <v>11.929824561403509</v>
      </c>
      <c r="O23" s="163">
        <v>4.9298245614035086</v>
      </c>
      <c r="P23" s="163"/>
      <c r="Q23" s="163">
        <v>8</v>
      </c>
      <c r="R23" s="163">
        <v>0</v>
      </c>
      <c r="S23" s="163">
        <v>0</v>
      </c>
      <c r="T23" s="163">
        <v>0</v>
      </c>
      <c r="U23" s="163">
        <v>0</v>
      </c>
      <c r="V23" s="163">
        <v>0</v>
      </c>
      <c r="W23" s="163">
        <v>0</v>
      </c>
      <c r="X23" s="163">
        <v>0</v>
      </c>
      <c r="Y23" s="163">
        <v>8</v>
      </c>
      <c r="Z23" s="163">
        <v>8</v>
      </c>
      <c r="AA23" s="163">
        <v>0</v>
      </c>
      <c r="AB23" s="163">
        <v>0</v>
      </c>
      <c r="AC23" s="163">
        <v>8</v>
      </c>
      <c r="AD23" s="163">
        <v>0</v>
      </c>
      <c r="AE23" s="165">
        <v>0.50753146809809901</v>
      </c>
      <c r="AF23" s="166">
        <v>0.50753146809809901</v>
      </c>
      <c r="AH23" s="152">
        <f>CONFIG!B26</f>
        <v>46255</v>
      </c>
      <c r="AI23" s="138" t="str">
        <f>CONFIG!C26</f>
        <v>sex</v>
      </c>
      <c r="AJ23" s="138">
        <f>CONFIG!D26</f>
        <v>13</v>
      </c>
      <c r="AK23" s="153">
        <f t="shared" si="0"/>
        <v>4.1095436463161876E-2</v>
      </c>
      <c r="AL23" s="139">
        <f>CONFIG!E26</f>
        <v>499.19315217015691</v>
      </c>
      <c r="AM23" s="139">
        <f>CONFIG!F26</f>
        <v>834.16750825421263</v>
      </c>
      <c r="AN23" s="139">
        <f t="shared" si="1"/>
        <v>6940.1784647224295</v>
      </c>
      <c r="AO23" s="139">
        <v>28.59399684044234</v>
      </c>
      <c r="AP23" s="139">
        <v>34.202211690363349</v>
      </c>
      <c r="AQ23" s="139">
        <v>37.026315789473685</v>
      </c>
      <c r="AR23" s="139">
        <v>41.026315789473685</v>
      </c>
      <c r="AS23" s="139">
        <v>4</v>
      </c>
      <c r="AT23" s="139">
        <v>0</v>
      </c>
      <c r="AU23" s="139">
        <v>0</v>
      </c>
      <c r="AV23" s="139">
        <v>32</v>
      </c>
      <c r="AW23" s="139">
        <v>7</v>
      </c>
      <c r="AX23" s="139">
        <v>0</v>
      </c>
      <c r="AY23" s="305">
        <v>0.8806199916541132</v>
      </c>
      <c r="AZ23" s="305">
        <v>0.8806199916541132</v>
      </c>
      <c r="BA23" s="139">
        <v>19</v>
      </c>
      <c r="BB23" s="139">
        <v>19</v>
      </c>
      <c r="BC23" s="305">
        <v>0.6051026431927089</v>
      </c>
      <c r="BD23" s="305">
        <v>0.54610610581920549</v>
      </c>
      <c r="BF23" s="297">
        <f>CONFIG!O26</f>
        <v>0</v>
      </c>
      <c r="BG23" s="298">
        <f>CONFIG!P26</f>
        <v>0</v>
      </c>
      <c r="BH23" s="298">
        <f>CONFIG!Q26</f>
        <v>8.2051282051282051E-2</v>
      </c>
      <c r="BI23" s="298">
        <f>CONFIG!R26</f>
        <v>0</v>
      </c>
      <c r="BJ23" s="298">
        <f>CONFIG!S26</f>
        <v>8.6369770580296892E-2</v>
      </c>
      <c r="BK23" s="298">
        <f>CONFIG!T26</f>
        <v>1.641025641025641E-2</v>
      </c>
      <c r="BL23" s="298">
        <f>CONFIG!U26</f>
        <v>0</v>
      </c>
      <c r="BM23" s="298">
        <f>CONFIG!V26</f>
        <v>0.18483130904183537</v>
      </c>
      <c r="BO23" s="299">
        <v>0.11545862732520847</v>
      </c>
      <c r="BQ23" s="432"/>
      <c r="BR23" s="164"/>
      <c r="BS23" s="164"/>
      <c r="BT23" s="164"/>
      <c r="BU23" s="164"/>
      <c r="BV23" s="164"/>
      <c r="BW23" s="164"/>
      <c r="BX23" s="164"/>
      <c r="BY23" s="164"/>
      <c r="BZ23" s="164"/>
      <c r="CA23" s="164"/>
      <c r="CB23" s="164"/>
      <c r="CC23" s="164"/>
      <c r="CD23" s="164"/>
      <c r="CE23" s="164"/>
      <c r="CF23" s="164"/>
      <c r="CG23" s="164"/>
      <c r="CH23" s="164"/>
      <c r="CI23" s="164"/>
      <c r="CJ23" s="164"/>
      <c r="CK23" s="164"/>
      <c r="CL23" s="164"/>
      <c r="CM23" s="164"/>
      <c r="CN23" s="164"/>
      <c r="CO23" s="164"/>
      <c r="CP23" s="164"/>
      <c r="CQ23" s="164"/>
      <c r="CR23" s="164"/>
      <c r="CS23" s="164"/>
      <c r="CT23" s="164"/>
      <c r="CU23" s="164"/>
      <c r="CV23" s="164"/>
      <c r="CW23" s="164"/>
      <c r="CX23" s="164"/>
      <c r="CY23" s="164"/>
      <c r="CZ23" s="164"/>
      <c r="DA23" s="164"/>
      <c r="DB23" s="164"/>
      <c r="DC23" s="164"/>
      <c r="DD23" s="164"/>
      <c r="DE23" s="164"/>
      <c r="DF23" s="164"/>
      <c r="DG23" s="164"/>
      <c r="DH23" s="164"/>
      <c r="DI23" s="164"/>
      <c r="DJ23" s="164"/>
      <c r="DK23" s="164"/>
      <c r="DL23" s="433"/>
    </row>
    <row r="24" spans="1:116">
      <c r="A24" s="572">
        <v>1</v>
      </c>
      <c r="B24" s="162">
        <v>0.45833333333333331</v>
      </c>
      <c r="C24" s="163">
        <v>7.1879355532541442</v>
      </c>
      <c r="D24" s="163">
        <v>761.98554876863113</v>
      </c>
      <c r="E24" s="164">
        <v>0.90629999999999999</v>
      </c>
      <c r="F24" s="164">
        <v>0.90629999999999999</v>
      </c>
      <c r="G24" s="163">
        <v>8</v>
      </c>
      <c r="H24" s="163">
        <v>13.333333333333332</v>
      </c>
      <c r="I24" s="163">
        <v>5.3333333333333321</v>
      </c>
      <c r="J24" s="163">
        <v>6</v>
      </c>
      <c r="K24" s="163">
        <v>6.1978947368421053</v>
      </c>
      <c r="L24" s="163">
        <v>0.19789473684210535</v>
      </c>
      <c r="M24" s="163">
        <v>7</v>
      </c>
      <c r="N24" s="163">
        <v>11.929824561403509</v>
      </c>
      <c r="O24" s="163">
        <v>4.9298245614035086</v>
      </c>
      <c r="P24" s="163"/>
      <c r="Q24" s="163">
        <v>8</v>
      </c>
      <c r="R24" s="163">
        <v>0</v>
      </c>
      <c r="S24" s="163">
        <v>0</v>
      </c>
      <c r="T24" s="163">
        <v>0</v>
      </c>
      <c r="U24" s="163">
        <v>0</v>
      </c>
      <c r="V24" s="163">
        <v>0</v>
      </c>
      <c r="W24" s="163">
        <v>0</v>
      </c>
      <c r="X24" s="163">
        <v>0</v>
      </c>
      <c r="Y24" s="163">
        <v>8</v>
      </c>
      <c r="Z24" s="163">
        <v>8</v>
      </c>
      <c r="AA24" s="163">
        <v>0</v>
      </c>
      <c r="AB24" s="163">
        <v>0</v>
      </c>
      <c r="AC24" s="163">
        <v>8</v>
      </c>
      <c r="AD24" s="163">
        <v>0</v>
      </c>
      <c r="AE24" s="165">
        <v>0.49094654534712007</v>
      </c>
      <c r="AF24" s="166">
        <v>0.49094654534712007</v>
      </c>
      <c r="AH24" s="152">
        <f>CONFIG!B27</f>
        <v>46256</v>
      </c>
      <c r="AI24" s="138" t="str">
        <f>CONFIG!C27</f>
        <v>sáb</v>
      </c>
      <c r="AJ24" s="138">
        <f>CONFIG!D27</f>
        <v>22</v>
      </c>
      <c r="AK24" s="153">
        <f t="shared" si="0"/>
        <v>1.2578759488957786E-2</v>
      </c>
      <c r="AL24" s="139">
        <f>CONFIG!E27</f>
        <v>169.28571869795505</v>
      </c>
      <c r="AM24" s="139">
        <f>CONFIG!F27</f>
        <v>752.9147114993732</v>
      </c>
      <c r="AN24" s="139">
        <f t="shared" si="1"/>
        <v>2124.2951342405813</v>
      </c>
      <c r="AO24" s="139">
        <v>13.11216429699842</v>
      </c>
      <c r="AP24" s="139">
        <v>16.903633491311215</v>
      </c>
      <c r="AQ24" s="139">
        <v>18.94736842105263</v>
      </c>
      <c r="AR24" s="139">
        <v>18</v>
      </c>
      <c r="AS24" s="139">
        <v>-0.94736842105263008</v>
      </c>
      <c r="AT24" s="139">
        <v>0</v>
      </c>
      <c r="AU24" s="139">
        <v>0</v>
      </c>
      <c r="AV24" s="139">
        <v>18</v>
      </c>
      <c r="AW24" s="139">
        <v>0</v>
      </c>
      <c r="AX24" s="139">
        <v>0</v>
      </c>
      <c r="AY24" s="304">
        <v>0.80915829134463568</v>
      </c>
      <c r="AZ24" s="305">
        <v>0.80915829134463568</v>
      </c>
      <c r="BA24" s="139">
        <v>8</v>
      </c>
      <c r="BB24" s="139">
        <v>8</v>
      </c>
      <c r="BC24" s="305">
        <v>0.3808273659285456</v>
      </c>
      <c r="BD24" s="305">
        <v>0.40087091150373222</v>
      </c>
      <c r="BF24" s="297">
        <f>CONFIG!O27</f>
        <v>0</v>
      </c>
      <c r="BG24" s="298">
        <f>CONFIG!P27</f>
        <v>0</v>
      </c>
      <c r="BH24" s="298">
        <f>CONFIG!Q27</f>
        <v>8.2051282051282051E-2</v>
      </c>
      <c r="BI24" s="298">
        <f>CONFIG!R27</f>
        <v>0</v>
      </c>
      <c r="BJ24" s="298">
        <f>CONFIG!S27</f>
        <v>8.6369770580296892E-2</v>
      </c>
      <c r="BK24" s="298">
        <f>CONFIG!T27</f>
        <v>1.641025641025641E-2</v>
      </c>
      <c r="BL24" s="298">
        <f>CONFIG!U27</f>
        <v>0</v>
      </c>
      <c r="BM24" s="298">
        <f>CONFIG!V27</f>
        <v>0.18483130904183537</v>
      </c>
      <c r="BO24" s="299">
        <v>0.12573099415204678</v>
      </c>
      <c r="BQ24" s="432"/>
      <c r="BR24" s="164"/>
      <c r="BS24" s="164"/>
      <c r="BT24" s="164"/>
      <c r="BU24" s="164"/>
      <c r="BV24" s="164"/>
      <c r="BW24" s="164"/>
      <c r="BX24" s="164"/>
      <c r="BY24" s="164"/>
      <c r="BZ24" s="164"/>
      <c r="CA24" s="164"/>
      <c r="CB24" s="164"/>
      <c r="CC24" s="164"/>
      <c r="CD24" s="164"/>
      <c r="CE24" s="164"/>
      <c r="CF24" s="164"/>
      <c r="CG24" s="164"/>
      <c r="CH24" s="164"/>
      <c r="CI24" s="164"/>
      <c r="CJ24" s="164"/>
      <c r="CK24" s="164"/>
      <c r="CL24" s="164"/>
      <c r="CM24" s="164"/>
      <c r="CN24" s="164"/>
      <c r="CO24" s="164"/>
      <c r="CP24" s="164"/>
      <c r="CQ24" s="164"/>
      <c r="CR24" s="164"/>
      <c r="CS24" s="164"/>
      <c r="CT24" s="164"/>
      <c r="CU24" s="164"/>
      <c r="CV24" s="164"/>
      <c r="CW24" s="164"/>
      <c r="CX24" s="164"/>
      <c r="CY24" s="164"/>
      <c r="CZ24" s="164"/>
      <c r="DA24" s="164"/>
      <c r="DB24" s="164"/>
      <c r="DC24" s="164"/>
      <c r="DD24" s="164"/>
      <c r="DE24" s="164"/>
      <c r="DF24" s="164"/>
      <c r="DG24" s="164"/>
      <c r="DH24" s="164"/>
      <c r="DI24" s="164"/>
      <c r="DJ24" s="164"/>
      <c r="DK24" s="164"/>
      <c r="DL24" s="433"/>
    </row>
    <row r="25" spans="1:116">
      <c r="A25" s="572">
        <v>1</v>
      </c>
      <c r="B25" s="162">
        <v>0.47916666666666669</v>
      </c>
      <c r="C25" s="163">
        <v>6.5390144624333892</v>
      </c>
      <c r="D25" s="163">
        <v>788.5114958650106</v>
      </c>
      <c r="E25" s="164">
        <v>0.92600000000000005</v>
      </c>
      <c r="F25" s="164">
        <v>0.92600000000000005</v>
      </c>
      <c r="G25" s="163">
        <v>7</v>
      </c>
      <c r="H25" s="163">
        <v>13.333333333333332</v>
      </c>
      <c r="I25" s="163">
        <v>6.3333333333333321</v>
      </c>
      <c r="J25" s="163">
        <v>5</v>
      </c>
      <c r="K25" s="163">
        <v>5.4231578947368426</v>
      </c>
      <c r="L25" s="163">
        <v>0.42315789473684262</v>
      </c>
      <c r="M25" s="163">
        <v>6</v>
      </c>
      <c r="N25" s="163">
        <v>11.929824561403509</v>
      </c>
      <c r="O25" s="163">
        <v>5.9298245614035086</v>
      </c>
      <c r="P25" s="163"/>
      <c r="Q25" s="163">
        <v>8</v>
      </c>
      <c r="R25" s="163">
        <v>0</v>
      </c>
      <c r="S25" s="163">
        <v>0</v>
      </c>
      <c r="T25" s="163">
        <v>0</v>
      </c>
      <c r="U25" s="163">
        <v>0</v>
      </c>
      <c r="V25" s="163">
        <v>0</v>
      </c>
      <c r="W25" s="163">
        <v>0</v>
      </c>
      <c r="X25" s="163">
        <v>0</v>
      </c>
      <c r="Y25" s="163">
        <v>8</v>
      </c>
      <c r="Z25" s="163">
        <v>8</v>
      </c>
      <c r="AA25" s="163">
        <v>0</v>
      </c>
      <c r="AB25" s="163">
        <v>0</v>
      </c>
      <c r="AC25" s="163">
        <v>8</v>
      </c>
      <c r="AD25" s="163">
        <v>0</v>
      </c>
      <c r="AE25" s="165">
        <v>0.46217199497032335</v>
      </c>
      <c r="AF25" s="166">
        <v>0.52819656568036955</v>
      </c>
      <c r="AH25" s="152">
        <f>CONFIG!B28</f>
        <v>46257</v>
      </c>
      <c r="AI25" s="138" t="str">
        <f>CONFIG!C28</f>
        <v>dom</v>
      </c>
      <c r="AJ25" s="138">
        <f>CONFIG!D28</f>
        <v>27</v>
      </c>
      <c r="AK25" s="153">
        <f t="shared" si="0"/>
        <v>9.069825659660977E-3</v>
      </c>
      <c r="AL25" s="139">
        <f>CONFIG!E28</f>
        <v>121.02509929928773</v>
      </c>
      <c r="AM25" s="139">
        <f>CONFIG!F28</f>
        <v>759.36711001896799</v>
      </c>
      <c r="AN25" s="139">
        <f t="shared" si="1"/>
        <v>1531.7079982443126</v>
      </c>
      <c r="AO25" s="139">
        <v>10.742496050552923</v>
      </c>
      <c r="AP25" s="139">
        <v>14.533965244865719</v>
      </c>
      <c r="AQ25" s="139">
        <v>15.868421052631579</v>
      </c>
      <c r="AR25" s="139">
        <v>14</v>
      </c>
      <c r="AS25" s="139">
        <v>-1.8684210526315788</v>
      </c>
      <c r="AT25" s="139">
        <v>0</v>
      </c>
      <c r="AU25" s="139">
        <v>0</v>
      </c>
      <c r="AV25" s="139">
        <v>14</v>
      </c>
      <c r="AW25" s="139">
        <v>0</v>
      </c>
      <c r="AX25" s="139">
        <v>0</v>
      </c>
      <c r="AY25" s="305">
        <v>0.76881965631589277</v>
      </c>
      <c r="AZ25" s="305">
        <v>0.76881965631589277</v>
      </c>
      <c r="BA25" s="139">
        <v>6</v>
      </c>
      <c r="BB25" s="139">
        <v>6</v>
      </c>
      <c r="BC25" s="305">
        <v>0.32787209746829638</v>
      </c>
      <c r="BD25" s="305">
        <v>0.37162946385974194</v>
      </c>
      <c r="BF25" s="297">
        <f>CONFIG!O28</f>
        <v>0</v>
      </c>
      <c r="BG25" s="298">
        <f>CONFIG!P28</f>
        <v>0</v>
      </c>
      <c r="BH25" s="298">
        <f>CONFIG!Q28</f>
        <v>8.2051282051282051E-2</v>
      </c>
      <c r="BI25" s="298">
        <f>CONFIG!R28</f>
        <v>0</v>
      </c>
      <c r="BJ25" s="298">
        <f>CONFIG!S28</f>
        <v>8.6369770580296892E-2</v>
      </c>
      <c r="BK25" s="298">
        <f>CONFIG!T28</f>
        <v>1.641025641025641E-2</v>
      </c>
      <c r="BL25" s="298">
        <f>CONFIG!U28</f>
        <v>0</v>
      </c>
      <c r="BM25" s="298">
        <f>CONFIG!V28</f>
        <v>0.18483130904183537</v>
      </c>
      <c r="BO25" s="299">
        <v>0.15789473684210525</v>
      </c>
      <c r="BQ25" s="432"/>
      <c r="BR25" s="164"/>
      <c r="BS25" s="164"/>
      <c r="BT25" s="164"/>
      <c r="BU25" s="164"/>
      <c r="BV25" s="164"/>
      <c r="BW25" s="164"/>
      <c r="BX25" s="164"/>
      <c r="BY25" s="164"/>
      <c r="BZ25" s="164"/>
      <c r="CA25" s="164"/>
      <c r="CB25" s="164"/>
      <c r="CC25" s="164"/>
      <c r="CD25" s="164"/>
      <c r="CE25" s="164"/>
      <c r="CF25" s="164"/>
      <c r="CG25" s="164"/>
      <c r="CH25" s="164"/>
      <c r="CI25" s="164"/>
      <c r="CJ25" s="164"/>
      <c r="CK25" s="164"/>
      <c r="CL25" s="164"/>
      <c r="CM25" s="164"/>
      <c r="CN25" s="164"/>
      <c r="CO25" s="164"/>
      <c r="CP25" s="164"/>
      <c r="CQ25" s="164"/>
      <c r="CR25" s="164"/>
      <c r="CS25" s="164"/>
      <c r="CT25" s="164"/>
      <c r="CU25" s="164"/>
      <c r="CV25" s="164"/>
      <c r="CW25" s="164"/>
      <c r="CX25" s="164"/>
      <c r="CY25" s="164"/>
      <c r="CZ25" s="164"/>
      <c r="DA25" s="164"/>
      <c r="DB25" s="164"/>
      <c r="DC25" s="164"/>
      <c r="DD25" s="164"/>
      <c r="DE25" s="164"/>
      <c r="DF25" s="164"/>
      <c r="DG25" s="164"/>
      <c r="DH25" s="164"/>
      <c r="DI25" s="164"/>
      <c r="DJ25" s="164"/>
      <c r="DK25" s="164"/>
      <c r="DL25" s="433"/>
    </row>
    <row r="26" spans="1:116">
      <c r="A26" s="572">
        <v>1</v>
      </c>
      <c r="B26" s="162">
        <v>0.5</v>
      </c>
      <c r="C26" s="163">
        <v>5.8064986190630155</v>
      </c>
      <c r="D26" s="163">
        <v>734.06484166758798</v>
      </c>
      <c r="E26" s="164">
        <v>0.9667</v>
      </c>
      <c r="F26" s="164">
        <v>0.9667</v>
      </c>
      <c r="G26" s="163">
        <v>7</v>
      </c>
      <c r="H26" s="163">
        <v>13.333333333333332</v>
      </c>
      <c r="I26" s="163">
        <v>6.3333333333333321</v>
      </c>
      <c r="J26" s="163">
        <v>5</v>
      </c>
      <c r="K26" s="163">
        <v>5.4231578947368426</v>
      </c>
      <c r="L26" s="163">
        <v>0.42315789473684262</v>
      </c>
      <c r="M26" s="163">
        <v>6</v>
      </c>
      <c r="N26" s="163">
        <v>11.929824561403509</v>
      </c>
      <c r="O26" s="163">
        <v>5.9298245614035086</v>
      </c>
      <c r="P26" s="163"/>
      <c r="Q26" s="163">
        <v>8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3">
        <v>8</v>
      </c>
      <c r="Z26" s="163">
        <v>8</v>
      </c>
      <c r="AA26" s="163">
        <v>0</v>
      </c>
      <c r="AB26" s="163">
        <v>0</v>
      </c>
      <c r="AC26" s="163">
        <v>8</v>
      </c>
      <c r="AD26" s="163">
        <v>0</v>
      </c>
      <c r="AE26" s="165">
        <v>0.38206042091006964</v>
      </c>
      <c r="AF26" s="166">
        <v>0.43664048104007958</v>
      </c>
      <c r="AH26" s="152">
        <f>CONFIG!B29</f>
        <v>46258</v>
      </c>
      <c r="AI26" s="138" t="str">
        <f>CONFIG!C29</f>
        <v>seg</v>
      </c>
      <c r="AJ26" s="138">
        <f>CONFIG!D29</f>
        <v>5</v>
      </c>
      <c r="AK26" s="153">
        <f t="shared" si="0"/>
        <v>4.8843400656134454E-2</v>
      </c>
      <c r="AL26" s="139">
        <f>CONFIG!E29</f>
        <v>602.47115998505353</v>
      </c>
      <c r="AM26" s="139">
        <f>CONFIG!F29</f>
        <v>821.48175572531045</v>
      </c>
      <c r="AN26" s="139">
        <f t="shared" si="1"/>
        <v>8248.65110463977</v>
      </c>
      <c r="AO26" s="139">
        <v>32.938388625592417</v>
      </c>
      <c r="AP26" s="139">
        <v>38.862559241706158</v>
      </c>
      <c r="AQ26" s="139">
        <v>42.078947368421055</v>
      </c>
      <c r="AR26" s="139">
        <v>41.026315789473685</v>
      </c>
      <c r="AS26" s="139">
        <v>-1.0526315789473699</v>
      </c>
      <c r="AT26" s="139">
        <v>0</v>
      </c>
      <c r="AU26" s="139">
        <v>0</v>
      </c>
      <c r="AV26" s="139">
        <v>32</v>
      </c>
      <c r="AW26" s="139">
        <v>7</v>
      </c>
      <c r="AX26" s="139">
        <v>0</v>
      </c>
      <c r="AY26" s="305">
        <v>0.70934038780787623</v>
      </c>
      <c r="AZ26" s="305">
        <v>0.70934038780787623</v>
      </c>
      <c r="BA26" s="139">
        <v>19</v>
      </c>
      <c r="BB26" s="139">
        <v>19</v>
      </c>
      <c r="BC26" s="305">
        <v>0.63282988442113919</v>
      </c>
      <c r="BD26" s="305">
        <v>0.64906669992905786</v>
      </c>
      <c r="BF26" s="297">
        <f>CONFIG!O29</f>
        <v>0</v>
      </c>
      <c r="BG26" s="298">
        <f>CONFIG!P29</f>
        <v>0</v>
      </c>
      <c r="BH26" s="298">
        <f>CONFIG!Q29</f>
        <v>8.2051282051282051E-2</v>
      </c>
      <c r="BI26" s="298">
        <f>CONFIG!R29</f>
        <v>0</v>
      </c>
      <c r="BJ26" s="298">
        <f>CONFIG!S29</f>
        <v>8.6369770580296892E-2</v>
      </c>
      <c r="BK26" s="298">
        <f>CONFIG!T29</f>
        <v>1.641025641025641E-2</v>
      </c>
      <c r="BL26" s="298">
        <f>CONFIG!U29</f>
        <v>0</v>
      </c>
      <c r="BM26" s="298">
        <f>CONFIG!V29</f>
        <v>0.18483130904183537</v>
      </c>
      <c r="BO26" s="299">
        <v>0.11545862732520847</v>
      </c>
      <c r="BQ26" s="432"/>
      <c r="BR26" s="164"/>
      <c r="BS26" s="164"/>
      <c r="BT26" s="164"/>
      <c r="BU26" s="164"/>
      <c r="BV26" s="164"/>
      <c r="BW26" s="164"/>
      <c r="BX26" s="164"/>
      <c r="BY26" s="164"/>
      <c r="BZ26" s="164"/>
      <c r="CA26" s="164"/>
      <c r="CB26" s="164"/>
      <c r="CC26" s="164"/>
      <c r="CD26" s="164"/>
      <c r="CE26" s="164"/>
      <c r="CF26" s="164"/>
      <c r="CG26" s="164"/>
      <c r="CH26" s="164"/>
      <c r="CI26" s="164"/>
      <c r="CJ26" s="164"/>
      <c r="CK26" s="164"/>
      <c r="CL26" s="164"/>
      <c r="CM26" s="164"/>
      <c r="CN26" s="164"/>
      <c r="CO26" s="164"/>
      <c r="CP26" s="164"/>
      <c r="CQ26" s="164"/>
      <c r="CR26" s="164"/>
      <c r="CS26" s="164"/>
      <c r="CT26" s="164"/>
      <c r="CU26" s="164"/>
      <c r="CV26" s="164"/>
      <c r="CW26" s="164"/>
      <c r="CX26" s="164"/>
      <c r="CY26" s="164"/>
      <c r="CZ26" s="164"/>
      <c r="DA26" s="164"/>
      <c r="DB26" s="164"/>
      <c r="DC26" s="164"/>
      <c r="DD26" s="164"/>
      <c r="DE26" s="164"/>
      <c r="DF26" s="164"/>
      <c r="DG26" s="164"/>
      <c r="DH26" s="164"/>
      <c r="DI26" s="164"/>
      <c r="DJ26" s="164"/>
      <c r="DK26" s="164"/>
      <c r="DL26" s="433"/>
    </row>
    <row r="27" spans="1:116">
      <c r="A27" s="572">
        <v>1</v>
      </c>
      <c r="B27" s="162">
        <v>0.52083333333333337</v>
      </c>
      <c r="C27" s="163">
        <v>5.8594464689584349</v>
      </c>
      <c r="D27" s="163">
        <v>730.78615504283721</v>
      </c>
      <c r="E27" s="164">
        <v>0.83560000000000001</v>
      </c>
      <c r="F27" s="164">
        <v>0.83560000000000001</v>
      </c>
      <c r="G27" s="163">
        <v>7</v>
      </c>
      <c r="H27" s="163">
        <v>12</v>
      </c>
      <c r="I27" s="163">
        <v>5</v>
      </c>
      <c r="J27" s="163">
        <v>5</v>
      </c>
      <c r="K27" s="163">
        <v>5.4231578947368426</v>
      </c>
      <c r="L27" s="163">
        <v>0.42315789473684262</v>
      </c>
      <c r="M27" s="163">
        <v>6</v>
      </c>
      <c r="N27" s="163">
        <v>10.736842105263158</v>
      </c>
      <c r="O27" s="163">
        <v>4.7368421052631575</v>
      </c>
      <c r="P27" s="163"/>
      <c r="Q27" s="163">
        <v>8</v>
      </c>
      <c r="R27" s="163">
        <v>0</v>
      </c>
      <c r="S27" s="163">
        <v>0</v>
      </c>
      <c r="T27" s="163">
        <v>0</v>
      </c>
      <c r="U27" s="163">
        <v>0</v>
      </c>
      <c r="V27" s="163">
        <v>0</v>
      </c>
      <c r="W27" s="163">
        <v>0</v>
      </c>
      <c r="X27" s="163">
        <v>0</v>
      </c>
      <c r="Y27" s="163">
        <v>8</v>
      </c>
      <c r="Z27" s="163">
        <v>8</v>
      </c>
      <c r="AA27" s="163">
        <v>0</v>
      </c>
      <c r="AB27" s="163">
        <v>0</v>
      </c>
      <c r="AC27" s="163">
        <v>8</v>
      </c>
      <c r="AD27" s="163">
        <v>0</v>
      </c>
      <c r="AE27" s="165">
        <v>0.38382229751122721</v>
      </c>
      <c r="AF27" s="166">
        <v>0.43865405429854537</v>
      </c>
      <c r="AH27" s="152">
        <f>CONFIG!B30</f>
        <v>46259</v>
      </c>
      <c r="AI27" s="138" t="str">
        <f>CONFIG!C30</f>
        <v>ter</v>
      </c>
      <c r="AJ27" s="138">
        <f>CONFIG!D30</f>
        <v>11</v>
      </c>
      <c r="AK27" s="153">
        <f t="shared" si="0"/>
        <v>4.2965993321556824E-2</v>
      </c>
      <c r="AL27" s="139">
        <f>CONFIG!E30</f>
        <v>551.4939434865986</v>
      </c>
      <c r="AM27" s="139">
        <f>CONFIG!F30</f>
        <v>789.4277717696807</v>
      </c>
      <c r="AN27" s="139">
        <f t="shared" ref="AN27:AN33" si="2">AM27*AL27/60</f>
        <v>7256.0772491849957</v>
      </c>
      <c r="AO27" s="139">
        <v>30.015797788309637</v>
      </c>
      <c r="AP27" s="139">
        <v>35.78199052132701</v>
      </c>
      <c r="AQ27" s="139">
        <v>38.60526315789474</v>
      </c>
      <c r="AR27" s="139">
        <v>41.026315789473685</v>
      </c>
      <c r="AS27" s="139">
        <v>2.4210526315789451</v>
      </c>
      <c r="AT27" s="139">
        <v>0</v>
      </c>
      <c r="AU27" s="139">
        <v>0</v>
      </c>
      <c r="AV27" s="139">
        <v>32</v>
      </c>
      <c r="AW27" s="139">
        <v>7</v>
      </c>
      <c r="AX27" s="139">
        <v>0</v>
      </c>
      <c r="AY27" s="305">
        <v>0.84971510684468476</v>
      </c>
      <c r="AZ27" s="305">
        <v>0.84971510684468476</v>
      </c>
      <c r="BA27" s="139">
        <v>19</v>
      </c>
      <c r="BB27" s="139">
        <v>19</v>
      </c>
      <c r="BC27" s="305">
        <v>0.60677026919515453</v>
      </c>
      <c r="BD27" s="305">
        <v>0.57096342842161107</v>
      </c>
      <c r="BF27" s="297">
        <f>CONFIG!O30</f>
        <v>0</v>
      </c>
      <c r="BG27" s="298">
        <f>CONFIG!P30</f>
        <v>0</v>
      </c>
      <c r="BH27" s="298">
        <f>CONFIG!Q30</f>
        <v>8.2051282051282051E-2</v>
      </c>
      <c r="BI27" s="298">
        <f>CONFIG!R30</f>
        <v>0</v>
      </c>
      <c r="BJ27" s="298">
        <f>CONFIG!S30</f>
        <v>8.6369770580296892E-2</v>
      </c>
      <c r="BK27" s="298">
        <f>CONFIG!T30</f>
        <v>1.641025641025641E-2</v>
      </c>
      <c r="BL27" s="298">
        <f>CONFIG!U30</f>
        <v>0</v>
      </c>
      <c r="BM27" s="298">
        <f>CONFIG!V30</f>
        <v>0.18483130904183537</v>
      </c>
      <c r="BO27" s="299">
        <v>0.11545862732520847</v>
      </c>
      <c r="BQ27" s="432"/>
      <c r="BR27" s="164"/>
      <c r="BS27" s="164"/>
      <c r="BT27" s="164"/>
      <c r="BU27" s="164"/>
      <c r="BV27" s="164"/>
      <c r="BW27" s="164"/>
      <c r="BX27" s="164"/>
      <c r="BY27" s="164"/>
      <c r="BZ27" s="164"/>
      <c r="CA27" s="164"/>
      <c r="CB27" s="164"/>
      <c r="CC27" s="164"/>
      <c r="CD27" s="164"/>
      <c r="CE27" s="164"/>
      <c r="CF27" s="164"/>
      <c r="CG27" s="164"/>
      <c r="CH27" s="164"/>
      <c r="CI27" s="164"/>
      <c r="CJ27" s="164"/>
      <c r="CK27" s="164"/>
      <c r="CL27" s="164"/>
      <c r="CM27" s="164"/>
      <c r="CN27" s="164"/>
      <c r="CO27" s="164"/>
      <c r="CP27" s="164"/>
      <c r="CQ27" s="164"/>
      <c r="CR27" s="164"/>
      <c r="CS27" s="164"/>
      <c r="CT27" s="164"/>
      <c r="CU27" s="164"/>
      <c r="CV27" s="164"/>
      <c r="CW27" s="164"/>
      <c r="CX27" s="164"/>
      <c r="CY27" s="164"/>
      <c r="CZ27" s="164"/>
      <c r="DA27" s="164"/>
      <c r="DB27" s="164"/>
      <c r="DC27" s="164"/>
      <c r="DD27" s="164"/>
      <c r="DE27" s="164"/>
      <c r="DF27" s="164"/>
      <c r="DG27" s="164"/>
      <c r="DH27" s="164"/>
      <c r="DI27" s="164"/>
      <c r="DJ27" s="164"/>
      <c r="DK27" s="164"/>
      <c r="DL27" s="433"/>
    </row>
    <row r="28" spans="1:116">
      <c r="A28" s="572">
        <v>1</v>
      </c>
      <c r="B28" s="162">
        <v>0.54166666666666663</v>
      </c>
      <c r="C28" s="163">
        <v>5.1972080816356181</v>
      </c>
      <c r="D28" s="163">
        <v>740.03895031982552</v>
      </c>
      <c r="E28" s="164">
        <v>0.82640000000000002</v>
      </c>
      <c r="F28" s="164">
        <v>0.82640000000000002</v>
      </c>
      <c r="G28" s="163">
        <v>6</v>
      </c>
      <c r="H28" s="163">
        <v>10</v>
      </c>
      <c r="I28" s="163">
        <v>4</v>
      </c>
      <c r="J28" s="163">
        <v>4</v>
      </c>
      <c r="K28" s="163">
        <v>4.648421052631579</v>
      </c>
      <c r="L28" s="163">
        <v>0.64842105263157901</v>
      </c>
      <c r="M28" s="163">
        <v>5</v>
      </c>
      <c r="N28" s="163">
        <v>8.9473684210526319</v>
      </c>
      <c r="O28" s="163">
        <v>3.9473684210526319</v>
      </c>
      <c r="P28" s="163"/>
      <c r="Q28" s="163">
        <v>6</v>
      </c>
      <c r="R28" s="163">
        <v>0</v>
      </c>
      <c r="S28" s="163">
        <v>0</v>
      </c>
      <c r="T28" s="163">
        <v>0</v>
      </c>
      <c r="U28" s="163">
        <v>0</v>
      </c>
      <c r="V28" s="163">
        <v>0</v>
      </c>
      <c r="W28" s="163">
        <v>0</v>
      </c>
      <c r="X28" s="163">
        <v>0</v>
      </c>
      <c r="Y28" s="163">
        <v>6</v>
      </c>
      <c r="Z28" s="163">
        <v>6</v>
      </c>
      <c r="AA28" s="163">
        <v>0</v>
      </c>
      <c r="AB28" s="163">
        <v>0</v>
      </c>
      <c r="AC28" s="163">
        <v>6</v>
      </c>
      <c r="AD28" s="163">
        <v>0</v>
      </c>
      <c r="AE28" s="165">
        <v>0.4596705908641518</v>
      </c>
      <c r="AF28" s="166">
        <v>0.4596705908641518</v>
      </c>
      <c r="AH28" s="152">
        <f>CONFIG!B31</f>
        <v>46260</v>
      </c>
      <c r="AI28" s="138" t="str">
        <f>CONFIG!C31</f>
        <v>qua</v>
      </c>
      <c r="AJ28" s="138">
        <f>CONFIG!D31</f>
        <v>12</v>
      </c>
      <c r="AK28" s="153">
        <f t="shared" si="0"/>
        <v>4.1567769505066229E-2</v>
      </c>
      <c r="AL28" s="139">
        <f>CONFIG!E31</f>
        <v>520.8666294585928</v>
      </c>
      <c r="AM28" s="139">
        <f>CONFIG!F31</f>
        <v>808.64606659917195</v>
      </c>
      <c r="AN28" s="139">
        <f t="shared" si="2"/>
        <v>7019.9458522409905</v>
      </c>
      <c r="AO28" s="139">
        <v>29.067930489731438</v>
      </c>
      <c r="AP28" s="139">
        <v>34.834123222748815</v>
      </c>
      <c r="AQ28" s="139">
        <v>37.578947368421055</v>
      </c>
      <c r="AR28" s="139">
        <v>41.026315789473685</v>
      </c>
      <c r="AS28" s="139">
        <v>3.4473684210526301</v>
      </c>
      <c r="AT28" s="139">
        <v>0</v>
      </c>
      <c r="AU28" s="139">
        <v>0</v>
      </c>
      <c r="AV28" s="139">
        <v>32</v>
      </c>
      <c r="AW28" s="139">
        <v>7</v>
      </c>
      <c r="AX28" s="139">
        <v>0</v>
      </c>
      <c r="AY28" s="304">
        <v>0.86939795543199039</v>
      </c>
      <c r="AZ28" s="305">
        <v>0.86939795543199039</v>
      </c>
      <c r="BA28" s="139">
        <v>19</v>
      </c>
      <c r="BB28" s="139">
        <v>19</v>
      </c>
      <c r="BC28" s="305">
        <v>0.60305658478831003</v>
      </c>
      <c r="BD28" s="305">
        <v>0.55238281146741941</v>
      </c>
      <c r="BF28" s="297">
        <f>CONFIG!O31</f>
        <v>0</v>
      </c>
      <c r="BG28" s="298">
        <f>CONFIG!P31</f>
        <v>0</v>
      </c>
      <c r="BH28" s="298">
        <f>CONFIG!Q31</f>
        <v>8.2051282051282051E-2</v>
      </c>
      <c r="BI28" s="298">
        <f>CONFIG!R31</f>
        <v>0</v>
      </c>
      <c r="BJ28" s="298">
        <f>CONFIG!S31</f>
        <v>8.6369770580296892E-2</v>
      </c>
      <c r="BK28" s="298">
        <f>CONFIG!T31</f>
        <v>1.641025641025641E-2</v>
      </c>
      <c r="BL28" s="298">
        <f>CONFIG!U31</f>
        <v>0</v>
      </c>
      <c r="BM28" s="298">
        <f>CONFIG!V31</f>
        <v>0.18483130904183537</v>
      </c>
      <c r="BO28" s="299">
        <v>0.11545862732520847</v>
      </c>
      <c r="BQ28" s="432"/>
      <c r="BR28" s="164"/>
      <c r="BS28" s="164"/>
      <c r="BT28" s="164"/>
      <c r="BU28" s="164"/>
      <c r="BV28" s="164"/>
      <c r="BW28" s="164"/>
      <c r="BX28" s="164"/>
      <c r="BY28" s="164"/>
      <c r="BZ28" s="164"/>
      <c r="CA28" s="164"/>
      <c r="CB28" s="164"/>
      <c r="CC28" s="164"/>
      <c r="CD28" s="164"/>
      <c r="CE28" s="164"/>
      <c r="CF28" s="164"/>
      <c r="CG28" s="164"/>
      <c r="CH28" s="164"/>
      <c r="CI28" s="164"/>
      <c r="CJ28" s="164"/>
      <c r="CK28" s="164"/>
      <c r="CL28" s="164"/>
      <c r="CM28" s="164"/>
      <c r="CN28" s="164"/>
      <c r="CO28" s="164"/>
      <c r="CP28" s="164"/>
      <c r="CQ28" s="164"/>
      <c r="CR28" s="164"/>
      <c r="CS28" s="164"/>
      <c r="CT28" s="164"/>
      <c r="CU28" s="164"/>
      <c r="CV28" s="164"/>
      <c r="CW28" s="164"/>
      <c r="CX28" s="164"/>
      <c r="CY28" s="164"/>
      <c r="CZ28" s="164"/>
      <c r="DA28" s="164"/>
      <c r="DB28" s="164"/>
      <c r="DC28" s="164"/>
      <c r="DD28" s="164"/>
      <c r="DE28" s="164"/>
      <c r="DF28" s="164"/>
      <c r="DG28" s="164"/>
      <c r="DH28" s="164"/>
      <c r="DI28" s="164"/>
      <c r="DJ28" s="164"/>
      <c r="DK28" s="164"/>
      <c r="DL28" s="433"/>
    </row>
    <row r="29" spans="1:116">
      <c r="A29" s="602">
        <v>1</v>
      </c>
      <c r="B29" s="162">
        <v>0.5625</v>
      </c>
      <c r="C29" s="163">
        <v>4.6973125511279132</v>
      </c>
      <c r="D29" s="163">
        <v>749.18570316800219</v>
      </c>
      <c r="E29" s="164">
        <v>0.86350000000000005</v>
      </c>
      <c r="F29" s="164">
        <v>0.86350000000000005</v>
      </c>
      <c r="G29" s="163">
        <v>6</v>
      </c>
      <c r="H29" s="163">
        <v>10</v>
      </c>
      <c r="I29" s="163">
        <v>4</v>
      </c>
      <c r="J29" s="163">
        <v>4</v>
      </c>
      <c r="K29" s="163">
        <v>4.648421052631579</v>
      </c>
      <c r="L29" s="163">
        <v>0.64842105263157901</v>
      </c>
      <c r="M29" s="163">
        <v>5</v>
      </c>
      <c r="N29" s="163">
        <v>8.9473684210526319</v>
      </c>
      <c r="O29" s="163">
        <v>3.9473684210526319</v>
      </c>
      <c r="P29" s="163"/>
      <c r="Q29" s="163">
        <v>6</v>
      </c>
      <c r="R29" s="163">
        <v>0</v>
      </c>
      <c r="S29" s="163">
        <v>0</v>
      </c>
      <c r="T29" s="163">
        <v>0</v>
      </c>
      <c r="U29" s="163">
        <v>0</v>
      </c>
      <c r="V29" s="163">
        <v>0</v>
      </c>
      <c r="W29" s="163">
        <v>0</v>
      </c>
      <c r="X29" s="163">
        <v>0</v>
      </c>
      <c r="Y29" s="163">
        <v>6</v>
      </c>
      <c r="Z29" s="163">
        <v>6</v>
      </c>
      <c r="AA29" s="163">
        <v>0</v>
      </c>
      <c r="AB29" s="163">
        <v>0</v>
      </c>
      <c r="AC29" s="163">
        <v>6</v>
      </c>
      <c r="AD29" s="163">
        <v>0</v>
      </c>
      <c r="AE29" s="165">
        <v>0.42059196813177019</v>
      </c>
      <c r="AF29" s="166">
        <v>0.42059196813177019</v>
      </c>
      <c r="AH29" s="152">
        <f>CONFIG!B32</f>
        <v>46261</v>
      </c>
      <c r="AI29" s="138" t="str">
        <f>CONFIG!C32</f>
        <v>qui</v>
      </c>
      <c r="AJ29" s="138">
        <f>CONFIG!D32</f>
        <v>21</v>
      </c>
      <c r="AK29" s="153">
        <f t="shared" si="0"/>
        <v>3.0252646014049069E-2</v>
      </c>
      <c r="AL29" s="139">
        <f>CONFIG!E32</f>
        <v>421.12506771243676</v>
      </c>
      <c r="AM29" s="139">
        <f>CONFIG!F32</f>
        <v>727.91482306455271</v>
      </c>
      <c r="AN29" s="139">
        <f t="shared" si="2"/>
        <v>5109.0529858657692</v>
      </c>
      <c r="AO29" s="139">
        <v>23.064770932069511</v>
      </c>
      <c r="AP29" s="139">
        <v>28.278041074249604</v>
      </c>
      <c r="AQ29" s="139">
        <v>30.631578947368421</v>
      </c>
      <c r="AR29" s="139">
        <v>41.026315789473685</v>
      </c>
      <c r="AS29" s="139">
        <v>10.394736842105264</v>
      </c>
      <c r="AT29" s="139">
        <v>0</v>
      </c>
      <c r="AU29" s="139">
        <v>0</v>
      </c>
      <c r="AV29" s="139">
        <v>32</v>
      </c>
      <c r="AW29" s="139">
        <v>7</v>
      </c>
      <c r="AX29" s="139">
        <v>0</v>
      </c>
      <c r="AY29" s="305">
        <v>0.97654999660601594</v>
      </c>
      <c r="AZ29" s="305">
        <v>0.97654999660601594</v>
      </c>
      <c r="BA29" s="139">
        <v>19</v>
      </c>
      <c r="BB29" s="139">
        <v>19</v>
      </c>
      <c r="BC29" s="305">
        <v>0.53844324824056133</v>
      </c>
      <c r="BD29" s="305">
        <v>0.40201920522900159</v>
      </c>
      <c r="BF29" s="297">
        <f>CONFIG!O32</f>
        <v>0</v>
      </c>
      <c r="BG29" s="298">
        <f>CONFIG!P32</f>
        <v>0</v>
      </c>
      <c r="BH29" s="298">
        <f>CONFIG!Q32</f>
        <v>8.2051282051282051E-2</v>
      </c>
      <c r="BI29" s="298">
        <f>CONFIG!R32</f>
        <v>0</v>
      </c>
      <c r="BJ29" s="298">
        <f>CONFIG!S32</f>
        <v>8.6369770580296892E-2</v>
      </c>
      <c r="BK29" s="298">
        <f>CONFIG!T32</f>
        <v>1.641025641025641E-2</v>
      </c>
      <c r="BL29" s="298">
        <f>CONFIG!U32</f>
        <v>0</v>
      </c>
      <c r="BM29" s="298">
        <f>CONFIG!V32</f>
        <v>0.18483130904183537</v>
      </c>
      <c r="BO29" s="299">
        <v>0.11545862732520847</v>
      </c>
      <c r="BQ29" s="432"/>
      <c r="BR29" s="164"/>
      <c r="BS29" s="164"/>
      <c r="BT29" s="164"/>
      <c r="BU29" s="164"/>
      <c r="BV29" s="164"/>
      <c r="BW29" s="164"/>
      <c r="BX29" s="164"/>
      <c r="BY29" s="164"/>
      <c r="BZ29" s="164"/>
      <c r="CA29" s="164"/>
      <c r="CB29" s="164"/>
      <c r="CC29" s="164"/>
      <c r="CD29" s="164"/>
      <c r="CE29" s="164"/>
      <c r="CF29" s="164"/>
      <c r="CG29" s="164"/>
      <c r="CH29" s="164"/>
      <c r="CI29" s="164"/>
      <c r="CJ29" s="164"/>
      <c r="CK29" s="164"/>
      <c r="CL29" s="164"/>
      <c r="CM29" s="164"/>
      <c r="CN29" s="164"/>
      <c r="CO29" s="164"/>
      <c r="CP29" s="164"/>
      <c r="CQ29" s="164"/>
      <c r="CR29" s="164"/>
      <c r="CS29" s="164"/>
      <c r="CT29" s="164"/>
      <c r="CU29" s="164"/>
      <c r="CV29" s="164"/>
      <c r="CW29" s="164"/>
      <c r="CX29" s="164"/>
      <c r="CY29" s="164"/>
      <c r="CZ29" s="164"/>
      <c r="DA29" s="164"/>
      <c r="DB29" s="164"/>
      <c r="DC29" s="164"/>
      <c r="DD29" s="164"/>
      <c r="DE29" s="164"/>
      <c r="DF29" s="164"/>
      <c r="DG29" s="164"/>
      <c r="DH29" s="164"/>
      <c r="DI29" s="164"/>
      <c r="DJ29" s="164"/>
      <c r="DK29" s="164"/>
      <c r="DL29" s="433"/>
    </row>
    <row r="30" spans="1:116">
      <c r="A30" s="602">
        <v>1</v>
      </c>
      <c r="B30" s="162">
        <v>0.58333333333333337</v>
      </c>
      <c r="C30" s="163">
        <v>4.980037871267851</v>
      </c>
      <c r="D30" s="163">
        <v>761.69317714072395</v>
      </c>
      <c r="E30" s="164">
        <v>0.83240000000000014</v>
      </c>
      <c r="F30" s="164">
        <v>0.83240000000000014</v>
      </c>
      <c r="G30" s="163">
        <v>6</v>
      </c>
      <c r="H30" s="163">
        <v>10</v>
      </c>
      <c r="I30" s="163">
        <v>4</v>
      </c>
      <c r="J30" s="163">
        <v>4</v>
      </c>
      <c r="K30" s="163">
        <v>4.648421052631579</v>
      </c>
      <c r="L30" s="163">
        <v>0.64842105263157901</v>
      </c>
      <c r="M30" s="163">
        <v>5</v>
      </c>
      <c r="N30" s="163">
        <v>8.9473684210526319</v>
      </c>
      <c r="O30" s="163">
        <v>3.9473684210526319</v>
      </c>
      <c r="P30" s="163"/>
      <c r="Q30" s="163">
        <v>6</v>
      </c>
      <c r="R30" s="163">
        <v>0</v>
      </c>
      <c r="S30" s="163">
        <v>0</v>
      </c>
      <c r="T30" s="163">
        <v>0</v>
      </c>
      <c r="U30" s="163">
        <v>0</v>
      </c>
      <c r="V30" s="163">
        <v>0</v>
      </c>
      <c r="W30" s="163">
        <v>0</v>
      </c>
      <c r="X30" s="163">
        <v>0</v>
      </c>
      <c r="Y30" s="163">
        <v>6</v>
      </c>
      <c r="Z30" s="163">
        <v>6</v>
      </c>
      <c r="AA30" s="163">
        <v>0</v>
      </c>
      <c r="AB30" s="163">
        <v>0</v>
      </c>
      <c r="AC30" s="163">
        <v>6</v>
      </c>
      <c r="AD30" s="163">
        <v>0</v>
      </c>
      <c r="AE30" s="165">
        <v>0.45335117565227201</v>
      </c>
      <c r="AF30" s="166">
        <v>0.45335117565227201</v>
      </c>
      <c r="AH30" s="152">
        <f>CONFIG!B33</f>
        <v>46262</v>
      </c>
      <c r="AI30" s="138" t="str">
        <f>CONFIG!C33</f>
        <v>sex</v>
      </c>
      <c r="AJ30" s="138">
        <f>CONFIG!D33</f>
        <v>20</v>
      </c>
      <c r="AK30" s="153">
        <f t="shared" si="0"/>
        <v>3.2478340401614202E-2</v>
      </c>
      <c r="AL30" s="139">
        <f>CONFIG!E33</f>
        <v>424.4285470339434</v>
      </c>
      <c r="AM30" s="139">
        <f>CONFIG!F33</f>
        <v>775.38524753757838</v>
      </c>
      <c r="AN30" s="139">
        <f t="shared" si="2"/>
        <v>5484.9272333988156</v>
      </c>
      <c r="AO30" s="139">
        <v>24.091627172195896</v>
      </c>
      <c r="AP30" s="139">
        <v>29.541864139020536</v>
      </c>
      <c r="AQ30" s="139">
        <v>31.894736842105264</v>
      </c>
      <c r="AR30" s="139">
        <v>41.026315789473685</v>
      </c>
      <c r="AS30" s="139">
        <v>9.1315789473684212</v>
      </c>
      <c r="AT30" s="139">
        <v>0</v>
      </c>
      <c r="AU30" s="139">
        <v>0</v>
      </c>
      <c r="AV30" s="139">
        <v>32</v>
      </c>
      <c r="AW30" s="139">
        <v>7</v>
      </c>
      <c r="AX30" s="139">
        <v>0</v>
      </c>
      <c r="AY30" s="304">
        <v>0.96643462065742125</v>
      </c>
      <c r="AZ30" s="305">
        <v>0.96643462065742125</v>
      </c>
      <c r="BA30" s="139">
        <v>19</v>
      </c>
      <c r="BB30" s="139">
        <v>19</v>
      </c>
      <c r="BC30" s="305">
        <v>0.55516331398677399</v>
      </c>
      <c r="BD30" s="305">
        <v>0.43159585410645929</v>
      </c>
      <c r="BF30" s="297">
        <f>CONFIG!O33</f>
        <v>0</v>
      </c>
      <c r="BG30" s="298">
        <f>CONFIG!P33</f>
        <v>0</v>
      </c>
      <c r="BH30" s="298">
        <f>CONFIG!Q33</f>
        <v>8.2051282051282051E-2</v>
      </c>
      <c r="BI30" s="298">
        <f>CONFIG!R33</f>
        <v>0</v>
      </c>
      <c r="BJ30" s="298">
        <f>CONFIG!S33</f>
        <v>8.6369770580296892E-2</v>
      </c>
      <c r="BK30" s="298">
        <f>CONFIG!T33</f>
        <v>1.641025641025641E-2</v>
      </c>
      <c r="BL30" s="298">
        <f>CONFIG!U33</f>
        <v>0</v>
      </c>
      <c r="BM30" s="298">
        <f>CONFIG!V33</f>
        <v>0.18483130904183537</v>
      </c>
      <c r="BO30" s="299">
        <v>0.11545862732520847</v>
      </c>
      <c r="BQ30" s="432"/>
      <c r="BR30" s="164"/>
      <c r="BS30" s="164"/>
      <c r="BT30" s="164"/>
      <c r="BU30" s="164"/>
      <c r="BV30" s="164"/>
      <c r="BW30" s="164"/>
      <c r="BX30" s="164"/>
      <c r="BY30" s="164"/>
      <c r="BZ30" s="164"/>
      <c r="CA30" s="164"/>
      <c r="CB30" s="164"/>
      <c r="CC30" s="164"/>
      <c r="CD30" s="164"/>
      <c r="CE30" s="164"/>
      <c r="CF30" s="164"/>
      <c r="CG30" s="164"/>
      <c r="CH30" s="164"/>
      <c r="CI30" s="164"/>
      <c r="CJ30" s="164"/>
      <c r="CK30" s="164"/>
      <c r="CL30" s="164"/>
      <c r="CM30" s="164"/>
      <c r="CN30" s="164"/>
      <c r="CO30" s="164"/>
      <c r="CP30" s="164"/>
      <c r="CQ30" s="164"/>
      <c r="CR30" s="164"/>
      <c r="CS30" s="164"/>
      <c r="CT30" s="164"/>
      <c r="CU30" s="164"/>
      <c r="CV30" s="164"/>
      <c r="CW30" s="164"/>
      <c r="CX30" s="164"/>
      <c r="CY30" s="164"/>
      <c r="CZ30" s="164"/>
      <c r="DA30" s="164"/>
      <c r="DB30" s="164"/>
      <c r="DC30" s="164"/>
      <c r="DD30" s="164"/>
      <c r="DE30" s="164"/>
      <c r="DF30" s="164"/>
      <c r="DG30" s="164"/>
      <c r="DH30" s="164"/>
      <c r="DI30" s="164"/>
      <c r="DJ30" s="164"/>
      <c r="DK30" s="164"/>
      <c r="DL30" s="433"/>
    </row>
    <row r="31" spans="1:116">
      <c r="A31" s="602">
        <v>1</v>
      </c>
      <c r="B31" s="162">
        <v>0.60416666666666663</v>
      </c>
      <c r="C31" s="163">
        <v>4.5822323284576889</v>
      </c>
      <c r="D31" s="163">
        <v>781.81594601341033</v>
      </c>
      <c r="E31" s="164">
        <v>0.85619999999999996</v>
      </c>
      <c r="F31" s="164">
        <v>0.85619999999999996</v>
      </c>
      <c r="G31" s="163">
        <v>6</v>
      </c>
      <c r="H31" s="163">
        <v>10</v>
      </c>
      <c r="I31" s="163">
        <v>4</v>
      </c>
      <c r="J31" s="163">
        <v>4</v>
      </c>
      <c r="K31" s="163">
        <v>4.648421052631579</v>
      </c>
      <c r="L31" s="163">
        <v>0.64842105263157901</v>
      </c>
      <c r="M31" s="163">
        <v>5</v>
      </c>
      <c r="N31" s="163">
        <v>8.9473684210526319</v>
      </c>
      <c r="O31" s="163">
        <v>3.9473684210526319</v>
      </c>
      <c r="P31" s="163"/>
      <c r="Q31" s="163">
        <v>6</v>
      </c>
      <c r="R31" s="163">
        <v>0</v>
      </c>
      <c r="S31" s="163">
        <v>0</v>
      </c>
      <c r="T31" s="163">
        <v>0</v>
      </c>
      <c r="U31" s="163">
        <v>0</v>
      </c>
      <c r="V31" s="163">
        <v>0</v>
      </c>
      <c r="W31" s="163">
        <v>0</v>
      </c>
      <c r="X31" s="163">
        <v>0</v>
      </c>
      <c r="Y31" s="163">
        <v>6</v>
      </c>
      <c r="Z31" s="163">
        <v>6</v>
      </c>
      <c r="AA31" s="163">
        <v>0</v>
      </c>
      <c r="AB31" s="163">
        <v>0</v>
      </c>
      <c r="AC31" s="163">
        <v>6</v>
      </c>
      <c r="AD31" s="163">
        <v>0</v>
      </c>
      <c r="AE31" s="165">
        <v>0.42815760713441786</v>
      </c>
      <c r="AF31" s="166">
        <v>0.42815760713441786</v>
      </c>
      <c r="AH31" s="152">
        <f>CONFIG!B34</f>
        <v>46263</v>
      </c>
      <c r="AI31" s="138" t="str">
        <f>CONFIG!C34</f>
        <v>sáb</v>
      </c>
      <c r="AJ31" s="138">
        <f>CONFIG!D34</f>
        <v>26</v>
      </c>
      <c r="AK31" s="153">
        <f t="shared" si="0"/>
        <v>1.1022161032477627E-2</v>
      </c>
      <c r="AL31" s="139">
        <f>CONFIG!E34</f>
        <v>144.88353886418284</v>
      </c>
      <c r="AM31" s="139">
        <f>CONFIG!F34</f>
        <v>770.86086465603023</v>
      </c>
      <c r="AN31" s="139">
        <f t="shared" si="2"/>
        <v>1861.4175007211591</v>
      </c>
      <c r="AO31" s="139">
        <v>12.006319115323855</v>
      </c>
      <c r="AP31" s="139">
        <v>15.797788309636651</v>
      </c>
      <c r="AQ31" s="139">
        <v>17.605263157894736</v>
      </c>
      <c r="AR31" s="139">
        <v>18</v>
      </c>
      <c r="AS31" s="139">
        <v>0.39473684210526372</v>
      </c>
      <c r="AT31" s="139">
        <v>0</v>
      </c>
      <c r="AU31" s="139">
        <v>0</v>
      </c>
      <c r="AV31" s="139">
        <v>18</v>
      </c>
      <c r="AW31" s="139">
        <v>0</v>
      </c>
      <c r="AX31" s="139">
        <v>0</v>
      </c>
      <c r="AY31" s="305">
        <v>0.85637180178547223</v>
      </c>
      <c r="AZ31" s="305">
        <v>0.85637180178547223</v>
      </c>
      <c r="BA31" s="139">
        <v>8</v>
      </c>
      <c r="BB31" s="139">
        <v>8</v>
      </c>
      <c r="BC31" s="305">
        <v>0.35913974168232526</v>
      </c>
      <c r="BD31" s="305">
        <v>0.35126387015420402</v>
      </c>
      <c r="BF31" s="297">
        <f>CONFIG!O34</f>
        <v>0</v>
      </c>
      <c r="BG31" s="298">
        <f>CONFIG!P34</f>
        <v>0</v>
      </c>
      <c r="BH31" s="298">
        <f>CONFIG!Q34</f>
        <v>8.2051282051282051E-2</v>
      </c>
      <c r="BI31" s="298">
        <f>CONFIG!R34</f>
        <v>0</v>
      </c>
      <c r="BJ31" s="298">
        <f>CONFIG!S34</f>
        <v>8.6369770580296892E-2</v>
      </c>
      <c r="BK31" s="298">
        <f>CONFIG!T34</f>
        <v>1.641025641025641E-2</v>
      </c>
      <c r="BL31" s="298">
        <f>CONFIG!U34</f>
        <v>0</v>
      </c>
      <c r="BM31" s="298">
        <f>CONFIG!V34</f>
        <v>0.18483130904183537</v>
      </c>
      <c r="BO31" s="299">
        <v>0.12573099415204678</v>
      </c>
      <c r="BQ31" s="432"/>
      <c r="BR31" s="164"/>
      <c r="BS31" s="164"/>
      <c r="BT31" s="164"/>
      <c r="BU31" s="164"/>
      <c r="BV31" s="164"/>
      <c r="BW31" s="164"/>
      <c r="BX31" s="164"/>
      <c r="BY31" s="164"/>
      <c r="BZ31" s="164"/>
      <c r="CA31" s="164"/>
      <c r="CB31" s="164"/>
      <c r="CC31" s="164"/>
      <c r="CD31" s="164"/>
      <c r="CE31" s="164"/>
      <c r="CF31" s="164"/>
      <c r="CG31" s="164"/>
      <c r="CH31" s="164"/>
      <c r="CI31" s="164"/>
      <c r="CJ31" s="164"/>
      <c r="CK31" s="164"/>
      <c r="CL31" s="164"/>
      <c r="CM31" s="164"/>
      <c r="CN31" s="164"/>
      <c r="CO31" s="164"/>
      <c r="CP31" s="164"/>
      <c r="CQ31" s="164"/>
      <c r="CR31" s="164"/>
      <c r="CS31" s="164"/>
      <c r="CT31" s="164"/>
      <c r="CU31" s="164"/>
      <c r="CV31" s="164"/>
      <c r="CW31" s="164"/>
      <c r="CX31" s="164"/>
      <c r="CY31" s="164"/>
      <c r="CZ31" s="164"/>
      <c r="DA31" s="164"/>
      <c r="DB31" s="164"/>
      <c r="DC31" s="164"/>
      <c r="DD31" s="164"/>
      <c r="DE31" s="164"/>
      <c r="DF31" s="164"/>
      <c r="DG31" s="164"/>
      <c r="DH31" s="164"/>
      <c r="DI31" s="164"/>
      <c r="DJ31" s="164"/>
      <c r="DK31" s="164"/>
      <c r="DL31" s="433"/>
    </row>
    <row r="32" spans="1:116">
      <c r="A32" s="602">
        <v>1</v>
      </c>
      <c r="B32" s="162">
        <v>0.625</v>
      </c>
      <c r="C32" s="163">
        <v>4.4484107715648289</v>
      </c>
      <c r="D32" s="163">
        <v>789.6379961205588</v>
      </c>
      <c r="E32" s="164">
        <v>0.86360000000000003</v>
      </c>
      <c r="F32" s="164">
        <v>0.86360000000000003</v>
      </c>
      <c r="G32" s="163">
        <v>6</v>
      </c>
      <c r="H32" s="163">
        <v>10</v>
      </c>
      <c r="I32" s="163">
        <v>4</v>
      </c>
      <c r="J32" s="163">
        <v>4</v>
      </c>
      <c r="K32" s="163">
        <v>4.648421052631579</v>
      </c>
      <c r="L32" s="163">
        <v>0.64842105263157901</v>
      </c>
      <c r="M32" s="163">
        <v>5</v>
      </c>
      <c r="N32" s="163">
        <v>8.9473684210526319</v>
      </c>
      <c r="O32" s="163">
        <v>3.9473684210526319</v>
      </c>
      <c r="P32" s="163"/>
      <c r="Q32" s="163">
        <v>6</v>
      </c>
      <c r="R32" s="163">
        <v>0</v>
      </c>
      <c r="S32" s="163">
        <v>0</v>
      </c>
      <c r="T32" s="163">
        <v>0</v>
      </c>
      <c r="U32" s="163">
        <v>0</v>
      </c>
      <c r="V32" s="163">
        <v>0</v>
      </c>
      <c r="W32" s="163">
        <v>0</v>
      </c>
      <c r="X32" s="163">
        <v>0</v>
      </c>
      <c r="Y32" s="163">
        <v>6</v>
      </c>
      <c r="Z32" s="163">
        <v>6</v>
      </c>
      <c r="AA32" s="163">
        <v>0</v>
      </c>
      <c r="AB32" s="163">
        <v>0</v>
      </c>
      <c r="AC32" s="163">
        <v>6</v>
      </c>
      <c r="AD32" s="163">
        <v>0</v>
      </c>
      <c r="AE32" s="165">
        <v>0.4198121048712487</v>
      </c>
      <c r="AF32" s="166">
        <v>0.4198121048712487</v>
      </c>
      <c r="AH32" s="152">
        <f>CONFIG!B35</f>
        <v>46264</v>
      </c>
      <c r="AI32" s="138" t="str">
        <f>CONFIG!C35</f>
        <v>dom</v>
      </c>
      <c r="AJ32" s="138">
        <f>CONFIG!D35</f>
        <v>29</v>
      </c>
      <c r="AK32" s="153">
        <f t="shared" si="0"/>
        <v>9.030629095915824E-3</v>
      </c>
      <c r="AL32" s="139">
        <f>CONFIG!E35</f>
        <v>122.40439909994423</v>
      </c>
      <c r="AM32" s="139">
        <f>CONFIG!F35</f>
        <v>747.56553444857423</v>
      </c>
      <c r="AN32" s="139">
        <f t="shared" si="2"/>
        <v>1525.0885005334396</v>
      </c>
      <c r="AO32" s="139">
        <v>10.584518167456556</v>
      </c>
      <c r="AP32" s="139">
        <v>14.375987361769353</v>
      </c>
      <c r="AQ32" s="139">
        <v>15.552631578947368</v>
      </c>
      <c r="AR32" s="139">
        <v>14</v>
      </c>
      <c r="AS32" s="139">
        <v>-1.5526315789473681</v>
      </c>
      <c r="AT32" s="139">
        <v>0</v>
      </c>
      <c r="AU32" s="139">
        <v>0</v>
      </c>
      <c r="AV32" s="139">
        <v>14</v>
      </c>
      <c r="AW32" s="139">
        <v>0</v>
      </c>
      <c r="AX32" s="139">
        <v>0</v>
      </c>
      <c r="AY32" s="305">
        <v>0.7706291631000729</v>
      </c>
      <c r="AZ32" s="305">
        <v>0.7706291631000729</v>
      </c>
      <c r="BA32" s="139">
        <v>6</v>
      </c>
      <c r="BB32" s="139">
        <v>6</v>
      </c>
      <c r="BC32" s="305">
        <v>0.33308368174491632</v>
      </c>
      <c r="BD32" s="305">
        <v>0.37002341336700295</v>
      </c>
      <c r="BF32" s="297">
        <f>CONFIG!O35</f>
        <v>0</v>
      </c>
      <c r="BG32" s="298">
        <f>CONFIG!P35</f>
        <v>0</v>
      </c>
      <c r="BH32" s="298">
        <f>CONFIG!Q35</f>
        <v>8.2051282051282051E-2</v>
      </c>
      <c r="BI32" s="298">
        <f>CONFIG!R35</f>
        <v>0</v>
      </c>
      <c r="BJ32" s="298">
        <f>CONFIG!S35</f>
        <v>8.6369770580296892E-2</v>
      </c>
      <c r="BK32" s="298">
        <f>CONFIG!T35</f>
        <v>1.641025641025641E-2</v>
      </c>
      <c r="BL32" s="298">
        <f>CONFIG!U35</f>
        <v>0</v>
      </c>
      <c r="BM32" s="298">
        <f>CONFIG!V35</f>
        <v>0.18483130904183537</v>
      </c>
      <c r="BO32" s="299">
        <v>0.15789473684210525</v>
      </c>
      <c r="BQ32" s="432"/>
      <c r="BR32" s="164"/>
      <c r="BS32" s="164"/>
      <c r="BT32" s="164"/>
      <c r="BU32" s="164"/>
      <c r="BV32" s="164"/>
      <c r="BW32" s="164"/>
      <c r="BX32" s="164"/>
      <c r="BY32" s="164"/>
      <c r="BZ32" s="164"/>
      <c r="CA32" s="164"/>
      <c r="CB32" s="164"/>
      <c r="CC32" s="164"/>
      <c r="CD32" s="164"/>
      <c r="CE32" s="164"/>
      <c r="CF32" s="164"/>
      <c r="CG32" s="164"/>
      <c r="CH32" s="164"/>
      <c r="CI32" s="164"/>
      <c r="CJ32" s="164"/>
      <c r="CK32" s="164"/>
      <c r="CL32" s="164"/>
      <c r="CM32" s="164"/>
      <c r="CN32" s="164"/>
      <c r="CO32" s="164"/>
      <c r="CP32" s="164"/>
      <c r="CQ32" s="164"/>
      <c r="CR32" s="164"/>
      <c r="CS32" s="164"/>
      <c r="CT32" s="164"/>
      <c r="CU32" s="164"/>
      <c r="CV32" s="164"/>
      <c r="CW32" s="164"/>
      <c r="CX32" s="164"/>
      <c r="CY32" s="164"/>
      <c r="CZ32" s="164"/>
      <c r="DA32" s="164"/>
      <c r="DB32" s="164"/>
      <c r="DC32" s="164"/>
      <c r="DD32" s="164"/>
      <c r="DE32" s="164"/>
      <c r="DF32" s="164"/>
      <c r="DG32" s="164"/>
      <c r="DH32" s="164"/>
      <c r="DI32" s="164"/>
      <c r="DJ32" s="164"/>
      <c r="DK32" s="164"/>
      <c r="DL32" s="433"/>
    </row>
    <row r="33" spans="1:116">
      <c r="A33" s="602">
        <v>1</v>
      </c>
      <c r="B33" s="162">
        <v>0.64583333333333337</v>
      </c>
      <c r="C33" s="163">
        <v>4.2874156533523706</v>
      </c>
      <c r="D33" s="163">
        <v>788.35215411675654</v>
      </c>
      <c r="E33" s="164">
        <v>0.87749999999999995</v>
      </c>
      <c r="F33" s="164">
        <v>0.87749999999999995</v>
      </c>
      <c r="G33" s="163">
        <v>6</v>
      </c>
      <c r="H33" s="163">
        <v>10</v>
      </c>
      <c r="I33" s="163">
        <v>4</v>
      </c>
      <c r="J33" s="163">
        <v>4</v>
      </c>
      <c r="K33" s="163">
        <v>4.648421052631579</v>
      </c>
      <c r="L33" s="163">
        <v>0.64842105263157901</v>
      </c>
      <c r="M33" s="163">
        <v>5</v>
      </c>
      <c r="N33" s="163">
        <v>8.9473684210526319</v>
      </c>
      <c r="O33" s="163">
        <v>3.9473684210526319</v>
      </c>
      <c r="P33" s="163"/>
      <c r="Q33" s="163">
        <v>6</v>
      </c>
      <c r="R33" s="163">
        <v>0</v>
      </c>
      <c r="S33" s="163">
        <v>0</v>
      </c>
      <c r="T33" s="163">
        <v>0</v>
      </c>
      <c r="U33" s="163">
        <v>0</v>
      </c>
      <c r="V33" s="163">
        <v>0</v>
      </c>
      <c r="W33" s="163">
        <v>0</v>
      </c>
      <c r="X33" s="163">
        <v>0</v>
      </c>
      <c r="Y33" s="163">
        <v>6</v>
      </c>
      <c r="Z33" s="163">
        <v>6</v>
      </c>
      <c r="AA33" s="163">
        <v>0</v>
      </c>
      <c r="AB33" s="163">
        <v>0</v>
      </c>
      <c r="AC33" s="163">
        <v>6</v>
      </c>
      <c r="AD33" s="163">
        <v>0</v>
      </c>
      <c r="AE33" s="165">
        <v>0.40395955334371603</v>
      </c>
      <c r="AF33" s="166">
        <v>0.40395955334371603</v>
      </c>
      <c r="AH33" s="154">
        <f>CONFIG!B36</f>
        <v>46265</v>
      </c>
      <c r="AI33" s="141" t="str">
        <f>CONFIG!C36</f>
        <v>seg</v>
      </c>
      <c r="AJ33" s="141">
        <f>CONFIG!D36</f>
        <v>4</v>
      </c>
      <c r="AK33" s="155">
        <f t="shared" si="0"/>
        <v>4.9316125408659171E-2</v>
      </c>
      <c r="AL33" s="142">
        <f>CONFIG!E36</f>
        <v>598.05300532808553</v>
      </c>
      <c r="AM33" s="142">
        <f>CONFIG!F36</f>
        <v>835.55984869595488</v>
      </c>
      <c r="AN33" s="142">
        <f t="shared" si="2"/>
        <v>8328.4846440682704</v>
      </c>
      <c r="AO33" s="139">
        <v>33.017377567140599</v>
      </c>
      <c r="AP33" s="139">
        <v>38.941548183254348</v>
      </c>
      <c r="AQ33" s="139">
        <v>42.157894736842103</v>
      </c>
      <c r="AR33" s="139">
        <v>41.026315789473685</v>
      </c>
      <c r="AS33" s="139">
        <v>-1.1315789473684177</v>
      </c>
      <c r="AT33" s="139">
        <v>0</v>
      </c>
      <c r="AU33" s="139">
        <v>0</v>
      </c>
      <c r="AV33" s="139">
        <v>32</v>
      </c>
      <c r="AW33" s="139">
        <v>7</v>
      </c>
      <c r="AX33" s="139">
        <v>0</v>
      </c>
      <c r="AY33" s="305">
        <v>0.69581886934932891</v>
      </c>
      <c r="AZ33" s="563">
        <v>0.69581886934932891</v>
      </c>
      <c r="BA33" s="139">
        <v>19</v>
      </c>
      <c r="BB33" s="139">
        <v>19</v>
      </c>
      <c r="BC33" s="305">
        <v>0.63775810512736675</v>
      </c>
      <c r="BD33" s="305">
        <v>0.65534861091343266</v>
      </c>
      <c r="BF33" s="300">
        <f>CONFIG!O36</f>
        <v>0</v>
      </c>
      <c r="BG33" s="301">
        <f>CONFIG!P36</f>
        <v>0</v>
      </c>
      <c r="BH33" s="301">
        <f>CONFIG!Q36</f>
        <v>8.2051282051282051E-2</v>
      </c>
      <c r="BI33" s="301">
        <f>CONFIG!R36</f>
        <v>0</v>
      </c>
      <c r="BJ33" s="301">
        <f>CONFIG!S36</f>
        <v>8.6369770580296892E-2</v>
      </c>
      <c r="BK33" s="301">
        <f>CONFIG!T36</f>
        <v>1.641025641025641E-2</v>
      </c>
      <c r="BL33" s="301">
        <f>CONFIG!U36</f>
        <v>0</v>
      </c>
      <c r="BM33" s="301">
        <f>CONFIG!V36</f>
        <v>0.18483130904183537</v>
      </c>
      <c r="BO33" s="302">
        <v>0.11545862732520847</v>
      </c>
      <c r="BQ33" s="434"/>
      <c r="BR33" s="170"/>
      <c r="BS33" s="170"/>
      <c r="BT33" s="170"/>
      <c r="BU33" s="170"/>
      <c r="BV33" s="170"/>
      <c r="BW33" s="170"/>
      <c r="BX33" s="170"/>
      <c r="BY33" s="170"/>
      <c r="BZ33" s="170"/>
      <c r="CA33" s="170"/>
      <c r="CB33" s="170"/>
      <c r="CC33" s="170"/>
      <c r="CD33" s="170"/>
      <c r="CE33" s="170"/>
      <c r="CF33" s="170"/>
      <c r="CG33" s="170"/>
      <c r="CH33" s="170"/>
      <c r="CI33" s="170"/>
      <c r="CJ33" s="170"/>
      <c r="CK33" s="170"/>
      <c r="CL33" s="170"/>
      <c r="CM33" s="170"/>
      <c r="CN33" s="170"/>
      <c r="CO33" s="170"/>
      <c r="CP33" s="170"/>
      <c r="CQ33" s="170"/>
      <c r="CR33" s="170"/>
      <c r="CS33" s="170"/>
      <c r="CT33" s="170"/>
      <c r="CU33" s="170"/>
      <c r="CV33" s="170"/>
      <c r="CW33" s="170"/>
      <c r="CX33" s="170"/>
      <c r="CY33" s="170"/>
      <c r="CZ33" s="170"/>
      <c r="DA33" s="170"/>
      <c r="DB33" s="170"/>
      <c r="DC33" s="170"/>
      <c r="DD33" s="170"/>
      <c r="DE33" s="170"/>
      <c r="DF33" s="170"/>
      <c r="DG33" s="170"/>
      <c r="DH33" s="170"/>
      <c r="DI33" s="170"/>
      <c r="DJ33" s="170"/>
      <c r="DK33" s="170"/>
      <c r="DL33" s="435"/>
    </row>
    <row r="34" spans="1:116">
      <c r="A34" s="602">
        <v>1</v>
      </c>
      <c r="B34" s="162">
        <v>0.66666666666666663</v>
      </c>
      <c r="C34" s="163">
        <v>4.1322819528500583</v>
      </c>
      <c r="D34" s="163">
        <v>785.45042933916557</v>
      </c>
      <c r="E34" s="164">
        <v>0.89070000000000016</v>
      </c>
      <c r="F34" s="164">
        <v>0.89070000000000016</v>
      </c>
      <c r="G34" s="163">
        <v>6</v>
      </c>
      <c r="H34" s="163">
        <v>10</v>
      </c>
      <c r="I34" s="163">
        <v>4</v>
      </c>
      <c r="J34" s="163">
        <v>4</v>
      </c>
      <c r="K34" s="163">
        <v>4.648421052631579</v>
      </c>
      <c r="L34" s="163">
        <v>0.64842105263157901</v>
      </c>
      <c r="M34" s="163">
        <v>5</v>
      </c>
      <c r="N34" s="163">
        <v>8.9473684210526319</v>
      </c>
      <c r="O34" s="163">
        <v>3.9473684210526319</v>
      </c>
      <c r="P34" s="163"/>
      <c r="Q34" s="163">
        <v>6</v>
      </c>
      <c r="R34" s="163">
        <v>0</v>
      </c>
      <c r="S34" s="163">
        <v>0</v>
      </c>
      <c r="T34" s="163">
        <v>0</v>
      </c>
      <c r="U34" s="163">
        <v>0</v>
      </c>
      <c r="V34" s="163">
        <v>0</v>
      </c>
      <c r="W34" s="163">
        <v>0</v>
      </c>
      <c r="X34" s="163">
        <v>0</v>
      </c>
      <c r="Y34" s="163">
        <v>6</v>
      </c>
      <c r="Z34" s="163">
        <v>6</v>
      </c>
      <c r="AA34" s="163">
        <v>0</v>
      </c>
      <c r="AB34" s="163">
        <v>0</v>
      </c>
      <c r="AC34" s="163">
        <v>6</v>
      </c>
      <c r="AD34" s="163">
        <v>0</v>
      </c>
      <c r="AE34" s="165">
        <v>0.38790981057716073</v>
      </c>
      <c r="AF34" s="166">
        <v>0.38790981057716073</v>
      </c>
      <c r="AH34" s="420" t="s">
        <v>639</v>
      </c>
      <c r="AI34" s="480"/>
      <c r="AJ34" s="480"/>
      <c r="AK34" s="421">
        <f>SUM(AK3:AK33)</f>
        <v>1.0000000000000002</v>
      </c>
      <c r="AL34" s="422">
        <f>SUM(AL3:AL33)</f>
        <v>12665.965607173268</v>
      </c>
      <c r="AM34" s="422">
        <f>IFERROR(SUMPRODUCT(AL3:AL33,AM3:AM33)/AL34,)</f>
        <v>799.99999999999977</v>
      </c>
      <c r="AN34" s="422">
        <f>SUM(AN3:AN33)</f>
        <v>168879.54142897678</v>
      </c>
      <c r="AO34" s="422">
        <f>MAX(AO3:AO33)</f>
        <v>34.360189573459714</v>
      </c>
      <c r="AP34" s="422">
        <f>MAX(AP3:AP33)</f>
        <v>40.521327014218009</v>
      </c>
      <c r="AQ34" s="422">
        <f>MAX(AQ3:AQ33)</f>
        <v>44.210526315789473</v>
      </c>
      <c r="AR34" s="422">
        <f>MAX(AR3:AR33)</f>
        <v>41.026315789473685</v>
      </c>
      <c r="AS34" s="422">
        <f>AR34-AQ34</f>
        <v>-3.1842105263157876</v>
      </c>
      <c r="AT34" s="422">
        <f>LARGE(AT3:AT33,1)</f>
        <v>0</v>
      </c>
      <c r="AU34" s="422">
        <f>LARGE(AU3:AU33,1)</f>
        <v>0</v>
      </c>
      <c r="AV34" s="422">
        <f>LARGE(AV3:AV33,1)</f>
        <v>32</v>
      </c>
      <c r="AW34" s="422">
        <f>LARGE(AW3:AW33,1)</f>
        <v>7</v>
      </c>
      <c r="AX34" s="422">
        <f>MAX(AX3:AX33)</f>
        <v>0</v>
      </c>
      <c r="AY34" s="568">
        <f>IFERROR(SUMPRODUCT(AL3:AL33,AY3:AY33)/AL34,0)</f>
        <v>0.81492588974464497</v>
      </c>
      <c r="AZ34" s="568">
        <f>IFERROR(SUMPRODUCT(AL3:AL33,AZ3:AZ33)/AL34,0)</f>
        <v>0.81492588974464497</v>
      </c>
      <c r="BA34" s="422">
        <f>MAX(BA3:BA33)</f>
        <v>19</v>
      </c>
      <c r="BB34" s="422">
        <f>MAX(BB3:BB33)</f>
        <v>19</v>
      </c>
      <c r="BC34" s="423">
        <f>IFERROR(SUMPRODUCT(AQ3:AQ33,BC3:BC33)/SUM(AQ3:AQ33),0)</f>
        <v>0.56382757016380425</v>
      </c>
      <c r="BD34" s="423">
        <f>IFERROR(SUMPRODUCT(AR3:AR33,BD3:BD33)/SUM(AR3:AR33),0)</f>
        <v>0.53656503508568643</v>
      </c>
      <c r="BE34" s="424"/>
      <c r="BF34" s="423">
        <f>MAX(BF3:BF33)</f>
        <v>0</v>
      </c>
      <c r="BG34" s="423">
        <f t="shared" ref="BG34:BL34" si="3">MAX(BG3:BG33)</f>
        <v>0</v>
      </c>
      <c r="BH34" s="423">
        <f t="shared" si="3"/>
        <v>8.2051282051282051E-2</v>
      </c>
      <c r="BI34" s="423">
        <f t="shared" si="3"/>
        <v>0</v>
      </c>
      <c r="BJ34" s="423">
        <f t="shared" si="3"/>
        <v>8.6369770580296892E-2</v>
      </c>
      <c r="BK34" s="423">
        <f t="shared" si="3"/>
        <v>1.641025641025641E-2</v>
      </c>
      <c r="BL34" s="423">
        <f t="shared" si="3"/>
        <v>0</v>
      </c>
      <c r="BM34" s="423">
        <f>MAX(BM3:BM33)</f>
        <v>0.18483130904183537</v>
      </c>
      <c r="BN34" s="424"/>
      <c r="BO34" s="423">
        <f>SUMPRODUCT(BO3:BO33,AR3:AR33)/SUM(AR3:AR33)</f>
        <v>0.11927149076483164</v>
      </c>
      <c r="BQ34" s="523"/>
      <c r="BR34" s="522"/>
      <c r="BS34" s="429"/>
      <c r="BT34" s="429"/>
      <c r="BU34" s="429"/>
      <c r="BV34" s="429"/>
      <c r="BW34" s="429"/>
      <c r="BX34" s="429"/>
      <c r="BY34" s="429"/>
      <c r="BZ34" s="429"/>
      <c r="CA34" s="429"/>
      <c r="CB34" s="429"/>
      <c r="CC34" s="429"/>
      <c r="CD34" s="429"/>
      <c r="CE34" s="429"/>
      <c r="CF34" s="429"/>
      <c r="CG34" s="429"/>
      <c r="CH34" s="429"/>
      <c r="CI34" s="429"/>
      <c r="CJ34" s="429"/>
      <c r="CK34" s="429"/>
      <c r="CL34" s="429"/>
      <c r="CM34" s="429"/>
      <c r="CN34" s="429"/>
      <c r="CO34" s="429"/>
      <c r="CP34" s="429"/>
      <c r="CQ34" s="429"/>
      <c r="CR34" s="429"/>
      <c r="CS34" s="429"/>
      <c r="CT34" s="429"/>
      <c r="CU34" s="429"/>
      <c r="CV34" s="429"/>
      <c r="CW34" s="429"/>
      <c r="CX34" s="429"/>
      <c r="CY34" s="429"/>
      <c r="CZ34" s="429"/>
      <c r="DA34" s="429"/>
      <c r="DB34" s="429"/>
      <c r="DC34" s="429"/>
      <c r="DD34" s="429"/>
      <c r="DE34" s="429"/>
      <c r="DF34" s="429"/>
      <c r="DG34" s="429"/>
      <c r="DH34" s="429"/>
      <c r="DI34" s="429"/>
      <c r="DJ34" s="429"/>
      <c r="DK34" s="429"/>
      <c r="DL34" s="429"/>
    </row>
    <row r="35" spans="1:116">
      <c r="A35" s="602">
        <v>1</v>
      </c>
      <c r="B35" s="162">
        <v>0.6875</v>
      </c>
      <c r="C35" s="163">
        <v>3.9945805740049418</v>
      </c>
      <c r="D35" s="163">
        <v>780.38330923448655</v>
      </c>
      <c r="E35" s="164">
        <v>0.90269999999999995</v>
      </c>
      <c r="F35" s="164">
        <v>0.90269999999999995</v>
      </c>
      <c r="G35" s="163">
        <v>6</v>
      </c>
      <c r="H35" s="163">
        <v>10</v>
      </c>
      <c r="I35" s="163">
        <v>4</v>
      </c>
      <c r="J35" s="163">
        <v>4</v>
      </c>
      <c r="K35" s="163">
        <v>4.648421052631579</v>
      </c>
      <c r="L35" s="163">
        <v>0.64842105263157901</v>
      </c>
      <c r="M35" s="163">
        <v>5</v>
      </c>
      <c r="N35" s="163">
        <v>8.9473684210526319</v>
      </c>
      <c r="O35" s="163">
        <v>3.9473684210526319</v>
      </c>
      <c r="P35" s="163"/>
      <c r="Q35" s="163">
        <v>6</v>
      </c>
      <c r="R35" s="163">
        <v>0</v>
      </c>
      <c r="S35" s="163">
        <v>0</v>
      </c>
      <c r="T35" s="163">
        <v>0</v>
      </c>
      <c r="U35" s="163">
        <v>0</v>
      </c>
      <c r="V35" s="163">
        <v>0</v>
      </c>
      <c r="W35" s="163">
        <v>0</v>
      </c>
      <c r="X35" s="163">
        <v>0</v>
      </c>
      <c r="Y35" s="163">
        <v>6</v>
      </c>
      <c r="Z35" s="163">
        <v>6</v>
      </c>
      <c r="AA35" s="163">
        <v>0</v>
      </c>
      <c r="AB35" s="163">
        <v>0</v>
      </c>
      <c r="AC35" s="163">
        <v>6</v>
      </c>
      <c r="AD35" s="163">
        <v>0</v>
      </c>
      <c r="AE35" s="165">
        <v>0.37256426215007077</v>
      </c>
      <c r="AF35" s="166">
        <v>0.37256426215007077</v>
      </c>
      <c r="AL35" s="148"/>
      <c r="AM35" s="553"/>
      <c r="AN35" s="148"/>
      <c r="BC35" s="471" t="s">
        <v>790</v>
      </c>
      <c r="BD35" s="470">
        <f t="array" ref="BD35">IFERROR(SUMPRODUCT(--(($AL$3:$AL$33&gt;0)*(AR3:AR33)),BD3:BD33)/SUM(IF($AL$3:$AL$33&gt;0,AR3:AR33)),0)</f>
        <v>0.53656503508568643</v>
      </c>
    </row>
    <row r="36" spans="1:116">
      <c r="A36" s="602">
        <v>1</v>
      </c>
      <c r="B36" s="162">
        <v>0.70833333333333337</v>
      </c>
      <c r="C36" s="163">
        <v>3.9269415214309613</v>
      </c>
      <c r="D36" s="163">
        <v>761.80124796393739</v>
      </c>
      <c r="E36" s="164">
        <v>0.91369999999999996</v>
      </c>
      <c r="F36" s="164">
        <v>0.91369999999999996</v>
      </c>
      <c r="G36" s="163">
        <v>6</v>
      </c>
      <c r="H36" s="163">
        <v>10</v>
      </c>
      <c r="I36" s="163">
        <v>4</v>
      </c>
      <c r="J36" s="163">
        <v>4</v>
      </c>
      <c r="K36" s="163">
        <v>4.648421052631579</v>
      </c>
      <c r="L36" s="163">
        <v>0.64842105263157901</v>
      </c>
      <c r="M36" s="163">
        <v>5</v>
      </c>
      <c r="N36" s="163">
        <v>8.9473684210526319</v>
      </c>
      <c r="O36" s="163">
        <v>3.9473684210526319</v>
      </c>
      <c r="P36" s="163"/>
      <c r="Q36" s="163">
        <v>6</v>
      </c>
      <c r="R36" s="163">
        <v>0</v>
      </c>
      <c r="S36" s="163">
        <v>0</v>
      </c>
      <c r="T36" s="163">
        <v>0</v>
      </c>
      <c r="U36" s="163">
        <v>0</v>
      </c>
      <c r="V36" s="163">
        <v>0</v>
      </c>
      <c r="W36" s="163">
        <v>0</v>
      </c>
      <c r="X36" s="163">
        <v>0</v>
      </c>
      <c r="Y36" s="163">
        <v>6</v>
      </c>
      <c r="Z36" s="163">
        <v>6</v>
      </c>
      <c r="AA36" s="163">
        <v>0</v>
      </c>
      <c r="AB36" s="163">
        <v>0</v>
      </c>
      <c r="AC36" s="163">
        <v>6</v>
      </c>
      <c r="AD36" s="163">
        <v>0</v>
      </c>
      <c r="AE36" s="165">
        <v>0.35753465983823141</v>
      </c>
      <c r="AF36" s="166">
        <v>0.35753465983823141</v>
      </c>
      <c r="AM36" s="554"/>
      <c r="AW36" s="330"/>
    </row>
    <row r="37" spans="1:116">
      <c r="A37" s="602">
        <v>1</v>
      </c>
      <c r="B37" s="162">
        <v>0.72916666666666663</v>
      </c>
      <c r="C37" s="163">
        <v>3.666410321038267</v>
      </c>
      <c r="D37" s="163">
        <v>744.64340430271659</v>
      </c>
      <c r="E37" s="164">
        <v>0.97523333333333329</v>
      </c>
      <c r="F37" s="164">
        <v>0.97523333333333329</v>
      </c>
      <c r="G37" s="163">
        <v>6</v>
      </c>
      <c r="H37" s="163">
        <v>11.333333333333332</v>
      </c>
      <c r="I37" s="163">
        <v>5.3333333333333321</v>
      </c>
      <c r="J37" s="163">
        <v>4</v>
      </c>
      <c r="K37" s="163">
        <v>4.648421052631579</v>
      </c>
      <c r="L37" s="163">
        <v>0.64842105263157901</v>
      </c>
      <c r="M37" s="163">
        <v>5</v>
      </c>
      <c r="N37" s="163">
        <v>10.140350877192981</v>
      </c>
      <c r="O37" s="163">
        <v>5.1403508771929811</v>
      </c>
      <c r="P37" s="163"/>
      <c r="Q37" s="163">
        <v>6</v>
      </c>
      <c r="R37" s="163">
        <v>0</v>
      </c>
      <c r="S37" s="163">
        <v>0</v>
      </c>
      <c r="T37" s="163">
        <v>0</v>
      </c>
      <c r="U37" s="163">
        <v>0</v>
      </c>
      <c r="V37" s="163">
        <v>0</v>
      </c>
      <c r="W37" s="163">
        <v>0</v>
      </c>
      <c r="X37" s="163">
        <v>0</v>
      </c>
      <c r="Y37" s="163">
        <v>6</v>
      </c>
      <c r="Z37" s="163">
        <v>6</v>
      </c>
      <c r="AA37" s="163">
        <v>0</v>
      </c>
      <c r="AB37" s="163">
        <v>0</v>
      </c>
      <c r="AC37" s="163">
        <v>6</v>
      </c>
      <c r="AD37" s="163">
        <v>0</v>
      </c>
      <c r="AE37" s="165">
        <v>0.32629577418945294</v>
      </c>
      <c r="AF37" s="166">
        <v>0.32629577418945294</v>
      </c>
      <c r="AL37" s="569"/>
      <c r="AM37" s="554"/>
      <c r="AS37" s="330"/>
      <c r="AT37" s="330"/>
      <c r="AU37" s="330"/>
      <c r="AV37" s="330"/>
      <c r="AW37" s="330"/>
      <c r="AY37" s="327"/>
      <c r="BD37" s="469"/>
    </row>
    <row r="38" spans="1:116">
      <c r="A38" s="602">
        <v>1</v>
      </c>
      <c r="B38" s="162">
        <v>0.75</v>
      </c>
      <c r="C38" s="163">
        <v>3.8682933159362092</v>
      </c>
      <c r="D38" s="163">
        <v>728.20428941322302</v>
      </c>
      <c r="E38" s="164">
        <v>0.995</v>
      </c>
      <c r="F38" s="164">
        <v>0.995</v>
      </c>
      <c r="G38" s="163">
        <v>6</v>
      </c>
      <c r="H38" s="163">
        <v>13.333333333333332</v>
      </c>
      <c r="I38" s="163">
        <v>7.3333333333333321</v>
      </c>
      <c r="J38" s="163">
        <v>4</v>
      </c>
      <c r="K38" s="163">
        <v>4.648421052631579</v>
      </c>
      <c r="L38" s="163">
        <v>0.64842105263157901</v>
      </c>
      <c r="M38" s="163">
        <v>5</v>
      </c>
      <c r="N38" s="163">
        <v>11.929824561403509</v>
      </c>
      <c r="O38" s="163">
        <v>6.9298245614035086</v>
      </c>
      <c r="P38" s="163"/>
      <c r="Q38" s="163">
        <v>8</v>
      </c>
      <c r="R38" s="163">
        <v>0</v>
      </c>
      <c r="S38" s="163">
        <v>0</v>
      </c>
      <c r="T38" s="163">
        <v>0</v>
      </c>
      <c r="U38" s="163">
        <v>0</v>
      </c>
      <c r="V38" s="163">
        <v>0</v>
      </c>
      <c r="W38" s="163">
        <v>0</v>
      </c>
      <c r="X38" s="163">
        <v>0</v>
      </c>
      <c r="Y38" s="163">
        <v>8</v>
      </c>
      <c r="Z38" s="163">
        <v>8</v>
      </c>
      <c r="AA38" s="163">
        <v>0</v>
      </c>
      <c r="AB38" s="163">
        <v>0</v>
      </c>
      <c r="AC38" s="163">
        <v>8</v>
      </c>
      <c r="AD38" s="163">
        <v>0</v>
      </c>
      <c r="AE38" s="165">
        <v>0.25249682934259743</v>
      </c>
      <c r="AF38" s="166">
        <v>0.33666243912346328</v>
      </c>
      <c r="AL38" s="569"/>
      <c r="AM38" s="467"/>
      <c r="AV38" s="122"/>
      <c r="AW38" s="556"/>
    </row>
    <row r="39" spans="1:116">
      <c r="A39" s="602">
        <v>1</v>
      </c>
      <c r="B39" s="162">
        <v>0.77083333333333337</v>
      </c>
      <c r="C39" s="163">
        <v>4.1242518509879158</v>
      </c>
      <c r="D39" s="163">
        <v>711.92077476738461</v>
      </c>
      <c r="E39" s="164">
        <v>0.99390000000000001</v>
      </c>
      <c r="F39" s="164">
        <v>0.99390000000000001</v>
      </c>
      <c r="G39" s="163">
        <v>6</v>
      </c>
      <c r="H39" s="163">
        <v>13.333333333333332</v>
      </c>
      <c r="I39" s="163">
        <v>7.3333333333333321</v>
      </c>
      <c r="J39" s="163">
        <v>4</v>
      </c>
      <c r="K39" s="163">
        <v>4.648421052631579</v>
      </c>
      <c r="L39" s="163">
        <v>0.64842105263157901</v>
      </c>
      <c r="M39" s="163">
        <v>5</v>
      </c>
      <c r="N39" s="163">
        <v>11.929824561403509</v>
      </c>
      <c r="O39" s="163">
        <v>6.9298245614035086</v>
      </c>
      <c r="P39" s="163"/>
      <c r="Q39" s="163">
        <v>8</v>
      </c>
      <c r="R39" s="163">
        <v>0</v>
      </c>
      <c r="S39" s="163">
        <v>0</v>
      </c>
      <c r="T39" s="163">
        <v>0</v>
      </c>
      <c r="U39" s="163">
        <v>0</v>
      </c>
      <c r="V39" s="163">
        <v>0</v>
      </c>
      <c r="W39" s="163">
        <v>0</v>
      </c>
      <c r="X39" s="163">
        <v>0</v>
      </c>
      <c r="Y39" s="163">
        <v>8</v>
      </c>
      <c r="Z39" s="163">
        <v>8</v>
      </c>
      <c r="AA39" s="163">
        <v>0</v>
      </c>
      <c r="AB39" s="163">
        <v>0</v>
      </c>
      <c r="AC39" s="163">
        <v>8</v>
      </c>
      <c r="AD39" s="163">
        <v>0</v>
      </c>
      <c r="AE39" s="165">
        <v>0.26318439995061327</v>
      </c>
      <c r="AF39" s="166">
        <v>0.35091253326748439</v>
      </c>
      <c r="AV39" s="122"/>
      <c r="AW39" s="556"/>
    </row>
    <row r="40" spans="1:116">
      <c r="A40" s="602">
        <v>1</v>
      </c>
      <c r="B40" s="162">
        <v>0.79166666666666663</v>
      </c>
      <c r="C40" s="163">
        <v>3.8441040581910948</v>
      </c>
      <c r="D40" s="163">
        <v>700.89402450120315</v>
      </c>
      <c r="E40" s="164">
        <v>0.996</v>
      </c>
      <c r="F40" s="164">
        <v>0.996</v>
      </c>
      <c r="G40" s="163">
        <v>6</v>
      </c>
      <c r="H40" s="163">
        <v>13.333333333333332</v>
      </c>
      <c r="I40" s="163">
        <v>7.3333333333333321</v>
      </c>
      <c r="J40" s="163">
        <v>4</v>
      </c>
      <c r="K40" s="163">
        <v>4.648421052631579</v>
      </c>
      <c r="L40" s="163">
        <v>0.64842105263157901</v>
      </c>
      <c r="M40" s="163">
        <v>5</v>
      </c>
      <c r="N40" s="163">
        <v>11.929824561403509</v>
      </c>
      <c r="O40" s="163">
        <v>6.9298245614035086</v>
      </c>
      <c r="P40" s="163"/>
      <c r="Q40" s="163">
        <v>8</v>
      </c>
      <c r="R40" s="163">
        <v>0</v>
      </c>
      <c r="S40" s="163">
        <v>0</v>
      </c>
      <c r="T40" s="163">
        <v>0</v>
      </c>
      <c r="U40" s="163">
        <v>0</v>
      </c>
      <c r="V40" s="163">
        <v>0</v>
      </c>
      <c r="W40" s="163">
        <v>0</v>
      </c>
      <c r="X40" s="163">
        <v>0</v>
      </c>
      <c r="Y40" s="163">
        <v>8</v>
      </c>
      <c r="Z40" s="163">
        <v>8</v>
      </c>
      <c r="AA40" s="163">
        <v>0</v>
      </c>
      <c r="AB40" s="163">
        <v>0</v>
      </c>
      <c r="AC40" s="163">
        <v>8</v>
      </c>
      <c r="AD40" s="163">
        <v>0</v>
      </c>
      <c r="AE40" s="165">
        <v>0.24150759414153222</v>
      </c>
      <c r="AF40" s="166">
        <v>0.322010125522043</v>
      </c>
    </row>
    <row r="41" spans="1:116">
      <c r="A41" s="602">
        <v>1</v>
      </c>
      <c r="B41" s="162">
        <v>0.8125</v>
      </c>
      <c r="C41" s="163">
        <v>3.5837088996028132</v>
      </c>
      <c r="D41" s="163">
        <v>697.49064470701501</v>
      </c>
      <c r="E41" s="164">
        <v>0.99719999999999998</v>
      </c>
      <c r="F41" s="164">
        <v>0.99719999999999998</v>
      </c>
      <c r="G41" s="163">
        <v>4</v>
      </c>
      <c r="H41" s="163">
        <v>13.333333333333332</v>
      </c>
      <c r="I41" s="163">
        <v>9.3333333333333321</v>
      </c>
      <c r="J41" s="163">
        <v>3</v>
      </c>
      <c r="K41" s="163">
        <v>3.0989473684210527</v>
      </c>
      <c r="L41" s="163">
        <v>9.8947368421052673E-2</v>
      </c>
      <c r="M41" s="163">
        <v>4</v>
      </c>
      <c r="N41" s="163">
        <v>11.929824561403509</v>
      </c>
      <c r="O41" s="163">
        <v>7.9298245614035086</v>
      </c>
      <c r="P41" s="163"/>
      <c r="Q41" s="163">
        <v>8</v>
      </c>
      <c r="R41" s="163">
        <v>0</v>
      </c>
      <c r="S41" s="163">
        <v>0</v>
      </c>
      <c r="T41" s="163">
        <v>0</v>
      </c>
      <c r="U41" s="163">
        <v>0</v>
      </c>
      <c r="V41" s="163">
        <v>0</v>
      </c>
      <c r="W41" s="163">
        <v>0</v>
      </c>
      <c r="X41" s="163">
        <v>0</v>
      </c>
      <c r="Y41" s="163">
        <v>8</v>
      </c>
      <c r="Z41" s="163">
        <v>8</v>
      </c>
      <c r="AA41" s="163">
        <v>0</v>
      </c>
      <c r="AB41" s="163">
        <v>0</v>
      </c>
      <c r="AC41" s="163">
        <v>8</v>
      </c>
      <c r="AD41" s="163">
        <v>0</v>
      </c>
      <c r="AE41" s="165">
        <v>0.22405488180149094</v>
      </c>
      <c r="AF41" s="166">
        <v>0.44810976360298188</v>
      </c>
    </row>
    <row r="42" spans="1:116">
      <c r="A42" s="602">
        <v>1</v>
      </c>
      <c r="B42" s="162">
        <v>0.83333333333333337</v>
      </c>
      <c r="C42" s="163">
        <v>3.4084882248725803</v>
      </c>
      <c r="D42" s="163">
        <v>690.21876969765287</v>
      </c>
      <c r="E42" s="164">
        <v>0.97163333333333324</v>
      </c>
      <c r="F42" s="164">
        <v>0.97163333333333324</v>
      </c>
      <c r="G42" s="163">
        <v>4</v>
      </c>
      <c r="H42" s="163">
        <v>12</v>
      </c>
      <c r="I42" s="163">
        <v>8</v>
      </c>
      <c r="J42" s="163">
        <v>3</v>
      </c>
      <c r="K42" s="163">
        <v>3.0989473684210527</v>
      </c>
      <c r="L42" s="163">
        <v>9.8947368421052673E-2</v>
      </c>
      <c r="M42" s="163">
        <v>4</v>
      </c>
      <c r="N42" s="163">
        <v>10.736842105263158</v>
      </c>
      <c r="O42" s="163">
        <v>6.7368421052631575</v>
      </c>
      <c r="P42" s="163"/>
      <c r="Q42" s="163">
        <v>8</v>
      </c>
      <c r="R42" s="163">
        <v>0</v>
      </c>
      <c r="S42" s="163">
        <v>0</v>
      </c>
      <c r="T42" s="163">
        <v>0</v>
      </c>
      <c r="U42" s="163">
        <v>0</v>
      </c>
      <c r="V42" s="163">
        <v>0</v>
      </c>
      <c r="W42" s="163">
        <v>0</v>
      </c>
      <c r="X42" s="163">
        <v>0</v>
      </c>
      <c r="Y42" s="163">
        <v>8</v>
      </c>
      <c r="Z42" s="163">
        <v>8</v>
      </c>
      <c r="AA42" s="163">
        <v>0</v>
      </c>
      <c r="AB42" s="163">
        <v>0</v>
      </c>
      <c r="AC42" s="163">
        <v>8</v>
      </c>
      <c r="AD42" s="163">
        <v>0</v>
      </c>
      <c r="AE42" s="165">
        <v>0.210878285556826</v>
      </c>
      <c r="AF42" s="166">
        <v>0.421756571113652</v>
      </c>
    </row>
    <row r="43" spans="1:116">
      <c r="A43" s="602">
        <v>1</v>
      </c>
      <c r="B43" s="162">
        <v>0.85416666666666663</v>
      </c>
      <c r="C43" s="163">
        <v>3.056838181354439</v>
      </c>
      <c r="D43" s="163">
        <v>685.50592861161078</v>
      </c>
      <c r="E43" s="164">
        <v>0.90910000000000002</v>
      </c>
      <c r="F43" s="164">
        <v>0.90910000000000002</v>
      </c>
      <c r="G43" s="163">
        <v>4</v>
      </c>
      <c r="H43" s="163">
        <v>8.6666666666666661</v>
      </c>
      <c r="I43" s="163">
        <v>4.6666666666666661</v>
      </c>
      <c r="J43" s="163">
        <v>3</v>
      </c>
      <c r="K43" s="163">
        <v>3.0989473684210527</v>
      </c>
      <c r="L43" s="163">
        <v>9.8947368421052673E-2</v>
      </c>
      <c r="M43" s="163">
        <v>4</v>
      </c>
      <c r="N43" s="163">
        <v>7.7543859649122799</v>
      </c>
      <c r="O43" s="163">
        <v>3.7543859649122799</v>
      </c>
      <c r="P43" s="163"/>
      <c r="Q43" s="163">
        <v>6</v>
      </c>
      <c r="R43" s="163">
        <v>0</v>
      </c>
      <c r="S43" s="163">
        <v>0</v>
      </c>
      <c r="T43" s="163">
        <v>0</v>
      </c>
      <c r="U43" s="163">
        <v>0</v>
      </c>
      <c r="V43" s="163">
        <v>0</v>
      </c>
      <c r="W43" s="163">
        <v>0</v>
      </c>
      <c r="X43" s="163">
        <v>0</v>
      </c>
      <c r="Y43" s="163">
        <v>6</v>
      </c>
      <c r="Z43" s="163">
        <v>6</v>
      </c>
      <c r="AA43" s="163">
        <v>0</v>
      </c>
      <c r="AB43" s="163">
        <v>0</v>
      </c>
      <c r="AC43" s="163">
        <v>6</v>
      </c>
      <c r="AD43" s="163">
        <v>0</v>
      </c>
      <c r="AE43" s="165">
        <v>0.25044115606362749</v>
      </c>
      <c r="AF43" s="166">
        <v>0.37566173409544118</v>
      </c>
    </row>
    <row r="44" spans="1:116">
      <c r="A44" s="602">
        <v>1</v>
      </c>
      <c r="B44" s="162">
        <v>0.875</v>
      </c>
      <c r="C44" s="163">
        <v>2.5546882656560008</v>
      </c>
      <c r="D44" s="163">
        <v>687.21397029509251</v>
      </c>
      <c r="E44" s="164">
        <v>0.92079999999999995</v>
      </c>
      <c r="F44" s="164">
        <v>0.92079999999999995</v>
      </c>
      <c r="G44" s="163">
        <v>4</v>
      </c>
      <c r="H44" s="163">
        <v>6.6666666666666661</v>
      </c>
      <c r="I44" s="163">
        <v>2.6666666666666661</v>
      </c>
      <c r="J44" s="163">
        <v>3</v>
      </c>
      <c r="K44" s="163">
        <v>3.0989473684210527</v>
      </c>
      <c r="L44" s="163">
        <v>9.8947368421052673E-2</v>
      </c>
      <c r="M44" s="163">
        <v>4</v>
      </c>
      <c r="N44" s="163">
        <v>5.9649122807017543</v>
      </c>
      <c r="O44" s="163">
        <v>1.9649122807017543</v>
      </c>
      <c r="P44" s="163"/>
      <c r="Q44" s="163">
        <v>4</v>
      </c>
      <c r="R44" s="163">
        <v>0</v>
      </c>
      <c r="S44" s="163">
        <v>0</v>
      </c>
      <c r="T44" s="163">
        <v>0</v>
      </c>
      <c r="U44" s="163">
        <v>0</v>
      </c>
      <c r="V44" s="163">
        <v>0</v>
      </c>
      <c r="W44" s="163">
        <v>0</v>
      </c>
      <c r="X44" s="163">
        <v>0</v>
      </c>
      <c r="Y44" s="163">
        <v>4</v>
      </c>
      <c r="Z44" s="163">
        <v>4</v>
      </c>
      <c r="AA44" s="163">
        <v>0</v>
      </c>
      <c r="AB44" s="163">
        <v>0</v>
      </c>
      <c r="AC44" s="163">
        <v>4</v>
      </c>
      <c r="AD44" s="163">
        <v>0</v>
      </c>
      <c r="AE44" s="165">
        <v>0.31473365651652274</v>
      </c>
      <c r="AF44" s="166">
        <v>0.31473365651652274</v>
      </c>
    </row>
    <row r="45" spans="1:116">
      <c r="A45" s="602">
        <v>1</v>
      </c>
      <c r="B45" s="162">
        <v>0.89583333333333337</v>
      </c>
      <c r="C45" s="163">
        <v>2.2343453890501124</v>
      </c>
      <c r="D45" s="163">
        <v>676.44332851258469</v>
      </c>
      <c r="E45" s="164">
        <v>0.94569999999999999</v>
      </c>
      <c r="F45" s="164">
        <v>0.94569999999999999</v>
      </c>
      <c r="G45" s="163">
        <v>4</v>
      </c>
      <c r="H45" s="163">
        <v>6.6666666666666661</v>
      </c>
      <c r="I45" s="163">
        <v>2.6666666666666661</v>
      </c>
      <c r="J45" s="163">
        <v>3</v>
      </c>
      <c r="K45" s="163">
        <v>3.0989473684210527</v>
      </c>
      <c r="L45" s="163">
        <v>9.8947368421052673E-2</v>
      </c>
      <c r="M45" s="163">
        <v>4</v>
      </c>
      <c r="N45" s="163">
        <v>5.9649122807017543</v>
      </c>
      <c r="O45" s="163">
        <v>1.9649122807017543</v>
      </c>
      <c r="P45" s="163"/>
      <c r="Q45" s="163">
        <v>4</v>
      </c>
      <c r="R45" s="163">
        <v>0</v>
      </c>
      <c r="S45" s="163">
        <v>0</v>
      </c>
      <c r="T45" s="163">
        <v>0</v>
      </c>
      <c r="U45" s="163">
        <v>0</v>
      </c>
      <c r="V45" s="163">
        <v>0</v>
      </c>
      <c r="W45" s="163">
        <v>0</v>
      </c>
      <c r="X45" s="163">
        <v>0</v>
      </c>
      <c r="Y45" s="163">
        <v>4</v>
      </c>
      <c r="Z45" s="163">
        <v>4</v>
      </c>
      <c r="AA45" s="163">
        <v>0</v>
      </c>
      <c r="AB45" s="163">
        <v>0</v>
      </c>
      <c r="AC45" s="163">
        <v>4</v>
      </c>
      <c r="AD45" s="163">
        <v>0</v>
      </c>
      <c r="AE45" s="165">
        <v>0.27095365912119063</v>
      </c>
      <c r="AF45" s="166">
        <v>0.27095365912119063</v>
      </c>
    </row>
    <row r="46" spans="1:116">
      <c r="A46" s="602">
        <v>1</v>
      </c>
      <c r="B46" s="162">
        <v>0.91666666666666663</v>
      </c>
      <c r="C46" s="163">
        <v>1.913668276505359</v>
      </c>
      <c r="D46" s="163">
        <v>670.28637978731899</v>
      </c>
      <c r="E46" s="164">
        <v>0.61816666666666664</v>
      </c>
      <c r="F46" s="164">
        <v>0.61816666666666664</v>
      </c>
      <c r="G46" s="163">
        <v>3</v>
      </c>
      <c r="H46" s="163">
        <v>5.333333333333333</v>
      </c>
      <c r="I46" s="163">
        <v>2.333333333333333</v>
      </c>
      <c r="J46" s="163">
        <v>2</v>
      </c>
      <c r="K46" s="163">
        <v>2.3242105263157895</v>
      </c>
      <c r="L46" s="163">
        <v>0.3242105263157895</v>
      </c>
      <c r="M46" s="163">
        <v>3</v>
      </c>
      <c r="N46" s="163">
        <v>4.7719298245614032</v>
      </c>
      <c r="O46" s="163">
        <v>1.7719298245614032</v>
      </c>
      <c r="P46" s="163"/>
      <c r="Q46" s="163">
        <v>4</v>
      </c>
      <c r="R46" s="163">
        <v>0</v>
      </c>
      <c r="S46" s="163">
        <v>0</v>
      </c>
      <c r="T46" s="163">
        <v>0</v>
      </c>
      <c r="U46" s="163">
        <v>0</v>
      </c>
      <c r="V46" s="163">
        <v>0</v>
      </c>
      <c r="W46" s="163">
        <v>0</v>
      </c>
      <c r="X46" s="163">
        <v>0</v>
      </c>
      <c r="Y46" s="163">
        <v>4</v>
      </c>
      <c r="Z46" s="163">
        <v>4</v>
      </c>
      <c r="AA46" s="163">
        <v>0</v>
      </c>
      <c r="AB46" s="163">
        <v>0</v>
      </c>
      <c r="AC46" s="163">
        <v>4</v>
      </c>
      <c r="AD46" s="163">
        <v>0</v>
      </c>
      <c r="AE46" s="165">
        <v>0.22995367076426335</v>
      </c>
      <c r="AF46" s="166">
        <v>0.30660489435235116</v>
      </c>
    </row>
    <row r="47" spans="1:116">
      <c r="A47" s="602">
        <v>1</v>
      </c>
      <c r="B47" s="162">
        <v>0.9375</v>
      </c>
      <c r="C47" s="163">
        <v>1.6663016916521647</v>
      </c>
      <c r="D47" s="163">
        <v>657.89818984211774</v>
      </c>
      <c r="E47" s="164">
        <v>0.51319999999999999</v>
      </c>
      <c r="F47" s="164">
        <v>0.51319999999999999</v>
      </c>
      <c r="G47" s="163">
        <v>3</v>
      </c>
      <c r="H47" s="163">
        <v>3.333333333333333</v>
      </c>
      <c r="I47" s="163">
        <v>0.33333333333333304</v>
      </c>
      <c r="J47" s="163">
        <v>2</v>
      </c>
      <c r="K47" s="163">
        <v>2.3242105263157895</v>
      </c>
      <c r="L47" s="163">
        <v>0.3242105263157895</v>
      </c>
      <c r="M47" s="163">
        <v>3</v>
      </c>
      <c r="N47" s="163">
        <v>2.9824561403508771</v>
      </c>
      <c r="O47" s="163">
        <v>-1.7543859649122862E-2</v>
      </c>
      <c r="P47" s="163"/>
      <c r="Q47" s="163">
        <v>2</v>
      </c>
      <c r="R47" s="163">
        <v>0</v>
      </c>
      <c r="S47" s="163">
        <v>0</v>
      </c>
      <c r="T47" s="163">
        <v>0</v>
      </c>
      <c r="U47" s="163">
        <v>0</v>
      </c>
      <c r="V47" s="163">
        <v>0</v>
      </c>
      <c r="W47" s="163">
        <v>0</v>
      </c>
      <c r="X47" s="163">
        <v>0</v>
      </c>
      <c r="Y47" s="163">
        <v>2</v>
      </c>
      <c r="Z47" s="163">
        <v>2</v>
      </c>
      <c r="AA47" s="163">
        <v>0</v>
      </c>
      <c r="AB47" s="163">
        <v>0</v>
      </c>
      <c r="AC47" s="163">
        <v>2</v>
      </c>
      <c r="AD47" s="163">
        <v>0</v>
      </c>
      <c r="AE47" s="165">
        <v>0.39305707402452322</v>
      </c>
      <c r="AF47" s="166">
        <v>0.26203804934968217</v>
      </c>
    </row>
    <row r="48" spans="1:116">
      <c r="A48" s="602">
        <v>1</v>
      </c>
      <c r="B48" s="162">
        <v>0.95833333333333337</v>
      </c>
      <c r="C48" s="163">
        <v>1.409035643744597</v>
      </c>
      <c r="D48" s="163">
        <v>647.28789150789157</v>
      </c>
      <c r="E48" s="164">
        <v>0.58409999999999995</v>
      </c>
      <c r="F48" s="164">
        <v>0.58409999999999995</v>
      </c>
      <c r="G48" s="163">
        <v>3</v>
      </c>
      <c r="H48" s="163">
        <v>3.333333333333333</v>
      </c>
      <c r="I48" s="163">
        <v>0.33333333333333304</v>
      </c>
      <c r="J48" s="163">
        <v>2</v>
      </c>
      <c r="K48" s="163">
        <v>2.3242105263157895</v>
      </c>
      <c r="L48" s="163">
        <v>0.3242105263157895</v>
      </c>
      <c r="M48" s="163">
        <v>3</v>
      </c>
      <c r="N48" s="163">
        <v>2.9824561403508771</v>
      </c>
      <c r="O48" s="163">
        <v>-1.7543859649122862E-2</v>
      </c>
      <c r="P48" s="163"/>
      <c r="Q48" s="163">
        <v>2</v>
      </c>
      <c r="R48" s="163">
        <v>0</v>
      </c>
      <c r="S48" s="163">
        <v>0</v>
      </c>
      <c r="T48" s="163">
        <v>0</v>
      </c>
      <c r="U48" s="163">
        <v>0</v>
      </c>
      <c r="V48" s="163">
        <v>0</v>
      </c>
      <c r="W48" s="163">
        <v>0</v>
      </c>
      <c r="X48" s="163">
        <v>0</v>
      </c>
      <c r="Y48" s="163">
        <v>2</v>
      </c>
      <c r="Z48" s="163">
        <v>2</v>
      </c>
      <c r="AA48" s="163">
        <v>0</v>
      </c>
      <c r="AB48" s="163">
        <v>0</v>
      </c>
      <c r="AC48" s="163">
        <v>2</v>
      </c>
      <c r="AD48" s="163">
        <v>0</v>
      </c>
      <c r="AE48" s="165">
        <v>0.32701129429119852</v>
      </c>
      <c r="AF48" s="166">
        <v>0.21800752952746569</v>
      </c>
    </row>
    <row r="49" spans="1:32">
      <c r="A49" s="602">
        <v>1</v>
      </c>
      <c r="B49" s="162">
        <v>0.97916666666666663</v>
      </c>
      <c r="C49" s="163">
        <v>1.0811209376109243</v>
      </c>
      <c r="D49" s="163">
        <v>582.44092585971555</v>
      </c>
      <c r="E49" s="164">
        <v>0.70140000000000002</v>
      </c>
      <c r="F49" s="164">
        <v>0.70140000000000002</v>
      </c>
      <c r="G49" s="163">
        <v>3</v>
      </c>
      <c r="H49" s="163">
        <v>3.333333333333333</v>
      </c>
      <c r="I49" s="163">
        <v>0.33333333333333304</v>
      </c>
      <c r="J49" s="163">
        <v>2</v>
      </c>
      <c r="K49" s="163">
        <v>2.3242105263157895</v>
      </c>
      <c r="L49" s="163">
        <v>0.3242105263157895</v>
      </c>
      <c r="M49" s="163">
        <v>3</v>
      </c>
      <c r="N49" s="163">
        <v>2.9824561403508771</v>
      </c>
      <c r="O49" s="163">
        <v>-1.7543859649122862E-2</v>
      </c>
      <c r="P49" s="163"/>
      <c r="Q49" s="163">
        <v>2</v>
      </c>
      <c r="R49" s="163">
        <v>0</v>
      </c>
      <c r="S49" s="163">
        <v>0</v>
      </c>
      <c r="T49" s="163">
        <v>0</v>
      </c>
      <c r="U49" s="163">
        <v>0</v>
      </c>
      <c r="V49" s="163">
        <v>0</v>
      </c>
      <c r="W49" s="163">
        <v>0</v>
      </c>
      <c r="X49" s="163">
        <v>0</v>
      </c>
      <c r="Y49" s="163">
        <v>2</v>
      </c>
      <c r="Z49" s="163">
        <v>2</v>
      </c>
      <c r="AA49" s="163">
        <v>0</v>
      </c>
      <c r="AB49" s="163">
        <v>0</v>
      </c>
      <c r="AC49" s="163">
        <v>2</v>
      </c>
      <c r="AD49" s="163">
        <v>0</v>
      </c>
      <c r="AE49" s="165">
        <v>0.22577167341297141</v>
      </c>
      <c r="AF49" s="166">
        <v>0.15051444894198093</v>
      </c>
    </row>
    <row r="50" spans="1:32">
      <c r="A50" s="602">
        <v>2</v>
      </c>
      <c r="B50" s="162">
        <v>0</v>
      </c>
      <c r="C50" s="163">
        <v>0.62628984906860863</v>
      </c>
      <c r="D50" s="163">
        <v>632.66215178469463</v>
      </c>
      <c r="E50" s="164">
        <v>0.80420000000000014</v>
      </c>
      <c r="F50" s="164">
        <v>0.80420000000000014</v>
      </c>
      <c r="G50" s="163">
        <v>3</v>
      </c>
      <c r="H50" s="163">
        <v>3.333333333333333</v>
      </c>
      <c r="I50" s="163">
        <v>0.33333333333333304</v>
      </c>
      <c r="J50" s="163">
        <v>2</v>
      </c>
      <c r="K50" s="163">
        <v>2.3242105263157895</v>
      </c>
      <c r="L50" s="163">
        <v>0.3242105263157895</v>
      </c>
      <c r="M50" s="163">
        <v>3</v>
      </c>
      <c r="N50" s="163">
        <v>2.9824561403508771</v>
      </c>
      <c r="O50" s="163">
        <v>-1.7543859649122862E-2</v>
      </c>
      <c r="P50" s="163"/>
      <c r="Q50" s="163">
        <v>2</v>
      </c>
      <c r="R50" s="163">
        <v>0</v>
      </c>
      <c r="S50" s="163">
        <v>0</v>
      </c>
      <c r="T50" s="163">
        <v>0</v>
      </c>
      <c r="U50" s="163">
        <v>0</v>
      </c>
      <c r="V50" s="163">
        <v>0</v>
      </c>
      <c r="W50" s="163">
        <v>0</v>
      </c>
      <c r="X50" s="163">
        <v>0</v>
      </c>
      <c r="Y50" s="163">
        <v>2</v>
      </c>
      <c r="Z50" s="163">
        <v>2</v>
      </c>
      <c r="AA50" s="163">
        <v>0</v>
      </c>
      <c r="AB50" s="163">
        <v>0</v>
      </c>
      <c r="AC50" s="163">
        <v>2</v>
      </c>
      <c r="AD50" s="163">
        <v>0</v>
      </c>
      <c r="AE50" s="165">
        <v>0.14206611917837586</v>
      </c>
      <c r="AF50" s="166">
        <v>9.4710746118917249E-2</v>
      </c>
    </row>
    <row r="51" spans="1:32">
      <c r="A51" s="602">
        <v>2</v>
      </c>
      <c r="B51" s="162">
        <v>2.0833333333333332E-2</v>
      </c>
      <c r="C51" s="163">
        <v>0.39788845988884397</v>
      </c>
      <c r="D51" s="163">
        <v>632.50477657754789</v>
      </c>
      <c r="E51" s="164">
        <v>0.87259999999999993</v>
      </c>
      <c r="F51" s="164">
        <v>0.87259999999999993</v>
      </c>
      <c r="G51" s="163">
        <v>2</v>
      </c>
      <c r="H51" s="163">
        <v>3.333333333333333</v>
      </c>
      <c r="I51" s="163">
        <v>1.333333333333333</v>
      </c>
      <c r="J51" s="163">
        <v>1</v>
      </c>
      <c r="K51" s="163">
        <v>1.5494736842105263</v>
      </c>
      <c r="L51" s="163">
        <v>0.54947368421052634</v>
      </c>
      <c r="M51" s="163">
        <v>2</v>
      </c>
      <c r="N51" s="163">
        <v>2.9824561403508771</v>
      </c>
      <c r="O51" s="163">
        <v>0.98245614035087714</v>
      </c>
      <c r="P51" s="163"/>
      <c r="Q51" s="163">
        <v>2</v>
      </c>
      <c r="R51" s="163">
        <v>0</v>
      </c>
      <c r="S51" s="163">
        <v>0</v>
      </c>
      <c r="T51" s="163">
        <v>0</v>
      </c>
      <c r="U51" s="163">
        <v>0</v>
      </c>
      <c r="V51" s="163">
        <v>0</v>
      </c>
      <c r="W51" s="163">
        <v>0</v>
      </c>
      <c r="X51" s="163">
        <v>0</v>
      </c>
      <c r="Y51" s="163">
        <v>2</v>
      </c>
      <c r="Z51" s="163">
        <v>2</v>
      </c>
      <c r="AA51" s="163">
        <v>0</v>
      </c>
      <c r="AB51" s="163">
        <v>0</v>
      </c>
      <c r="AC51" s="163">
        <v>2</v>
      </c>
      <c r="AD51" s="163">
        <v>0</v>
      </c>
      <c r="AE51" s="165">
        <v>9.0233632945931078E-2</v>
      </c>
      <c r="AF51" s="166">
        <v>9.0233632945931078E-2</v>
      </c>
    </row>
    <row r="52" spans="1:32">
      <c r="A52" s="602">
        <v>2</v>
      </c>
      <c r="B52" s="162">
        <v>4.1666666666666664E-2</v>
      </c>
      <c r="C52" s="163">
        <v>0.54898155572386165</v>
      </c>
      <c r="D52" s="163">
        <v>591.05656442253041</v>
      </c>
      <c r="E52" s="164">
        <v>0.83829999999999993</v>
      </c>
      <c r="F52" s="164">
        <v>0.83829999999999993</v>
      </c>
      <c r="G52" s="163">
        <v>2</v>
      </c>
      <c r="H52" s="163">
        <v>3.333333333333333</v>
      </c>
      <c r="I52" s="163">
        <v>1.333333333333333</v>
      </c>
      <c r="J52" s="163">
        <v>1</v>
      </c>
      <c r="K52" s="163">
        <v>1.5494736842105263</v>
      </c>
      <c r="L52" s="163">
        <v>0.54947368421052634</v>
      </c>
      <c r="M52" s="163">
        <v>2</v>
      </c>
      <c r="N52" s="163">
        <v>2.9824561403508771</v>
      </c>
      <c r="O52" s="163">
        <v>0.98245614035087714</v>
      </c>
      <c r="P52" s="163"/>
      <c r="Q52" s="163">
        <v>2</v>
      </c>
      <c r="R52" s="163">
        <v>0</v>
      </c>
      <c r="S52" s="163">
        <v>0</v>
      </c>
      <c r="T52" s="163">
        <v>0</v>
      </c>
      <c r="U52" s="163">
        <v>0</v>
      </c>
      <c r="V52" s="163">
        <v>0</v>
      </c>
      <c r="W52" s="163">
        <v>0</v>
      </c>
      <c r="X52" s="163">
        <v>0</v>
      </c>
      <c r="Y52" s="163">
        <v>2</v>
      </c>
      <c r="Z52" s="163">
        <v>2</v>
      </c>
      <c r="AA52" s="163">
        <v>0</v>
      </c>
      <c r="AB52" s="163">
        <v>0</v>
      </c>
      <c r="AC52" s="163">
        <v>2</v>
      </c>
      <c r="AD52" s="163">
        <v>0</v>
      </c>
      <c r="AE52" s="165">
        <v>0.11634027575656987</v>
      </c>
      <c r="AF52" s="166">
        <v>0.11634027575656987</v>
      </c>
    </row>
    <row r="53" spans="1:32">
      <c r="A53" s="602">
        <v>2</v>
      </c>
      <c r="B53" s="162">
        <v>6.25E-2</v>
      </c>
      <c r="C53" s="163">
        <v>0.42927490343872998</v>
      </c>
      <c r="D53" s="163">
        <v>639.95904662833323</v>
      </c>
      <c r="E53" s="164">
        <v>0.86140000000000005</v>
      </c>
      <c r="F53" s="164">
        <v>0.86140000000000005</v>
      </c>
      <c r="G53" s="163">
        <v>2</v>
      </c>
      <c r="H53" s="163">
        <v>3.333333333333333</v>
      </c>
      <c r="I53" s="163">
        <v>1.333333333333333</v>
      </c>
      <c r="J53" s="163">
        <v>1</v>
      </c>
      <c r="K53" s="163">
        <v>1.5494736842105263</v>
      </c>
      <c r="L53" s="163">
        <v>0.54947368421052634</v>
      </c>
      <c r="M53" s="163">
        <v>2</v>
      </c>
      <c r="N53" s="163">
        <v>2.9824561403508771</v>
      </c>
      <c r="O53" s="163">
        <v>0.98245614035087714</v>
      </c>
      <c r="P53" s="163"/>
      <c r="Q53" s="163">
        <v>2</v>
      </c>
      <c r="R53" s="163">
        <v>0</v>
      </c>
      <c r="S53" s="163">
        <v>0</v>
      </c>
      <c r="T53" s="163">
        <v>0</v>
      </c>
      <c r="U53" s="163">
        <v>0</v>
      </c>
      <c r="V53" s="163">
        <v>0</v>
      </c>
      <c r="W53" s="163">
        <v>0</v>
      </c>
      <c r="X53" s="163">
        <v>0</v>
      </c>
      <c r="Y53" s="163">
        <v>2</v>
      </c>
      <c r="Z53" s="163">
        <v>2</v>
      </c>
      <c r="AA53" s="163">
        <v>0</v>
      </c>
      <c r="AB53" s="163">
        <v>0</v>
      </c>
      <c r="AC53" s="163">
        <v>2</v>
      </c>
      <c r="AD53" s="163">
        <v>0</v>
      </c>
      <c r="AE53" s="165">
        <v>9.8498807385572706E-2</v>
      </c>
      <c r="AF53" s="166">
        <v>9.8498807385572706E-2</v>
      </c>
    </row>
    <row r="54" spans="1:32">
      <c r="A54" s="602">
        <v>2</v>
      </c>
      <c r="B54" s="162">
        <v>8.3333333333333329E-2</v>
      </c>
      <c r="C54" s="163">
        <v>0.32893104983110821</v>
      </c>
      <c r="D54" s="163">
        <v>602.77416684754019</v>
      </c>
      <c r="E54" s="164">
        <v>0.89889999999999992</v>
      </c>
      <c r="F54" s="164">
        <v>0.89889999999999992</v>
      </c>
      <c r="G54" s="163">
        <v>2</v>
      </c>
      <c r="H54" s="163">
        <v>3.333333333333333</v>
      </c>
      <c r="I54" s="163">
        <v>1.333333333333333</v>
      </c>
      <c r="J54" s="163">
        <v>1</v>
      </c>
      <c r="K54" s="163">
        <v>1.5494736842105263</v>
      </c>
      <c r="L54" s="163">
        <v>0.54947368421052634</v>
      </c>
      <c r="M54" s="163">
        <v>2</v>
      </c>
      <c r="N54" s="163">
        <v>2.9824561403508771</v>
      </c>
      <c r="O54" s="163">
        <v>0.98245614035087714</v>
      </c>
      <c r="P54" s="163"/>
      <c r="Q54" s="163">
        <v>2</v>
      </c>
      <c r="R54" s="163">
        <v>0</v>
      </c>
      <c r="S54" s="163">
        <v>0</v>
      </c>
      <c r="T54" s="163">
        <v>0</v>
      </c>
      <c r="U54" s="163">
        <v>0</v>
      </c>
      <c r="V54" s="163">
        <v>0</v>
      </c>
      <c r="W54" s="163">
        <v>0</v>
      </c>
      <c r="X54" s="163">
        <v>0</v>
      </c>
      <c r="Y54" s="163">
        <v>2</v>
      </c>
      <c r="Z54" s="163">
        <v>2</v>
      </c>
      <c r="AA54" s="163">
        <v>0</v>
      </c>
      <c r="AB54" s="163">
        <v>0</v>
      </c>
      <c r="AC54" s="163">
        <v>2</v>
      </c>
      <c r="AD54" s="163">
        <v>0</v>
      </c>
      <c r="AE54" s="165">
        <v>7.1089063457360102E-2</v>
      </c>
      <c r="AF54" s="166">
        <v>7.1089063457360102E-2</v>
      </c>
    </row>
    <row r="55" spans="1:32">
      <c r="A55" s="602">
        <v>2</v>
      </c>
      <c r="B55" s="162">
        <v>0.10416666666666667</v>
      </c>
      <c r="C55" s="163">
        <v>0.24185164089120359</v>
      </c>
      <c r="D55" s="163">
        <v>634.41636473618883</v>
      </c>
      <c r="E55" s="164">
        <v>0.92099999999999993</v>
      </c>
      <c r="F55" s="164">
        <v>0.92099999999999993</v>
      </c>
      <c r="G55" s="163">
        <v>2</v>
      </c>
      <c r="H55" s="163">
        <v>3.333333333333333</v>
      </c>
      <c r="I55" s="163">
        <v>1.333333333333333</v>
      </c>
      <c r="J55" s="163">
        <v>1</v>
      </c>
      <c r="K55" s="163">
        <v>1.5494736842105263</v>
      </c>
      <c r="L55" s="163">
        <v>0.54947368421052634</v>
      </c>
      <c r="M55" s="163">
        <v>2</v>
      </c>
      <c r="N55" s="163">
        <v>2.9824561403508771</v>
      </c>
      <c r="O55" s="163">
        <v>0.98245614035087714</v>
      </c>
      <c r="P55" s="163"/>
      <c r="Q55" s="163">
        <v>2</v>
      </c>
      <c r="R55" s="163">
        <v>0</v>
      </c>
      <c r="S55" s="163">
        <v>0</v>
      </c>
      <c r="T55" s="163">
        <v>0</v>
      </c>
      <c r="U55" s="163">
        <v>0</v>
      </c>
      <c r="V55" s="163">
        <v>0</v>
      </c>
      <c r="W55" s="163">
        <v>0</v>
      </c>
      <c r="X55" s="163">
        <v>0</v>
      </c>
      <c r="Y55" s="163">
        <v>2</v>
      </c>
      <c r="Z55" s="163">
        <v>2</v>
      </c>
      <c r="AA55" s="163">
        <v>0</v>
      </c>
      <c r="AB55" s="163">
        <v>0</v>
      </c>
      <c r="AC55" s="163">
        <v>2</v>
      </c>
      <c r="AD55" s="163">
        <v>0</v>
      </c>
      <c r="AE55" s="165">
        <v>5.5013174395642961E-2</v>
      </c>
      <c r="AF55" s="166">
        <v>5.5013174395642961E-2</v>
      </c>
    </row>
    <row r="56" spans="1:32">
      <c r="A56" s="602">
        <v>2</v>
      </c>
      <c r="B56" s="162">
        <v>0.125</v>
      </c>
      <c r="C56" s="163">
        <v>0.20874999734941097</v>
      </c>
      <c r="D56" s="163">
        <v>571.21789563544735</v>
      </c>
      <c r="E56" s="164">
        <v>0.93859999999999999</v>
      </c>
      <c r="F56" s="164">
        <v>0.93859999999999999</v>
      </c>
      <c r="G56" s="163">
        <v>2</v>
      </c>
      <c r="H56" s="163">
        <v>3.333333333333333</v>
      </c>
      <c r="I56" s="163">
        <v>1.333333333333333</v>
      </c>
      <c r="J56" s="163">
        <v>1</v>
      </c>
      <c r="K56" s="163">
        <v>1.5494736842105263</v>
      </c>
      <c r="L56" s="163">
        <v>0.54947368421052634</v>
      </c>
      <c r="M56" s="163">
        <v>2</v>
      </c>
      <c r="N56" s="163">
        <v>2.9824561403508771</v>
      </c>
      <c r="O56" s="163">
        <v>0.98245614035087714</v>
      </c>
      <c r="P56" s="163"/>
      <c r="Q56" s="163">
        <v>2</v>
      </c>
      <c r="R56" s="163">
        <v>0</v>
      </c>
      <c r="S56" s="163">
        <v>0</v>
      </c>
      <c r="T56" s="163">
        <v>0</v>
      </c>
      <c r="U56" s="163">
        <v>0</v>
      </c>
      <c r="V56" s="163">
        <v>0</v>
      </c>
      <c r="W56" s="163">
        <v>0</v>
      </c>
      <c r="X56" s="163">
        <v>0</v>
      </c>
      <c r="Y56" s="163">
        <v>2</v>
      </c>
      <c r="Z56" s="163">
        <v>2</v>
      </c>
      <c r="AA56" s="163">
        <v>0</v>
      </c>
      <c r="AB56" s="163">
        <v>0</v>
      </c>
      <c r="AC56" s="163">
        <v>2</v>
      </c>
      <c r="AD56" s="163">
        <v>0</v>
      </c>
      <c r="AE56" s="165">
        <v>4.275349014562347E-2</v>
      </c>
      <c r="AF56" s="166">
        <v>4.275349014562347E-2</v>
      </c>
    </row>
    <row r="57" spans="1:32">
      <c r="A57" s="602">
        <v>2</v>
      </c>
      <c r="B57" s="162">
        <v>0.14583333333333334</v>
      </c>
      <c r="C57" s="163">
        <v>0.20926945884053288</v>
      </c>
      <c r="D57" s="163">
        <v>639.78368897390317</v>
      </c>
      <c r="E57" s="164">
        <v>0.93079999999999996</v>
      </c>
      <c r="F57" s="164">
        <v>0.93079999999999996</v>
      </c>
      <c r="G57" s="163">
        <v>2</v>
      </c>
      <c r="H57" s="163">
        <v>3.333333333333333</v>
      </c>
      <c r="I57" s="163">
        <v>1.333333333333333</v>
      </c>
      <c r="J57" s="163">
        <v>1</v>
      </c>
      <c r="K57" s="163">
        <v>1.5494736842105263</v>
      </c>
      <c r="L57" s="163">
        <v>0.54947368421052634</v>
      </c>
      <c r="M57" s="163">
        <v>2</v>
      </c>
      <c r="N57" s="163">
        <v>2.9824561403508771</v>
      </c>
      <c r="O57" s="163">
        <v>0.98245614035087714</v>
      </c>
      <c r="P57" s="163"/>
      <c r="Q57" s="163">
        <v>2</v>
      </c>
      <c r="R57" s="163">
        <v>0</v>
      </c>
      <c r="S57" s="163">
        <v>0</v>
      </c>
      <c r="T57" s="163">
        <v>0</v>
      </c>
      <c r="U57" s="163">
        <v>0</v>
      </c>
      <c r="V57" s="163">
        <v>0</v>
      </c>
      <c r="W57" s="163">
        <v>0</v>
      </c>
      <c r="X57" s="163">
        <v>0</v>
      </c>
      <c r="Y57" s="163">
        <v>2</v>
      </c>
      <c r="Z57" s="163">
        <v>2</v>
      </c>
      <c r="AA57" s="163">
        <v>0</v>
      </c>
      <c r="AB57" s="163">
        <v>0</v>
      </c>
      <c r="AC57" s="163">
        <v>2</v>
      </c>
      <c r="AD57" s="163">
        <v>0</v>
      </c>
      <c r="AE57" s="165">
        <v>4.8004539193931189E-2</v>
      </c>
      <c r="AF57" s="166">
        <v>4.8004539193931189E-2</v>
      </c>
    </row>
    <row r="58" spans="1:32">
      <c r="A58" s="602">
        <v>2</v>
      </c>
      <c r="B58" s="162">
        <v>0.16666666666666666</v>
      </c>
      <c r="C58" s="163">
        <v>0.1796713750603674</v>
      </c>
      <c r="D58" s="163">
        <v>667.52987761177189</v>
      </c>
      <c r="E58" s="164">
        <v>0.93769999999999998</v>
      </c>
      <c r="F58" s="164">
        <v>0.93769999999999998</v>
      </c>
      <c r="G58" s="163">
        <v>2</v>
      </c>
      <c r="H58" s="163">
        <v>3.333333333333333</v>
      </c>
      <c r="I58" s="163">
        <v>1.333333333333333</v>
      </c>
      <c r="J58" s="163">
        <v>1</v>
      </c>
      <c r="K58" s="163">
        <v>1.5494736842105263</v>
      </c>
      <c r="L58" s="163">
        <v>0.54947368421052634</v>
      </c>
      <c r="M58" s="163">
        <v>2</v>
      </c>
      <c r="N58" s="163">
        <v>2.9824561403508771</v>
      </c>
      <c r="O58" s="163">
        <v>0.98245614035087714</v>
      </c>
      <c r="P58" s="163"/>
      <c r="Q58" s="163">
        <v>2</v>
      </c>
      <c r="R58" s="163">
        <v>0</v>
      </c>
      <c r="S58" s="163">
        <v>0</v>
      </c>
      <c r="T58" s="163">
        <v>0</v>
      </c>
      <c r="U58" s="163">
        <v>0</v>
      </c>
      <c r="V58" s="163">
        <v>0</v>
      </c>
      <c r="W58" s="163">
        <v>0</v>
      </c>
      <c r="X58" s="163">
        <v>0</v>
      </c>
      <c r="Y58" s="163">
        <v>2</v>
      </c>
      <c r="Z58" s="163">
        <v>2</v>
      </c>
      <c r="AA58" s="163">
        <v>0</v>
      </c>
      <c r="AB58" s="163">
        <v>0</v>
      </c>
      <c r="AC58" s="163">
        <v>2</v>
      </c>
      <c r="AD58" s="163">
        <v>0</v>
      </c>
      <c r="AE58" s="165">
        <v>4.3002419404501259E-2</v>
      </c>
      <c r="AF58" s="166">
        <v>4.3002419404501259E-2</v>
      </c>
    </row>
    <row r="59" spans="1:32">
      <c r="A59" s="602">
        <v>2</v>
      </c>
      <c r="B59" s="162">
        <v>0.1875</v>
      </c>
      <c r="C59" s="163">
        <v>0.21177915691447274</v>
      </c>
      <c r="D59" s="163">
        <v>661.11426621082444</v>
      </c>
      <c r="E59" s="164">
        <v>0.92759999999999998</v>
      </c>
      <c r="F59" s="164">
        <v>0.92759999999999998</v>
      </c>
      <c r="G59" s="163">
        <v>2</v>
      </c>
      <c r="H59" s="163">
        <v>3.333333333333333</v>
      </c>
      <c r="I59" s="163">
        <v>1.333333333333333</v>
      </c>
      <c r="J59" s="163">
        <v>1</v>
      </c>
      <c r="K59" s="163">
        <v>1.5494736842105263</v>
      </c>
      <c r="L59" s="163">
        <v>0.54947368421052634</v>
      </c>
      <c r="M59" s="163">
        <v>2</v>
      </c>
      <c r="N59" s="163">
        <v>2.9824561403508771</v>
      </c>
      <c r="O59" s="163">
        <v>0.98245614035087714</v>
      </c>
      <c r="P59" s="163"/>
      <c r="Q59" s="163">
        <v>2</v>
      </c>
      <c r="R59" s="163">
        <v>0</v>
      </c>
      <c r="S59" s="163">
        <v>0</v>
      </c>
      <c r="T59" s="163">
        <v>0</v>
      </c>
      <c r="U59" s="163">
        <v>0</v>
      </c>
      <c r="V59" s="163">
        <v>0</v>
      </c>
      <c r="W59" s="163">
        <v>0</v>
      </c>
      <c r="X59" s="163">
        <v>0</v>
      </c>
      <c r="Y59" s="163">
        <v>2</v>
      </c>
      <c r="Z59" s="163">
        <v>2</v>
      </c>
      <c r="AA59" s="163">
        <v>0</v>
      </c>
      <c r="AB59" s="163">
        <v>0</v>
      </c>
      <c r="AC59" s="163">
        <v>2</v>
      </c>
      <c r="AD59" s="163">
        <v>0</v>
      </c>
      <c r="AE59" s="165">
        <v>5.0199921054553807E-2</v>
      </c>
      <c r="AF59" s="166">
        <v>5.0199921054553807E-2</v>
      </c>
    </row>
    <row r="60" spans="1:32">
      <c r="A60" s="602">
        <v>2</v>
      </c>
      <c r="B60" s="162">
        <v>0.20833333333333334</v>
      </c>
      <c r="C60" s="163">
        <v>0.29786470416669003</v>
      </c>
      <c r="D60" s="163">
        <v>619.33712335982136</v>
      </c>
      <c r="E60" s="164">
        <v>0.90560000000000007</v>
      </c>
      <c r="F60" s="164">
        <v>0.90560000000000007</v>
      </c>
      <c r="G60" s="163">
        <v>2</v>
      </c>
      <c r="H60" s="163">
        <v>3.333333333333333</v>
      </c>
      <c r="I60" s="163">
        <v>1.333333333333333</v>
      </c>
      <c r="J60" s="163">
        <v>1</v>
      </c>
      <c r="K60" s="163">
        <v>1.5494736842105263</v>
      </c>
      <c r="L60" s="163">
        <v>0.54947368421052634</v>
      </c>
      <c r="M60" s="163">
        <v>2</v>
      </c>
      <c r="N60" s="163">
        <v>2.9824561403508771</v>
      </c>
      <c r="O60" s="163">
        <v>0.98245614035087714</v>
      </c>
      <c r="P60" s="163"/>
      <c r="Q60" s="163">
        <v>2</v>
      </c>
      <c r="R60" s="163">
        <v>0</v>
      </c>
      <c r="S60" s="163">
        <v>0</v>
      </c>
      <c r="T60" s="163">
        <v>0</v>
      </c>
      <c r="U60" s="163">
        <v>0</v>
      </c>
      <c r="V60" s="163">
        <v>0</v>
      </c>
      <c r="W60" s="163">
        <v>0</v>
      </c>
      <c r="X60" s="163">
        <v>0</v>
      </c>
      <c r="Y60" s="163">
        <v>2</v>
      </c>
      <c r="Z60" s="163">
        <v>2</v>
      </c>
      <c r="AA60" s="163">
        <v>0</v>
      </c>
      <c r="AB60" s="163">
        <v>0</v>
      </c>
      <c r="AC60" s="163">
        <v>2</v>
      </c>
      <c r="AD60" s="163">
        <v>0</v>
      </c>
      <c r="AE60" s="165">
        <v>6.6143846458926209E-2</v>
      </c>
      <c r="AF60" s="166">
        <v>6.6143846458926209E-2</v>
      </c>
    </row>
    <row r="61" spans="1:32">
      <c r="A61" s="602">
        <v>2</v>
      </c>
      <c r="B61" s="162">
        <v>0.22916666666666666</v>
      </c>
      <c r="C61" s="163">
        <v>0.45912208094267815</v>
      </c>
      <c r="D61" s="163">
        <v>638.85861186862019</v>
      </c>
      <c r="E61" s="164">
        <v>0.85239999999999994</v>
      </c>
      <c r="F61" s="164">
        <v>0.85239999999999994</v>
      </c>
      <c r="G61" s="163">
        <v>2</v>
      </c>
      <c r="H61" s="163">
        <v>3.333333333333333</v>
      </c>
      <c r="I61" s="163">
        <v>1.333333333333333</v>
      </c>
      <c r="J61" s="163">
        <v>1</v>
      </c>
      <c r="K61" s="163">
        <v>1.5494736842105263</v>
      </c>
      <c r="L61" s="163">
        <v>0.54947368421052634</v>
      </c>
      <c r="M61" s="163">
        <v>2</v>
      </c>
      <c r="N61" s="163">
        <v>2.9824561403508771</v>
      </c>
      <c r="O61" s="163">
        <v>0.98245614035087714</v>
      </c>
      <c r="P61" s="163"/>
      <c r="Q61" s="163">
        <v>2</v>
      </c>
      <c r="R61" s="163">
        <v>0</v>
      </c>
      <c r="S61" s="163">
        <v>0</v>
      </c>
      <c r="T61" s="163">
        <v>0</v>
      </c>
      <c r="U61" s="163">
        <v>0</v>
      </c>
      <c r="V61" s="163">
        <v>0</v>
      </c>
      <c r="W61" s="163">
        <v>0</v>
      </c>
      <c r="X61" s="163">
        <v>0</v>
      </c>
      <c r="Y61" s="163">
        <v>2</v>
      </c>
      <c r="Z61" s="163">
        <v>2</v>
      </c>
      <c r="AA61" s="163">
        <v>0</v>
      </c>
      <c r="AB61" s="163">
        <v>0</v>
      </c>
      <c r="AC61" s="163">
        <v>2</v>
      </c>
      <c r="AD61" s="163">
        <v>0</v>
      </c>
      <c r="AE61" s="165">
        <v>0.10516621019920291</v>
      </c>
      <c r="AF61" s="166">
        <v>0.10516621019920291</v>
      </c>
    </row>
    <row r="62" spans="1:32">
      <c r="A62" s="602">
        <v>2</v>
      </c>
      <c r="B62" s="162">
        <v>0.25</v>
      </c>
      <c r="C62" s="163">
        <v>0.69284258315415725</v>
      </c>
      <c r="D62" s="163">
        <v>725.96187885815687</v>
      </c>
      <c r="E62" s="164">
        <v>0.75449999999999984</v>
      </c>
      <c r="F62" s="164">
        <v>0.75449999999999984</v>
      </c>
      <c r="G62" s="163">
        <v>3</v>
      </c>
      <c r="H62" s="163">
        <v>3.333333333333333</v>
      </c>
      <c r="I62" s="163">
        <v>0.33333333333333304</v>
      </c>
      <c r="J62" s="163">
        <v>2</v>
      </c>
      <c r="K62" s="163">
        <v>2.3242105263157895</v>
      </c>
      <c r="L62" s="163">
        <v>0.3242105263157895</v>
      </c>
      <c r="M62" s="163">
        <v>3</v>
      </c>
      <c r="N62" s="163">
        <v>2.9824561403508771</v>
      </c>
      <c r="O62" s="163">
        <v>-1.7543859649122862E-2</v>
      </c>
      <c r="P62" s="163"/>
      <c r="Q62" s="163">
        <v>2</v>
      </c>
      <c r="R62" s="163">
        <v>0</v>
      </c>
      <c r="S62" s="163">
        <v>0</v>
      </c>
      <c r="T62" s="163">
        <v>0</v>
      </c>
      <c r="U62" s="163">
        <v>0</v>
      </c>
      <c r="V62" s="163">
        <v>0</v>
      </c>
      <c r="W62" s="163">
        <v>0</v>
      </c>
      <c r="X62" s="163">
        <v>0</v>
      </c>
      <c r="Y62" s="163">
        <v>2</v>
      </c>
      <c r="Z62" s="163">
        <v>2</v>
      </c>
      <c r="AA62" s="163">
        <v>0</v>
      </c>
      <c r="AB62" s="163">
        <v>0</v>
      </c>
      <c r="AC62" s="163">
        <v>2</v>
      </c>
      <c r="AD62" s="163">
        <v>0</v>
      </c>
      <c r="AE62" s="165">
        <v>0.1803398393148227</v>
      </c>
      <c r="AF62" s="166">
        <v>0.12022655954321512</v>
      </c>
    </row>
    <row r="63" spans="1:32">
      <c r="A63" s="602">
        <v>2</v>
      </c>
      <c r="B63" s="162">
        <v>0.27083333333333331</v>
      </c>
      <c r="C63" s="163">
        <v>1.0595316691110424</v>
      </c>
      <c r="D63" s="163">
        <v>735.18995334385852</v>
      </c>
      <c r="E63" s="164">
        <v>0.63600000000000001</v>
      </c>
      <c r="F63" s="164">
        <v>0.63600000000000001</v>
      </c>
      <c r="G63" s="163">
        <v>3</v>
      </c>
      <c r="H63" s="163">
        <v>3.333333333333333</v>
      </c>
      <c r="I63" s="163">
        <v>0.33333333333333304</v>
      </c>
      <c r="J63" s="163">
        <v>2</v>
      </c>
      <c r="K63" s="163">
        <v>2.3242105263157895</v>
      </c>
      <c r="L63" s="163">
        <v>0.3242105263157895</v>
      </c>
      <c r="M63" s="163">
        <v>3</v>
      </c>
      <c r="N63" s="163">
        <v>2.9824561403508771</v>
      </c>
      <c r="O63" s="163">
        <v>-1.7543859649122862E-2</v>
      </c>
      <c r="P63" s="163"/>
      <c r="Q63" s="163">
        <v>2</v>
      </c>
      <c r="R63" s="163">
        <v>0</v>
      </c>
      <c r="S63" s="163">
        <v>0</v>
      </c>
      <c r="T63" s="163">
        <v>0</v>
      </c>
      <c r="U63" s="163">
        <v>0</v>
      </c>
      <c r="V63" s="163">
        <v>0</v>
      </c>
      <c r="W63" s="163">
        <v>0</v>
      </c>
      <c r="X63" s="163">
        <v>0</v>
      </c>
      <c r="Y63" s="163">
        <v>2</v>
      </c>
      <c r="Z63" s="163">
        <v>2</v>
      </c>
      <c r="AA63" s="163">
        <v>0</v>
      </c>
      <c r="AB63" s="163">
        <v>0</v>
      </c>
      <c r="AC63" s="163">
        <v>2</v>
      </c>
      <c r="AD63" s="163">
        <v>0</v>
      </c>
      <c r="AE63" s="165">
        <v>0.27929090672595236</v>
      </c>
      <c r="AF63" s="166">
        <v>0.18619393781730156</v>
      </c>
    </row>
    <row r="64" spans="1:32">
      <c r="A64" s="602">
        <v>2</v>
      </c>
      <c r="B64" s="162">
        <v>0.29166666666666669</v>
      </c>
      <c r="C64" s="163">
        <v>1.5404811855106142</v>
      </c>
      <c r="D64" s="163">
        <v>788.85487963427943</v>
      </c>
      <c r="E64" s="164">
        <v>0.4672</v>
      </c>
      <c r="F64" s="164">
        <v>0.4672</v>
      </c>
      <c r="G64" s="163">
        <v>3</v>
      </c>
      <c r="H64" s="163">
        <v>3.333333333333333</v>
      </c>
      <c r="I64" s="163">
        <v>0.33333333333333304</v>
      </c>
      <c r="J64" s="163">
        <v>2</v>
      </c>
      <c r="K64" s="163">
        <v>2.3242105263157895</v>
      </c>
      <c r="L64" s="163">
        <v>0.3242105263157895</v>
      </c>
      <c r="M64" s="163">
        <v>3</v>
      </c>
      <c r="N64" s="163">
        <v>2.9824561403508771</v>
      </c>
      <c r="O64" s="163">
        <v>-1.7543859649122862E-2</v>
      </c>
      <c r="P64" s="163"/>
      <c r="Q64" s="163">
        <v>2</v>
      </c>
      <c r="R64" s="163">
        <v>0</v>
      </c>
      <c r="S64" s="163">
        <v>0</v>
      </c>
      <c r="T64" s="163">
        <v>0</v>
      </c>
      <c r="U64" s="163">
        <v>0</v>
      </c>
      <c r="V64" s="163">
        <v>0</v>
      </c>
      <c r="W64" s="163">
        <v>0</v>
      </c>
      <c r="X64" s="163">
        <v>0</v>
      </c>
      <c r="Y64" s="163">
        <v>2</v>
      </c>
      <c r="Z64" s="163">
        <v>2</v>
      </c>
      <c r="AA64" s="163">
        <v>0</v>
      </c>
      <c r="AB64" s="163">
        <v>0</v>
      </c>
      <c r="AC64" s="163">
        <v>2</v>
      </c>
      <c r="AD64" s="163">
        <v>0</v>
      </c>
      <c r="AE64" s="165">
        <v>0.43570927504759399</v>
      </c>
      <c r="AF64" s="166">
        <v>0.29047285003172935</v>
      </c>
    </row>
    <row r="65" spans="1:32">
      <c r="A65" s="602">
        <v>2</v>
      </c>
      <c r="B65" s="162">
        <v>0.3125</v>
      </c>
      <c r="C65" s="163">
        <v>2.072564579336349</v>
      </c>
      <c r="D65" s="163">
        <v>791.13759811464672</v>
      </c>
      <c r="E65" s="164">
        <v>0.9325</v>
      </c>
      <c r="F65" s="164">
        <v>0.9325</v>
      </c>
      <c r="G65" s="163">
        <v>4</v>
      </c>
      <c r="H65" s="163">
        <v>6.6666666666666661</v>
      </c>
      <c r="I65" s="163">
        <v>2.6666666666666661</v>
      </c>
      <c r="J65" s="163">
        <v>3</v>
      </c>
      <c r="K65" s="163">
        <v>3.0989473684210527</v>
      </c>
      <c r="L65" s="163">
        <v>9.8947368421052673E-2</v>
      </c>
      <c r="M65" s="163">
        <v>4</v>
      </c>
      <c r="N65" s="163">
        <v>5.9649122807017543</v>
      </c>
      <c r="O65" s="163">
        <v>1.9649122807017543</v>
      </c>
      <c r="P65" s="163"/>
      <c r="Q65" s="163">
        <v>4</v>
      </c>
      <c r="R65" s="163">
        <v>0</v>
      </c>
      <c r="S65" s="163">
        <v>0</v>
      </c>
      <c r="T65" s="163">
        <v>0</v>
      </c>
      <c r="U65" s="163">
        <v>0</v>
      </c>
      <c r="V65" s="163">
        <v>0</v>
      </c>
      <c r="W65" s="163">
        <v>0</v>
      </c>
      <c r="X65" s="163">
        <v>0</v>
      </c>
      <c r="Y65" s="163">
        <v>4</v>
      </c>
      <c r="Z65" s="163">
        <v>4</v>
      </c>
      <c r="AA65" s="163">
        <v>0</v>
      </c>
      <c r="AB65" s="163">
        <v>0</v>
      </c>
      <c r="AC65" s="163">
        <v>4</v>
      </c>
      <c r="AD65" s="163">
        <v>0</v>
      </c>
      <c r="AE65" s="165">
        <v>0.29394995000603291</v>
      </c>
      <c r="AF65" s="166">
        <v>0.29394995000603291</v>
      </c>
    </row>
    <row r="66" spans="1:32">
      <c r="A66" s="602">
        <v>2</v>
      </c>
      <c r="B66" s="162">
        <v>0.33333333333333331</v>
      </c>
      <c r="C66" s="163">
        <v>2.714365920860899</v>
      </c>
      <c r="D66" s="163">
        <v>776.18636407195379</v>
      </c>
      <c r="E66" s="164">
        <v>0.87560000000000004</v>
      </c>
      <c r="F66" s="164">
        <v>0.87560000000000004</v>
      </c>
      <c r="G66" s="163">
        <v>4</v>
      </c>
      <c r="H66" s="163">
        <v>6.6666666666666661</v>
      </c>
      <c r="I66" s="163">
        <v>2.6666666666666661</v>
      </c>
      <c r="J66" s="163">
        <v>3</v>
      </c>
      <c r="K66" s="163">
        <v>3.0989473684210527</v>
      </c>
      <c r="L66" s="163">
        <v>9.8947368421052673E-2</v>
      </c>
      <c r="M66" s="163">
        <v>4</v>
      </c>
      <c r="N66" s="163">
        <v>5.9649122807017543</v>
      </c>
      <c r="O66" s="163">
        <v>1.9649122807017543</v>
      </c>
      <c r="P66" s="163"/>
      <c r="Q66" s="163">
        <v>4</v>
      </c>
      <c r="R66" s="163">
        <v>0</v>
      </c>
      <c r="S66" s="163">
        <v>0</v>
      </c>
      <c r="T66" s="163">
        <v>0</v>
      </c>
      <c r="U66" s="163">
        <v>0</v>
      </c>
      <c r="V66" s="163">
        <v>0</v>
      </c>
      <c r="W66" s="163">
        <v>0</v>
      </c>
      <c r="X66" s="163">
        <v>0</v>
      </c>
      <c r="Y66" s="163">
        <v>4</v>
      </c>
      <c r="Z66" s="163">
        <v>4</v>
      </c>
      <c r="AA66" s="163">
        <v>0</v>
      </c>
      <c r="AB66" s="163">
        <v>0</v>
      </c>
      <c r="AC66" s="163">
        <v>4</v>
      </c>
      <c r="AD66" s="163">
        <v>0</v>
      </c>
      <c r="AE66" s="165">
        <v>0.37770061974074381</v>
      </c>
      <c r="AF66" s="166">
        <v>0.37770061974074381</v>
      </c>
    </row>
    <row r="67" spans="1:32">
      <c r="A67" s="602">
        <v>2</v>
      </c>
      <c r="B67" s="162">
        <v>0.35416666666666669</v>
      </c>
      <c r="C67" s="163">
        <v>3.2911568430038916</v>
      </c>
      <c r="D67" s="163">
        <v>758.95029513737097</v>
      </c>
      <c r="E67" s="164">
        <v>0.81459999999999999</v>
      </c>
      <c r="F67" s="164">
        <v>0.81459999999999999</v>
      </c>
      <c r="G67" s="163">
        <v>4</v>
      </c>
      <c r="H67" s="163">
        <v>6.6666666666666661</v>
      </c>
      <c r="I67" s="163">
        <v>2.6666666666666661</v>
      </c>
      <c r="J67" s="163">
        <v>3</v>
      </c>
      <c r="K67" s="163">
        <v>3.0989473684210527</v>
      </c>
      <c r="L67" s="163">
        <v>9.8947368421052673E-2</v>
      </c>
      <c r="M67" s="163">
        <v>4</v>
      </c>
      <c r="N67" s="163">
        <v>5.9649122807017543</v>
      </c>
      <c r="O67" s="163">
        <v>1.9649122807017543</v>
      </c>
      <c r="P67" s="163"/>
      <c r="Q67" s="163">
        <v>4</v>
      </c>
      <c r="R67" s="163">
        <v>0</v>
      </c>
      <c r="S67" s="163">
        <v>0</v>
      </c>
      <c r="T67" s="163">
        <v>0</v>
      </c>
      <c r="U67" s="163">
        <v>0</v>
      </c>
      <c r="V67" s="163">
        <v>0</v>
      </c>
      <c r="W67" s="163">
        <v>0</v>
      </c>
      <c r="X67" s="163">
        <v>0</v>
      </c>
      <c r="Y67" s="163">
        <v>4</v>
      </c>
      <c r="Z67" s="163">
        <v>4</v>
      </c>
      <c r="AA67" s="163">
        <v>0</v>
      </c>
      <c r="AB67" s="163">
        <v>0</v>
      </c>
      <c r="AC67" s="163">
        <v>4</v>
      </c>
      <c r="AD67" s="163">
        <v>0</v>
      </c>
      <c r="AE67" s="165">
        <v>0.44779084285819037</v>
      </c>
      <c r="AF67" s="166">
        <v>0.44779084285819037</v>
      </c>
    </row>
    <row r="68" spans="1:32">
      <c r="A68" s="602">
        <v>2</v>
      </c>
      <c r="B68" s="162">
        <v>0.375</v>
      </c>
      <c r="C68" s="163">
        <v>3.7946973236603743</v>
      </c>
      <c r="D68" s="163">
        <v>762.9317816558073</v>
      </c>
      <c r="E68" s="164">
        <v>0.92160000000000009</v>
      </c>
      <c r="F68" s="164">
        <v>0.92160000000000009</v>
      </c>
      <c r="G68" s="163">
        <v>6</v>
      </c>
      <c r="H68" s="163">
        <v>10</v>
      </c>
      <c r="I68" s="163">
        <v>4</v>
      </c>
      <c r="J68" s="163">
        <v>4</v>
      </c>
      <c r="K68" s="163">
        <v>4.648421052631579</v>
      </c>
      <c r="L68" s="163">
        <v>0.64842105263157901</v>
      </c>
      <c r="M68" s="163">
        <v>5</v>
      </c>
      <c r="N68" s="163">
        <v>8.9473684210526319</v>
      </c>
      <c r="O68" s="163">
        <v>3.9473684210526319</v>
      </c>
      <c r="P68" s="163"/>
      <c r="Q68" s="163">
        <v>6</v>
      </c>
      <c r="R68" s="163">
        <v>0</v>
      </c>
      <c r="S68" s="163">
        <v>0</v>
      </c>
      <c r="T68" s="163">
        <v>0</v>
      </c>
      <c r="U68" s="163">
        <v>0</v>
      </c>
      <c r="V68" s="163">
        <v>0</v>
      </c>
      <c r="W68" s="163">
        <v>0</v>
      </c>
      <c r="X68" s="163">
        <v>0</v>
      </c>
      <c r="Y68" s="163">
        <v>6</v>
      </c>
      <c r="Z68" s="163">
        <v>6</v>
      </c>
      <c r="AA68" s="163">
        <v>0</v>
      </c>
      <c r="AB68" s="163">
        <v>0</v>
      </c>
      <c r="AC68" s="163">
        <v>6</v>
      </c>
      <c r="AD68" s="163">
        <v>0</v>
      </c>
      <c r="AE68" s="165">
        <v>0.34600699860173817</v>
      </c>
      <c r="AF68" s="166">
        <v>0.34600699860173817</v>
      </c>
    </row>
    <row r="69" spans="1:32">
      <c r="A69" s="602">
        <v>2</v>
      </c>
      <c r="B69" s="162">
        <v>0.39583333333333331</v>
      </c>
      <c r="C69" s="163">
        <v>4.2408966894556741</v>
      </c>
      <c r="D69" s="163">
        <v>799.68050348455949</v>
      </c>
      <c r="E69" s="164">
        <v>0.87629999999999997</v>
      </c>
      <c r="F69" s="164">
        <v>0.87629999999999997</v>
      </c>
      <c r="G69" s="163">
        <v>6</v>
      </c>
      <c r="H69" s="163">
        <v>10</v>
      </c>
      <c r="I69" s="163">
        <v>4</v>
      </c>
      <c r="J69" s="163">
        <v>4</v>
      </c>
      <c r="K69" s="163">
        <v>4.648421052631579</v>
      </c>
      <c r="L69" s="163">
        <v>0.64842105263157901</v>
      </c>
      <c r="M69" s="163">
        <v>5</v>
      </c>
      <c r="N69" s="163">
        <v>8.9473684210526319</v>
      </c>
      <c r="O69" s="163">
        <v>3.9473684210526319</v>
      </c>
      <c r="P69" s="163"/>
      <c r="Q69" s="163">
        <v>6</v>
      </c>
      <c r="R69" s="163">
        <v>0</v>
      </c>
      <c r="S69" s="163">
        <v>0</v>
      </c>
      <c r="T69" s="163">
        <v>0</v>
      </c>
      <c r="U69" s="163">
        <v>0</v>
      </c>
      <c r="V69" s="163">
        <v>0</v>
      </c>
      <c r="W69" s="163">
        <v>0</v>
      </c>
      <c r="X69" s="163">
        <v>0</v>
      </c>
      <c r="Y69" s="163">
        <v>6</v>
      </c>
      <c r="Z69" s="163">
        <v>6</v>
      </c>
      <c r="AA69" s="163">
        <v>0</v>
      </c>
      <c r="AB69" s="163">
        <v>0</v>
      </c>
      <c r="AC69" s="163">
        <v>6</v>
      </c>
      <c r="AD69" s="163">
        <v>0</v>
      </c>
      <c r="AE69" s="165">
        <v>0.40531832224454245</v>
      </c>
      <c r="AF69" s="166">
        <v>0.40531832224454245</v>
      </c>
    </row>
    <row r="70" spans="1:32">
      <c r="A70" s="602">
        <v>2</v>
      </c>
      <c r="B70" s="162">
        <v>0.41666666666666669</v>
      </c>
      <c r="C70" s="163">
        <v>4.5312585998589894</v>
      </c>
      <c r="D70" s="163">
        <v>785.33271433941616</v>
      </c>
      <c r="E70" s="164">
        <v>0.85870000000000013</v>
      </c>
      <c r="F70" s="164">
        <v>0.85870000000000013</v>
      </c>
      <c r="G70" s="163">
        <v>6</v>
      </c>
      <c r="H70" s="163">
        <v>10</v>
      </c>
      <c r="I70" s="163">
        <v>4</v>
      </c>
      <c r="J70" s="163">
        <v>4</v>
      </c>
      <c r="K70" s="163">
        <v>4.648421052631579</v>
      </c>
      <c r="L70" s="163">
        <v>0.64842105263157901</v>
      </c>
      <c r="M70" s="163">
        <v>5</v>
      </c>
      <c r="N70" s="163">
        <v>8.9473684210526319</v>
      </c>
      <c r="O70" s="163">
        <v>3.9473684210526319</v>
      </c>
      <c r="P70" s="163"/>
      <c r="Q70" s="163">
        <v>6</v>
      </c>
      <c r="R70" s="163">
        <v>0</v>
      </c>
      <c r="S70" s="163">
        <v>0</v>
      </c>
      <c r="T70" s="163">
        <v>0</v>
      </c>
      <c r="U70" s="163">
        <v>0</v>
      </c>
      <c r="V70" s="163">
        <v>0</v>
      </c>
      <c r="W70" s="163">
        <v>0</v>
      </c>
      <c r="X70" s="163">
        <v>0</v>
      </c>
      <c r="Y70" s="163">
        <v>6</v>
      </c>
      <c r="Z70" s="163">
        <v>6</v>
      </c>
      <c r="AA70" s="163">
        <v>0</v>
      </c>
      <c r="AB70" s="163">
        <v>0</v>
      </c>
      <c r="AC70" s="163">
        <v>6</v>
      </c>
      <c r="AD70" s="163">
        <v>0</v>
      </c>
      <c r="AE70" s="165">
        <v>0.42529920677599486</v>
      </c>
      <c r="AF70" s="166">
        <v>0.42529920677599486</v>
      </c>
    </row>
    <row r="71" spans="1:32">
      <c r="A71" s="602">
        <v>2</v>
      </c>
      <c r="B71" s="162">
        <v>0.4375</v>
      </c>
      <c r="C71" s="163">
        <v>4.7253234651584295</v>
      </c>
      <c r="D71" s="163">
        <v>750.0398016187844</v>
      </c>
      <c r="E71" s="164">
        <v>0.8607999999999999</v>
      </c>
      <c r="F71" s="164">
        <v>0.8607999999999999</v>
      </c>
      <c r="G71" s="163">
        <v>6</v>
      </c>
      <c r="H71" s="163">
        <v>10</v>
      </c>
      <c r="I71" s="163">
        <v>4</v>
      </c>
      <c r="J71" s="163">
        <v>4</v>
      </c>
      <c r="K71" s="163">
        <v>4.648421052631579</v>
      </c>
      <c r="L71" s="163">
        <v>0.64842105263157901</v>
      </c>
      <c r="M71" s="163">
        <v>5</v>
      </c>
      <c r="N71" s="163">
        <v>8.9473684210526319</v>
      </c>
      <c r="O71" s="163">
        <v>3.9473684210526319</v>
      </c>
      <c r="P71" s="163"/>
      <c r="Q71" s="163">
        <v>6</v>
      </c>
      <c r="R71" s="163">
        <v>0</v>
      </c>
      <c r="S71" s="163">
        <v>0</v>
      </c>
      <c r="T71" s="163">
        <v>0</v>
      </c>
      <c r="U71" s="163">
        <v>0</v>
      </c>
      <c r="V71" s="163">
        <v>0</v>
      </c>
      <c r="W71" s="163">
        <v>0</v>
      </c>
      <c r="X71" s="163">
        <v>0</v>
      </c>
      <c r="Y71" s="163">
        <v>6</v>
      </c>
      <c r="Z71" s="163">
        <v>6</v>
      </c>
      <c r="AA71" s="163">
        <v>0</v>
      </c>
      <c r="AB71" s="163">
        <v>0</v>
      </c>
      <c r="AC71" s="163">
        <v>6</v>
      </c>
      <c r="AD71" s="163">
        <v>0</v>
      </c>
      <c r="AE71" s="165">
        <v>0.42358238233097006</v>
      </c>
      <c r="AF71" s="166">
        <v>0.42358238233097006</v>
      </c>
    </row>
    <row r="72" spans="1:32">
      <c r="A72" s="602">
        <v>2</v>
      </c>
      <c r="B72" s="162">
        <v>0.45833333333333331</v>
      </c>
      <c r="C72" s="163">
        <v>5.0452699674194559</v>
      </c>
      <c r="D72" s="163">
        <v>749.38630666966026</v>
      </c>
      <c r="E72" s="164">
        <v>0.83409999999999995</v>
      </c>
      <c r="F72" s="164">
        <v>0.83409999999999995</v>
      </c>
      <c r="G72" s="163">
        <v>6</v>
      </c>
      <c r="H72" s="163">
        <v>10</v>
      </c>
      <c r="I72" s="163">
        <v>4</v>
      </c>
      <c r="J72" s="163">
        <v>4</v>
      </c>
      <c r="K72" s="163">
        <v>4.648421052631579</v>
      </c>
      <c r="L72" s="163">
        <v>0.64842105263157901</v>
      </c>
      <c r="M72" s="163">
        <v>5</v>
      </c>
      <c r="N72" s="163">
        <v>8.9473684210526319</v>
      </c>
      <c r="O72" s="163">
        <v>3.9473684210526319</v>
      </c>
      <c r="P72" s="163"/>
      <c r="Q72" s="163">
        <v>6</v>
      </c>
      <c r="R72" s="163">
        <v>0</v>
      </c>
      <c r="S72" s="163">
        <v>0</v>
      </c>
      <c r="T72" s="163">
        <v>0</v>
      </c>
      <c r="U72" s="163">
        <v>0</v>
      </c>
      <c r="V72" s="163">
        <v>0</v>
      </c>
      <c r="W72" s="163">
        <v>0</v>
      </c>
      <c r="X72" s="163">
        <v>0</v>
      </c>
      <c r="Y72" s="163">
        <v>6</v>
      </c>
      <c r="Z72" s="163">
        <v>6</v>
      </c>
      <c r="AA72" s="163">
        <v>0</v>
      </c>
      <c r="AB72" s="163">
        <v>0</v>
      </c>
      <c r="AC72" s="163">
        <v>6</v>
      </c>
      <c r="AD72" s="163">
        <v>0</v>
      </c>
      <c r="AE72" s="165">
        <v>0.45186863623239126</v>
      </c>
      <c r="AF72" s="166">
        <v>0.45186863623239126</v>
      </c>
    </row>
    <row r="73" spans="1:32">
      <c r="A73" s="602">
        <v>2</v>
      </c>
      <c r="B73" s="162">
        <v>0.47916666666666669</v>
      </c>
      <c r="C73" s="163">
        <v>4.8022865252506781</v>
      </c>
      <c r="D73" s="163">
        <v>736.0050208102449</v>
      </c>
      <c r="E73" s="164">
        <v>0.86199999999999999</v>
      </c>
      <c r="F73" s="164">
        <v>0.86199999999999999</v>
      </c>
      <c r="G73" s="163">
        <v>6</v>
      </c>
      <c r="H73" s="163">
        <v>10</v>
      </c>
      <c r="I73" s="163">
        <v>4</v>
      </c>
      <c r="J73" s="163">
        <v>4</v>
      </c>
      <c r="K73" s="163">
        <v>4.648421052631579</v>
      </c>
      <c r="L73" s="163">
        <v>0.64842105263157901</v>
      </c>
      <c r="M73" s="163">
        <v>5</v>
      </c>
      <c r="N73" s="163">
        <v>8.9473684210526319</v>
      </c>
      <c r="O73" s="163">
        <v>3.9473684210526319</v>
      </c>
      <c r="P73" s="163"/>
      <c r="Q73" s="163">
        <v>6</v>
      </c>
      <c r="R73" s="163">
        <v>0</v>
      </c>
      <c r="S73" s="163">
        <v>0</v>
      </c>
      <c r="T73" s="163">
        <v>0</v>
      </c>
      <c r="U73" s="163">
        <v>0</v>
      </c>
      <c r="V73" s="163">
        <v>0</v>
      </c>
      <c r="W73" s="163">
        <v>0</v>
      </c>
      <c r="X73" s="163">
        <v>0</v>
      </c>
      <c r="Y73" s="163">
        <v>6</v>
      </c>
      <c r="Z73" s="163">
        <v>6</v>
      </c>
      <c r="AA73" s="163">
        <v>0</v>
      </c>
      <c r="AB73" s="163">
        <v>0</v>
      </c>
      <c r="AC73" s="163">
        <v>6</v>
      </c>
      <c r="AD73" s="163">
        <v>0</v>
      </c>
      <c r="AE73" s="165">
        <v>0.42242623342594982</v>
      </c>
      <c r="AF73" s="166">
        <v>0.42242623342594982</v>
      </c>
    </row>
    <row r="74" spans="1:32">
      <c r="A74" s="602">
        <v>2</v>
      </c>
      <c r="B74" s="162">
        <v>0.5</v>
      </c>
      <c r="C74" s="163">
        <v>4.6491815611979721</v>
      </c>
      <c r="D74" s="163">
        <v>732.12326015033568</v>
      </c>
      <c r="E74" s="164">
        <v>0.87570000000000003</v>
      </c>
      <c r="F74" s="164">
        <v>0.87570000000000003</v>
      </c>
      <c r="G74" s="163">
        <v>6</v>
      </c>
      <c r="H74" s="163">
        <v>10</v>
      </c>
      <c r="I74" s="163">
        <v>4</v>
      </c>
      <c r="J74" s="163">
        <v>4</v>
      </c>
      <c r="K74" s="163">
        <v>4.648421052631579</v>
      </c>
      <c r="L74" s="163">
        <v>0.64842105263157901</v>
      </c>
      <c r="M74" s="163">
        <v>5</v>
      </c>
      <c r="N74" s="163">
        <v>8.9473684210526319</v>
      </c>
      <c r="O74" s="163">
        <v>3.9473684210526319</v>
      </c>
      <c r="P74" s="163"/>
      <c r="Q74" s="163">
        <v>6</v>
      </c>
      <c r="R74" s="163">
        <v>0</v>
      </c>
      <c r="S74" s="163">
        <v>0</v>
      </c>
      <c r="T74" s="163">
        <v>0</v>
      </c>
      <c r="U74" s="163">
        <v>0</v>
      </c>
      <c r="V74" s="163">
        <v>0</v>
      </c>
      <c r="W74" s="163">
        <v>0</v>
      </c>
      <c r="X74" s="163">
        <v>0</v>
      </c>
      <c r="Y74" s="163">
        <v>6</v>
      </c>
      <c r="Z74" s="163">
        <v>6</v>
      </c>
      <c r="AA74" s="163">
        <v>0</v>
      </c>
      <c r="AB74" s="163">
        <v>0</v>
      </c>
      <c r="AC74" s="163">
        <v>6</v>
      </c>
      <c r="AD74" s="163">
        <v>0</v>
      </c>
      <c r="AE74" s="165">
        <v>0.40680168874979017</v>
      </c>
      <c r="AF74" s="166">
        <v>0.40680168874979017</v>
      </c>
    </row>
    <row r="75" spans="1:32">
      <c r="A75" s="602">
        <v>2</v>
      </c>
      <c r="B75" s="162">
        <v>0.52083333333333337</v>
      </c>
      <c r="C75" s="163">
        <v>4.1743824121984758</v>
      </c>
      <c r="D75" s="163">
        <v>741.24439071120412</v>
      </c>
      <c r="E75" s="164">
        <v>0.90510000000000002</v>
      </c>
      <c r="F75" s="164">
        <v>0.90510000000000002</v>
      </c>
      <c r="G75" s="163">
        <v>6</v>
      </c>
      <c r="H75" s="163">
        <v>10</v>
      </c>
      <c r="I75" s="163">
        <v>4</v>
      </c>
      <c r="J75" s="163">
        <v>4</v>
      </c>
      <c r="K75" s="163">
        <v>4.648421052631579</v>
      </c>
      <c r="L75" s="163">
        <v>0.64842105263157901</v>
      </c>
      <c r="M75" s="163">
        <v>5</v>
      </c>
      <c r="N75" s="163">
        <v>8.9473684210526319</v>
      </c>
      <c r="O75" s="163">
        <v>3.9473684210526319</v>
      </c>
      <c r="P75" s="163"/>
      <c r="Q75" s="163">
        <v>6</v>
      </c>
      <c r="R75" s="163">
        <v>0</v>
      </c>
      <c r="S75" s="163">
        <v>0</v>
      </c>
      <c r="T75" s="163">
        <v>0</v>
      </c>
      <c r="U75" s="163">
        <v>0</v>
      </c>
      <c r="V75" s="163">
        <v>0</v>
      </c>
      <c r="W75" s="163">
        <v>0</v>
      </c>
      <c r="X75" s="163">
        <v>0</v>
      </c>
      <c r="Y75" s="163">
        <v>6</v>
      </c>
      <c r="Z75" s="163">
        <v>6</v>
      </c>
      <c r="AA75" s="163">
        <v>0</v>
      </c>
      <c r="AB75" s="163">
        <v>0</v>
      </c>
      <c r="AC75" s="163">
        <v>6</v>
      </c>
      <c r="AD75" s="163">
        <v>0</v>
      </c>
      <c r="AE75" s="165">
        <v>0.36980747664293284</v>
      </c>
      <c r="AF75" s="166">
        <v>0.36980747664293284</v>
      </c>
    </row>
    <row r="76" spans="1:32">
      <c r="A76" s="602">
        <v>2</v>
      </c>
      <c r="B76" s="162">
        <v>0.54166666666666663</v>
      </c>
      <c r="C76" s="163">
        <v>4.0243259560735485</v>
      </c>
      <c r="D76" s="163">
        <v>740.12588210983199</v>
      </c>
      <c r="E76" s="164">
        <v>0.91510000000000014</v>
      </c>
      <c r="F76" s="164">
        <v>0.91510000000000014</v>
      </c>
      <c r="G76" s="163">
        <v>6</v>
      </c>
      <c r="H76" s="163">
        <v>10</v>
      </c>
      <c r="I76" s="163">
        <v>4</v>
      </c>
      <c r="J76" s="163">
        <v>4</v>
      </c>
      <c r="K76" s="163">
        <v>4.648421052631579</v>
      </c>
      <c r="L76" s="163">
        <v>0.64842105263157901</v>
      </c>
      <c r="M76" s="163">
        <v>5</v>
      </c>
      <c r="N76" s="163">
        <v>8.9473684210526319</v>
      </c>
      <c r="O76" s="163">
        <v>3.9473684210526319</v>
      </c>
      <c r="P76" s="163"/>
      <c r="Q76" s="163">
        <v>6</v>
      </c>
      <c r="R76" s="163">
        <v>0</v>
      </c>
      <c r="S76" s="163">
        <v>0</v>
      </c>
      <c r="T76" s="163">
        <v>0</v>
      </c>
      <c r="U76" s="163">
        <v>0</v>
      </c>
      <c r="V76" s="163">
        <v>0</v>
      </c>
      <c r="W76" s="163">
        <v>0</v>
      </c>
      <c r="X76" s="163">
        <v>0</v>
      </c>
      <c r="Y76" s="163">
        <v>6</v>
      </c>
      <c r="Z76" s="163">
        <v>6</v>
      </c>
      <c r="AA76" s="163">
        <v>0</v>
      </c>
      <c r="AB76" s="163">
        <v>0</v>
      </c>
      <c r="AC76" s="163">
        <v>6</v>
      </c>
      <c r="AD76" s="163">
        <v>0</v>
      </c>
      <c r="AE76" s="165">
        <v>0.35597604773419966</v>
      </c>
      <c r="AF76" s="166">
        <v>0.35597604773419966</v>
      </c>
    </row>
    <row r="77" spans="1:32">
      <c r="A77" s="602">
        <v>2</v>
      </c>
      <c r="B77" s="162">
        <v>0.5625</v>
      </c>
      <c r="C77" s="163">
        <v>3.8778186324682622</v>
      </c>
      <c r="D77" s="163">
        <v>741.84219546793975</v>
      </c>
      <c r="E77" s="164">
        <v>0.92320000000000002</v>
      </c>
      <c r="F77" s="164">
        <v>0.92320000000000002</v>
      </c>
      <c r="G77" s="163">
        <v>6</v>
      </c>
      <c r="H77" s="163">
        <v>10</v>
      </c>
      <c r="I77" s="163">
        <v>4</v>
      </c>
      <c r="J77" s="163">
        <v>4</v>
      </c>
      <c r="K77" s="163">
        <v>4.648421052631579</v>
      </c>
      <c r="L77" s="163">
        <v>0.64842105263157901</v>
      </c>
      <c r="M77" s="163">
        <v>5</v>
      </c>
      <c r="N77" s="163">
        <v>8.9473684210526319</v>
      </c>
      <c r="O77" s="163">
        <v>3.9473684210526319</v>
      </c>
      <c r="P77" s="163"/>
      <c r="Q77" s="163">
        <v>6</v>
      </c>
      <c r="R77" s="163">
        <v>0</v>
      </c>
      <c r="S77" s="163">
        <v>0</v>
      </c>
      <c r="T77" s="163">
        <v>0</v>
      </c>
      <c r="U77" s="163">
        <v>0</v>
      </c>
      <c r="V77" s="163">
        <v>0</v>
      </c>
      <c r="W77" s="163">
        <v>0</v>
      </c>
      <c r="X77" s="163">
        <v>0</v>
      </c>
      <c r="Y77" s="163">
        <v>6</v>
      </c>
      <c r="Z77" s="163">
        <v>6</v>
      </c>
      <c r="AA77" s="163">
        <v>0</v>
      </c>
      <c r="AB77" s="163">
        <v>0</v>
      </c>
      <c r="AC77" s="163">
        <v>6</v>
      </c>
      <c r="AD77" s="163">
        <v>0</v>
      </c>
      <c r="AE77" s="165">
        <v>0.34381202364380814</v>
      </c>
      <c r="AF77" s="166">
        <v>0.34381202364380814</v>
      </c>
    </row>
    <row r="78" spans="1:32">
      <c r="A78" s="602">
        <v>2</v>
      </c>
      <c r="B78" s="162">
        <v>0.58333333333333337</v>
      </c>
      <c r="C78" s="163">
        <v>3.2687962116346494</v>
      </c>
      <c r="D78" s="163">
        <v>750.96924321309314</v>
      </c>
      <c r="E78" s="164">
        <v>0.95240000000000002</v>
      </c>
      <c r="F78" s="164">
        <v>0.95240000000000002</v>
      </c>
      <c r="G78" s="163">
        <v>4</v>
      </c>
      <c r="H78" s="163">
        <v>10</v>
      </c>
      <c r="I78" s="163">
        <v>6</v>
      </c>
      <c r="J78" s="163">
        <v>3</v>
      </c>
      <c r="K78" s="163">
        <v>3.0989473684210527</v>
      </c>
      <c r="L78" s="163">
        <v>9.8947368421052673E-2</v>
      </c>
      <c r="M78" s="163">
        <v>4</v>
      </c>
      <c r="N78" s="163">
        <v>8.9473684210526319</v>
      </c>
      <c r="O78" s="163">
        <v>4.9473684210526319</v>
      </c>
      <c r="P78" s="163"/>
      <c r="Q78" s="163">
        <v>6</v>
      </c>
      <c r="R78" s="163">
        <v>0</v>
      </c>
      <c r="S78" s="163">
        <v>0</v>
      </c>
      <c r="T78" s="163">
        <v>0</v>
      </c>
      <c r="U78" s="163">
        <v>0</v>
      </c>
      <c r="V78" s="163">
        <v>0</v>
      </c>
      <c r="W78" s="163">
        <v>0</v>
      </c>
      <c r="X78" s="163">
        <v>0</v>
      </c>
      <c r="Y78" s="163">
        <v>6</v>
      </c>
      <c r="Z78" s="163">
        <v>6</v>
      </c>
      <c r="AA78" s="163">
        <v>0</v>
      </c>
      <c r="AB78" s="163">
        <v>0</v>
      </c>
      <c r="AC78" s="163">
        <v>6</v>
      </c>
      <c r="AD78" s="163">
        <v>0</v>
      </c>
      <c r="AE78" s="165">
        <v>0.29338103190489678</v>
      </c>
      <c r="AF78" s="166">
        <v>0.4400715478573452</v>
      </c>
    </row>
    <row r="79" spans="1:32">
      <c r="A79" s="602">
        <v>2</v>
      </c>
      <c r="B79" s="162">
        <v>0.60416666666666663</v>
      </c>
      <c r="C79" s="163">
        <v>3.0722291878835981</v>
      </c>
      <c r="D79" s="163">
        <v>751.61874750905156</v>
      </c>
      <c r="E79" s="164">
        <v>0.96060000000000001</v>
      </c>
      <c r="F79" s="164">
        <v>0.96060000000000001</v>
      </c>
      <c r="G79" s="163">
        <v>4</v>
      </c>
      <c r="H79" s="163">
        <v>10</v>
      </c>
      <c r="I79" s="163">
        <v>6</v>
      </c>
      <c r="J79" s="163">
        <v>3</v>
      </c>
      <c r="K79" s="163">
        <v>3.0989473684210527</v>
      </c>
      <c r="L79" s="163">
        <v>9.8947368421052673E-2</v>
      </c>
      <c r="M79" s="163">
        <v>4</v>
      </c>
      <c r="N79" s="163">
        <v>8.9473684210526319</v>
      </c>
      <c r="O79" s="163">
        <v>4.9473684210526319</v>
      </c>
      <c r="P79" s="163"/>
      <c r="Q79" s="163">
        <v>6</v>
      </c>
      <c r="R79" s="163">
        <v>0</v>
      </c>
      <c r="S79" s="163">
        <v>0</v>
      </c>
      <c r="T79" s="163">
        <v>0</v>
      </c>
      <c r="U79" s="163">
        <v>0</v>
      </c>
      <c r="V79" s="163">
        <v>0</v>
      </c>
      <c r="W79" s="163">
        <v>0</v>
      </c>
      <c r="X79" s="163">
        <v>0</v>
      </c>
      <c r="Y79" s="163">
        <v>6</v>
      </c>
      <c r="Z79" s="163">
        <v>6</v>
      </c>
      <c r="AA79" s="163">
        <v>0</v>
      </c>
      <c r="AB79" s="163">
        <v>0</v>
      </c>
      <c r="AC79" s="163">
        <v>6</v>
      </c>
      <c r="AD79" s="163">
        <v>0</v>
      </c>
      <c r="AE79" s="165">
        <v>0.27597722946167086</v>
      </c>
      <c r="AF79" s="166">
        <v>0.41396584419250632</v>
      </c>
    </row>
    <row r="80" spans="1:32">
      <c r="A80" s="602">
        <v>2</v>
      </c>
      <c r="B80" s="162">
        <v>0.625</v>
      </c>
      <c r="C80" s="163">
        <v>2.8953738020397841</v>
      </c>
      <c r="D80" s="163">
        <v>745.88147233437894</v>
      </c>
      <c r="E80" s="164">
        <v>0.93483333333333329</v>
      </c>
      <c r="F80" s="164">
        <v>0.93483333333333329</v>
      </c>
      <c r="G80" s="163">
        <v>4</v>
      </c>
      <c r="H80" s="163">
        <v>9.3333333333333339</v>
      </c>
      <c r="I80" s="163">
        <v>5.3333333333333339</v>
      </c>
      <c r="J80" s="163">
        <v>3</v>
      </c>
      <c r="K80" s="163">
        <v>3.0989473684210527</v>
      </c>
      <c r="L80" s="163">
        <v>9.8947368421052673E-2</v>
      </c>
      <c r="M80" s="163">
        <v>4</v>
      </c>
      <c r="N80" s="163">
        <v>8.3508771929824572</v>
      </c>
      <c r="O80" s="163">
        <v>4.3508771929824572</v>
      </c>
      <c r="P80" s="163"/>
      <c r="Q80" s="163">
        <v>6</v>
      </c>
      <c r="R80" s="163">
        <v>0</v>
      </c>
      <c r="S80" s="163">
        <v>0</v>
      </c>
      <c r="T80" s="163">
        <v>0</v>
      </c>
      <c r="U80" s="163">
        <v>0</v>
      </c>
      <c r="V80" s="163">
        <v>0</v>
      </c>
      <c r="W80" s="163">
        <v>0</v>
      </c>
      <c r="X80" s="163">
        <v>0</v>
      </c>
      <c r="Y80" s="163">
        <v>6</v>
      </c>
      <c r="Z80" s="163">
        <v>6</v>
      </c>
      <c r="AA80" s="163">
        <v>0</v>
      </c>
      <c r="AB80" s="163">
        <v>0</v>
      </c>
      <c r="AC80" s="163">
        <v>6</v>
      </c>
      <c r="AD80" s="163">
        <v>0</v>
      </c>
      <c r="AE80" s="165">
        <v>0.25810504613308066</v>
      </c>
      <c r="AF80" s="166">
        <v>0.38715756919962097</v>
      </c>
    </row>
    <row r="81" spans="1:32">
      <c r="A81" s="602">
        <v>2</v>
      </c>
      <c r="B81" s="162">
        <v>0.64583333333333337</v>
      </c>
      <c r="C81" s="163">
        <v>2.9874128965012954</v>
      </c>
      <c r="D81" s="163">
        <v>746.91608794987235</v>
      </c>
      <c r="E81" s="164">
        <v>0.85770000000000002</v>
      </c>
      <c r="F81" s="164">
        <v>0.85770000000000002</v>
      </c>
      <c r="G81" s="163">
        <v>4</v>
      </c>
      <c r="H81" s="163">
        <v>6.6666666666666661</v>
      </c>
      <c r="I81" s="163">
        <v>2.6666666666666661</v>
      </c>
      <c r="J81" s="163">
        <v>3</v>
      </c>
      <c r="K81" s="163">
        <v>3.0989473684210527</v>
      </c>
      <c r="L81" s="163">
        <v>9.8947368421052673E-2</v>
      </c>
      <c r="M81" s="163">
        <v>4</v>
      </c>
      <c r="N81" s="163">
        <v>5.9649122807017543</v>
      </c>
      <c r="O81" s="163">
        <v>1.9649122807017543</v>
      </c>
      <c r="P81" s="163"/>
      <c r="Q81" s="163">
        <v>4</v>
      </c>
      <c r="R81" s="163">
        <v>0</v>
      </c>
      <c r="S81" s="163">
        <v>0</v>
      </c>
      <c r="T81" s="163">
        <v>0</v>
      </c>
      <c r="U81" s="163">
        <v>0</v>
      </c>
      <c r="V81" s="163">
        <v>0</v>
      </c>
      <c r="W81" s="163">
        <v>0</v>
      </c>
      <c r="X81" s="163">
        <v>0</v>
      </c>
      <c r="Y81" s="163">
        <v>4</v>
      </c>
      <c r="Z81" s="163">
        <v>4</v>
      </c>
      <c r="AA81" s="163">
        <v>0</v>
      </c>
      <c r="AB81" s="163">
        <v>0</v>
      </c>
      <c r="AC81" s="163">
        <v>4</v>
      </c>
      <c r="AD81" s="163">
        <v>0</v>
      </c>
      <c r="AE81" s="165">
        <v>0.40001876057866415</v>
      </c>
      <c r="AF81" s="166">
        <v>0.40001876057866415</v>
      </c>
    </row>
    <row r="82" spans="1:32">
      <c r="A82" s="602">
        <v>2</v>
      </c>
      <c r="B82" s="162">
        <v>0.66666666666666663</v>
      </c>
      <c r="C82" s="163">
        <v>2.9461988751158898</v>
      </c>
      <c r="D82" s="163">
        <v>751.09678047100147</v>
      </c>
      <c r="E82" s="164">
        <v>0.86039999999999994</v>
      </c>
      <c r="F82" s="164">
        <v>0.86039999999999994</v>
      </c>
      <c r="G82" s="163">
        <v>4</v>
      </c>
      <c r="H82" s="163">
        <v>6.6666666666666661</v>
      </c>
      <c r="I82" s="163">
        <v>2.6666666666666661</v>
      </c>
      <c r="J82" s="163">
        <v>3</v>
      </c>
      <c r="K82" s="163">
        <v>3.0989473684210527</v>
      </c>
      <c r="L82" s="163">
        <v>9.8947368421052673E-2</v>
      </c>
      <c r="M82" s="163">
        <v>4</v>
      </c>
      <c r="N82" s="163">
        <v>5.9649122807017543</v>
      </c>
      <c r="O82" s="163">
        <v>1.9649122807017543</v>
      </c>
      <c r="P82" s="163"/>
      <c r="Q82" s="163">
        <v>4</v>
      </c>
      <c r="R82" s="163">
        <v>0</v>
      </c>
      <c r="S82" s="163">
        <v>0</v>
      </c>
      <c r="T82" s="163">
        <v>0</v>
      </c>
      <c r="U82" s="163">
        <v>0</v>
      </c>
      <c r="V82" s="163">
        <v>0</v>
      </c>
      <c r="W82" s="163">
        <v>0</v>
      </c>
      <c r="X82" s="163">
        <v>0</v>
      </c>
      <c r="Y82" s="163">
        <v>4</v>
      </c>
      <c r="Z82" s="163">
        <v>4</v>
      </c>
      <c r="AA82" s="163">
        <v>0</v>
      </c>
      <c r="AB82" s="163">
        <v>0</v>
      </c>
      <c r="AC82" s="163">
        <v>4</v>
      </c>
      <c r="AD82" s="163">
        <v>0</v>
      </c>
      <c r="AE82" s="165">
        <v>0.39670827016162619</v>
      </c>
      <c r="AF82" s="166">
        <v>0.39670827016162619</v>
      </c>
    </row>
    <row r="83" spans="1:32">
      <c r="A83" s="602">
        <v>2</v>
      </c>
      <c r="B83" s="162">
        <v>0.6875</v>
      </c>
      <c r="C83" s="163">
        <v>3.0910674986551006</v>
      </c>
      <c r="D83" s="163">
        <v>753.39919921862372</v>
      </c>
      <c r="E83" s="164">
        <v>0.84249999999999992</v>
      </c>
      <c r="F83" s="164">
        <v>0.84249999999999992</v>
      </c>
      <c r="G83" s="163">
        <v>4</v>
      </c>
      <c r="H83" s="163">
        <v>6.6666666666666661</v>
      </c>
      <c r="I83" s="163">
        <v>2.6666666666666661</v>
      </c>
      <c r="J83" s="163">
        <v>3</v>
      </c>
      <c r="K83" s="163">
        <v>3.0989473684210527</v>
      </c>
      <c r="L83" s="163">
        <v>9.8947368421052673E-2</v>
      </c>
      <c r="M83" s="163">
        <v>4</v>
      </c>
      <c r="N83" s="163">
        <v>5.9649122807017543</v>
      </c>
      <c r="O83" s="163">
        <v>1.9649122807017543</v>
      </c>
      <c r="P83" s="163"/>
      <c r="Q83" s="163">
        <v>4</v>
      </c>
      <c r="R83" s="163">
        <v>0</v>
      </c>
      <c r="S83" s="163">
        <v>0</v>
      </c>
      <c r="T83" s="163">
        <v>0</v>
      </c>
      <c r="U83" s="163">
        <v>0</v>
      </c>
      <c r="V83" s="163">
        <v>0</v>
      </c>
      <c r="W83" s="163">
        <v>0</v>
      </c>
      <c r="X83" s="163">
        <v>0</v>
      </c>
      <c r="Y83" s="163">
        <v>4</v>
      </c>
      <c r="Z83" s="163">
        <v>4</v>
      </c>
      <c r="AA83" s="163">
        <v>0</v>
      </c>
      <c r="AB83" s="163">
        <v>0</v>
      </c>
      <c r="AC83" s="163">
        <v>4</v>
      </c>
      <c r="AD83" s="163">
        <v>0</v>
      </c>
      <c r="AE83" s="165">
        <v>0.41749082678641941</v>
      </c>
      <c r="AF83" s="166">
        <v>0.41749082678641941</v>
      </c>
    </row>
    <row r="84" spans="1:32">
      <c r="A84" s="602">
        <v>2</v>
      </c>
      <c r="B84" s="162">
        <v>0.70833333333333337</v>
      </c>
      <c r="C84" s="163">
        <v>3.0582572952006881</v>
      </c>
      <c r="D84" s="163">
        <v>746.70543122429501</v>
      </c>
      <c r="E84" s="164">
        <v>0.84970000000000001</v>
      </c>
      <c r="F84" s="164">
        <v>0.84970000000000001</v>
      </c>
      <c r="G84" s="163">
        <v>4</v>
      </c>
      <c r="H84" s="163">
        <v>6.6666666666666661</v>
      </c>
      <c r="I84" s="163">
        <v>2.6666666666666661</v>
      </c>
      <c r="J84" s="163">
        <v>3</v>
      </c>
      <c r="K84" s="163">
        <v>3.0989473684210527</v>
      </c>
      <c r="L84" s="163">
        <v>9.8947368421052673E-2</v>
      </c>
      <c r="M84" s="163">
        <v>4</v>
      </c>
      <c r="N84" s="163">
        <v>5.9649122807017543</v>
      </c>
      <c r="O84" s="163">
        <v>1.9649122807017543</v>
      </c>
      <c r="P84" s="163"/>
      <c r="Q84" s="163">
        <v>4</v>
      </c>
      <c r="R84" s="163">
        <v>0</v>
      </c>
      <c r="S84" s="163">
        <v>0</v>
      </c>
      <c r="T84" s="163">
        <v>0</v>
      </c>
      <c r="U84" s="163">
        <v>0</v>
      </c>
      <c r="V84" s="163">
        <v>0</v>
      </c>
      <c r="W84" s="163">
        <v>0</v>
      </c>
      <c r="X84" s="163">
        <v>0</v>
      </c>
      <c r="Y84" s="163">
        <v>4</v>
      </c>
      <c r="Z84" s="163">
        <v>4</v>
      </c>
      <c r="AA84" s="163">
        <v>0</v>
      </c>
      <c r="AB84" s="163">
        <v>0</v>
      </c>
      <c r="AC84" s="163">
        <v>4</v>
      </c>
      <c r="AD84" s="163">
        <v>0</v>
      </c>
      <c r="AE84" s="165">
        <v>0.40938942968510189</v>
      </c>
      <c r="AF84" s="166">
        <v>0.40938942968510189</v>
      </c>
    </row>
    <row r="85" spans="1:32">
      <c r="A85" s="602">
        <v>2</v>
      </c>
      <c r="B85" s="162">
        <v>0.72916666666666663</v>
      </c>
      <c r="C85" s="163">
        <v>3.1014643496503838</v>
      </c>
      <c r="D85" s="163">
        <v>702.69968392548526</v>
      </c>
      <c r="E85" s="164">
        <v>0.93353333333333344</v>
      </c>
      <c r="F85" s="164">
        <v>0.93353333333333344</v>
      </c>
      <c r="G85" s="163">
        <v>4</v>
      </c>
      <c r="H85" s="163">
        <v>8</v>
      </c>
      <c r="I85" s="163">
        <v>4</v>
      </c>
      <c r="J85" s="163">
        <v>3</v>
      </c>
      <c r="K85" s="163">
        <v>3.0989473684210527</v>
      </c>
      <c r="L85" s="163">
        <v>9.8947368421052673E-2</v>
      </c>
      <c r="M85" s="163">
        <v>4</v>
      </c>
      <c r="N85" s="163">
        <v>7.1578947368421053</v>
      </c>
      <c r="O85" s="163">
        <v>3.1578947368421053</v>
      </c>
      <c r="P85" s="163"/>
      <c r="Q85" s="163">
        <v>4</v>
      </c>
      <c r="R85" s="163">
        <v>0</v>
      </c>
      <c r="S85" s="163">
        <v>0</v>
      </c>
      <c r="T85" s="163">
        <v>0</v>
      </c>
      <c r="U85" s="163">
        <v>0</v>
      </c>
      <c r="V85" s="163">
        <v>0</v>
      </c>
      <c r="W85" s="163">
        <v>0</v>
      </c>
      <c r="X85" s="163">
        <v>0</v>
      </c>
      <c r="Y85" s="163">
        <v>4</v>
      </c>
      <c r="Z85" s="163">
        <v>4</v>
      </c>
      <c r="AA85" s="163">
        <v>0</v>
      </c>
      <c r="AB85" s="163">
        <v>0</v>
      </c>
      <c r="AC85" s="163">
        <v>4</v>
      </c>
      <c r="AD85" s="163">
        <v>0</v>
      </c>
      <c r="AE85" s="165">
        <v>0.39070578904272552</v>
      </c>
      <c r="AF85" s="166">
        <v>0.39070578904272552</v>
      </c>
    </row>
    <row r="86" spans="1:32">
      <c r="A86" s="602">
        <v>2</v>
      </c>
      <c r="B86" s="162">
        <v>0.75</v>
      </c>
      <c r="C86" s="163">
        <v>3.3718174424572203</v>
      </c>
      <c r="D86" s="163">
        <v>736.1095966148057</v>
      </c>
      <c r="E86" s="164">
        <v>0.95079999999999998</v>
      </c>
      <c r="F86" s="164">
        <v>0.95079999999999998</v>
      </c>
      <c r="G86" s="163">
        <v>4</v>
      </c>
      <c r="H86" s="163">
        <v>10</v>
      </c>
      <c r="I86" s="163">
        <v>6</v>
      </c>
      <c r="J86" s="163">
        <v>3</v>
      </c>
      <c r="K86" s="163">
        <v>3.0989473684210527</v>
      </c>
      <c r="L86" s="163">
        <v>9.8947368421052673E-2</v>
      </c>
      <c r="M86" s="163">
        <v>4</v>
      </c>
      <c r="N86" s="163">
        <v>8.9473684210526319</v>
      </c>
      <c r="O86" s="163">
        <v>4.9473684210526319</v>
      </c>
      <c r="P86" s="163"/>
      <c r="Q86" s="163">
        <v>6</v>
      </c>
      <c r="R86" s="163">
        <v>0</v>
      </c>
      <c r="S86" s="163">
        <v>0</v>
      </c>
      <c r="T86" s="163">
        <v>0</v>
      </c>
      <c r="U86" s="163">
        <v>0</v>
      </c>
      <c r="V86" s="163">
        <v>0</v>
      </c>
      <c r="W86" s="163">
        <v>0</v>
      </c>
      <c r="X86" s="163">
        <v>0</v>
      </c>
      <c r="Y86" s="163">
        <v>6</v>
      </c>
      <c r="Z86" s="163">
        <v>6</v>
      </c>
      <c r="AA86" s="163">
        <v>0</v>
      </c>
      <c r="AB86" s="163">
        <v>0</v>
      </c>
      <c r="AC86" s="163">
        <v>6</v>
      </c>
      <c r="AD86" s="163">
        <v>0</v>
      </c>
      <c r="AE86" s="165">
        <v>0.29663921831655754</v>
      </c>
      <c r="AF86" s="166">
        <v>0.44495882747483628</v>
      </c>
    </row>
    <row r="87" spans="1:32">
      <c r="A87" s="602">
        <v>2</v>
      </c>
      <c r="B87" s="162">
        <v>0.77083333333333337</v>
      </c>
      <c r="C87" s="163">
        <v>3.4901409290323269</v>
      </c>
      <c r="D87" s="163">
        <v>731.0587619541817</v>
      </c>
      <c r="E87" s="164">
        <v>0.94640000000000002</v>
      </c>
      <c r="F87" s="164">
        <v>0.94640000000000002</v>
      </c>
      <c r="G87" s="163">
        <v>4</v>
      </c>
      <c r="H87" s="163">
        <v>10</v>
      </c>
      <c r="I87" s="163">
        <v>6</v>
      </c>
      <c r="J87" s="163">
        <v>3</v>
      </c>
      <c r="K87" s="163">
        <v>3.0989473684210527</v>
      </c>
      <c r="L87" s="163">
        <v>9.8947368421052673E-2</v>
      </c>
      <c r="M87" s="163">
        <v>4</v>
      </c>
      <c r="N87" s="163">
        <v>8.9473684210526319</v>
      </c>
      <c r="O87" s="163">
        <v>4.9473684210526319</v>
      </c>
      <c r="P87" s="163"/>
      <c r="Q87" s="163">
        <v>6</v>
      </c>
      <c r="R87" s="163">
        <v>0</v>
      </c>
      <c r="S87" s="163">
        <v>0</v>
      </c>
      <c r="T87" s="163">
        <v>0</v>
      </c>
      <c r="U87" s="163">
        <v>0</v>
      </c>
      <c r="V87" s="163">
        <v>0</v>
      </c>
      <c r="W87" s="163">
        <v>0</v>
      </c>
      <c r="X87" s="163">
        <v>0</v>
      </c>
      <c r="Y87" s="163">
        <v>6</v>
      </c>
      <c r="Z87" s="163">
        <v>6</v>
      </c>
      <c r="AA87" s="163">
        <v>0</v>
      </c>
      <c r="AB87" s="163">
        <v>0</v>
      </c>
      <c r="AC87" s="163">
        <v>6</v>
      </c>
      <c r="AD87" s="163">
        <v>0</v>
      </c>
      <c r="AE87" s="165">
        <v>0.304942029148147</v>
      </c>
      <c r="AF87" s="166">
        <v>0.45741304372222047</v>
      </c>
    </row>
    <row r="88" spans="1:32">
      <c r="A88" s="602">
        <v>2</v>
      </c>
      <c r="B88" s="162">
        <v>0.79166666666666663</v>
      </c>
      <c r="C88" s="163">
        <v>3.264355005452503</v>
      </c>
      <c r="D88" s="163">
        <v>717.65019672634708</v>
      </c>
      <c r="E88" s="164">
        <v>0.8407</v>
      </c>
      <c r="F88" s="164">
        <v>0.8407</v>
      </c>
      <c r="G88" s="163">
        <v>4</v>
      </c>
      <c r="H88" s="163">
        <v>6.6666666666666661</v>
      </c>
      <c r="I88" s="163">
        <v>2.6666666666666661</v>
      </c>
      <c r="J88" s="163">
        <v>3</v>
      </c>
      <c r="K88" s="163">
        <v>3.0989473684210527</v>
      </c>
      <c r="L88" s="163">
        <v>9.8947368421052673E-2</v>
      </c>
      <c r="M88" s="163">
        <v>4</v>
      </c>
      <c r="N88" s="163">
        <v>5.9649122807017543</v>
      </c>
      <c r="O88" s="163">
        <v>1.9649122807017543</v>
      </c>
      <c r="P88" s="163"/>
      <c r="Q88" s="163">
        <v>4</v>
      </c>
      <c r="R88" s="163">
        <v>0</v>
      </c>
      <c r="S88" s="163">
        <v>0</v>
      </c>
      <c r="T88" s="163">
        <v>0</v>
      </c>
      <c r="U88" s="163">
        <v>0</v>
      </c>
      <c r="V88" s="163">
        <v>0</v>
      </c>
      <c r="W88" s="163">
        <v>0</v>
      </c>
      <c r="X88" s="163">
        <v>0</v>
      </c>
      <c r="Y88" s="163">
        <v>4</v>
      </c>
      <c r="Z88" s="163">
        <v>4</v>
      </c>
      <c r="AA88" s="163">
        <v>0</v>
      </c>
      <c r="AB88" s="163">
        <v>0</v>
      </c>
      <c r="AC88" s="163">
        <v>4</v>
      </c>
      <c r="AD88" s="163">
        <v>0</v>
      </c>
      <c r="AE88" s="165">
        <v>0.41997504552672921</v>
      </c>
      <c r="AF88" s="166">
        <v>0.41997504552672921</v>
      </c>
    </row>
    <row r="89" spans="1:32">
      <c r="A89" s="602">
        <v>2</v>
      </c>
      <c r="B89" s="162">
        <v>0.8125</v>
      </c>
      <c r="C89" s="163">
        <v>3.2630695691950917</v>
      </c>
      <c r="D89" s="163">
        <v>716.2994145179515</v>
      </c>
      <c r="E89" s="164">
        <v>0.84160000000000001</v>
      </c>
      <c r="F89" s="164">
        <v>0.84160000000000001</v>
      </c>
      <c r="G89" s="163">
        <v>4</v>
      </c>
      <c r="H89" s="163">
        <v>6.6666666666666661</v>
      </c>
      <c r="I89" s="163">
        <v>2.6666666666666661</v>
      </c>
      <c r="J89" s="163">
        <v>3</v>
      </c>
      <c r="K89" s="163">
        <v>3.0989473684210527</v>
      </c>
      <c r="L89" s="163">
        <v>9.8947368421052673E-2</v>
      </c>
      <c r="M89" s="163">
        <v>4</v>
      </c>
      <c r="N89" s="163">
        <v>5.9649122807017543</v>
      </c>
      <c r="O89" s="163">
        <v>1.9649122807017543</v>
      </c>
      <c r="P89" s="163"/>
      <c r="Q89" s="163">
        <v>4</v>
      </c>
      <c r="R89" s="163">
        <v>0</v>
      </c>
      <c r="S89" s="163">
        <v>0</v>
      </c>
      <c r="T89" s="163">
        <v>0</v>
      </c>
      <c r="U89" s="163">
        <v>0</v>
      </c>
      <c r="V89" s="163">
        <v>0</v>
      </c>
      <c r="W89" s="163">
        <v>0</v>
      </c>
      <c r="X89" s="163">
        <v>0</v>
      </c>
      <c r="Y89" s="163">
        <v>4</v>
      </c>
      <c r="Z89" s="163">
        <v>4</v>
      </c>
      <c r="AA89" s="163">
        <v>0</v>
      </c>
      <c r="AB89" s="163">
        <v>0</v>
      </c>
      <c r="AC89" s="163">
        <v>4</v>
      </c>
      <c r="AD89" s="163">
        <v>0</v>
      </c>
      <c r="AE89" s="165">
        <v>0.41901948989441784</v>
      </c>
      <c r="AF89" s="166">
        <v>0.41901948989441784</v>
      </c>
    </row>
    <row r="90" spans="1:32">
      <c r="A90" s="602">
        <v>2</v>
      </c>
      <c r="B90" s="162">
        <v>0.83333333333333337</v>
      </c>
      <c r="C90" s="163">
        <v>3.146188044045795</v>
      </c>
      <c r="D90" s="163">
        <v>727.36389491539057</v>
      </c>
      <c r="E90" s="164">
        <v>0.36996666666666661</v>
      </c>
      <c r="F90" s="164">
        <v>0.36996666666666661</v>
      </c>
      <c r="G90" s="163">
        <v>4</v>
      </c>
      <c r="H90" s="163">
        <v>5.333333333333333</v>
      </c>
      <c r="I90" s="163">
        <v>1.333333333333333</v>
      </c>
      <c r="J90" s="163">
        <v>3</v>
      </c>
      <c r="K90" s="163">
        <v>3.0989473684210527</v>
      </c>
      <c r="L90" s="163">
        <v>9.8947368421052673E-2</v>
      </c>
      <c r="M90" s="163">
        <v>4</v>
      </c>
      <c r="N90" s="163">
        <v>4.7719298245614032</v>
      </c>
      <c r="O90" s="163">
        <v>0.77192982456140324</v>
      </c>
      <c r="P90" s="163"/>
      <c r="Q90" s="163">
        <v>4</v>
      </c>
      <c r="R90" s="163">
        <v>0</v>
      </c>
      <c r="S90" s="163">
        <v>0</v>
      </c>
      <c r="T90" s="163">
        <v>0</v>
      </c>
      <c r="U90" s="163">
        <v>0</v>
      </c>
      <c r="V90" s="163">
        <v>0</v>
      </c>
      <c r="W90" s="163">
        <v>0</v>
      </c>
      <c r="X90" s="163">
        <v>0</v>
      </c>
      <c r="Y90" s="163">
        <v>4</v>
      </c>
      <c r="Z90" s="163">
        <v>4</v>
      </c>
      <c r="AA90" s="163">
        <v>0</v>
      </c>
      <c r="AB90" s="163">
        <v>0</v>
      </c>
      <c r="AC90" s="163">
        <v>4</v>
      </c>
      <c r="AD90" s="163">
        <v>0</v>
      </c>
      <c r="AE90" s="165">
        <v>0.41025105871843193</v>
      </c>
      <c r="AF90" s="166">
        <v>0.41025105871843193</v>
      </c>
    </row>
    <row r="91" spans="1:32">
      <c r="A91" s="602">
        <v>2</v>
      </c>
      <c r="B91" s="162">
        <v>0.85416666666666663</v>
      </c>
      <c r="C91" s="163">
        <v>2.9496848424254143</v>
      </c>
      <c r="D91" s="163">
        <v>721.90979032356847</v>
      </c>
      <c r="E91" s="164">
        <v>0.17499999999999996</v>
      </c>
      <c r="F91" s="164">
        <v>0.17499999999999996</v>
      </c>
      <c r="G91" s="163">
        <v>4</v>
      </c>
      <c r="H91" s="163">
        <v>3.333333333333333</v>
      </c>
      <c r="I91" s="163">
        <v>-0.66666666666666696</v>
      </c>
      <c r="J91" s="163">
        <v>3</v>
      </c>
      <c r="K91" s="163">
        <v>3.0989473684210527</v>
      </c>
      <c r="L91" s="163">
        <v>9.8947368421052673E-2</v>
      </c>
      <c r="M91" s="163">
        <v>4</v>
      </c>
      <c r="N91" s="163">
        <v>2.9824561403508771</v>
      </c>
      <c r="O91" s="163">
        <v>-1.0175438596491229</v>
      </c>
      <c r="P91" s="163"/>
      <c r="Q91" s="163">
        <v>2</v>
      </c>
      <c r="R91" s="163">
        <v>0</v>
      </c>
      <c r="S91" s="163">
        <v>0</v>
      </c>
      <c r="T91" s="163">
        <v>0</v>
      </c>
      <c r="U91" s="163">
        <v>0</v>
      </c>
      <c r="V91" s="163">
        <v>0</v>
      </c>
      <c r="W91" s="163">
        <v>0</v>
      </c>
      <c r="X91" s="163">
        <v>0</v>
      </c>
      <c r="Y91" s="163">
        <v>2</v>
      </c>
      <c r="Z91" s="163">
        <v>2</v>
      </c>
      <c r="AA91" s="163">
        <v>0</v>
      </c>
      <c r="AB91" s="163">
        <v>0</v>
      </c>
      <c r="AC91" s="163">
        <v>2</v>
      </c>
      <c r="AD91" s="163">
        <v>0</v>
      </c>
      <c r="AE91" s="165">
        <v>0.76348733688486636</v>
      </c>
      <c r="AF91" s="166">
        <v>0.38174366844243318</v>
      </c>
    </row>
    <row r="92" spans="1:32">
      <c r="A92" s="602">
        <v>2</v>
      </c>
      <c r="B92" s="162">
        <v>0.875</v>
      </c>
      <c r="C92" s="163">
        <v>2.6353725893061628</v>
      </c>
      <c r="D92" s="163">
        <v>684.332406093592</v>
      </c>
      <c r="E92" s="164">
        <v>0.27239999999999998</v>
      </c>
      <c r="F92" s="164">
        <v>0.27239999999999998</v>
      </c>
      <c r="G92" s="163">
        <v>4</v>
      </c>
      <c r="H92" s="163">
        <v>3.333333333333333</v>
      </c>
      <c r="I92" s="163">
        <v>-0.66666666666666696</v>
      </c>
      <c r="J92" s="163">
        <v>3</v>
      </c>
      <c r="K92" s="163">
        <v>3.0989473684210527</v>
      </c>
      <c r="L92" s="163">
        <v>9.8947368421052673E-2</v>
      </c>
      <c r="M92" s="163">
        <v>4</v>
      </c>
      <c r="N92" s="163">
        <v>2.9824561403508771</v>
      </c>
      <c r="O92" s="163">
        <v>-1.0175438596491229</v>
      </c>
      <c r="P92" s="163"/>
      <c r="Q92" s="163">
        <v>2</v>
      </c>
      <c r="R92" s="163">
        <v>0</v>
      </c>
      <c r="S92" s="163">
        <v>0</v>
      </c>
      <c r="T92" s="163">
        <v>0</v>
      </c>
      <c r="U92" s="163">
        <v>0</v>
      </c>
      <c r="V92" s="163">
        <v>0</v>
      </c>
      <c r="W92" s="163">
        <v>0</v>
      </c>
      <c r="X92" s="163">
        <v>0</v>
      </c>
      <c r="Y92" s="163">
        <v>2</v>
      </c>
      <c r="Z92" s="163">
        <v>2</v>
      </c>
      <c r="AA92" s="163">
        <v>0</v>
      </c>
      <c r="AB92" s="163">
        <v>0</v>
      </c>
      <c r="AC92" s="163">
        <v>2</v>
      </c>
      <c r="AD92" s="163">
        <v>0</v>
      </c>
      <c r="AE92" s="165">
        <v>0.64662489498163378</v>
      </c>
      <c r="AF92" s="166">
        <v>0.32331244749081689</v>
      </c>
    </row>
    <row r="93" spans="1:32">
      <c r="A93" s="602">
        <v>2</v>
      </c>
      <c r="B93" s="162">
        <v>0.89583333333333337</v>
      </c>
      <c r="C93" s="163">
        <v>2.3887744332418621</v>
      </c>
      <c r="D93" s="163">
        <v>724.51769461100628</v>
      </c>
      <c r="E93" s="164">
        <v>0.29449999999999998</v>
      </c>
      <c r="F93" s="164">
        <v>0.29449999999999998</v>
      </c>
      <c r="G93" s="163">
        <v>4</v>
      </c>
      <c r="H93" s="163">
        <v>3.333333333333333</v>
      </c>
      <c r="I93" s="163">
        <v>-0.66666666666666696</v>
      </c>
      <c r="J93" s="163">
        <v>3</v>
      </c>
      <c r="K93" s="163">
        <v>3.0989473684210527</v>
      </c>
      <c r="L93" s="163">
        <v>9.8947368421052673E-2</v>
      </c>
      <c r="M93" s="163">
        <v>4</v>
      </c>
      <c r="N93" s="163">
        <v>2.9824561403508771</v>
      </c>
      <c r="O93" s="163">
        <v>-1.0175438596491229</v>
      </c>
      <c r="P93" s="163"/>
      <c r="Q93" s="163">
        <v>2</v>
      </c>
      <c r="R93" s="163">
        <v>0</v>
      </c>
      <c r="S93" s="163">
        <v>0</v>
      </c>
      <c r="T93" s="163">
        <v>0</v>
      </c>
      <c r="U93" s="163">
        <v>0</v>
      </c>
      <c r="V93" s="163">
        <v>0</v>
      </c>
      <c r="W93" s="163">
        <v>0</v>
      </c>
      <c r="X93" s="163">
        <v>0</v>
      </c>
      <c r="Y93" s="163">
        <v>2</v>
      </c>
      <c r="Z93" s="163">
        <v>2</v>
      </c>
      <c r="AA93" s="163">
        <v>0</v>
      </c>
      <c r="AB93" s="163">
        <v>0</v>
      </c>
      <c r="AC93" s="163">
        <v>2</v>
      </c>
      <c r="AD93" s="163">
        <v>0</v>
      </c>
      <c r="AE93" s="165">
        <v>0.62053663875762444</v>
      </c>
      <c r="AF93" s="166">
        <v>0.31026831937881222</v>
      </c>
    </row>
    <row r="94" spans="1:32">
      <c r="A94" s="602">
        <v>2</v>
      </c>
      <c r="B94" s="162">
        <v>0.91666666666666663</v>
      </c>
      <c r="C94" s="163">
        <v>2.0541480678445261</v>
      </c>
      <c r="D94" s="163">
        <v>728.38970670510002</v>
      </c>
      <c r="E94" s="164">
        <v>0.3705</v>
      </c>
      <c r="F94" s="164">
        <v>0.3705</v>
      </c>
      <c r="G94" s="163">
        <v>4</v>
      </c>
      <c r="H94" s="163">
        <v>3.333333333333333</v>
      </c>
      <c r="I94" s="163">
        <v>-0.66666666666666696</v>
      </c>
      <c r="J94" s="163">
        <v>3</v>
      </c>
      <c r="K94" s="163">
        <v>3.0989473684210527</v>
      </c>
      <c r="L94" s="163">
        <v>9.8947368421052673E-2</v>
      </c>
      <c r="M94" s="163">
        <v>4</v>
      </c>
      <c r="N94" s="163">
        <v>2.9824561403508771</v>
      </c>
      <c r="O94" s="163">
        <v>-1.0175438596491229</v>
      </c>
      <c r="P94" s="163"/>
      <c r="Q94" s="163">
        <v>2</v>
      </c>
      <c r="R94" s="163">
        <v>0</v>
      </c>
      <c r="S94" s="163">
        <v>0</v>
      </c>
      <c r="T94" s="163">
        <v>0</v>
      </c>
      <c r="U94" s="163">
        <v>0</v>
      </c>
      <c r="V94" s="163">
        <v>0</v>
      </c>
      <c r="W94" s="163">
        <v>0</v>
      </c>
      <c r="X94" s="163">
        <v>0</v>
      </c>
      <c r="Y94" s="163">
        <v>2</v>
      </c>
      <c r="Z94" s="163">
        <v>2</v>
      </c>
      <c r="AA94" s="163">
        <v>0</v>
      </c>
      <c r="AB94" s="163">
        <v>0</v>
      </c>
      <c r="AC94" s="163">
        <v>2</v>
      </c>
      <c r="AD94" s="163">
        <v>0</v>
      </c>
      <c r="AE94" s="165">
        <v>0.53646184074306158</v>
      </c>
      <c r="AF94" s="166">
        <v>0.26823092037153079</v>
      </c>
    </row>
    <row r="95" spans="1:32">
      <c r="A95" s="602">
        <v>2</v>
      </c>
      <c r="B95" s="162">
        <v>0.9375</v>
      </c>
      <c r="C95" s="163">
        <v>1.4821674149737674</v>
      </c>
      <c r="D95" s="163">
        <v>678.11339884304368</v>
      </c>
      <c r="E95" s="164">
        <v>0.54730000000000001</v>
      </c>
      <c r="F95" s="164">
        <v>0.54730000000000001</v>
      </c>
      <c r="G95" s="163">
        <v>3</v>
      </c>
      <c r="H95" s="163">
        <v>3.333333333333333</v>
      </c>
      <c r="I95" s="163">
        <v>0.33333333333333304</v>
      </c>
      <c r="J95" s="163">
        <v>2</v>
      </c>
      <c r="K95" s="163">
        <v>2.3242105263157895</v>
      </c>
      <c r="L95" s="163">
        <v>0.3242105263157895</v>
      </c>
      <c r="M95" s="163">
        <v>3</v>
      </c>
      <c r="N95" s="163">
        <v>2.9824561403508771</v>
      </c>
      <c r="O95" s="163">
        <v>-1.7543859649122862E-2</v>
      </c>
      <c r="P95" s="163"/>
      <c r="Q95" s="163">
        <v>2</v>
      </c>
      <c r="R95" s="163">
        <v>0</v>
      </c>
      <c r="S95" s="163">
        <v>0</v>
      </c>
      <c r="T95" s="163">
        <v>0</v>
      </c>
      <c r="U95" s="163">
        <v>0</v>
      </c>
      <c r="V95" s="163">
        <v>0</v>
      </c>
      <c r="W95" s="163">
        <v>0</v>
      </c>
      <c r="X95" s="163">
        <v>0</v>
      </c>
      <c r="Y95" s="163">
        <v>2</v>
      </c>
      <c r="Z95" s="163">
        <v>2</v>
      </c>
      <c r="AA95" s="163">
        <v>0</v>
      </c>
      <c r="AB95" s="163">
        <v>0</v>
      </c>
      <c r="AC95" s="163">
        <v>2</v>
      </c>
      <c r="AD95" s="163">
        <v>0</v>
      </c>
      <c r="AE95" s="165">
        <v>0.36036522654406544</v>
      </c>
      <c r="AF95" s="166">
        <v>0.24024348436271029</v>
      </c>
    </row>
    <row r="96" spans="1:32">
      <c r="A96" s="602">
        <v>2</v>
      </c>
      <c r="B96" s="162">
        <v>0.95833333333333337</v>
      </c>
      <c r="C96" s="163">
        <v>1.0394033136386505</v>
      </c>
      <c r="D96" s="163">
        <v>633.15105692895816</v>
      </c>
      <c r="E96" s="164">
        <v>0.68830000000000002</v>
      </c>
      <c r="F96" s="164">
        <v>0.68830000000000002</v>
      </c>
      <c r="G96" s="163">
        <v>3</v>
      </c>
      <c r="H96" s="163">
        <v>3.333333333333333</v>
      </c>
      <c r="I96" s="163">
        <v>0.33333333333333304</v>
      </c>
      <c r="J96" s="163">
        <v>2</v>
      </c>
      <c r="K96" s="163">
        <v>2.3242105263157895</v>
      </c>
      <c r="L96" s="163">
        <v>0.3242105263157895</v>
      </c>
      <c r="M96" s="163">
        <v>3</v>
      </c>
      <c r="N96" s="163">
        <v>2.9824561403508771</v>
      </c>
      <c r="O96" s="163">
        <v>-1.7543859649122862E-2</v>
      </c>
      <c r="P96" s="163"/>
      <c r="Q96" s="163">
        <v>2</v>
      </c>
      <c r="R96" s="163">
        <v>0</v>
      </c>
      <c r="S96" s="163">
        <v>0</v>
      </c>
      <c r="T96" s="163">
        <v>0</v>
      </c>
      <c r="U96" s="163">
        <v>0</v>
      </c>
      <c r="V96" s="163">
        <v>0</v>
      </c>
      <c r="W96" s="163">
        <v>0</v>
      </c>
      <c r="X96" s="163">
        <v>0</v>
      </c>
      <c r="Y96" s="163">
        <v>2</v>
      </c>
      <c r="Z96" s="163">
        <v>2</v>
      </c>
      <c r="AA96" s="163">
        <v>0</v>
      </c>
      <c r="AB96" s="163">
        <v>0</v>
      </c>
      <c r="AC96" s="163">
        <v>2</v>
      </c>
      <c r="AD96" s="163">
        <v>0</v>
      </c>
      <c r="AE96" s="165">
        <v>0.2359580092374261</v>
      </c>
      <c r="AF96" s="166">
        <v>0.1573053394916174</v>
      </c>
    </row>
    <row r="97" spans="1:32">
      <c r="A97" s="602">
        <v>2</v>
      </c>
      <c r="B97" s="162">
        <v>0.97916666666666663</v>
      </c>
      <c r="C97" s="163">
        <v>0.79753710087906859</v>
      </c>
      <c r="D97" s="163">
        <v>506.40943961303043</v>
      </c>
      <c r="E97" s="164">
        <v>0.80279999999999996</v>
      </c>
      <c r="F97" s="164">
        <v>0.80279999999999996</v>
      </c>
      <c r="G97" s="163">
        <v>3</v>
      </c>
      <c r="H97" s="163">
        <v>3.333333333333333</v>
      </c>
      <c r="I97" s="163">
        <v>0.33333333333333304</v>
      </c>
      <c r="J97" s="163">
        <v>2</v>
      </c>
      <c r="K97" s="163">
        <v>2.3242105263157895</v>
      </c>
      <c r="L97" s="163">
        <v>0.3242105263157895</v>
      </c>
      <c r="M97" s="163">
        <v>3</v>
      </c>
      <c r="N97" s="163">
        <v>2.9824561403508771</v>
      </c>
      <c r="O97" s="163">
        <v>-1.7543859649122862E-2</v>
      </c>
      <c r="P97" s="163"/>
      <c r="Q97" s="163">
        <v>2</v>
      </c>
      <c r="R97" s="163">
        <v>0</v>
      </c>
      <c r="S97" s="163">
        <v>0</v>
      </c>
      <c r="T97" s="163">
        <v>0</v>
      </c>
      <c r="U97" s="163">
        <v>0</v>
      </c>
      <c r="V97" s="163">
        <v>0</v>
      </c>
      <c r="W97" s="163">
        <v>0</v>
      </c>
      <c r="X97" s="163">
        <v>0</v>
      </c>
      <c r="Y97" s="163">
        <v>2</v>
      </c>
      <c r="Z97" s="163">
        <v>2</v>
      </c>
      <c r="AA97" s="163">
        <v>0</v>
      </c>
      <c r="AB97" s="163">
        <v>0</v>
      </c>
      <c r="AC97" s="163">
        <v>2</v>
      </c>
      <c r="AD97" s="163">
        <v>0</v>
      </c>
      <c r="AE97" s="165">
        <v>0.14480914119506019</v>
      </c>
      <c r="AF97" s="166">
        <v>9.6539427463373476E-2</v>
      </c>
    </row>
    <row r="98" spans="1:32">
      <c r="A98" s="602">
        <v>3</v>
      </c>
      <c r="B98" s="162">
        <v>0</v>
      </c>
      <c r="C98" s="163">
        <v>1.3358851049765899</v>
      </c>
      <c r="D98" s="163">
        <v>645.77870281413129</v>
      </c>
      <c r="E98" s="164">
        <v>0.98780000000000001</v>
      </c>
      <c r="F98" s="164">
        <v>0.98780000000000001</v>
      </c>
      <c r="G98" s="163">
        <v>3</v>
      </c>
      <c r="H98" s="163">
        <v>6.6666666666666661</v>
      </c>
      <c r="I98" s="163">
        <v>3.6666666666666661</v>
      </c>
      <c r="J98" s="163">
        <v>2</v>
      </c>
      <c r="K98" s="163">
        <v>2.445506072874494</v>
      </c>
      <c r="L98" s="163">
        <v>0.44550607287449395</v>
      </c>
      <c r="M98" s="163">
        <v>3</v>
      </c>
      <c r="N98" s="163">
        <v>6.0908681961313533</v>
      </c>
      <c r="O98" s="163">
        <v>3.0908681961313533</v>
      </c>
      <c r="P98" s="163"/>
      <c r="Q98" s="163">
        <v>4</v>
      </c>
      <c r="R98" s="163">
        <v>0</v>
      </c>
      <c r="S98" s="163">
        <v>0</v>
      </c>
      <c r="T98" s="163">
        <v>0</v>
      </c>
      <c r="U98" s="163">
        <v>0</v>
      </c>
      <c r="V98" s="163">
        <v>0</v>
      </c>
      <c r="W98" s="163">
        <v>0</v>
      </c>
      <c r="X98" s="163">
        <v>0</v>
      </c>
      <c r="Y98" s="163">
        <v>4</v>
      </c>
      <c r="Z98" s="163">
        <v>4</v>
      </c>
      <c r="AA98" s="163">
        <v>0</v>
      </c>
      <c r="AB98" s="163">
        <v>0</v>
      </c>
      <c r="AC98" s="163">
        <v>4</v>
      </c>
      <c r="AD98" s="163">
        <v>0</v>
      </c>
      <c r="AE98" s="165">
        <v>0.14698493966978177</v>
      </c>
      <c r="AF98" s="166">
        <v>0.195979919559709</v>
      </c>
    </row>
    <row r="99" spans="1:32">
      <c r="A99" s="602">
        <v>3</v>
      </c>
      <c r="B99" s="162">
        <v>2.0833333333333332E-2</v>
      </c>
      <c r="C99" s="163">
        <v>0.93427791207734312</v>
      </c>
      <c r="D99" s="163">
        <v>645.6481425461609</v>
      </c>
      <c r="E99" s="164">
        <v>0.99539999999999995</v>
      </c>
      <c r="F99" s="164">
        <v>0.99539999999999995</v>
      </c>
      <c r="G99" s="163">
        <v>3</v>
      </c>
      <c r="H99" s="163">
        <v>6.6666666666666661</v>
      </c>
      <c r="I99" s="163">
        <v>3.6666666666666661</v>
      </c>
      <c r="J99" s="163">
        <v>2</v>
      </c>
      <c r="K99" s="163">
        <v>2.445506072874494</v>
      </c>
      <c r="L99" s="163">
        <v>0.44550607287449395</v>
      </c>
      <c r="M99" s="163">
        <v>3</v>
      </c>
      <c r="N99" s="163">
        <v>6.0908681961313533</v>
      </c>
      <c r="O99" s="163">
        <v>3.0908681961313533</v>
      </c>
      <c r="P99" s="163"/>
      <c r="Q99" s="163">
        <v>4</v>
      </c>
      <c r="R99" s="163">
        <v>0</v>
      </c>
      <c r="S99" s="163">
        <v>0</v>
      </c>
      <c r="T99" s="163">
        <v>0</v>
      </c>
      <c r="U99" s="163">
        <v>0</v>
      </c>
      <c r="V99" s="163">
        <v>0</v>
      </c>
      <c r="W99" s="163">
        <v>0</v>
      </c>
      <c r="X99" s="163">
        <v>0</v>
      </c>
      <c r="Y99" s="163">
        <v>4</v>
      </c>
      <c r="Z99" s="163">
        <v>4</v>
      </c>
      <c r="AA99" s="163">
        <v>0</v>
      </c>
      <c r="AB99" s="163">
        <v>0</v>
      </c>
      <c r="AC99" s="163">
        <v>4</v>
      </c>
      <c r="AD99" s="163">
        <v>0</v>
      </c>
      <c r="AE99" s="165">
        <v>0.10277606839157767</v>
      </c>
      <c r="AF99" s="166">
        <v>0.1370347578554369</v>
      </c>
    </row>
    <row r="100" spans="1:32">
      <c r="A100" s="602">
        <v>3</v>
      </c>
      <c r="B100" s="162">
        <v>4.1666666666666664E-2</v>
      </c>
      <c r="C100" s="163">
        <v>0.71132200334093076</v>
      </c>
      <c r="D100" s="163">
        <v>611.86626064730615</v>
      </c>
      <c r="E100" s="164">
        <v>0.99820000000000009</v>
      </c>
      <c r="F100" s="164">
        <v>0.99820000000000009</v>
      </c>
      <c r="G100" s="163">
        <v>3</v>
      </c>
      <c r="H100" s="163">
        <v>6.6666666666666661</v>
      </c>
      <c r="I100" s="163">
        <v>3.6666666666666661</v>
      </c>
      <c r="J100" s="163">
        <v>2</v>
      </c>
      <c r="K100" s="163">
        <v>2.445506072874494</v>
      </c>
      <c r="L100" s="163">
        <v>0.44550607287449395</v>
      </c>
      <c r="M100" s="163">
        <v>3</v>
      </c>
      <c r="N100" s="163">
        <v>6.0908681961313533</v>
      </c>
      <c r="O100" s="163">
        <v>3.0908681961313533</v>
      </c>
      <c r="P100" s="163"/>
      <c r="Q100" s="163">
        <v>4</v>
      </c>
      <c r="R100" s="163">
        <v>0</v>
      </c>
      <c r="S100" s="163">
        <v>0</v>
      </c>
      <c r="T100" s="163">
        <v>0</v>
      </c>
      <c r="U100" s="163">
        <v>0</v>
      </c>
      <c r="V100" s="163">
        <v>0</v>
      </c>
      <c r="W100" s="163">
        <v>0</v>
      </c>
      <c r="X100" s="163">
        <v>0</v>
      </c>
      <c r="Y100" s="163">
        <v>4</v>
      </c>
      <c r="Z100" s="163">
        <v>4</v>
      </c>
      <c r="AA100" s="163">
        <v>0</v>
      </c>
      <c r="AB100" s="163">
        <v>0</v>
      </c>
      <c r="AC100" s="163">
        <v>4</v>
      </c>
      <c r="AD100" s="163">
        <v>0</v>
      </c>
      <c r="AE100" s="165">
        <v>7.4155396560513648E-2</v>
      </c>
      <c r="AF100" s="166">
        <v>9.8873862080684854E-2</v>
      </c>
    </row>
    <row r="101" spans="1:32">
      <c r="A101" s="602">
        <v>3</v>
      </c>
      <c r="B101" s="162">
        <v>6.25E-2</v>
      </c>
      <c r="C101" s="163">
        <v>0.56364786238827047</v>
      </c>
      <c r="D101" s="163">
        <v>595.77928624017181</v>
      </c>
      <c r="E101" s="164">
        <v>0.99909999999999999</v>
      </c>
      <c r="F101" s="164">
        <v>0.99909999999999999</v>
      </c>
      <c r="G101" s="163">
        <v>2</v>
      </c>
      <c r="H101" s="163">
        <v>6.6666666666666661</v>
      </c>
      <c r="I101" s="163">
        <v>4.6666666666666661</v>
      </c>
      <c r="J101" s="163">
        <v>1</v>
      </c>
      <c r="K101" s="163">
        <v>1.6303373819163294</v>
      </c>
      <c r="L101" s="163">
        <v>0.63033738191632938</v>
      </c>
      <c r="M101" s="163">
        <v>2</v>
      </c>
      <c r="N101" s="163">
        <v>6.0908681961313533</v>
      </c>
      <c r="O101" s="163">
        <v>4.0908681961313533</v>
      </c>
      <c r="P101" s="163"/>
      <c r="Q101" s="163">
        <v>4</v>
      </c>
      <c r="R101" s="163">
        <v>0</v>
      </c>
      <c r="S101" s="163">
        <v>0</v>
      </c>
      <c r="T101" s="163">
        <v>0</v>
      </c>
      <c r="U101" s="163">
        <v>0</v>
      </c>
      <c r="V101" s="163">
        <v>0</v>
      </c>
      <c r="W101" s="163">
        <v>0</v>
      </c>
      <c r="X101" s="163">
        <v>0</v>
      </c>
      <c r="Y101" s="163">
        <v>4</v>
      </c>
      <c r="Z101" s="163">
        <v>4</v>
      </c>
      <c r="AA101" s="163">
        <v>0</v>
      </c>
      <c r="AB101" s="163">
        <v>0</v>
      </c>
      <c r="AC101" s="163">
        <v>4</v>
      </c>
      <c r="AD101" s="163">
        <v>0</v>
      </c>
      <c r="AE101" s="165">
        <v>5.7215444564023867E-2</v>
      </c>
      <c r="AF101" s="166">
        <v>0.11443088912804773</v>
      </c>
    </row>
    <row r="102" spans="1:32">
      <c r="A102" s="602">
        <v>3</v>
      </c>
      <c r="B102" s="162">
        <v>8.3333333333333329E-2</v>
      </c>
      <c r="C102" s="163">
        <v>0.45367802034229598</v>
      </c>
      <c r="D102" s="163">
        <v>613.4192000271172</v>
      </c>
      <c r="E102" s="164">
        <v>0.99949999999999994</v>
      </c>
      <c r="F102" s="164">
        <v>0.99949999999999994</v>
      </c>
      <c r="G102" s="163">
        <v>2</v>
      </c>
      <c r="H102" s="163">
        <v>6.6666666666666661</v>
      </c>
      <c r="I102" s="163">
        <v>4.6666666666666661</v>
      </c>
      <c r="J102" s="163">
        <v>1</v>
      </c>
      <c r="K102" s="163">
        <v>1.6303373819163294</v>
      </c>
      <c r="L102" s="163">
        <v>0.63033738191632938</v>
      </c>
      <c r="M102" s="163">
        <v>2</v>
      </c>
      <c r="N102" s="163">
        <v>6.0908681961313533</v>
      </c>
      <c r="O102" s="163">
        <v>4.0908681961313533</v>
      </c>
      <c r="P102" s="163"/>
      <c r="Q102" s="163">
        <v>4</v>
      </c>
      <c r="R102" s="163">
        <v>0</v>
      </c>
      <c r="S102" s="163">
        <v>0</v>
      </c>
      <c r="T102" s="163">
        <v>0</v>
      </c>
      <c r="U102" s="163">
        <v>0</v>
      </c>
      <c r="V102" s="163">
        <v>0</v>
      </c>
      <c r="W102" s="163">
        <v>0</v>
      </c>
      <c r="X102" s="163">
        <v>0</v>
      </c>
      <c r="Y102" s="163">
        <v>4</v>
      </c>
      <c r="Z102" s="163">
        <v>4</v>
      </c>
      <c r="AA102" s="163">
        <v>0</v>
      </c>
      <c r="AB102" s="163">
        <v>0</v>
      </c>
      <c r="AC102" s="163">
        <v>4</v>
      </c>
      <c r="AD102" s="163">
        <v>0</v>
      </c>
      <c r="AE102" s="165">
        <v>4.7416022153706418E-2</v>
      </c>
      <c r="AF102" s="166">
        <v>9.4832044307412836E-2</v>
      </c>
    </row>
    <row r="103" spans="1:32">
      <c r="A103" s="602">
        <v>3</v>
      </c>
      <c r="B103" s="162">
        <v>0.10416666666666667</v>
      </c>
      <c r="C103" s="163">
        <v>0.36116541261139268</v>
      </c>
      <c r="D103" s="163">
        <v>583.76930492468387</v>
      </c>
      <c r="E103" s="164">
        <v>0.99980000000000002</v>
      </c>
      <c r="F103" s="164">
        <v>0.99980000000000002</v>
      </c>
      <c r="G103" s="163">
        <v>2</v>
      </c>
      <c r="H103" s="163">
        <v>6.6666666666666661</v>
      </c>
      <c r="I103" s="163">
        <v>4.6666666666666661</v>
      </c>
      <c r="J103" s="163">
        <v>1</v>
      </c>
      <c r="K103" s="163">
        <v>1.6303373819163294</v>
      </c>
      <c r="L103" s="163">
        <v>0.63033738191632938</v>
      </c>
      <c r="M103" s="163">
        <v>2</v>
      </c>
      <c r="N103" s="163">
        <v>6.0908681961313533</v>
      </c>
      <c r="O103" s="163">
        <v>4.0908681961313533</v>
      </c>
      <c r="P103" s="163"/>
      <c r="Q103" s="163">
        <v>4</v>
      </c>
      <c r="R103" s="163">
        <v>0</v>
      </c>
      <c r="S103" s="163">
        <v>0</v>
      </c>
      <c r="T103" s="163">
        <v>0</v>
      </c>
      <c r="U103" s="163">
        <v>0</v>
      </c>
      <c r="V103" s="163">
        <v>0</v>
      </c>
      <c r="W103" s="163">
        <v>0</v>
      </c>
      <c r="X103" s="163">
        <v>0</v>
      </c>
      <c r="Y103" s="163">
        <v>4</v>
      </c>
      <c r="Z103" s="163">
        <v>4</v>
      </c>
      <c r="AA103" s="163">
        <v>0</v>
      </c>
      <c r="AB103" s="163">
        <v>0</v>
      </c>
      <c r="AC103" s="163">
        <v>4</v>
      </c>
      <c r="AD103" s="163">
        <v>0</v>
      </c>
      <c r="AE103" s="165">
        <v>3.5922571784083264E-2</v>
      </c>
      <c r="AF103" s="166">
        <v>7.1845143568166528E-2</v>
      </c>
    </row>
    <row r="104" spans="1:32">
      <c r="A104" s="602">
        <v>3</v>
      </c>
      <c r="B104" s="162">
        <v>0.125</v>
      </c>
      <c r="C104" s="163">
        <v>0.32566465480751078</v>
      </c>
      <c r="D104" s="163">
        <v>583.67134793378978</v>
      </c>
      <c r="E104" s="164">
        <v>0.99980000000000002</v>
      </c>
      <c r="F104" s="164">
        <v>0.99980000000000002</v>
      </c>
      <c r="G104" s="163">
        <v>2</v>
      </c>
      <c r="H104" s="163">
        <v>6.6666666666666661</v>
      </c>
      <c r="I104" s="163">
        <v>4.6666666666666661</v>
      </c>
      <c r="J104" s="163">
        <v>1</v>
      </c>
      <c r="K104" s="163">
        <v>1.6303373819163294</v>
      </c>
      <c r="L104" s="163">
        <v>0.63033738191632938</v>
      </c>
      <c r="M104" s="163">
        <v>2</v>
      </c>
      <c r="N104" s="163">
        <v>6.0908681961313533</v>
      </c>
      <c r="O104" s="163">
        <v>4.0908681961313533</v>
      </c>
      <c r="P104" s="163"/>
      <c r="Q104" s="163">
        <v>4</v>
      </c>
      <c r="R104" s="163">
        <v>0</v>
      </c>
      <c r="S104" s="163">
        <v>0</v>
      </c>
      <c r="T104" s="163">
        <v>0</v>
      </c>
      <c r="U104" s="163">
        <v>0</v>
      </c>
      <c r="V104" s="163">
        <v>0</v>
      </c>
      <c r="W104" s="163">
        <v>0</v>
      </c>
      <c r="X104" s="163">
        <v>0</v>
      </c>
      <c r="Y104" s="163">
        <v>4</v>
      </c>
      <c r="Z104" s="163">
        <v>4</v>
      </c>
      <c r="AA104" s="163">
        <v>0</v>
      </c>
      <c r="AB104" s="163">
        <v>0</v>
      </c>
      <c r="AC104" s="163">
        <v>4</v>
      </c>
      <c r="AD104" s="163">
        <v>0</v>
      </c>
      <c r="AE104" s="165">
        <v>3.2386126903388962E-2</v>
      </c>
      <c r="AF104" s="166">
        <v>6.4772253806777924E-2</v>
      </c>
    </row>
    <row r="105" spans="1:32">
      <c r="A105" s="602">
        <v>3</v>
      </c>
      <c r="B105" s="162">
        <v>0.14583333333333334</v>
      </c>
      <c r="C105" s="163">
        <v>0.32811155832803507</v>
      </c>
      <c r="D105" s="163">
        <v>618.05313466389532</v>
      </c>
      <c r="E105" s="164">
        <v>0.99980000000000002</v>
      </c>
      <c r="F105" s="164">
        <v>0.99980000000000002</v>
      </c>
      <c r="G105" s="163">
        <v>2</v>
      </c>
      <c r="H105" s="163">
        <v>6.6666666666666661</v>
      </c>
      <c r="I105" s="163">
        <v>4.6666666666666661</v>
      </c>
      <c r="J105" s="163">
        <v>1</v>
      </c>
      <c r="K105" s="163">
        <v>1.6303373819163294</v>
      </c>
      <c r="L105" s="163">
        <v>0.63033738191632938</v>
      </c>
      <c r="M105" s="163">
        <v>2</v>
      </c>
      <c r="N105" s="163">
        <v>6.0908681961313533</v>
      </c>
      <c r="O105" s="163">
        <v>4.0908681961313533</v>
      </c>
      <c r="P105" s="163"/>
      <c r="Q105" s="163">
        <v>4</v>
      </c>
      <c r="R105" s="163">
        <v>0</v>
      </c>
      <c r="S105" s="163">
        <v>0</v>
      </c>
      <c r="T105" s="163">
        <v>0</v>
      </c>
      <c r="U105" s="163">
        <v>0</v>
      </c>
      <c r="V105" s="163">
        <v>0</v>
      </c>
      <c r="W105" s="163">
        <v>0</v>
      </c>
      <c r="X105" s="163">
        <v>0</v>
      </c>
      <c r="Y105" s="163">
        <v>4</v>
      </c>
      <c r="Z105" s="163">
        <v>4</v>
      </c>
      <c r="AA105" s="163">
        <v>0</v>
      </c>
      <c r="AB105" s="163">
        <v>0</v>
      </c>
      <c r="AC105" s="163">
        <v>4</v>
      </c>
      <c r="AD105" s="163">
        <v>0</v>
      </c>
      <c r="AE105" s="165">
        <v>3.4551535738935678E-2</v>
      </c>
      <c r="AF105" s="166">
        <v>6.9103071477871356E-2</v>
      </c>
    </row>
    <row r="106" spans="1:32">
      <c r="A106" s="602">
        <v>3</v>
      </c>
      <c r="B106" s="162">
        <v>0.16666666666666666</v>
      </c>
      <c r="C106" s="163">
        <v>0.36902604636671177</v>
      </c>
      <c r="D106" s="163">
        <v>618.05035495632603</v>
      </c>
      <c r="E106" s="164">
        <v>0.99970000000000014</v>
      </c>
      <c r="F106" s="164">
        <v>0.99970000000000014</v>
      </c>
      <c r="G106" s="163">
        <v>2</v>
      </c>
      <c r="H106" s="163">
        <v>6.6666666666666661</v>
      </c>
      <c r="I106" s="163">
        <v>4.6666666666666661</v>
      </c>
      <c r="J106" s="163">
        <v>1</v>
      </c>
      <c r="K106" s="163">
        <v>1.6303373819163294</v>
      </c>
      <c r="L106" s="163">
        <v>0.63033738191632938</v>
      </c>
      <c r="M106" s="163">
        <v>2</v>
      </c>
      <c r="N106" s="163">
        <v>6.0908681961313533</v>
      </c>
      <c r="O106" s="163">
        <v>4.0908681961313533</v>
      </c>
      <c r="P106" s="163"/>
      <c r="Q106" s="163">
        <v>4</v>
      </c>
      <c r="R106" s="163">
        <v>0</v>
      </c>
      <c r="S106" s="163">
        <v>0</v>
      </c>
      <c r="T106" s="163">
        <v>0</v>
      </c>
      <c r="U106" s="163">
        <v>0</v>
      </c>
      <c r="V106" s="163">
        <v>0</v>
      </c>
      <c r="W106" s="163">
        <v>0</v>
      </c>
      <c r="X106" s="163">
        <v>0</v>
      </c>
      <c r="Y106" s="163">
        <v>4</v>
      </c>
      <c r="Z106" s="163">
        <v>4</v>
      </c>
      <c r="AA106" s="163">
        <v>0</v>
      </c>
      <c r="AB106" s="163">
        <v>0</v>
      </c>
      <c r="AC106" s="163">
        <v>4</v>
      </c>
      <c r="AD106" s="163">
        <v>0</v>
      </c>
      <c r="AE106" s="165">
        <v>3.8859829715632607E-2</v>
      </c>
      <c r="AF106" s="166">
        <v>7.7719659431265214E-2</v>
      </c>
    </row>
    <row r="107" spans="1:32">
      <c r="A107" s="602">
        <v>3</v>
      </c>
      <c r="B107" s="162">
        <v>0.1875</v>
      </c>
      <c r="C107" s="163">
        <v>0.54405566617427525</v>
      </c>
      <c r="D107" s="163">
        <v>656.66486053775452</v>
      </c>
      <c r="E107" s="164">
        <v>0.999</v>
      </c>
      <c r="F107" s="164">
        <v>0.999</v>
      </c>
      <c r="G107" s="163">
        <v>2</v>
      </c>
      <c r="H107" s="163">
        <v>6.6666666666666661</v>
      </c>
      <c r="I107" s="163">
        <v>4.6666666666666661</v>
      </c>
      <c r="J107" s="163">
        <v>1</v>
      </c>
      <c r="K107" s="163">
        <v>1.6303373819163294</v>
      </c>
      <c r="L107" s="163">
        <v>0.63033738191632938</v>
      </c>
      <c r="M107" s="163">
        <v>2</v>
      </c>
      <c r="N107" s="163">
        <v>6.0908681961313533</v>
      </c>
      <c r="O107" s="163">
        <v>4.0908681961313533</v>
      </c>
      <c r="P107" s="163"/>
      <c r="Q107" s="163">
        <v>4</v>
      </c>
      <c r="R107" s="163">
        <v>0</v>
      </c>
      <c r="S107" s="163">
        <v>0</v>
      </c>
      <c r="T107" s="163">
        <v>0</v>
      </c>
      <c r="U107" s="163">
        <v>0</v>
      </c>
      <c r="V107" s="163">
        <v>0</v>
      </c>
      <c r="W107" s="163">
        <v>0</v>
      </c>
      <c r="X107" s="163">
        <v>0</v>
      </c>
      <c r="Y107" s="163">
        <v>4</v>
      </c>
      <c r="Z107" s="163">
        <v>4</v>
      </c>
      <c r="AA107" s="163">
        <v>0</v>
      </c>
      <c r="AB107" s="163">
        <v>0</v>
      </c>
      <c r="AC107" s="163">
        <v>4</v>
      </c>
      <c r="AD107" s="163">
        <v>0</v>
      </c>
      <c r="AE107" s="165">
        <v>6.0870536184011732E-2</v>
      </c>
      <c r="AF107" s="166">
        <v>0.12174107236802346</v>
      </c>
    </row>
    <row r="108" spans="1:32">
      <c r="A108" s="602">
        <v>3</v>
      </c>
      <c r="B108" s="162">
        <v>0.20833333333333334</v>
      </c>
      <c r="C108" s="163">
        <v>0.95415401574370307</v>
      </c>
      <c r="D108" s="163">
        <v>690.50933913853555</v>
      </c>
      <c r="E108" s="164">
        <v>0.99409999999999998</v>
      </c>
      <c r="F108" s="164">
        <v>0.99409999999999998</v>
      </c>
      <c r="G108" s="163">
        <v>3</v>
      </c>
      <c r="H108" s="163">
        <v>6.6666666666666661</v>
      </c>
      <c r="I108" s="163">
        <v>3.6666666666666661</v>
      </c>
      <c r="J108" s="163">
        <v>2</v>
      </c>
      <c r="K108" s="163">
        <v>2.445506072874494</v>
      </c>
      <c r="L108" s="163">
        <v>0.44550607287449395</v>
      </c>
      <c r="M108" s="163">
        <v>3</v>
      </c>
      <c r="N108" s="163">
        <v>6.0908681961313533</v>
      </c>
      <c r="O108" s="163">
        <v>3.0908681961313533</v>
      </c>
      <c r="P108" s="163"/>
      <c r="Q108" s="163">
        <v>4</v>
      </c>
      <c r="R108" s="163">
        <v>0</v>
      </c>
      <c r="S108" s="163">
        <v>0</v>
      </c>
      <c r="T108" s="163">
        <v>0</v>
      </c>
      <c r="U108" s="163">
        <v>0</v>
      </c>
      <c r="V108" s="163">
        <v>0</v>
      </c>
      <c r="W108" s="163">
        <v>0</v>
      </c>
      <c r="X108" s="163">
        <v>0</v>
      </c>
      <c r="Y108" s="163">
        <v>4</v>
      </c>
      <c r="Z108" s="163">
        <v>4</v>
      </c>
      <c r="AA108" s="163">
        <v>0</v>
      </c>
      <c r="AB108" s="163">
        <v>0</v>
      </c>
      <c r="AC108" s="163">
        <v>4</v>
      </c>
      <c r="AD108" s="163">
        <v>0</v>
      </c>
      <c r="AE108" s="165">
        <v>0.11225560940731599</v>
      </c>
      <c r="AF108" s="166">
        <v>0.14967414587642131</v>
      </c>
    </row>
    <row r="109" spans="1:32">
      <c r="A109" s="602">
        <v>3</v>
      </c>
      <c r="B109" s="162">
        <v>0.22916666666666666</v>
      </c>
      <c r="C109" s="163">
        <v>1.5963719741518214</v>
      </c>
      <c r="D109" s="163">
        <v>705.76822258907316</v>
      </c>
      <c r="E109" s="164">
        <v>0.97489999999999999</v>
      </c>
      <c r="F109" s="164">
        <v>0.97489999999999999</v>
      </c>
      <c r="G109" s="163">
        <v>3</v>
      </c>
      <c r="H109" s="163">
        <v>6.6666666666666661</v>
      </c>
      <c r="I109" s="163">
        <v>3.6666666666666661</v>
      </c>
      <c r="J109" s="163">
        <v>2</v>
      </c>
      <c r="K109" s="163">
        <v>2.445506072874494</v>
      </c>
      <c r="L109" s="163">
        <v>0.44550607287449395</v>
      </c>
      <c r="M109" s="163">
        <v>3</v>
      </c>
      <c r="N109" s="163">
        <v>6.0908681961313533</v>
      </c>
      <c r="O109" s="163">
        <v>3.0908681961313533</v>
      </c>
      <c r="P109" s="163"/>
      <c r="Q109" s="163">
        <v>4</v>
      </c>
      <c r="R109" s="163">
        <v>0</v>
      </c>
      <c r="S109" s="163">
        <v>0</v>
      </c>
      <c r="T109" s="163">
        <v>0</v>
      </c>
      <c r="U109" s="163">
        <v>0</v>
      </c>
      <c r="V109" s="163">
        <v>0</v>
      </c>
      <c r="W109" s="163">
        <v>0</v>
      </c>
      <c r="X109" s="163">
        <v>0</v>
      </c>
      <c r="Y109" s="163">
        <v>4</v>
      </c>
      <c r="Z109" s="163">
        <v>4</v>
      </c>
      <c r="AA109" s="163">
        <v>0</v>
      </c>
      <c r="AB109" s="163">
        <v>0</v>
      </c>
      <c r="AC109" s="163">
        <v>4</v>
      </c>
      <c r="AD109" s="163">
        <v>0</v>
      </c>
      <c r="AE109" s="165">
        <v>0.19196241616495516</v>
      </c>
      <c r="AF109" s="166">
        <v>0.25594988821994019</v>
      </c>
    </row>
    <row r="110" spans="1:32">
      <c r="A110" s="602">
        <v>3</v>
      </c>
      <c r="B110" s="162">
        <v>0.25</v>
      </c>
      <c r="C110" s="163">
        <v>2.4526350635120195</v>
      </c>
      <c r="D110" s="163">
        <v>713.15387151342975</v>
      </c>
      <c r="E110" s="164">
        <v>0.9232999999999999</v>
      </c>
      <c r="F110" s="164">
        <v>0.9232999999999999</v>
      </c>
      <c r="G110" s="163">
        <v>4</v>
      </c>
      <c r="H110" s="163">
        <v>6.6666666666666661</v>
      </c>
      <c r="I110" s="163">
        <v>2.6666666666666661</v>
      </c>
      <c r="J110" s="163">
        <v>3</v>
      </c>
      <c r="K110" s="163">
        <v>3.2606747638326588</v>
      </c>
      <c r="L110" s="163">
        <v>0.26067476383265875</v>
      </c>
      <c r="M110" s="163">
        <v>4</v>
      </c>
      <c r="N110" s="163">
        <v>6.0908681961313533</v>
      </c>
      <c r="O110" s="163">
        <v>2.0908681961313533</v>
      </c>
      <c r="P110" s="163"/>
      <c r="Q110" s="163">
        <v>4</v>
      </c>
      <c r="R110" s="163">
        <v>0</v>
      </c>
      <c r="S110" s="163">
        <v>0</v>
      </c>
      <c r="T110" s="163">
        <v>0</v>
      </c>
      <c r="U110" s="163">
        <v>0</v>
      </c>
      <c r="V110" s="163">
        <v>0</v>
      </c>
      <c r="W110" s="163">
        <v>0</v>
      </c>
      <c r="X110" s="163">
        <v>0</v>
      </c>
      <c r="Y110" s="163">
        <v>4</v>
      </c>
      <c r="Z110" s="163">
        <v>4</v>
      </c>
      <c r="AA110" s="163">
        <v>0</v>
      </c>
      <c r="AB110" s="163">
        <v>0</v>
      </c>
      <c r="AC110" s="163">
        <v>4</v>
      </c>
      <c r="AD110" s="163">
        <v>0</v>
      </c>
      <c r="AE110" s="165">
        <v>0.29801367263580519</v>
      </c>
      <c r="AF110" s="166">
        <v>0.29801367263580519</v>
      </c>
    </row>
    <row r="111" spans="1:32">
      <c r="A111" s="602">
        <v>3</v>
      </c>
      <c r="B111" s="162">
        <v>0.27083333333333331</v>
      </c>
      <c r="C111" s="163">
        <v>3.5450229593300779</v>
      </c>
      <c r="D111" s="163">
        <v>781.59944009000469</v>
      </c>
      <c r="E111" s="164">
        <v>0.77400000000000002</v>
      </c>
      <c r="F111" s="164">
        <v>0.77400000000000002</v>
      </c>
      <c r="G111" s="163">
        <v>5</v>
      </c>
      <c r="H111" s="163">
        <v>6.6666666666666661</v>
      </c>
      <c r="I111" s="163">
        <v>1.6666666666666661</v>
      </c>
      <c r="J111" s="163">
        <v>4</v>
      </c>
      <c r="K111" s="163">
        <v>4.0758434547908236</v>
      </c>
      <c r="L111" s="163">
        <v>7.584345479082355E-2</v>
      </c>
      <c r="M111" s="163">
        <v>5</v>
      </c>
      <c r="N111" s="163">
        <v>6.0908681961313533</v>
      </c>
      <c r="O111" s="163">
        <v>1.0908681961313533</v>
      </c>
      <c r="P111" s="163"/>
      <c r="Q111" s="163">
        <v>4</v>
      </c>
      <c r="R111" s="163">
        <v>0</v>
      </c>
      <c r="S111" s="163">
        <v>0</v>
      </c>
      <c r="T111" s="163">
        <v>0</v>
      </c>
      <c r="U111" s="163">
        <v>0</v>
      </c>
      <c r="V111" s="163">
        <v>0</v>
      </c>
      <c r="W111" s="163">
        <v>0</v>
      </c>
      <c r="X111" s="163">
        <v>0</v>
      </c>
      <c r="Y111" s="163">
        <v>4</v>
      </c>
      <c r="Z111" s="163">
        <v>4</v>
      </c>
      <c r="AA111" s="163">
        <v>0</v>
      </c>
      <c r="AB111" s="163">
        <v>0</v>
      </c>
      <c r="AC111" s="163">
        <v>4</v>
      </c>
      <c r="AD111" s="163">
        <v>0</v>
      </c>
      <c r="AE111" s="165">
        <v>0.47208837311360052</v>
      </c>
      <c r="AF111" s="166">
        <v>0.37767069849088042</v>
      </c>
    </row>
    <row r="112" spans="1:32">
      <c r="A112" s="602">
        <v>3</v>
      </c>
      <c r="B112" s="162">
        <v>0.29166666666666669</v>
      </c>
      <c r="C112" s="163">
        <v>9.3412979954562267</v>
      </c>
      <c r="D112" s="163">
        <v>817.67045276853753</v>
      </c>
      <c r="E112" s="164">
        <v>0.49359999999999998</v>
      </c>
      <c r="F112" s="164">
        <v>0.49359999999999998</v>
      </c>
      <c r="G112" s="163">
        <v>9</v>
      </c>
      <c r="H112" s="163">
        <v>11.666666666666668</v>
      </c>
      <c r="I112" s="163">
        <v>2.6666666666666679</v>
      </c>
      <c r="J112" s="163">
        <v>7</v>
      </c>
      <c r="K112" s="163">
        <v>7.3365182186234819</v>
      </c>
      <c r="L112" s="163">
        <v>0.33651821862348186</v>
      </c>
      <c r="M112" s="163">
        <v>8</v>
      </c>
      <c r="N112" s="163">
        <v>10.65901934322987</v>
      </c>
      <c r="O112" s="163">
        <v>2.6590193432298701</v>
      </c>
      <c r="P112" s="163"/>
      <c r="Q112" s="163">
        <v>7</v>
      </c>
      <c r="R112" s="163">
        <v>0</v>
      </c>
      <c r="S112" s="163">
        <v>0</v>
      </c>
      <c r="T112" s="163">
        <v>0</v>
      </c>
      <c r="U112" s="163">
        <v>0</v>
      </c>
      <c r="V112" s="163">
        <v>0</v>
      </c>
      <c r="W112" s="163">
        <v>0</v>
      </c>
      <c r="X112" s="163">
        <v>0</v>
      </c>
      <c r="Y112" s="163">
        <v>7</v>
      </c>
      <c r="Z112" s="163">
        <v>7</v>
      </c>
      <c r="AA112" s="163">
        <v>0</v>
      </c>
      <c r="AB112" s="163">
        <v>0</v>
      </c>
      <c r="AC112" s="163">
        <v>4</v>
      </c>
      <c r="AD112" s="163">
        <v>3</v>
      </c>
      <c r="AE112" s="165">
        <v>0.74364813835391685</v>
      </c>
      <c r="AF112" s="166">
        <v>0.57839299649749087</v>
      </c>
    </row>
    <row r="113" spans="1:32">
      <c r="A113" s="602">
        <v>3</v>
      </c>
      <c r="B113" s="162">
        <v>0.3125</v>
      </c>
      <c r="C113" s="163">
        <v>10.952615828777082</v>
      </c>
      <c r="D113" s="163">
        <v>787.90553772436317</v>
      </c>
      <c r="E113" s="164">
        <v>0.89039999999999997</v>
      </c>
      <c r="F113" s="164">
        <v>0.89039999999999997</v>
      </c>
      <c r="G113" s="163">
        <v>10</v>
      </c>
      <c r="H113" s="163">
        <v>18.333333333333332</v>
      </c>
      <c r="I113" s="163">
        <v>8.3333333333333321</v>
      </c>
      <c r="J113" s="163">
        <v>8</v>
      </c>
      <c r="K113" s="163">
        <v>8.1516869095816471</v>
      </c>
      <c r="L113" s="163">
        <v>0.1516869095816471</v>
      </c>
      <c r="M113" s="163">
        <v>9</v>
      </c>
      <c r="N113" s="163">
        <v>16.749887539361222</v>
      </c>
      <c r="O113" s="163">
        <v>7.7498875393612217</v>
      </c>
      <c r="P113" s="163"/>
      <c r="Q113" s="163">
        <v>11</v>
      </c>
      <c r="R113" s="163">
        <v>0</v>
      </c>
      <c r="S113" s="163">
        <v>0</v>
      </c>
      <c r="T113" s="163">
        <v>0</v>
      </c>
      <c r="U113" s="163">
        <v>0</v>
      </c>
      <c r="V113" s="163">
        <v>0</v>
      </c>
      <c r="W113" s="163">
        <v>0</v>
      </c>
      <c r="X113" s="163">
        <v>0</v>
      </c>
      <c r="Y113" s="163">
        <v>11</v>
      </c>
      <c r="Z113" s="163">
        <v>11</v>
      </c>
      <c r="AA113" s="163">
        <v>0</v>
      </c>
      <c r="AB113" s="163">
        <v>0</v>
      </c>
      <c r="AC113" s="163">
        <v>8</v>
      </c>
      <c r="AD113" s="163">
        <v>3</v>
      </c>
      <c r="AE113" s="165">
        <v>0.53466200964592492</v>
      </c>
      <c r="AF113" s="166">
        <v>0.58812821061051745</v>
      </c>
    </row>
    <row r="114" spans="1:32">
      <c r="A114" s="602">
        <v>3</v>
      </c>
      <c r="B114" s="162">
        <v>0.33333333333333331</v>
      </c>
      <c r="C114" s="163">
        <v>16.149948690014995</v>
      </c>
      <c r="D114" s="163">
        <v>830.63310774024342</v>
      </c>
      <c r="E114" s="164">
        <v>0.75260000000000005</v>
      </c>
      <c r="F114" s="164">
        <v>0.75260000000000005</v>
      </c>
      <c r="G114" s="163">
        <v>14</v>
      </c>
      <c r="H114" s="163">
        <v>21.666666666666664</v>
      </c>
      <c r="I114" s="163">
        <v>7.6666666666666643</v>
      </c>
      <c r="J114" s="163">
        <v>11</v>
      </c>
      <c r="K114" s="163">
        <v>11.412361673414306</v>
      </c>
      <c r="L114" s="163">
        <v>0.4123616734143063</v>
      </c>
      <c r="M114" s="163">
        <v>13</v>
      </c>
      <c r="N114" s="163">
        <v>19.795321637426898</v>
      </c>
      <c r="O114" s="163">
        <v>6.7953216374268983</v>
      </c>
      <c r="P114" s="163"/>
      <c r="Q114" s="163">
        <v>13</v>
      </c>
      <c r="R114" s="163">
        <v>0</v>
      </c>
      <c r="S114" s="163">
        <v>0</v>
      </c>
      <c r="T114" s="163">
        <v>0</v>
      </c>
      <c r="U114" s="163">
        <v>0</v>
      </c>
      <c r="V114" s="163">
        <v>0</v>
      </c>
      <c r="W114" s="163">
        <v>0</v>
      </c>
      <c r="X114" s="163">
        <v>0</v>
      </c>
      <c r="Y114" s="163">
        <v>13</v>
      </c>
      <c r="Z114" s="163">
        <v>13</v>
      </c>
      <c r="AA114" s="163">
        <v>0</v>
      </c>
      <c r="AB114" s="163">
        <v>0</v>
      </c>
      <c r="AC114" s="163">
        <v>10</v>
      </c>
      <c r="AD114" s="163">
        <v>3</v>
      </c>
      <c r="AE114" s="165">
        <v>0.70326181305437818</v>
      </c>
      <c r="AF114" s="166">
        <v>0.65302882640763682</v>
      </c>
    </row>
    <row r="115" spans="1:32">
      <c r="A115" s="602">
        <v>3</v>
      </c>
      <c r="B115" s="162">
        <v>0.35416666666666669</v>
      </c>
      <c r="C115" s="163">
        <v>18.656154502205585</v>
      </c>
      <c r="D115" s="163">
        <v>920.45369233686074</v>
      </c>
      <c r="E115" s="164">
        <v>0.67759999999999998</v>
      </c>
      <c r="F115" s="164">
        <v>0.67759999999999998</v>
      </c>
      <c r="G115" s="163">
        <v>18</v>
      </c>
      <c r="H115" s="163">
        <v>25</v>
      </c>
      <c r="I115" s="163">
        <v>7</v>
      </c>
      <c r="J115" s="163">
        <v>14</v>
      </c>
      <c r="K115" s="163">
        <v>14.673036437246964</v>
      </c>
      <c r="L115" s="163">
        <v>0.67303643724696371</v>
      </c>
      <c r="M115" s="163">
        <v>16</v>
      </c>
      <c r="N115" s="163">
        <v>22.840755735492575</v>
      </c>
      <c r="O115" s="163">
        <v>6.840755735492575</v>
      </c>
      <c r="P115" s="163"/>
      <c r="Q115" s="163">
        <v>15</v>
      </c>
      <c r="R115" s="163">
        <v>0</v>
      </c>
      <c r="S115" s="163">
        <v>0</v>
      </c>
      <c r="T115" s="163">
        <v>0</v>
      </c>
      <c r="U115" s="163">
        <v>0</v>
      </c>
      <c r="V115" s="163">
        <v>0</v>
      </c>
      <c r="W115" s="163">
        <v>0</v>
      </c>
      <c r="X115" s="163">
        <v>0</v>
      </c>
      <c r="Y115" s="163">
        <v>15</v>
      </c>
      <c r="Z115" s="163">
        <v>15</v>
      </c>
      <c r="AA115" s="163">
        <v>0</v>
      </c>
      <c r="AB115" s="163">
        <v>0</v>
      </c>
      <c r="AC115" s="163">
        <v>10</v>
      </c>
      <c r="AD115" s="163">
        <v>5</v>
      </c>
      <c r="AE115" s="165">
        <v>0.78021234708544562</v>
      </c>
      <c r="AF115" s="166">
        <v>0.65017695590453795</v>
      </c>
    </row>
    <row r="116" spans="1:32">
      <c r="A116" s="602">
        <v>3</v>
      </c>
      <c r="B116" s="162">
        <v>0.375</v>
      </c>
      <c r="C116" s="163">
        <v>22.301181937234254</v>
      </c>
      <c r="D116" s="163">
        <v>886.33231969309645</v>
      </c>
      <c r="E116" s="164">
        <v>0.63300000000000001</v>
      </c>
      <c r="F116" s="164">
        <v>0.63300000000000001</v>
      </c>
      <c r="G116" s="163">
        <v>19</v>
      </c>
      <c r="H116" s="163">
        <v>28.333333333333336</v>
      </c>
      <c r="I116" s="163">
        <v>9.3333333333333357</v>
      </c>
      <c r="J116" s="163">
        <v>15</v>
      </c>
      <c r="K116" s="163">
        <v>15.488205128205129</v>
      </c>
      <c r="L116" s="163">
        <v>0.48820512820512896</v>
      </c>
      <c r="M116" s="163">
        <v>17</v>
      </c>
      <c r="N116" s="163">
        <v>25.886189833558255</v>
      </c>
      <c r="O116" s="163">
        <v>8.8861898335582552</v>
      </c>
      <c r="P116" s="163"/>
      <c r="Q116" s="163">
        <v>17</v>
      </c>
      <c r="R116" s="163">
        <v>0</v>
      </c>
      <c r="S116" s="163">
        <v>0</v>
      </c>
      <c r="T116" s="163">
        <v>0</v>
      </c>
      <c r="U116" s="163">
        <v>0</v>
      </c>
      <c r="V116" s="163">
        <v>0</v>
      </c>
      <c r="W116" s="163">
        <v>0</v>
      </c>
      <c r="X116" s="163">
        <v>0</v>
      </c>
      <c r="Y116" s="163">
        <v>17</v>
      </c>
      <c r="Z116" s="163">
        <v>17</v>
      </c>
      <c r="AA116" s="163">
        <v>0</v>
      </c>
      <c r="AB116" s="163">
        <v>0</v>
      </c>
      <c r="AC116" s="163">
        <v>12</v>
      </c>
      <c r="AD116" s="163">
        <v>5</v>
      </c>
      <c r="AE116" s="165">
        <v>0.79242022094152231</v>
      </c>
      <c r="AF116" s="166">
        <v>0.70900756610557247</v>
      </c>
    </row>
    <row r="117" spans="1:32">
      <c r="A117" s="602">
        <v>3</v>
      </c>
      <c r="B117" s="162">
        <v>0.39583333333333331</v>
      </c>
      <c r="C117" s="163">
        <v>24.945826093519365</v>
      </c>
      <c r="D117" s="163">
        <v>904.19221411297247</v>
      </c>
      <c r="E117" s="164">
        <v>0.65200000000000002</v>
      </c>
      <c r="F117" s="164">
        <v>0.65200000000000002</v>
      </c>
      <c r="G117" s="163">
        <v>21</v>
      </c>
      <c r="H117" s="163">
        <v>31.666666666666664</v>
      </c>
      <c r="I117" s="163">
        <v>10.666666666666664</v>
      </c>
      <c r="J117" s="163">
        <v>17</v>
      </c>
      <c r="K117" s="163">
        <v>17.118542510121458</v>
      </c>
      <c r="L117" s="163">
        <v>0.11854251012145767</v>
      </c>
      <c r="M117" s="163">
        <v>19</v>
      </c>
      <c r="N117" s="163">
        <v>28.931623931623928</v>
      </c>
      <c r="O117" s="163">
        <v>9.9316239316239283</v>
      </c>
      <c r="P117" s="163"/>
      <c r="Q117" s="163">
        <v>19</v>
      </c>
      <c r="R117" s="163">
        <v>0</v>
      </c>
      <c r="S117" s="163">
        <v>0</v>
      </c>
      <c r="T117" s="163">
        <v>0</v>
      </c>
      <c r="U117" s="163">
        <v>0</v>
      </c>
      <c r="V117" s="163">
        <v>0</v>
      </c>
      <c r="W117" s="163">
        <v>0</v>
      </c>
      <c r="X117" s="163">
        <v>0</v>
      </c>
      <c r="Y117" s="163">
        <v>19</v>
      </c>
      <c r="Z117" s="163">
        <v>19</v>
      </c>
      <c r="AA117" s="163">
        <v>0</v>
      </c>
      <c r="AB117" s="163">
        <v>0</v>
      </c>
      <c r="AC117" s="163">
        <v>14</v>
      </c>
      <c r="AD117" s="163">
        <v>5</v>
      </c>
      <c r="AE117" s="165">
        <v>0.809068059700499</v>
      </c>
      <c r="AF117" s="166">
        <v>0.73201395877664199</v>
      </c>
    </row>
    <row r="118" spans="1:32">
      <c r="A118" s="602">
        <v>3</v>
      </c>
      <c r="B118" s="162">
        <v>0.41666666666666669</v>
      </c>
      <c r="C118" s="163">
        <v>26.058303873568867</v>
      </c>
      <c r="D118" s="163">
        <v>915.46523639722523</v>
      </c>
      <c r="E118" s="164">
        <v>0.52880000000000005</v>
      </c>
      <c r="F118" s="164">
        <v>0.52880000000000005</v>
      </c>
      <c r="G118" s="163">
        <v>23</v>
      </c>
      <c r="H118" s="163">
        <v>31.666666666666664</v>
      </c>
      <c r="I118" s="163">
        <v>8.6666666666666643</v>
      </c>
      <c r="J118" s="163">
        <v>18</v>
      </c>
      <c r="K118" s="163">
        <v>18.748879892037788</v>
      </c>
      <c r="L118" s="163">
        <v>0.74887989203778815</v>
      </c>
      <c r="M118" s="163">
        <v>21</v>
      </c>
      <c r="N118" s="163">
        <v>28.931623931623928</v>
      </c>
      <c r="O118" s="163">
        <v>7.9316239316239283</v>
      </c>
      <c r="P118" s="163"/>
      <c r="Q118" s="163">
        <v>19</v>
      </c>
      <c r="R118" s="163">
        <v>0</v>
      </c>
      <c r="S118" s="163">
        <v>0</v>
      </c>
      <c r="T118" s="163">
        <v>0</v>
      </c>
      <c r="U118" s="163">
        <v>0</v>
      </c>
      <c r="V118" s="163">
        <v>0</v>
      </c>
      <c r="W118" s="163">
        <v>0</v>
      </c>
      <c r="X118" s="163">
        <v>0</v>
      </c>
      <c r="Y118" s="163">
        <v>19</v>
      </c>
      <c r="Z118" s="163">
        <v>19</v>
      </c>
      <c r="AA118" s="163">
        <v>0</v>
      </c>
      <c r="AB118" s="163">
        <v>0</v>
      </c>
      <c r="AC118" s="163">
        <v>14</v>
      </c>
      <c r="AD118" s="163">
        <v>5</v>
      </c>
      <c r="AE118" s="165">
        <v>0.85568595651628165</v>
      </c>
      <c r="AF118" s="166">
        <v>0.70687100755692833</v>
      </c>
    </row>
    <row r="119" spans="1:32">
      <c r="A119" s="602">
        <v>3</v>
      </c>
      <c r="B119" s="162">
        <v>0.4375</v>
      </c>
      <c r="C119" s="163">
        <v>25.998539481286631</v>
      </c>
      <c r="D119" s="163">
        <v>870.20665152602862</v>
      </c>
      <c r="E119" s="164">
        <v>0.64700000000000002</v>
      </c>
      <c r="F119" s="164">
        <v>0.64700000000000002</v>
      </c>
      <c r="G119" s="163">
        <v>21</v>
      </c>
      <c r="H119" s="163">
        <v>31.666666666666664</v>
      </c>
      <c r="I119" s="163">
        <v>10.666666666666664</v>
      </c>
      <c r="J119" s="163">
        <v>17</v>
      </c>
      <c r="K119" s="163">
        <v>17.118542510121458</v>
      </c>
      <c r="L119" s="163">
        <v>0.11854251012145767</v>
      </c>
      <c r="M119" s="163">
        <v>19</v>
      </c>
      <c r="N119" s="163">
        <v>28.931623931623928</v>
      </c>
      <c r="O119" s="163">
        <v>9.9316239316239283</v>
      </c>
      <c r="P119" s="163"/>
      <c r="Q119" s="163">
        <v>19</v>
      </c>
      <c r="R119" s="163">
        <v>0</v>
      </c>
      <c r="S119" s="163">
        <v>0</v>
      </c>
      <c r="T119" s="163">
        <v>0</v>
      </c>
      <c r="U119" s="163">
        <v>0</v>
      </c>
      <c r="V119" s="163">
        <v>0</v>
      </c>
      <c r="W119" s="163">
        <v>0</v>
      </c>
      <c r="X119" s="163">
        <v>0</v>
      </c>
      <c r="Y119" s="163">
        <v>19</v>
      </c>
      <c r="Z119" s="163">
        <v>19</v>
      </c>
      <c r="AA119" s="163">
        <v>0</v>
      </c>
      <c r="AB119" s="163">
        <v>0</v>
      </c>
      <c r="AC119" s="163">
        <v>14</v>
      </c>
      <c r="AD119" s="163">
        <v>5</v>
      </c>
      <c r="AE119" s="165">
        <v>0.81151724451335994</v>
      </c>
      <c r="AF119" s="166">
        <v>0.73422988789304</v>
      </c>
    </row>
    <row r="120" spans="1:32">
      <c r="A120" s="602">
        <v>3</v>
      </c>
      <c r="B120" s="162">
        <v>0.45833333333333331</v>
      </c>
      <c r="C120" s="163">
        <v>28.7037230471322</v>
      </c>
      <c r="D120" s="163">
        <v>861.73637739537526</v>
      </c>
      <c r="E120" s="164">
        <v>0.43369999999999997</v>
      </c>
      <c r="F120" s="164">
        <v>0.43369999999999997</v>
      </c>
      <c r="G120" s="163">
        <v>23</v>
      </c>
      <c r="H120" s="163">
        <v>31.666666666666664</v>
      </c>
      <c r="I120" s="163">
        <v>8.6666666666666643</v>
      </c>
      <c r="J120" s="163">
        <v>18</v>
      </c>
      <c r="K120" s="163">
        <v>18.748879892037788</v>
      </c>
      <c r="L120" s="163">
        <v>0.74887989203778815</v>
      </c>
      <c r="M120" s="163">
        <v>21</v>
      </c>
      <c r="N120" s="163">
        <v>28.931623931623928</v>
      </c>
      <c r="O120" s="163">
        <v>7.9316239316239283</v>
      </c>
      <c r="P120" s="163"/>
      <c r="Q120" s="163">
        <v>19</v>
      </c>
      <c r="R120" s="163">
        <v>0</v>
      </c>
      <c r="S120" s="163">
        <v>0</v>
      </c>
      <c r="T120" s="163">
        <v>0</v>
      </c>
      <c r="U120" s="163">
        <v>0</v>
      </c>
      <c r="V120" s="163">
        <v>0</v>
      </c>
      <c r="W120" s="163">
        <v>0</v>
      </c>
      <c r="X120" s="163">
        <v>0</v>
      </c>
      <c r="Y120" s="163">
        <v>19</v>
      </c>
      <c r="Z120" s="163">
        <v>19</v>
      </c>
      <c r="AA120" s="163">
        <v>0</v>
      </c>
      <c r="AB120" s="163">
        <v>0</v>
      </c>
      <c r="AC120" s="163">
        <v>14</v>
      </c>
      <c r="AD120" s="163">
        <v>5</v>
      </c>
      <c r="AE120" s="165">
        <v>0.88723580699166149</v>
      </c>
      <c r="AF120" s="166">
        <v>0.73293392751485087</v>
      </c>
    </row>
    <row r="121" spans="1:32">
      <c r="A121" s="602">
        <v>3</v>
      </c>
      <c r="B121" s="162">
        <v>0.47916666666666669</v>
      </c>
      <c r="C121" s="163">
        <v>26.592585572593556</v>
      </c>
      <c r="D121" s="163">
        <v>829.66847141312974</v>
      </c>
      <c r="E121" s="164">
        <v>0.69450000000000001</v>
      </c>
      <c r="F121" s="164">
        <v>0.69450000000000001</v>
      </c>
      <c r="G121" s="163">
        <v>21</v>
      </c>
      <c r="H121" s="163">
        <v>31.666666666666664</v>
      </c>
      <c r="I121" s="163">
        <v>10.666666666666664</v>
      </c>
      <c r="J121" s="163">
        <v>17</v>
      </c>
      <c r="K121" s="163">
        <v>17.118542510121458</v>
      </c>
      <c r="L121" s="163">
        <v>0.11854251012145767</v>
      </c>
      <c r="M121" s="163">
        <v>19</v>
      </c>
      <c r="N121" s="163">
        <v>28.931623931623928</v>
      </c>
      <c r="O121" s="163">
        <v>9.9316239316239283</v>
      </c>
      <c r="P121" s="163"/>
      <c r="Q121" s="163">
        <v>19</v>
      </c>
      <c r="R121" s="163">
        <v>0</v>
      </c>
      <c r="S121" s="163">
        <v>0</v>
      </c>
      <c r="T121" s="163">
        <v>0</v>
      </c>
      <c r="U121" s="163">
        <v>0</v>
      </c>
      <c r="V121" s="163">
        <v>0</v>
      </c>
      <c r="W121" s="163">
        <v>0</v>
      </c>
      <c r="X121" s="163">
        <v>0</v>
      </c>
      <c r="Y121" s="163">
        <v>19</v>
      </c>
      <c r="Z121" s="163">
        <v>19</v>
      </c>
      <c r="AA121" s="163">
        <v>0</v>
      </c>
      <c r="AB121" s="163">
        <v>0</v>
      </c>
      <c r="AC121" s="163">
        <v>14</v>
      </c>
      <c r="AD121" s="163">
        <v>5</v>
      </c>
      <c r="AE121" s="165">
        <v>0.79139181648614609</v>
      </c>
      <c r="AF121" s="166">
        <v>0.7160211672969895</v>
      </c>
    </row>
    <row r="122" spans="1:32">
      <c r="A122" s="602">
        <v>3</v>
      </c>
      <c r="B122" s="162">
        <v>0.5</v>
      </c>
      <c r="C122" s="163">
        <v>26.662983322882745</v>
      </c>
      <c r="D122" s="163">
        <v>881.85178699224639</v>
      </c>
      <c r="E122" s="164">
        <v>0.56430000000000002</v>
      </c>
      <c r="F122" s="164">
        <v>0.56430000000000002</v>
      </c>
      <c r="G122" s="163">
        <v>23</v>
      </c>
      <c r="H122" s="163">
        <v>31.666666666666664</v>
      </c>
      <c r="I122" s="163">
        <v>8.6666666666666643</v>
      </c>
      <c r="J122" s="163">
        <v>18</v>
      </c>
      <c r="K122" s="163">
        <v>18.748879892037788</v>
      </c>
      <c r="L122" s="163">
        <v>0.74887989203778815</v>
      </c>
      <c r="M122" s="163">
        <v>21</v>
      </c>
      <c r="N122" s="163">
        <v>28.931623931623928</v>
      </c>
      <c r="O122" s="163">
        <v>7.9316239316239283</v>
      </c>
      <c r="P122" s="163"/>
      <c r="Q122" s="163">
        <v>19</v>
      </c>
      <c r="R122" s="163">
        <v>0</v>
      </c>
      <c r="S122" s="163">
        <v>0</v>
      </c>
      <c r="T122" s="163">
        <v>0</v>
      </c>
      <c r="U122" s="163">
        <v>0</v>
      </c>
      <c r="V122" s="163">
        <v>0</v>
      </c>
      <c r="W122" s="163">
        <v>0</v>
      </c>
      <c r="X122" s="163">
        <v>0</v>
      </c>
      <c r="Y122" s="163">
        <v>19</v>
      </c>
      <c r="Z122" s="163">
        <v>19</v>
      </c>
      <c r="AA122" s="163">
        <v>0</v>
      </c>
      <c r="AB122" s="163">
        <v>0</v>
      </c>
      <c r="AC122" s="163">
        <v>14</v>
      </c>
      <c r="AD122" s="163">
        <v>5</v>
      </c>
      <c r="AE122" s="165">
        <v>0.84339445888730302</v>
      </c>
      <c r="AF122" s="166">
        <v>0.69671716168951126</v>
      </c>
    </row>
    <row r="123" spans="1:32">
      <c r="A123" s="602">
        <v>3</v>
      </c>
      <c r="B123" s="162">
        <v>0.52083333333333337</v>
      </c>
      <c r="C123" s="163">
        <v>24.084026081762573</v>
      </c>
      <c r="D123" s="163">
        <v>830.45618739436088</v>
      </c>
      <c r="E123" s="164">
        <v>0.68559999999999999</v>
      </c>
      <c r="F123" s="164">
        <v>0.68559999999999999</v>
      </c>
      <c r="G123" s="163">
        <v>19</v>
      </c>
      <c r="H123" s="163">
        <v>30.333333333333336</v>
      </c>
      <c r="I123" s="163">
        <v>11.333333333333336</v>
      </c>
      <c r="J123" s="163">
        <v>15</v>
      </c>
      <c r="K123" s="163">
        <v>15.488205128205129</v>
      </c>
      <c r="L123" s="163">
        <v>0.48820512820512896</v>
      </c>
      <c r="M123" s="163">
        <v>17</v>
      </c>
      <c r="N123" s="163">
        <v>27.713450292397663</v>
      </c>
      <c r="O123" s="163">
        <v>10.713450292397663</v>
      </c>
      <c r="P123" s="163"/>
      <c r="Q123" s="163">
        <v>19</v>
      </c>
      <c r="R123" s="163">
        <v>0</v>
      </c>
      <c r="S123" s="163">
        <v>0</v>
      </c>
      <c r="T123" s="163">
        <v>0</v>
      </c>
      <c r="U123" s="163">
        <v>0</v>
      </c>
      <c r="V123" s="163">
        <v>0</v>
      </c>
      <c r="W123" s="163">
        <v>0</v>
      </c>
      <c r="X123" s="163">
        <v>0</v>
      </c>
      <c r="Y123" s="163">
        <v>19</v>
      </c>
      <c r="Z123" s="163">
        <v>19</v>
      </c>
      <c r="AA123" s="163">
        <v>0</v>
      </c>
      <c r="AB123" s="163">
        <v>0</v>
      </c>
      <c r="AC123" s="163">
        <v>14</v>
      </c>
      <c r="AD123" s="163">
        <v>5</v>
      </c>
      <c r="AE123" s="165">
        <v>0.71741791437810298</v>
      </c>
      <c r="AF123" s="166">
        <v>0.71741791437810298</v>
      </c>
    </row>
    <row r="124" spans="1:32">
      <c r="A124" s="602">
        <v>3</v>
      </c>
      <c r="B124" s="162">
        <v>0.54166666666666663</v>
      </c>
      <c r="C124" s="163">
        <v>23.992637478427373</v>
      </c>
      <c r="D124" s="163">
        <v>826.12820897272547</v>
      </c>
      <c r="E124" s="164">
        <v>0.62980000000000003</v>
      </c>
      <c r="F124" s="164">
        <v>0.62980000000000003</v>
      </c>
      <c r="G124" s="163">
        <v>19</v>
      </c>
      <c r="H124" s="163">
        <v>28.333333333333336</v>
      </c>
      <c r="I124" s="163">
        <v>9.3333333333333357</v>
      </c>
      <c r="J124" s="163">
        <v>15</v>
      </c>
      <c r="K124" s="163">
        <v>15.488205128205129</v>
      </c>
      <c r="L124" s="163">
        <v>0.48820512820512896</v>
      </c>
      <c r="M124" s="163">
        <v>17</v>
      </c>
      <c r="N124" s="163">
        <v>25.886189833558255</v>
      </c>
      <c r="O124" s="163">
        <v>8.8861898335582552</v>
      </c>
      <c r="P124" s="163"/>
      <c r="Q124" s="163">
        <v>17</v>
      </c>
      <c r="R124" s="163">
        <v>0</v>
      </c>
      <c r="S124" s="163">
        <v>0</v>
      </c>
      <c r="T124" s="163">
        <v>0</v>
      </c>
      <c r="U124" s="163">
        <v>0</v>
      </c>
      <c r="V124" s="163">
        <v>0</v>
      </c>
      <c r="W124" s="163">
        <v>0</v>
      </c>
      <c r="X124" s="163">
        <v>0</v>
      </c>
      <c r="Y124" s="163">
        <v>17</v>
      </c>
      <c r="Z124" s="163">
        <v>17</v>
      </c>
      <c r="AA124" s="163">
        <v>0</v>
      </c>
      <c r="AB124" s="163">
        <v>0</v>
      </c>
      <c r="AC124" s="163">
        <v>12</v>
      </c>
      <c r="AD124" s="163">
        <v>5</v>
      </c>
      <c r="AE124" s="165">
        <v>0.79461457448937245</v>
      </c>
      <c r="AF124" s="166">
        <v>0.71097093506943843</v>
      </c>
    </row>
    <row r="125" spans="1:32">
      <c r="A125" s="602">
        <v>3</v>
      </c>
      <c r="B125" s="162">
        <v>0.5625</v>
      </c>
      <c r="C125" s="163">
        <v>22.132626993095464</v>
      </c>
      <c r="D125" s="163">
        <v>799.6767671009477</v>
      </c>
      <c r="E125" s="164">
        <v>0.79390000000000016</v>
      </c>
      <c r="F125" s="164">
        <v>0.79390000000000016</v>
      </c>
      <c r="G125" s="163">
        <v>18</v>
      </c>
      <c r="H125" s="163">
        <v>28.333333333333336</v>
      </c>
      <c r="I125" s="163">
        <v>10.333333333333336</v>
      </c>
      <c r="J125" s="163">
        <v>14</v>
      </c>
      <c r="K125" s="163">
        <v>14.673036437246964</v>
      </c>
      <c r="L125" s="163">
        <v>0.67303643724696371</v>
      </c>
      <c r="M125" s="163">
        <v>16</v>
      </c>
      <c r="N125" s="163">
        <v>25.886189833558255</v>
      </c>
      <c r="O125" s="163">
        <v>9.8861898335582552</v>
      </c>
      <c r="P125" s="163"/>
      <c r="Q125" s="163">
        <v>17</v>
      </c>
      <c r="R125" s="163">
        <v>0</v>
      </c>
      <c r="S125" s="163">
        <v>0</v>
      </c>
      <c r="T125" s="163">
        <v>0</v>
      </c>
      <c r="U125" s="163">
        <v>0</v>
      </c>
      <c r="V125" s="163">
        <v>0</v>
      </c>
      <c r="W125" s="163">
        <v>0</v>
      </c>
      <c r="X125" s="163">
        <v>0</v>
      </c>
      <c r="Y125" s="163">
        <v>17</v>
      </c>
      <c r="Z125" s="163">
        <v>17</v>
      </c>
      <c r="AA125" s="163">
        <v>0</v>
      </c>
      <c r="AB125" s="163">
        <v>0</v>
      </c>
      <c r="AC125" s="163">
        <v>12</v>
      </c>
      <c r="AD125" s="163">
        <v>5</v>
      </c>
      <c r="AE125" s="165">
        <v>0.70954268343457461</v>
      </c>
      <c r="AF125" s="166">
        <v>0.67012364546598702</v>
      </c>
    </row>
    <row r="126" spans="1:32">
      <c r="A126" s="602">
        <v>3</v>
      </c>
      <c r="B126" s="162">
        <v>0.58333333333333337</v>
      </c>
      <c r="C126" s="163">
        <v>23.244730841749941</v>
      </c>
      <c r="D126" s="163">
        <v>825.10547264426759</v>
      </c>
      <c r="E126" s="164">
        <v>0.68540000000000001</v>
      </c>
      <c r="F126" s="164">
        <v>0.68540000000000001</v>
      </c>
      <c r="G126" s="163">
        <v>19</v>
      </c>
      <c r="H126" s="163">
        <v>28.333333333333336</v>
      </c>
      <c r="I126" s="163">
        <v>9.3333333333333357</v>
      </c>
      <c r="J126" s="163">
        <v>15</v>
      </c>
      <c r="K126" s="163">
        <v>15.488205128205129</v>
      </c>
      <c r="L126" s="163">
        <v>0.48820512820512896</v>
      </c>
      <c r="M126" s="163">
        <v>17</v>
      </c>
      <c r="N126" s="163">
        <v>25.886189833558255</v>
      </c>
      <c r="O126" s="163">
        <v>8.8861898335582552</v>
      </c>
      <c r="P126" s="163"/>
      <c r="Q126" s="163">
        <v>17</v>
      </c>
      <c r="R126" s="163">
        <v>0</v>
      </c>
      <c r="S126" s="163">
        <v>0</v>
      </c>
      <c r="T126" s="163">
        <v>0</v>
      </c>
      <c r="U126" s="163">
        <v>0</v>
      </c>
      <c r="V126" s="163">
        <v>0</v>
      </c>
      <c r="W126" s="163">
        <v>0</v>
      </c>
      <c r="X126" s="163">
        <v>0</v>
      </c>
      <c r="Y126" s="163">
        <v>17</v>
      </c>
      <c r="Z126" s="163">
        <v>17</v>
      </c>
      <c r="AA126" s="163">
        <v>0</v>
      </c>
      <c r="AB126" s="163">
        <v>0</v>
      </c>
      <c r="AC126" s="163">
        <v>12</v>
      </c>
      <c r="AD126" s="163">
        <v>5</v>
      </c>
      <c r="AE126" s="165">
        <v>0.76889152144103967</v>
      </c>
      <c r="AF126" s="166">
        <v>0.68795557181566702</v>
      </c>
    </row>
    <row r="127" spans="1:32">
      <c r="A127" s="602">
        <v>3</v>
      </c>
      <c r="B127" s="162">
        <v>0.60416666666666663</v>
      </c>
      <c r="C127" s="163">
        <v>22.0148280873575</v>
      </c>
      <c r="D127" s="163">
        <v>808.00919610369556</v>
      </c>
      <c r="E127" s="164">
        <v>0.87760000000000005</v>
      </c>
      <c r="F127" s="164">
        <v>0.87760000000000005</v>
      </c>
      <c r="G127" s="163">
        <v>18</v>
      </c>
      <c r="H127" s="163">
        <v>29.666666666666664</v>
      </c>
      <c r="I127" s="163">
        <v>11.666666666666664</v>
      </c>
      <c r="J127" s="163">
        <v>14</v>
      </c>
      <c r="K127" s="163">
        <v>14.673036437246964</v>
      </c>
      <c r="L127" s="163">
        <v>0.67303643724696371</v>
      </c>
      <c r="M127" s="163">
        <v>16</v>
      </c>
      <c r="N127" s="163">
        <v>27.104363472784524</v>
      </c>
      <c r="O127" s="163">
        <v>11.104363472784524</v>
      </c>
      <c r="P127" s="163"/>
      <c r="Q127" s="163">
        <v>17</v>
      </c>
      <c r="R127" s="163">
        <v>0</v>
      </c>
      <c r="S127" s="163">
        <v>0</v>
      </c>
      <c r="T127" s="163">
        <v>0</v>
      </c>
      <c r="U127" s="163">
        <v>0</v>
      </c>
      <c r="V127" s="163">
        <v>0</v>
      </c>
      <c r="W127" s="163">
        <v>0</v>
      </c>
      <c r="X127" s="163">
        <v>0</v>
      </c>
      <c r="Y127" s="163">
        <v>17</v>
      </c>
      <c r="Z127" s="163">
        <v>17</v>
      </c>
      <c r="AA127" s="163">
        <v>0</v>
      </c>
      <c r="AB127" s="163">
        <v>0</v>
      </c>
      <c r="AC127" s="163">
        <v>12</v>
      </c>
      <c r="AD127" s="163">
        <v>5</v>
      </c>
      <c r="AE127" s="165">
        <v>0.713120111457204</v>
      </c>
      <c r="AF127" s="166">
        <v>0.67350232748735939</v>
      </c>
    </row>
    <row r="128" spans="1:32">
      <c r="A128" s="602">
        <v>3</v>
      </c>
      <c r="B128" s="162">
        <v>0.625</v>
      </c>
      <c r="C128" s="163">
        <v>22.339903841343077</v>
      </c>
      <c r="D128" s="163">
        <v>839.12947907066882</v>
      </c>
      <c r="E128" s="164">
        <v>0.61976666666666669</v>
      </c>
      <c r="F128" s="164">
        <v>0.61976666666666669</v>
      </c>
      <c r="G128" s="163">
        <v>19</v>
      </c>
      <c r="H128" s="163">
        <v>29</v>
      </c>
      <c r="I128" s="163">
        <v>10</v>
      </c>
      <c r="J128" s="163">
        <v>15</v>
      </c>
      <c r="K128" s="163">
        <v>15.488205128205129</v>
      </c>
      <c r="L128" s="163">
        <v>0.48820512820512896</v>
      </c>
      <c r="M128" s="163">
        <v>17</v>
      </c>
      <c r="N128" s="163">
        <v>26.495276653171388</v>
      </c>
      <c r="O128" s="163">
        <v>9.4952766531713877</v>
      </c>
      <c r="P128" s="163"/>
      <c r="Q128" s="163">
        <v>19</v>
      </c>
      <c r="R128" s="163">
        <v>0</v>
      </c>
      <c r="S128" s="163">
        <v>0</v>
      </c>
      <c r="T128" s="163">
        <v>0</v>
      </c>
      <c r="U128" s="163">
        <v>0</v>
      </c>
      <c r="V128" s="163">
        <v>0</v>
      </c>
      <c r="W128" s="163">
        <v>0</v>
      </c>
      <c r="X128" s="163">
        <v>0</v>
      </c>
      <c r="Y128" s="163">
        <v>19</v>
      </c>
      <c r="Z128" s="163">
        <v>19</v>
      </c>
      <c r="AA128" s="163">
        <v>0</v>
      </c>
      <c r="AB128" s="163">
        <v>0</v>
      </c>
      <c r="AC128" s="163">
        <v>12</v>
      </c>
      <c r="AD128" s="163">
        <v>7</v>
      </c>
      <c r="AE128" s="165">
        <v>0.67241389738917845</v>
      </c>
      <c r="AF128" s="166">
        <v>0.67241389738917845</v>
      </c>
    </row>
    <row r="129" spans="1:32">
      <c r="A129" s="602">
        <v>3</v>
      </c>
      <c r="B129" s="162">
        <v>0.64583333333333337</v>
      </c>
      <c r="C129" s="163">
        <v>21.013710654250804</v>
      </c>
      <c r="D129" s="163">
        <v>843.73310245597725</v>
      </c>
      <c r="E129" s="164">
        <v>0.44490000000000002</v>
      </c>
      <c r="F129" s="164">
        <v>0.44490000000000002</v>
      </c>
      <c r="G129" s="163">
        <v>18</v>
      </c>
      <c r="H129" s="163">
        <v>23.333333333333336</v>
      </c>
      <c r="I129" s="163">
        <v>5.3333333333333357</v>
      </c>
      <c r="J129" s="163">
        <v>14</v>
      </c>
      <c r="K129" s="163">
        <v>14.673036437246964</v>
      </c>
      <c r="L129" s="163">
        <v>0.67303643724696371</v>
      </c>
      <c r="M129" s="163">
        <v>16</v>
      </c>
      <c r="N129" s="163">
        <v>21.31803868645974</v>
      </c>
      <c r="O129" s="163">
        <v>5.3180386864597402</v>
      </c>
      <c r="P129" s="163"/>
      <c r="Q129" s="163">
        <v>14</v>
      </c>
      <c r="R129" s="163">
        <v>0</v>
      </c>
      <c r="S129" s="163">
        <v>0</v>
      </c>
      <c r="T129" s="163">
        <v>0</v>
      </c>
      <c r="U129" s="163">
        <v>0</v>
      </c>
      <c r="V129" s="163">
        <v>0</v>
      </c>
      <c r="W129" s="163">
        <v>0</v>
      </c>
      <c r="X129" s="163">
        <v>0</v>
      </c>
      <c r="Y129" s="163">
        <v>14</v>
      </c>
      <c r="Z129" s="163">
        <v>14</v>
      </c>
      <c r="AA129" s="163">
        <v>0</v>
      </c>
      <c r="AB129" s="163">
        <v>0</v>
      </c>
      <c r="AC129" s="163">
        <v>10</v>
      </c>
      <c r="AD129" s="163">
        <v>4</v>
      </c>
      <c r="AE129" s="165">
        <v>0.86309739248830564</v>
      </c>
      <c r="AF129" s="166">
        <v>0.67129797193534879</v>
      </c>
    </row>
    <row r="130" spans="1:32">
      <c r="A130" s="602">
        <v>3</v>
      </c>
      <c r="B130" s="162">
        <v>0.66666666666666663</v>
      </c>
      <c r="C130" s="163">
        <v>20.87363339055312</v>
      </c>
      <c r="D130" s="163">
        <v>841.42427333369756</v>
      </c>
      <c r="E130" s="164">
        <v>0.46700000000000003</v>
      </c>
      <c r="F130" s="164">
        <v>0.46700000000000003</v>
      </c>
      <c r="G130" s="163">
        <v>18</v>
      </c>
      <c r="H130" s="163">
        <v>23.333333333333336</v>
      </c>
      <c r="I130" s="163">
        <v>5.3333333333333357</v>
      </c>
      <c r="J130" s="163">
        <v>14</v>
      </c>
      <c r="K130" s="163">
        <v>14.673036437246964</v>
      </c>
      <c r="L130" s="163">
        <v>0.67303643724696371</v>
      </c>
      <c r="M130" s="163">
        <v>16</v>
      </c>
      <c r="N130" s="163">
        <v>21.31803868645974</v>
      </c>
      <c r="O130" s="163">
        <v>5.3180386864597402</v>
      </c>
      <c r="P130" s="163"/>
      <c r="Q130" s="163">
        <v>14</v>
      </c>
      <c r="R130" s="163">
        <v>0</v>
      </c>
      <c r="S130" s="163">
        <v>0</v>
      </c>
      <c r="T130" s="163">
        <v>0</v>
      </c>
      <c r="U130" s="163">
        <v>0</v>
      </c>
      <c r="V130" s="163">
        <v>0</v>
      </c>
      <c r="W130" s="163">
        <v>0</v>
      </c>
      <c r="X130" s="163">
        <v>0</v>
      </c>
      <c r="Y130" s="163">
        <v>14</v>
      </c>
      <c r="Z130" s="163">
        <v>14</v>
      </c>
      <c r="AA130" s="163">
        <v>0</v>
      </c>
      <c r="AB130" s="163">
        <v>0</v>
      </c>
      <c r="AC130" s="163">
        <v>10</v>
      </c>
      <c r="AD130" s="163">
        <v>4</v>
      </c>
      <c r="AE130" s="165">
        <v>0.8549979161044996</v>
      </c>
      <c r="AF130" s="166">
        <v>0.66499837919238858</v>
      </c>
    </row>
    <row r="131" spans="1:32">
      <c r="A131" s="602">
        <v>3</v>
      </c>
      <c r="B131" s="162">
        <v>0.6875</v>
      </c>
      <c r="C131" s="163">
        <v>19.736408856290772</v>
      </c>
      <c r="D131" s="163">
        <v>876.3945736370581</v>
      </c>
      <c r="E131" s="164">
        <v>0.20203333333333329</v>
      </c>
      <c r="F131" s="164">
        <v>0.20203333333333329</v>
      </c>
      <c r="G131" s="163">
        <v>18</v>
      </c>
      <c r="H131" s="163">
        <v>22</v>
      </c>
      <c r="I131" s="163">
        <v>4</v>
      </c>
      <c r="J131" s="163">
        <v>14</v>
      </c>
      <c r="K131" s="163">
        <v>14.673036437246964</v>
      </c>
      <c r="L131" s="163">
        <v>0.67303643724696371</v>
      </c>
      <c r="M131" s="163">
        <v>16</v>
      </c>
      <c r="N131" s="163">
        <v>20.099865047233468</v>
      </c>
      <c r="O131" s="163">
        <v>4.0998650472334681</v>
      </c>
      <c r="P131" s="163"/>
      <c r="Q131" s="163">
        <v>14</v>
      </c>
      <c r="R131" s="163">
        <v>0</v>
      </c>
      <c r="S131" s="163">
        <v>0</v>
      </c>
      <c r="T131" s="163">
        <v>0</v>
      </c>
      <c r="U131" s="163">
        <v>0</v>
      </c>
      <c r="V131" s="163">
        <v>0</v>
      </c>
      <c r="W131" s="163">
        <v>0</v>
      </c>
      <c r="X131" s="163">
        <v>0</v>
      </c>
      <c r="Y131" s="163">
        <v>14</v>
      </c>
      <c r="Z131" s="163">
        <v>14</v>
      </c>
      <c r="AA131" s="163">
        <v>0</v>
      </c>
      <c r="AB131" s="163">
        <v>0</v>
      </c>
      <c r="AC131" s="163">
        <v>10</v>
      </c>
      <c r="AD131" s="163">
        <v>4</v>
      </c>
      <c r="AE131" s="165">
        <v>0.84201490939375168</v>
      </c>
      <c r="AF131" s="166">
        <v>0.65490048508402909</v>
      </c>
    </row>
    <row r="132" spans="1:32">
      <c r="A132" s="602">
        <v>3</v>
      </c>
      <c r="B132" s="162">
        <v>0.70833333333333337</v>
      </c>
      <c r="C132" s="163">
        <v>19.734669975269995</v>
      </c>
      <c r="D132" s="163">
        <v>849.72966087924044</v>
      </c>
      <c r="E132" s="164">
        <v>0.14050000000000001</v>
      </c>
      <c r="F132" s="164">
        <v>0.14050000000000001</v>
      </c>
      <c r="G132" s="163">
        <v>16</v>
      </c>
      <c r="H132" s="163">
        <v>20</v>
      </c>
      <c r="I132" s="163">
        <v>4</v>
      </c>
      <c r="J132" s="163">
        <v>13</v>
      </c>
      <c r="K132" s="163">
        <v>13.042699055330635</v>
      </c>
      <c r="L132" s="163">
        <v>4.2699055330635005E-2</v>
      </c>
      <c r="M132" s="163">
        <v>15</v>
      </c>
      <c r="N132" s="163">
        <v>18.27260458839406</v>
      </c>
      <c r="O132" s="163">
        <v>3.27260458839406</v>
      </c>
      <c r="P132" s="163"/>
      <c r="Q132" s="163">
        <v>12</v>
      </c>
      <c r="R132" s="163">
        <v>0</v>
      </c>
      <c r="S132" s="163">
        <v>0</v>
      </c>
      <c r="T132" s="163">
        <v>0</v>
      </c>
      <c r="U132" s="163">
        <v>0</v>
      </c>
      <c r="V132" s="163">
        <v>0</v>
      </c>
      <c r="W132" s="163">
        <v>0</v>
      </c>
      <c r="X132" s="163">
        <v>0</v>
      </c>
      <c r="Y132" s="163">
        <v>12</v>
      </c>
      <c r="Z132" s="163">
        <v>12</v>
      </c>
      <c r="AA132" s="163">
        <v>0</v>
      </c>
      <c r="AB132" s="163">
        <v>0</v>
      </c>
      <c r="AC132" s="163">
        <v>10</v>
      </c>
      <c r="AD132" s="163">
        <v>2</v>
      </c>
      <c r="AE132" s="165">
        <v>0.95237810849896021</v>
      </c>
      <c r="AF132" s="166">
        <v>0.71428358137422021</v>
      </c>
    </row>
    <row r="133" spans="1:32">
      <c r="A133" s="602">
        <v>3</v>
      </c>
      <c r="B133" s="162">
        <v>0.72916666666666663</v>
      </c>
      <c r="C133" s="163">
        <v>19.593663645154336</v>
      </c>
      <c r="D133" s="163">
        <v>833.6609884604477</v>
      </c>
      <c r="E133" s="164">
        <v>0.6371</v>
      </c>
      <c r="F133" s="164">
        <v>0.6371</v>
      </c>
      <c r="G133" s="163">
        <v>16</v>
      </c>
      <c r="H133" s="163">
        <v>22.666666666666664</v>
      </c>
      <c r="I133" s="163">
        <v>6.6666666666666643</v>
      </c>
      <c r="J133" s="163">
        <v>13</v>
      </c>
      <c r="K133" s="163">
        <v>13.042699055330635</v>
      </c>
      <c r="L133" s="163">
        <v>4.2699055330635005E-2</v>
      </c>
      <c r="M133" s="163">
        <v>15</v>
      </c>
      <c r="N133" s="163">
        <v>20.708951866846601</v>
      </c>
      <c r="O133" s="163">
        <v>5.7089518668466006</v>
      </c>
      <c r="P133" s="163"/>
      <c r="Q133" s="163">
        <v>12</v>
      </c>
      <c r="R133" s="163">
        <v>0</v>
      </c>
      <c r="S133" s="163">
        <v>0</v>
      </c>
      <c r="T133" s="163">
        <v>0</v>
      </c>
      <c r="U133" s="163">
        <v>0</v>
      </c>
      <c r="V133" s="163">
        <v>0</v>
      </c>
      <c r="W133" s="163">
        <v>0</v>
      </c>
      <c r="X133" s="163">
        <v>0</v>
      </c>
      <c r="Y133" s="163">
        <v>12</v>
      </c>
      <c r="Z133" s="163">
        <v>12</v>
      </c>
      <c r="AA133" s="163">
        <v>0</v>
      </c>
      <c r="AB133" s="163">
        <v>0</v>
      </c>
      <c r="AC133" s="163">
        <v>10</v>
      </c>
      <c r="AD133" s="163">
        <v>2</v>
      </c>
      <c r="AE133" s="165">
        <v>0.92769215787063464</v>
      </c>
      <c r="AF133" s="166">
        <v>0.69576911840297606</v>
      </c>
    </row>
    <row r="134" spans="1:32">
      <c r="A134" s="602">
        <v>3</v>
      </c>
      <c r="B134" s="162">
        <v>0.75</v>
      </c>
      <c r="C134" s="163">
        <v>18.878156083705441</v>
      </c>
      <c r="D134" s="163">
        <v>837.79622006963723</v>
      </c>
      <c r="E134" s="164">
        <v>0.87740000000000007</v>
      </c>
      <c r="F134" s="164">
        <v>0.87740000000000007</v>
      </c>
      <c r="G134" s="163">
        <v>16</v>
      </c>
      <c r="H134" s="163">
        <v>26.666666666666664</v>
      </c>
      <c r="I134" s="163">
        <v>10.666666666666664</v>
      </c>
      <c r="J134" s="163">
        <v>13</v>
      </c>
      <c r="K134" s="163">
        <v>13.042699055330635</v>
      </c>
      <c r="L134" s="163">
        <v>4.2699055330635005E-2</v>
      </c>
      <c r="M134" s="163">
        <v>15</v>
      </c>
      <c r="N134" s="163">
        <v>24.363472784525413</v>
      </c>
      <c r="O134" s="163">
        <v>9.3634727845254133</v>
      </c>
      <c r="P134" s="163"/>
      <c r="Q134" s="163">
        <v>16</v>
      </c>
      <c r="R134" s="163">
        <v>0</v>
      </c>
      <c r="S134" s="163">
        <v>0</v>
      </c>
      <c r="T134" s="163">
        <v>0</v>
      </c>
      <c r="U134" s="163">
        <v>0</v>
      </c>
      <c r="V134" s="163">
        <v>0</v>
      </c>
      <c r="W134" s="163">
        <v>0</v>
      </c>
      <c r="X134" s="163">
        <v>0</v>
      </c>
      <c r="Y134" s="163">
        <v>16</v>
      </c>
      <c r="Z134" s="163">
        <v>16</v>
      </c>
      <c r="AA134" s="163">
        <v>0</v>
      </c>
      <c r="AB134" s="163">
        <v>0</v>
      </c>
      <c r="AC134" s="163">
        <v>14</v>
      </c>
      <c r="AD134" s="163">
        <v>2</v>
      </c>
      <c r="AE134" s="165">
        <v>0.67368672617859571</v>
      </c>
      <c r="AF134" s="166">
        <v>0.67368672617859571</v>
      </c>
    </row>
    <row r="135" spans="1:32">
      <c r="A135" s="602">
        <v>3</v>
      </c>
      <c r="B135" s="162">
        <v>0.77083333333333337</v>
      </c>
      <c r="C135" s="163">
        <v>18.353031471385187</v>
      </c>
      <c r="D135" s="163">
        <v>786.37871573981295</v>
      </c>
      <c r="E135" s="164">
        <v>0.9325</v>
      </c>
      <c r="F135" s="164">
        <v>0.9325</v>
      </c>
      <c r="G135" s="163">
        <v>15</v>
      </c>
      <c r="H135" s="163">
        <v>26.666666666666664</v>
      </c>
      <c r="I135" s="163">
        <v>11.666666666666664</v>
      </c>
      <c r="J135" s="163">
        <v>12</v>
      </c>
      <c r="K135" s="163">
        <v>12.22753036437247</v>
      </c>
      <c r="L135" s="163">
        <v>0.22753036437246976</v>
      </c>
      <c r="M135" s="163">
        <v>14</v>
      </c>
      <c r="N135" s="163">
        <v>24.363472784525413</v>
      </c>
      <c r="O135" s="163">
        <v>10.363472784525413</v>
      </c>
      <c r="P135" s="163"/>
      <c r="Q135" s="163">
        <v>16</v>
      </c>
      <c r="R135" s="163">
        <v>0</v>
      </c>
      <c r="S135" s="163">
        <v>0</v>
      </c>
      <c r="T135" s="163">
        <v>0</v>
      </c>
      <c r="U135" s="163">
        <v>0</v>
      </c>
      <c r="V135" s="163">
        <v>0</v>
      </c>
      <c r="W135" s="163">
        <v>0</v>
      </c>
      <c r="X135" s="163">
        <v>0</v>
      </c>
      <c r="Y135" s="163">
        <v>16</v>
      </c>
      <c r="Z135" s="163">
        <v>16</v>
      </c>
      <c r="AA135" s="163">
        <v>0</v>
      </c>
      <c r="AB135" s="163">
        <v>0</v>
      </c>
      <c r="AC135" s="163">
        <v>14</v>
      </c>
      <c r="AD135" s="163">
        <v>2</v>
      </c>
      <c r="AE135" s="165">
        <v>0.61475147714501222</v>
      </c>
      <c r="AF135" s="166">
        <v>0.65573490895467956</v>
      </c>
    </row>
    <row r="136" spans="1:32">
      <c r="A136" s="602">
        <v>3</v>
      </c>
      <c r="B136" s="162">
        <v>0.79166666666666663</v>
      </c>
      <c r="C136" s="163">
        <v>16.315246803784802</v>
      </c>
      <c r="D136" s="163">
        <v>782.53429115807216</v>
      </c>
      <c r="E136" s="164">
        <v>0.88970000000000005</v>
      </c>
      <c r="F136" s="164">
        <v>0.88970000000000005</v>
      </c>
      <c r="G136" s="163">
        <v>14</v>
      </c>
      <c r="H136" s="163">
        <v>23.333333333333336</v>
      </c>
      <c r="I136" s="163">
        <v>9.3333333333333357</v>
      </c>
      <c r="J136" s="163">
        <v>11</v>
      </c>
      <c r="K136" s="163">
        <v>11.412361673414306</v>
      </c>
      <c r="L136" s="163">
        <v>0.4123616734143063</v>
      </c>
      <c r="M136" s="163">
        <v>13</v>
      </c>
      <c r="N136" s="163">
        <v>21.31803868645974</v>
      </c>
      <c r="O136" s="163">
        <v>8.3180386864597402</v>
      </c>
      <c r="P136" s="163"/>
      <c r="Q136" s="163">
        <v>14</v>
      </c>
      <c r="R136" s="163">
        <v>0</v>
      </c>
      <c r="S136" s="163">
        <v>0</v>
      </c>
      <c r="T136" s="163">
        <v>0</v>
      </c>
      <c r="U136" s="163">
        <v>0</v>
      </c>
      <c r="V136" s="163">
        <v>0</v>
      </c>
      <c r="W136" s="163">
        <v>0</v>
      </c>
      <c r="X136" s="163">
        <v>0</v>
      </c>
      <c r="Y136" s="163">
        <v>14</v>
      </c>
      <c r="Z136" s="163">
        <v>14</v>
      </c>
      <c r="AA136" s="163">
        <v>0</v>
      </c>
      <c r="AB136" s="163">
        <v>0</v>
      </c>
      <c r="AC136" s="163">
        <v>12</v>
      </c>
      <c r="AD136" s="163">
        <v>2</v>
      </c>
      <c r="AE136" s="165">
        <v>0.62151124943026081</v>
      </c>
      <c r="AF136" s="166">
        <v>0.62151124943026081</v>
      </c>
    </row>
    <row r="137" spans="1:32">
      <c r="A137" s="602">
        <v>3</v>
      </c>
      <c r="B137" s="162">
        <v>0.8125</v>
      </c>
      <c r="C137" s="163">
        <v>14.80194975311619</v>
      </c>
      <c r="D137" s="163">
        <v>790.15935544320803</v>
      </c>
      <c r="E137" s="164">
        <v>0.93319999999999992</v>
      </c>
      <c r="F137" s="164">
        <v>0.93319999999999992</v>
      </c>
      <c r="G137" s="163">
        <v>13</v>
      </c>
      <c r="H137" s="163">
        <v>23.333333333333336</v>
      </c>
      <c r="I137" s="163">
        <v>10.333333333333336</v>
      </c>
      <c r="J137" s="163">
        <v>10</v>
      </c>
      <c r="K137" s="163">
        <v>10.597192982456141</v>
      </c>
      <c r="L137" s="163">
        <v>0.59719298245614105</v>
      </c>
      <c r="M137" s="163">
        <v>12</v>
      </c>
      <c r="N137" s="163">
        <v>21.31803868645974</v>
      </c>
      <c r="O137" s="163">
        <v>9.3180386864597402</v>
      </c>
      <c r="P137" s="163"/>
      <c r="Q137" s="163">
        <v>14</v>
      </c>
      <c r="R137" s="163">
        <v>0</v>
      </c>
      <c r="S137" s="163">
        <v>0</v>
      </c>
      <c r="T137" s="163">
        <v>0</v>
      </c>
      <c r="U137" s="163">
        <v>0</v>
      </c>
      <c r="V137" s="163">
        <v>0</v>
      </c>
      <c r="W137" s="163">
        <v>0</v>
      </c>
      <c r="X137" s="163">
        <v>0</v>
      </c>
      <c r="Y137" s="163">
        <v>14</v>
      </c>
      <c r="Z137" s="163">
        <v>14</v>
      </c>
      <c r="AA137" s="163">
        <v>0</v>
      </c>
      <c r="AB137" s="163">
        <v>0</v>
      </c>
      <c r="AC137" s="163">
        <v>12</v>
      </c>
      <c r="AD137" s="163">
        <v>2</v>
      </c>
      <c r="AE137" s="165">
        <v>0.56935820077895838</v>
      </c>
      <c r="AF137" s="166">
        <v>0.61315498545426284</v>
      </c>
    </row>
    <row r="138" spans="1:32">
      <c r="A138" s="602">
        <v>3</v>
      </c>
      <c r="B138" s="162">
        <v>0.83333333333333337</v>
      </c>
      <c r="C138" s="163">
        <v>15.190401209355198</v>
      </c>
      <c r="D138" s="163">
        <v>767.46490802698645</v>
      </c>
      <c r="E138" s="164">
        <v>0.68489999999999995</v>
      </c>
      <c r="F138" s="164">
        <v>0.68489999999999995</v>
      </c>
      <c r="G138" s="163">
        <v>13</v>
      </c>
      <c r="H138" s="163">
        <v>20.666666666666668</v>
      </c>
      <c r="I138" s="163">
        <v>7.6666666666666679</v>
      </c>
      <c r="J138" s="163">
        <v>10</v>
      </c>
      <c r="K138" s="163">
        <v>10.597192982456141</v>
      </c>
      <c r="L138" s="163">
        <v>0.59719298245614105</v>
      </c>
      <c r="M138" s="163">
        <v>12</v>
      </c>
      <c r="N138" s="163">
        <v>18.881691408007196</v>
      </c>
      <c r="O138" s="163">
        <v>6.881691408007196</v>
      </c>
      <c r="P138" s="163"/>
      <c r="Q138" s="163">
        <v>14</v>
      </c>
      <c r="R138" s="163">
        <v>0</v>
      </c>
      <c r="S138" s="163">
        <v>0</v>
      </c>
      <c r="T138" s="163">
        <v>0</v>
      </c>
      <c r="U138" s="163">
        <v>0</v>
      </c>
      <c r="V138" s="163">
        <v>0</v>
      </c>
      <c r="W138" s="163">
        <v>0</v>
      </c>
      <c r="X138" s="163">
        <v>0</v>
      </c>
      <c r="Y138" s="163">
        <v>14</v>
      </c>
      <c r="Z138" s="163">
        <v>14</v>
      </c>
      <c r="AA138" s="163">
        <v>0</v>
      </c>
      <c r="AB138" s="163">
        <v>0</v>
      </c>
      <c r="AC138" s="163">
        <v>12</v>
      </c>
      <c r="AD138" s="163">
        <v>2</v>
      </c>
      <c r="AE138" s="165">
        <v>0.56751812934901225</v>
      </c>
      <c r="AF138" s="166">
        <v>0.61117337006816708</v>
      </c>
    </row>
    <row r="139" spans="1:32">
      <c r="A139" s="602">
        <v>3</v>
      </c>
      <c r="B139" s="162">
        <v>0.85416666666666663</v>
      </c>
      <c r="C139" s="163">
        <v>14.35543478865565</v>
      </c>
      <c r="D139" s="163">
        <v>761.02228133720348</v>
      </c>
      <c r="E139" s="164">
        <v>0.33159999999999995</v>
      </c>
      <c r="F139" s="164">
        <v>0.33159999999999995</v>
      </c>
      <c r="G139" s="163">
        <v>12</v>
      </c>
      <c r="H139" s="163">
        <v>15.333333333333332</v>
      </c>
      <c r="I139" s="163">
        <v>3.3333333333333321</v>
      </c>
      <c r="J139" s="163">
        <v>9</v>
      </c>
      <c r="K139" s="163">
        <v>9.7820242914979758</v>
      </c>
      <c r="L139" s="163">
        <v>0.78202429149797581</v>
      </c>
      <c r="M139" s="163">
        <v>11</v>
      </c>
      <c r="N139" s="163">
        <v>14.008996851102113</v>
      </c>
      <c r="O139" s="163">
        <v>3.008996851102113</v>
      </c>
      <c r="P139" s="163"/>
      <c r="Q139" s="163">
        <v>10</v>
      </c>
      <c r="R139" s="163">
        <v>0</v>
      </c>
      <c r="S139" s="163">
        <v>0</v>
      </c>
      <c r="T139" s="163">
        <v>0</v>
      </c>
      <c r="U139" s="163">
        <v>0</v>
      </c>
      <c r="V139" s="163">
        <v>0</v>
      </c>
      <c r="W139" s="163">
        <v>0</v>
      </c>
      <c r="X139" s="163">
        <v>0</v>
      </c>
      <c r="Y139" s="163">
        <v>10</v>
      </c>
      <c r="Z139" s="163">
        <v>10</v>
      </c>
      <c r="AA139" s="163">
        <v>0</v>
      </c>
      <c r="AB139" s="163">
        <v>0</v>
      </c>
      <c r="AC139" s="163">
        <v>8</v>
      </c>
      <c r="AD139" s="163">
        <v>2</v>
      </c>
      <c r="AE139" s="165">
        <v>0.74454975827075309</v>
      </c>
      <c r="AF139" s="166">
        <v>0.62045813189229415</v>
      </c>
    </row>
    <row r="140" spans="1:32">
      <c r="A140" s="602">
        <v>3</v>
      </c>
      <c r="B140" s="162">
        <v>0.875</v>
      </c>
      <c r="C140" s="163">
        <v>12.677673918569031</v>
      </c>
      <c r="D140" s="163">
        <v>756.92595135583656</v>
      </c>
      <c r="E140" s="164">
        <v>0.41629999999999995</v>
      </c>
      <c r="F140" s="164">
        <v>0.41629999999999995</v>
      </c>
      <c r="G140" s="163">
        <v>12</v>
      </c>
      <c r="H140" s="163">
        <v>13.333333333333332</v>
      </c>
      <c r="I140" s="163">
        <v>1.3333333333333321</v>
      </c>
      <c r="J140" s="163">
        <v>9</v>
      </c>
      <c r="K140" s="163">
        <v>9.7820242914979758</v>
      </c>
      <c r="L140" s="163">
        <v>0.78202429149797581</v>
      </c>
      <c r="M140" s="163">
        <v>11</v>
      </c>
      <c r="N140" s="163">
        <v>12.181736392262707</v>
      </c>
      <c r="O140" s="163">
        <v>1.1817363922627067</v>
      </c>
      <c r="P140" s="163"/>
      <c r="Q140" s="163">
        <v>8</v>
      </c>
      <c r="R140" s="163">
        <v>0</v>
      </c>
      <c r="S140" s="163">
        <v>0</v>
      </c>
      <c r="T140" s="163">
        <v>0</v>
      </c>
      <c r="U140" s="163">
        <v>0</v>
      </c>
      <c r="V140" s="163">
        <v>0</v>
      </c>
      <c r="W140" s="163">
        <v>0</v>
      </c>
      <c r="X140" s="163">
        <v>0</v>
      </c>
      <c r="Y140" s="163">
        <v>8</v>
      </c>
      <c r="Z140" s="163">
        <v>8</v>
      </c>
      <c r="AA140" s="163">
        <v>0</v>
      </c>
      <c r="AB140" s="163">
        <v>0</v>
      </c>
      <c r="AC140" s="163">
        <v>6</v>
      </c>
      <c r="AD140" s="163">
        <v>2</v>
      </c>
      <c r="AE140" s="165">
        <v>0.8174910176935748</v>
      </c>
      <c r="AF140" s="166">
        <v>0.54499401179571649</v>
      </c>
    </row>
    <row r="141" spans="1:32">
      <c r="A141" s="602">
        <v>3</v>
      </c>
      <c r="B141" s="162">
        <v>0.89583333333333337</v>
      </c>
      <c r="C141" s="163">
        <v>10.501550935479411</v>
      </c>
      <c r="D141" s="163">
        <v>723.34936575810184</v>
      </c>
      <c r="E141" s="164">
        <v>0.71519999999999995</v>
      </c>
      <c r="F141" s="164">
        <v>0.71519999999999995</v>
      </c>
      <c r="G141" s="163">
        <v>9</v>
      </c>
      <c r="H141" s="163">
        <v>13.333333333333332</v>
      </c>
      <c r="I141" s="163">
        <v>4.3333333333333321</v>
      </c>
      <c r="J141" s="163">
        <v>7</v>
      </c>
      <c r="K141" s="163">
        <v>7.3365182186234819</v>
      </c>
      <c r="L141" s="163">
        <v>0.33651821862348186</v>
      </c>
      <c r="M141" s="163">
        <v>8</v>
      </c>
      <c r="N141" s="163">
        <v>12.181736392262707</v>
      </c>
      <c r="O141" s="163">
        <v>4.1817363922627067</v>
      </c>
      <c r="P141" s="163"/>
      <c r="Q141" s="163">
        <v>8</v>
      </c>
      <c r="R141" s="163">
        <v>0</v>
      </c>
      <c r="S141" s="163">
        <v>0</v>
      </c>
      <c r="T141" s="163">
        <v>0</v>
      </c>
      <c r="U141" s="163">
        <v>0</v>
      </c>
      <c r="V141" s="163">
        <v>0</v>
      </c>
      <c r="W141" s="163">
        <v>0</v>
      </c>
      <c r="X141" s="163">
        <v>0</v>
      </c>
      <c r="Y141" s="163">
        <v>8</v>
      </c>
      <c r="Z141" s="163">
        <v>8</v>
      </c>
      <c r="AA141" s="163">
        <v>0</v>
      </c>
      <c r="AB141" s="163">
        <v>0</v>
      </c>
      <c r="AC141" s="163">
        <v>6</v>
      </c>
      <c r="AD141" s="163">
        <v>2</v>
      </c>
      <c r="AE141" s="165">
        <v>0.64713004710570066</v>
      </c>
      <c r="AF141" s="166">
        <v>0.57522670853840052</v>
      </c>
    </row>
    <row r="142" spans="1:32">
      <c r="A142" s="602">
        <v>3</v>
      </c>
      <c r="B142" s="162">
        <v>0.91666666666666663</v>
      </c>
      <c r="C142" s="163">
        <v>5.1308752679018532</v>
      </c>
      <c r="D142" s="163">
        <v>682.88842697994062</v>
      </c>
      <c r="E142" s="164">
        <v>0.90943333333333332</v>
      </c>
      <c r="F142" s="164">
        <v>0.90943333333333332</v>
      </c>
      <c r="G142" s="163">
        <v>5</v>
      </c>
      <c r="H142" s="163">
        <v>12</v>
      </c>
      <c r="I142" s="163">
        <v>7</v>
      </c>
      <c r="J142" s="163">
        <v>4</v>
      </c>
      <c r="K142" s="163">
        <v>4.0758434547908236</v>
      </c>
      <c r="L142" s="163">
        <v>7.584345479082355E-2</v>
      </c>
      <c r="M142" s="163">
        <v>5</v>
      </c>
      <c r="N142" s="163">
        <v>10.963562753036436</v>
      </c>
      <c r="O142" s="163">
        <v>5.9635627530364363</v>
      </c>
      <c r="P142" s="163"/>
      <c r="Q142" s="163">
        <v>8</v>
      </c>
      <c r="R142" s="163">
        <v>0</v>
      </c>
      <c r="S142" s="163">
        <v>0</v>
      </c>
      <c r="T142" s="163">
        <v>0</v>
      </c>
      <c r="U142" s="163">
        <v>0</v>
      </c>
      <c r="V142" s="163">
        <v>0</v>
      </c>
      <c r="W142" s="163">
        <v>0</v>
      </c>
      <c r="X142" s="163">
        <v>0</v>
      </c>
      <c r="Y142" s="163">
        <v>8</v>
      </c>
      <c r="Z142" s="163">
        <v>8</v>
      </c>
      <c r="AA142" s="163">
        <v>0</v>
      </c>
      <c r="AB142" s="163">
        <v>0</v>
      </c>
      <c r="AC142" s="163">
        <v>6</v>
      </c>
      <c r="AD142" s="163">
        <v>2</v>
      </c>
      <c r="AE142" s="165">
        <v>0.29849099023511172</v>
      </c>
      <c r="AF142" s="166">
        <v>0.47758558437617882</v>
      </c>
    </row>
    <row r="143" spans="1:32">
      <c r="A143" s="602">
        <v>3</v>
      </c>
      <c r="B143" s="162">
        <v>0.9375</v>
      </c>
      <c r="C143" s="163">
        <v>4.0977330719924705</v>
      </c>
      <c r="D143" s="163">
        <v>679.93581227309983</v>
      </c>
      <c r="E143" s="164">
        <v>0.87936666666666674</v>
      </c>
      <c r="F143" s="164">
        <v>0.87936666666666674</v>
      </c>
      <c r="G143" s="163">
        <v>5</v>
      </c>
      <c r="H143" s="163">
        <v>9.3333333333333339</v>
      </c>
      <c r="I143" s="163">
        <v>4.3333333333333339</v>
      </c>
      <c r="J143" s="163">
        <v>4</v>
      </c>
      <c r="K143" s="163">
        <v>4.0758434547908236</v>
      </c>
      <c r="L143" s="163">
        <v>7.584345479082355E-2</v>
      </c>
      <c r="M143" s="163">
        <v>5</v>
      </c>
      <c r="N143" s="163">
        <v>8.5272154745838957</v>
      </c>
      <c r="O143" s="163">
        <v>3.5272154745838957</v>
      </c>
      <c r="P143" s="163"/>
      <c r="Q143" s="163">
        <v>6</v>
      </c>
      <c r="R143" s="163">
        <v>0</v>
      </c>
      <c r="S143" s="163">
        <v>0</v>
      </c>
      <c r="T143" s="163">
        <v>0</v>
      </c>
      <c r="U143" s="163">
        <v>0</v>
      </c>
      <c r="V143" s="163">
        <v>0</v>
      </c>
      <c r="W143" s="163">
        <v>0</v>
      </c>
      <c r="X143" s="163">
        <v>0</v>
      </c>
      <c r="Y143" s="163">
        <v>6</v>
      </c>
      <c r="Z143" s="163">
        <v>6</v>
      </c>
      <c r="AA143" s="163">
        <v>0</v>
      </c>
      <c r="AB143" s="163">
        <v>0</v>
      </c>
      <c r="AC143" s="163">
        <v>4</v>
      </c>
      <c r="AD143" s="163">
        <v>2</v>
      </c>
      <c r="AE143" s="165">
        <v>0.31647567480884981</v>
      </c>
      <c r="AF143" s="166">
        <v>0.37977080977061983</v>
      </c>
    </row>
    <row r="144" spans="1:32">
      <c r="A144" s="602">
        <v>3</v>
      </c>
      <c r="B144" s="162">
        <v>0.95833333333333337</v>
      </c>
      <c r="C144" s="163">
        <v>3.0097647858444514</v>
      </c>
      <c r="D144" s="163">
        <v>646.18600265899261</v>
      </c>
      <c r="E144" s="164">
        <v>0.90129999999999999</v>
      </c>
      <c r="F144" s="164">
        <v>0.90129999999999999</v>
      </c>
      <c r="G144" s="163">
        <v>4</v>
      </c>
      <c r="H144" s="163">
        <v>6.6666666666666661</v>
      </c>
      <c r="I144" s="163">
        <v>2.6666666666666661</v>
      </c>
      <c r="J144" s="163">
        <v>3</v>
      </c>
      <c r="K144" s="163">
        <v>3.2606747638326588</v>
      </c>
      <c r="L144" s="163">
        <v>0.26067476383265875</v>
      </c>
      <c r="M144" s="163">
        <v>4</v>
      </c>
      <c r="N144" s="163">
        <v>6.0908681961313533</v>
      </c>
      <c r="O144" s="163">
        <v>2.0908681961313533</v>
      </c>
      <c r="P144" s="163"/>
      <c r="Q144" s="163">
        <v>4</v>
      </c>
      <c r="R144" s="163">
        <v>0</v>
      </c>
      <c r="S144" s="163">
        <v>0</v>
      </c>
      <c r="T144" s="163">
        <v>0</v>
      </c>
      <c r="U144" s="163">
        <v>0</v>
      </c>
      <c r="V144" s="163">
        <v>0</v>
      </c>
      <c r="W144" s="163">
        <v>0</v>
      </c>
      <c r="X144" s="163">
        <v>0</v>
      </c>
      <c r="Y144" s="163">
        <v>4</v>
      </c>
      <c r="Z144" s="163">
        <v>4</v>
      </c>
      <c r="AA144" s="163">
        <v>0</v>
      </c>
      <c r="AB144" s="163">
        <v>0</v>
      </c>
      <c r="AC144" s="163">
        <v>4</v>
      </c>
      <c r="AD144" s="163">
        <v>0</v>
      </c>
      <c r="AE144" s="165">
        <v>0.33136765594264617</v>
      </c>
      <c r="AF144" s="166">
        <v>0.33136765594264617</v>
      </c>
    </row>
    <row r="145" spans="1:32">
      <c r="A145" s="602">
        <v>3</v>
      </c>
      <c r="B145" s="162">
        <v>0.97916666666666663</v>
      </c>
      <c r="C145" s="163">
        <v>2.2417554391587067</v>
      </c>
      <c r="D145" s="163">
        <v>646.06948251162055</v>
      </c>
      <c r="E145" s="164">
        <v>0.95240000000000002</v>
      </c>
      <c r="F145" s="164">
        <v>0.95240000000000002</v>
      </c>
      <c r="G145" s="163">
        <v>4</v>
      </c>
      <c r="H145" s="163">
        <v>6.6666666666666661</v>
      </c>
      <c r="I145" s="163">
        <v>2.6666666666666661</v>
      </c>
      <c r="J145" s="163">
        <v>3</v>
      </c>
      <c r="K145" s="163">
        <v>3.2606747638326588</v>
      </c>
      <c r="L145" s="163">
        <v>0.26067476383265875</v>
      </c>
      <c r="M145" s="163">
        <v>4</v>
      </c>
      <c r="N145" s="163">
        <v>6.0908681961313533</v>
      </c>
      <c r="O145" s="163">
        <v>2.0908681961313533</v>
      </c>
      <c r="P145" s="163"/>
      <c r="Q145" s="163">
        <v>4</v>
      </c>
      <c r="R145" s="163">
        <v>0</v>
      </c>
      <c r="S145" s="163">
        <v>0</v>
      </c>
      <c r="T145" s="163">
        <v>0</v>
      </c>
      <c r="U145" s="163">
        <v>0</v>
      </c>
      <c r="V145" s="163">
        <v>0</v>
      </c>
      <c r="W145" s="163">
        <v>0</v>
      </c>
      <c r="X145" s="163">
        <v>0</v>
      </c>
      <c r="Y145" s="163">
        <v>4</v>
      </c>
      <c r="Z145" s="163">
        <v>4</v>
      </c>
      <c r="AA145" s="163">
        <v>0</v>
      </c>
      <c r="AB145" s="163">
        <v>0</v>
      </c>
      <c r="AC145" s="163">
        <v>4</v>
      </c>
      <c r="AD145" s="163">
        <v>0</v>
      </c>
      <c r="AE145" s="165">
        <v>0.24676722208948251</v>
      </c>
      <c r="AF145" s="166">
        <v>0.24676722208948251</v>
      </c>
    </row>
    <row r="146" spans="1:32">
      <c r="A146" s="602">
        <v>4</v>
      </c>
      <c r="B146" s="162">
        <v>0</v>
      </c>
      <c r="C146" s="163">
        <v>1.3520209004373092</v>
      </c>
      <c r="D146" s="163">
        <v>645.79214523825567</v>
      </c>
      <c r="E146" s="164">
        <v>0.98729999999999996</v>
      </c>
      <c r="F146" s="164">
        <v>0.98729999999999996</v>
      </c>
      <c r="G146" s="163">
        <v>3</v>
      </c>
      <c r="H146" s="163">
        <v>6.6666666666666661</v>
      </c>
      <c r="I146" s="163">
        <v>3.6666666666666661</v>
      </c>
      <c r="J146" s="163">
        <v>2</v>
      </c>
      <c r="K146" s="163">
        <v>2.445506072874494</v>
      </c>
      <c r="L146" s="163">
        <v>0.44550607287449395</v>
      </c>
      <c r="M146" s="163">
        <v>3</v>
      </c>
      <c r="N146" s="163">
        <v>6.0908681961313533</v>
      </c>
      <c r="O146" s="163">
        <v>3.0908681961313533</v>
      </c>
      <c r="P146" s="163"/>
      <c r="Q146" s="163">
        <v>4</v>
      </c>
      <c r="R146" s="163">
        <v>0</v>
      </c>
      <c r="S146" s="163">
        <v>0</v>
      </c>
      <c r="T146" s="163">
        <v>0</v>
      </c>
      <c r="U146" s="163">
        <v>0</v>
      </c>
      <c r="V146" s="163">
        <v>0</v>
      </c>
      <c r="W146" s="163">
        <v>0</v>
      </c>
      <c r="X146" s="163">
        <v>0</v>
      </c>
      <c r="Y146" s="163">
        <v>4</v>
      </c>
      <c r="Z146" s="163">
        <v>4</v>
      </c>
      <c r="AA146" s="163">
        <v>0</v>
      </c>
      <c r="AB146" s="163">
        <v>0</v>
      </c>
      <c r="AC146" s="163">
        <v>4</v>
      </c>
      <c r="AD146" s="163">
        <v>0</v>
      </c>
      <c r="AE146" s="165">
        <v>0.14876342763723627</v>
      </c>
      <c r="AF146" s="166">
        <v>0.19835123684964837</v>
      </c>
    </row>
    <row r="147" spans="1:32">
      <c r="A147" s="602">
        <v>4</v>
      </c>
      <c r="B147" s="162">
        <v>2.0833333333333332E-2</v>
      </c>
      <c r="C147" s="163">
        <v>0.945788526583484</v>
      </c>
      <c r="D147" s="163">
        <v>645.65543476333971</v>
      </c>
      <c r="E147" s="164">
        <v>0.99519999999999997</v>
      </c>
      <c r="F147" s="164">
        <v>0.99519999999999997</v>
      </c>
      <c r="G147" s="163">
        <v>3</v>
      </c>
      <c r="H147" s="163">
        <v>6.6666666666666661</v>
      </c>
      <c r="I147" s="163">
        <v>3.6666666666666661</v>
      </c>
      <c r="J147" s="163">
        <v>2</v>
      </c>
      <c r="K147" s="163">
        <v>2.445506072874494</v>
      </c>
      <c r="L147" s="163">
        <v>0.44550607287449395</v>
      </c>
      <c r="M147" s="163">
        <v>3</v>
      </c>
      <c r="N147" s="163">
        <v>6.0908681961313533</v>
      </c>
      <c r="O147" s="163">
        <v>3.0908681961313533</v>
      </c>
      <c r="P147" s="163"/>
      <c r="Q147" s="163">
        <v>4</v>
      </c>
      <c r="R147" s="163">
        <v>0</v>
      </c>
      <c r="S147" s="163">
        <v>0</v>
      </c>
      <c r="T147" s="163">
        <v>0</v>
      </c>
      <c r="U147" s="163">
        <v>0</v>
      </c>
      <c r="V147" s="163">
        <v>0</v>
      </c>
      <c r="W147" s="163">
        <v>0</v>
      </c>
      <c r="X147" s="163">
        <v>0</v>
      </c>
      <c r="Y147" s="163">
        <v>4</v>
      </c>
      <c r="Z147" s="163">
        <v>4</v>
      </c>
      <c r="AA147" s="163">
        <v>0</v>
      </c>
      <c r="AB147" s="163">
        <v>0</v>
      </c>
      <c r="AC147" s="163">
        <v>4</v>
      </c>
      <c r="AD147" s="163">
        <v>0</v>
      </c>
      <c r="AE147" s="165">
        <v>0.10404347882203106</v>
      </c>
      <c r="AF147" s="166">
        <v>0.13872463842937474</v>
      </c>
    </row>
    <row r="148" spans="1:32">
      <c r="A148" s="602">
        <v>4</v>
      </c>
      <c r="B148" s="162">
        <v>4.1666666666666664E-2</v>
      </c>
      <c r="C148" s="163">
        <v>0.71980839700234489</v>
      </c>
      <c r="D148" s="163">
        <v>611.88260206586858</v>
      </c>
      <c r="E148" s="164">
        <v>0.99809999999999999</v>
      </c>
      <c r="F148" s="164">
        <v>0.99809999999999999</v>
      </c>
      <c r="G148" s="163">
        <v>3</v>
      </c>
      <c r="H148" s="163">
        <v>6.6666666666666661</v>
      </c>
      <c r="I148" s="163">
        <v>3.6666666666666661</v>
      </c>
      <c r="J148" s="163">
        <v>2</v>
      </c>
      <c r="K148" s="163">
        <v>2.445506072874494</v>
      </c>
      <c r="L148" s="163">
        <v>0.44550607287449395</v>
      </c>
      <c r="M148" s="163">
        <v>3</v>
      </c>
      <c r="N148" s="163">
        <v>6.0908681961313533</v>
      </c>
      <c r="O148" s="163">
        <v>3.0908681961313533</v>
      </c>
      <c r="P148" s="163"/>
      <c r="Q148" s="163">
        <v>4</v>
      </c>
      <c r="R148" s="163">
        <v>0</v>
      </c>
      <c r="S148" s="163">
        <v>0</v>
      </c>
      <c r="T148" s="163">
        <v>0</v>
      </c>
      <c r="U148" s="163">
        <v>0</v>
      </c>
      <c r="V148" s="163">
        <v>0</v>
      </c>
      <c r="W148" s="163">
        <v>0</v>
      </c>
      <c r="X148" s="163">
        <v>0</v>
      </c>
      <c r="Y148" s="163">
        <v>4</v>
      </c>
      <c r="Z148" s="163">
        <v>4</v>
      </c>
      <c r="AA148" s="163">
        <v>0</v>
      </c>
      <c r="AB148" s="163">
        <v>0</v>
      </c>
      <c r="AC148" s="163">
        <v>4</v>
      </c>
      <c r="AD148" s="163">
        <v>0</v>
      </c>
      <c r="AE148" s="165">
        <v>7.5042108160486176E-2</v>
      </c>
      <c r="AF148" s="166">
        <v>0.10005614421398155</v>
      </c>
    </row>
    <row r="149" spans="1:32">
      <c r="A149" s="602">
        <v>4</v>
      </c>
      <c r="B149" s="162">
        <v>6.25E-2</v>
      </c>
      <c r="C149" s="163">
        <v>0.5702870513702647</v>
      </c>
      <c r="D149" s="163">
        <v>595.79957827790486</v>
      </c>
      <c r="E149" s="164">
        <v>0.99909999999999999</v>
      </c>
      <c r="F149" s="164">
        <v>0.99909999999999999</v>
      </c>
      <c r="G149" s="163">
        <v>2</v>
      </c>
      <c r="H149" s="163">
        <v>6.6666666666666661</v>
      </c>
      <c r="I149" s="163">
        <v>4.6666666666666661</v>
      </c>
      <c r="J149" s="163">
        <v>1</v>
      </c>
      <c r="K149" s="163">
        <v>1.6303373819163294</v>
      </c>
      <c r="L149" s="163">
        <v>0.63033738191632938</v>
      </c>
      <c r="M149" s="163">
        <v>2</v>
      </c>
      <c r="N149" s="163">
        <v>6.0908681961313533</v>
      </c>
      <c r="O149" s="163">
        <v>4.0908681961313533</v>
      </c>
      <c r="P149" s="163"/>
      <c r="Q149" s="163">
        <v>4</v>
      </c>
      <c r="R149" s="163">
        <v>0</v>
      </c>
      <c r="S149" s="163">
        <v>0</v>
      </c>
      <c r="T149" s="163">
        <v>0</v>
      </c>
      <c r="U149" s="163">
        <v>0</v>
      </c>
      <c r="V149" s="163">
        <v>0</v>
      </c>
      <c r="W149" s="163">
        <v>0</v>
      </c>
      <c r="X149" s="163">
        <v>0</v>
      </c>
      <c r="Y149" s="163">
        <v>4</v>
      </c>
      <c r="Z149" s="163">
        <v>4</v>
      </c>
      <c r="AA149" s="163">
        <v>0</v>
      </c>
      <c r="AB149" s="163">
        <v>0</v>
      </c>
      <c r="AC149" s="163">
        <v>4</v>
      </c>
      <c r="AD149" s="163">
        <v>0</v>
      </c>
      <c r="AE149" s="165">
        <v>5.7891355030176755E-2</v>
      </c>
      <c r="AF149" s="166">
        <v>0.11578271006035351</v>
      </c>
    </row>
    <row r="150" spans="1:32">
      <c r="A150" s="602">
        <v>4</v>
      </c>
      <c r="B150" s="162">
        <v>8.3333333333333329E-2</v>
      </c>
      <c r="C150" s="163">
        <v>0.45879332344723694</v>
      </c>
      <c r="D150" s="163">
        <v>613.42417159248635</v>
      </c>
      <c r="E150" s="164">
        <v>0.99949999999999994</v>
      </c>
      <c r="F150" s="164">
        <v>0.99949999999999994</v>
      </c>
      <c r="G150" s="163">
        <v>2</v>
      </c>
      <c r="H150" s="163">
        <v>6.6666666666666661</v>
      </c>
      <c r="I150" s="163">
        <v>4.6666666666666661</v>
      </c>
      <c r="J150" s="163">
        <v>1</v>
      </c>
      <c r="K150" s="163">
        <v>1.6303373819163294</v>
      </c>
      <c r="L150" s="163">
        <v>0.63033738191632938</v>
      </c>
      <c r="M150" s="163">
        <v>2</v>
      </c>
      <c r="N150" s="163">
        <v>6.0908681961313533</v>
      </c>
      <c r="O150" s="163">
        <v>4.0908681961313533</v>
      </c>
      <c r="P150" s="163"/>
      <c r="Q150" s="163">
        <v>4</v>
      </c>
      <c r="R150" s="163">
        <v>0</v>
      </c>
      <c r="S150" s="163">
        <v>0</v>
      </c>
      <c r="T150" s="163">
        <v>0</v>
      </c>
      <c r="U150" s="163">
        <v>0</v>
      </c>
      <c r="V150" s="163">
        <v>0</v>
      </c>
      <c r="W150" s="163">
        <v>0</v>
      </c>
      <c r="X150" s="163">
        <v>0</v>
      </c>
      <c r="Y150" s="163">
        <v>4</v>
      </c>
      <c r="Z150" s="163">
        <v>4</v>
      </c>
      <c r="AA150" s="163">
        <v>0</v>
      </c>
      <c r="AB150" s="163">
        <v>0</v>
      </c>
      <c r="AC150" s="163">
        <v>4</v>
      </c>
      <c r="AD150" s="163">
        <v>0</v>
      </c>
      <c r="AE150" s="165">
        <v>4.795103514726045E-2</v>
      </c>
      <c r="AF150" s="166">
        <v>9.59020702945209E-2</v>
      </c>
    </row>
    <row r="151" spans="1:32">
      <c r="A151" s="602">
        <v>4</v>
      </c>
      <c r="B151" s="162">
        <v>0.10416666666666667</v>
      </c>
      <c r="C151" s="163">
        <v>0.36479659650743246</v>
      </c>
      <c r="D151" s="163">
        <v>583.72260824544685</v>
      </c>
      <c r="E151" s="164">
        <v>0.99970000000000014</v>
      </c>
      <c r="F151" s="164">
        <v>0.99970000000000014</v>
      </c>
      <c r="G151" s="163">
        <v>2</v>
      </c>
      <c r="H151" s="163">
        <v>6.6666666666666661</v>
      </c>
      <c r="I151" s="163">
        <v>4.6666666666666661</v>
      </c>
      <c r="J151" s="163">
        <v>1</v>
      </c>
      <c r="K151" s="163">
        <v>1.6303373819163294</v>
      </c>
      <c r="L151" s="163">
        <v>0.63033738191632938</v>
      </c>
      <c r="M151" s="163">
        <v>2</v>
      </c>
      <c r="N151" s="163">
        <v>6.0908681961313533</v>
      </c>
      <c r="O151" s="163">
        <v>4.0908681961313533</v>
      </c>
      <c r="P151" s="163"/>
      <c r="Q151" s="163">
        <v>4</v>
      </c>
      <c r="R151" s="163">
        <v>0</v>
      </c>
      <c r="S151" s="163">
        <v>0</v>
      </c>
      <c r="T151" s="163">
        <v>0</v>
      </c>
      <c r="U151" s="163">
        <v>0</v>
      </c>
      <c r="V151" s="163">
        <v>0</v>
      </c>
      <c r="W151" s="163">
        <v>0</v>
      </c>
      <c r="X151" s="163">
        <v>0</v>
      </c>
      <c r="Y151" s="163">
        <v>4</v>
      </c>
      <c r="Z151" s="163">
        <v>4</v>
      </c>
      <c r="AA151" s="163">
        <v>0</v>
      </c>
      <c r="AB151" s="163">
        <v>0</v>
      </c>
      <c r="AC151" s="163">
        <v>4</v>
      </c>
      <c r="AD151" s="163">
        <v>0</v>
      </c>
      <c r="AE151" s="165">
        <v>3.6280837593342288E-2</v>
      </c>
      <c r="AF151" s="166">
        <v>7.2561675186684577E-2</v>
      </c>
    </row>
    <row r="152" spans="1:32">
      <c r="A152" s="602">
        <v>4</v>
      </c>
      <c r="B152" s="162">
        <v>0.125</v>
      </c>
      <c r="C152" s="163">
        <v>0.3289920451695425</v>
      </c>
      <c r="D152" s="163">
        <v>583.62022155654586</v>
      </c>
      <c r="E152" s="164">
        <v>0.99980000000000002</v>
      </c>
      <c r="F152" s="164">
        <v>0.99980000000000002</v>
      </c>
      <c r="G152" s="163">
        <v>2</v>
      </c>
      <c r="H152" s="163">
        <v>6.6666666666666661</v>
      </c>
      <c r="I152" s="163">
        <v>4.6666666666666661</v>
      </c>
      <c r="J152" s="163">
        <v>1</v>
      </c>
      <c r="K152" s="163">
        <v>1.6303373819163294</v>
      </c>
      <c r="L152" s="163">
        <v>0.63033738191632938</v>
      </c>
      <c r="M152" s="163">
        <v>2</v>
      </c>
      <c r="N152" s="163">
        <v>6.0908681961313533</v>
      </c>
      <c r="O152" s="163">
        <v>4.0908681961313533</v>
      </c>
      <c r="P152" s="163"/>
      <c r="Q152" s="163">
        <v>4</v>
      </c>
      <c r="R152" s="163">
        <v>0</v>
      </c>
      <c r="S152" s="163">
        <v>0</v>
      </c>
      <c r="T152" s="163">
        <v>0</v>
      </c>
      <c r="U152" s="163">
        <v>0</v>
      </c>
      <c r="V152" s="163">
        <v>0</v>
      </c>
      <c r="W152" s="163">
        <v>0</v>
      </c>
      <c r="X152" s="163">
        <v>0</v>
      </c>
      <c r="Y152" s="163">
        <v>4</v>
      </c>
      <c r="Z152" s="163">
        <v>4</v>
      </c>
      <c r="AA152" s="163">
        <v>0</v>
      </c>
      <c r="AB152" s="163">
        <v>0</v>
      </c>
      <c r="AC152" s="163">
        <v>4</v>
      </c>
      <c r="AD152" s="163">
        <v>0</v>
      </c>
      <c r="AE152" s="165">
        <v>3.2714157549010837E-2</v>
      </c>
      <c r="AF152" s="166">
        <v>6.5428315098021675E-2</v>
      </c>
    </row>
    <row r="153" spans="1:32">
      <c r="A153" s="602">
        <v>4</v>
      </c>
      <c r="B153" s="162">
        <v>0.14583333333333334</v>
      </c>
      <c r="C153" s="163">
        <v>0.33143908296471108</v>
      </c>
      <c r="D153" s="163">
        <v>618.00117514846704</v>
      </c>
      <c r="E153" s="164">
        <v>0.99980000000000002</v>
      </c>
      <c r="F153" s="164">
        <v>0.99980000000000002</v>
      </c>
      <c r="G153" s="163">
        <v>2</v>
      </c>
      <c r="H153" s="163">
        <v>6.6666666666666661</v>
      </c>
      <c r="I153" s="163">
        <v>4.6666666666666661</v>
      </c>
      <c r="J153" s="163">
        <v>1</v>
      </c>
      <c r="K153" s="163">
        <v>1.6303373819163294</v>
      </c>
      <c r="L153" s="163">
        <v>0.63033738191632938</v>
      </c>
      <c r="M153" s="163">
        <v>2</v>
      </c>
      <c r="N153" s="163">
        <v>6.0908681961313533</v>
      </c>
      <c r="O153" s="163">
        <v>4.0908681961313533</v>
      </c>
      <c r="P153" s="163"/>
      <c r="Q153" s="163">
        <v>4</v>
      </c>
      <c r="R153" s="163">
        <v>0</v>
      </c>
      <c r="S153" s="163">
        <v>0</v>
      </c>
      <c r="T153" s="163">
        <v>0</v>
      </c>
      <c r="U153" s="163">
        <v>0</v>
      </c>
      <c r="V153" s="163">
        <v>0</v>
      </c>
      <c r="W153" s="163">
        <v>0</v>
      </c>
      <c r="X153" s="163">
        <v>0</v>
      </c>
      <c r="Y153" s="163">
        <v>4</v>
      </c>
      <c r="Z153" s="163">
        <v>4</v>
      </c>
      <c r="AA153" s="163">
        <v>0</v>
      </c>
      <c r="AB153" s="163">
        <v>0</v>
      </c>
      <c r="AC153" s="163">
        <v>4</v>
      </c>
      <c r="AD153" s="163">
        <v>0</v>
      </c>
      <c r="AE153" s="165">
        <v>3.4899003972069631E-2</v>
      </c>
      <c r="AF153" s="166">
        <v>6.9798007944139262E-2</v>
      </c>
    </row>
    <row r="154" spans="1:32">
      <c r="A154" s="602">
        <v>4</v>
      </c>
      <c r="B154" s="162">
        <v>0.16666666666666666</v>
      </c>
      <c r="C154" s="163">
        <v>0.37310396162872239</v>
      </c>
      <c r="D154" s="163">
        <v>617.9599064977491</v>
      </c>
      <c r="E154" s="164">
        <v>0.99970000000000014</v>
      </c>
      <c r="F154" s="164">
        <v>0.99970000000000014</v>
      </c>
      <c r="G154" s="163">
        <v>2</v>
      </c>
      <c r="H154" s="163">
        <v>6.6666666666666661</v>
      </c>
      <c r="I154" s="163">
        <v>4.6666666666666661</v>
      </c>
      <c r="J154" s="163">
        <v>1</v>
      </c>
      <c r="K154" s="163">
        <v>1.6303373819163294</v>
      </c>
      <c r="L154" s="163">
        <v>0.63033738191632938</v>
      </c>
      <c r="M154" s="163">
        <v>2</v>
      </c>
      <c r="N154" s="163">
        <v>6.0908681961313533</v>
      </c>
      <c r="O154" s="163">
        <v>4.0908681961313533</v>
      </c>
      <c r="P154" s="163"/>
      <c r="Q154" s="163">
        <v>4</v>
      </c>
      <c r="R154" s="163">
        <v>0</v>
      </c>
      <c r="S154" s="163">
        <v>0</v>
      </c>
      <c r="T154" s="163">
        <v>0</v>
      </c>
      <c r="U154" s="163">
        <v>0</v>
      </c>
      <c r="V154" s="163">
        <v>0</v>
      </c>
      <c r="W154" s="163">
        <v>0</v>
      </c>
      <c r="X154" s="163">
        <v>0</v>
      </c>
      <c r="Y154" s="163">
        <v>4</v>
      </c>
      <c r="Z154" s="163">
        <v>4</v>
      </c>
      <c r="AA154" s="163">
        <v>0</v>
      </c>
      <c r="AB154" s="163">
        <v>0</v>
      </c>
      <c r="AC154" s="163">
        <v>4</v>
      </c>
      <c r="AD154" s="163">
        <v>0</v>
      </c>
      <c r="AE154" s="165">
        <v>3.9283499742553053E-2</v>
      </c>
      <c r="AF154" s="166">
        <v>7.8566999485106107E-2</v>
      </c>
    </row>
    <row r="155" spans="1:32">
      <c r="A155" s="602">
        <v>4</v>
      </c>
      <c r="B155" s="162">
        <v>0.1875</v>
      </c>
      <c r="C155" s="163">
        <v>0.55044583557738891</v>
      </c>
      <c r="D155" s="163">
        <v>656.53972032862634</v>
      </c>
      <c r="E155" s="164">
        <v>0.99890000000000001</v>
      </c>
      <c r="F155" s="164">
        <v>0.99890000000000001</v>
      </c>
      <c r="G155" s="163">
        <v>2</v>
      </c>
      <c r="H155" s="163">
        <v>6.6666666666666661</v>
      </c>
      <c r="I155" s="163">
        <v>4.6666666666666661</v>
      </c>
      <c r="J155" s="163">
        <v>1</v>
      </c>
      <c r="K155" s="163">
        <v>1.6303373819163294</v>
      </c>
      <c r="L155" s="163">
        <v>0.63033738191632938</v>
      </c>
      <c r="M155" s="163">
        <v>2</v>
      </c>
      <c r="N155" s="163">
        <v>6.0908681961313533</v>
      </c>
      <c r="O155" s="163">
        <v>4.0908681961313533</v>
      </c>
      <c r="P155" s="163"/>
      <c r="Q155" s="163">
        <v>4</v>
      </c>
      <c r="R155" s="163">
        <v>0</v>
      </c>
      <c r="S155" s="163">
        <v>0</v>
      </c>
      <c r="T155" s="163">
        <v>0</v>
      </c>
      <c r="U155" s="163">
        <v>0</v>
      </c>
      <c r="V155" s="163">
        <v>0</v>
      </c>
      <c r="W155" s="163">
        <v>0</v>
      </c>
      <c r="X155" s="163">
        <v>0</v>
      </c>
      <c r="Y155" s="163">
        <v>4</v>
      </c>
      <c r="Z155" s="163">
        <v>4</v>
      </c>
      <c r="AA155" s="163">
        <v>0</v>
      </c>
      <c r="AB155" s="163">
        <v>0</v>
      </c>
      <c r="AC155" s="163">
        <v>4</v>
      </c>
      <c r="AD155" s="163">
        <v>0</v>
      </c>
      <c r="AE155" s="165">
        <v>6.1573750684054365E-2</v>
      </c>
      <c r="AF155" s="166">
        <v>0.12314750136810873</v>
      </c>
    </row>
    <row r="156" spans="1:32">
      <c r="A156" s="602">
        <v>4</v>
      </c>
      <c r="B156" s="162">
        <v>0.20833333333333334</v>
      </c>
      <c r="C156" s="163">
        <v>0.96529488230109062</v>
      </c>
      <c r="D156" s="163">
        <v>690.44346652273532</v>
      </c>
      <c r="E156" s="164">
        <v>0.99390000000000001</v>
      </c>
      <c r="F156" s="164">
        <v>0.99390000000000001</v>
      </c>
      <c r="G156" s="163">
        <v>3</v>
      </c>
      <c r="H156" s="163">
        <v>6.6666666666666661</v>
      </c>
      <c r="I156" s="163">
        <v>3.6666666666666661</v>
      </c>
      <c r="J156" s="163">
        <v>2</v>
      </c>
      <c r="K156" s="163">
        <v>2.445506072874494</v>
      </c>
      <c r="L156" s="163">
        <v>0.44550607287449395</v>
      </c>
      <c r="M156" s="163">
        <v>3</v>
      </c>
      <c r="N156" s="163">
        <v>6.0908681961313533</v>
      </c>
      <c r="O156" s="163">
        <v>3.0908681961313533</v>
      </c>
      <c r="P156" s="163"/>
      <c r="Q156" s="163">
        <v>4</v>
      </c>
      <c r="R156" s="163">
        <v>0</v>
      </c>
      <c r="S156" s="163">
        <v>0</v>
      </c>
      <c r="T156" s="163">
        <v>0</v>
      </c>
      <c r="U156" s="163">
        <v>0</v>
      </c>
      <c r="V156" s="163">
        <v>0</v>
      </c>
      <c r="W156" s="163">
        <v>0</v>
      </c>
      <c r="X156" s="163">
        <v>0</v>
      </c>
      <c r="Y156" s="163">
        <v>4</v>
      </c>
      <c r="Z156" s="163">
        <v>4</v>
      </c>
      <c r="AA156" s="163">
        <v>0</v>
      </c>
      <c r="AB156" s="163">
        <v>0</v>
      </c>
      <c r="AC156" s="163">
        <v>4</v>
      </c>
      <c r="AD156" s="163">
        <v>0</v>
      </c>
      <c r="AE156" s="165">
        <v>0.11355549132638659</v>
      </c>
      <c r="AF156" s="166">
        <v>0.15140732176851546</v>
      </c>
    </row>
    <row r="157" spans="1:32">
      <c r="A157" s="602">
        <v>4</v>
      </c>
      <c r="B157" s="162">
        <v>0.22916666666666666</v>
      </c>
      <c r="C157" s="163">
        <v>1.6145142436756863</v>
      </c>
      <c r="D157" s="163">
        <v>705.71963999765842</v>
      </c>
      <c r="E157" s="164">
        <v>0.97420000000000007</v>
      </c>
      <c r="F157" s="164">
        <v>0.97420000000000007</v>
      </c>
      <c r="G157" s="163">
        <v>3</v>
      </c>
      <c r="H157" s="163">
        <v>6.6666666666666661</v>
      </c>
      <c r="I157" s="163">
        <v>3.6666666666666661</v>
      </c>
      <c r="J157" s="163">
        <v>2</v>
      </c>
      <c r="K157" s="163">
        <v>2.445506072874494</v>
      </c>
      <c r="L157" s="163">
        <v>0.44550607287449395</v>
      </c>
      <c r="M157" s="163">
        <v>3</v>
      </c>
      <c r="N157" s="163">
        <v>6.0908681961313533</v>
      </c>
      <c r="O157" s="163">
        <v>3.0908681961313533</v>
      </c>
      <c r="P157" s="163"/>
      <c r="Q157" s="163">
        <v>4</v>
      </c>
      <c r="R157" s="163">
        <v>0</v>
      </c>
      <c r="S157" s="163">
        <v>0</v>
      </c>
      <c r="T157" s="163">
        <v>0</v>
      </c>
      <c r="U157" s="163">
        <v>0</v>
      </c>
      <c r="V157" s="163">
        <v>0</v>
      </c>
      <c r="W157" s="163">
        <v>0</v>
      </c>
      <c r="X157" s="163">
        <v>0</v>
      </c>
      <c r="Y157" s="163">
        <v>4</v>
      </c>
      <c r="Z157" s="163">
        <v>4</v>
      </c>
      <c r="AA157" s="163">
        <v>0</v>
      </c>
      <c r="AB157" s="163">
        <v>0</v>
      </c>
      <c r="AC157" s="163">
        <v>4</v>
      </c>
      <c r="AD157" s="163">
        <v>0</v>
      </c>
      <c r="AE157" s="165">
        <v>0.19413064495730178</v>
      </c>
      <c r="AF157" s="166">
        <v>0.25884085994306905</v>
      </c>
    </row>
    <row r="158" spans="1:32">
      <c r="A158" s="602">
        <v>4</v>
      </c>
      <c r="B158" s="162">
        <v>0.25</v>
      </c>
      <c r="C158" s="163">
        <v>2.4805049345244754</v>
      </c>
      <c r="D158" s="163">
        <v>713.15760586726651</v>
      </c>
      <c r="E158" s="164">
        <v>0.92110000000000003</v>
      </c>
      <c r="F158" s="164">
        <v>0.92110000000000003</v>
      </c>
      <c r="G158" s="163">
        <v>4</v>
      </c>
      <c r="H158" s="163">
        <v>6.6666666666666661</v>
      </c>
      <c r="I158" s="163">
        <v>2.6666666666666661</v>
      </c>
      <c r="J158" s="163">
        <v>3</v>
      </c>
      <c r="K158" s="163">
        <v>3.2606747638326588</v>
      </c>
      <c r="L158" s="163">
        <v>0.26067476383265875</v>
      </c>
      <c r="M158" s="163">
        <v>4</v>
      </c>
      <c r="N158" s="163">
        <v>6.0908681961313533</v>
      </c>
      <c r="O158" s="163">
        <v>2.0908681961313533</v>
      </c>
      <c r="P158" s="163"/>
      <c r="Q158" s="163">
        <v>4</v>
      </c>
      <c r="R158" s="163">
        <v>0</v>
      </c>
      <c r="S158" s="163">
        <v>0</v>
      </c>
      <c r="T158" s="163">
        <v>0</v>
      </c>
      <c r="U158" s="163">
        <v>0</v>
      </c>
      <c r="V158" s="163">
        <v>0</v>
      </c>
      <c r="W158" s="163">
        <v>0</v>
      </c>
      <c r="X158" s="163">
        <v>0</v>
      </c>
      <c r="Y158" s="163">
        <v>4</v>
      </c>
      <c r="Z158" s="163">
        <v>4</v>
      </c>
      <c r="AA158" s="163">
        <v>0</v>
      </c>
      <c r="AB158" s="163">
        <v>0</v>
      </c>
      <c r="AC158" s="163">
        <v>4</v>
      </c>
      <c r="AD158" s="163">
        <v>0</v>
      </c>
      <c r="AE158" s="165">
        <v>0.30140165057399038</v>
      </c>
      <c r="AF158" s="166">
        <v>0.30140165057399038</v>
      </c>
    </row>
    <row r="159" spans="1:32">
      <c r="A159" s="602">
        <v>4</v>
      </c>
      <c r="B159" s="162">
        <v>0.27083333333333331</v>
      </c>
      <c r="C159" s="163">
        <v>3.5861886970761119</v>
      </c>
      <c r="D159" s="163">
        <v>781.61614302868134</v>
      </c>
      <c r="E159" s="164">
        <v>0.7681</v>
      </c>
      <c r="F159" s="164">
        <v>0.7681</v>
      </c>
      <c r="G159" s="163">
        <v>5</v>
      </c>
      <c r="H159" s="163">
        <v>6.6666666666666661</v>
      </c>
      <c r="I159" s="163">
        <v>1.6666666666666661</v>
      </c>
      <c r="J159" s="163">
        <v>4</v>
      </c>
      <c r="K159" s="163">
        <v>4.0758434547908236</v>
      </c>
      <c r="L159" s="163">
        <v>7.584345479082355E-2</v>
      </c>
      <c r="M159" s="163">
        <v>5</v>
      </c>
      <c r="N159" s="163">
        <v>6.0908681961313533</v>
      </c>
      <c r="O159" s="163">
        <v>1.0908681961313533</v>
      </c>
      <c r="P159" s="163"/>
      <c r="Q159" s="163">
        <v>4</v>
      </c>
      <c r="R159" s="163">
        <v>0</v>
      </c>
      <c r="S159" s="163">
        <v>0</v>
      </c>
      <c r="T159" s="163">
        <v>0</v>
      </c>
      <c r="U159" s="163">
        <v>0</v>
      </c>
      <c r="V159" s="163">
        <v>0</v>
      </c>
      <c r="W159" s="163">
        <v>0</v>
      </c>
      <c r="X159" s="163">
        <v>0</v>
      </c>
      <c r="Y159" s="163">
        <v>4</v>
      </c>
      <c r="Z159" s="163">
        <v>4</v>
      </c>
      <c r="AA159" s="163">
        <v>0</v>
      </c>
      <c r="AB159" s="163">
        <v>0</v>
      </c>
      <c r="AC159" s="163">
        <v>4</v>
      </c>
      <c r="AD159" s="163">
        <v>0</v>
      </c>
      <c r="AE159" s="165">
        <v>0.47758059307791123</v>
      </c>
      <c r="AF159" s="166">
        <v>0.382064474462329</v>
      </c>
    </row>
    <row r="160" spans="1:32">
      <c r="A160" s="602">
        <v>4</v>
      </c>
      <c r="B160" s="162">
        <v>0.29166666666666669</v>
      </c>
      <c r="C160" s="163">
        <v>8.5380281159348321</v>
      </c>
      <c r="D160" s="163">
        <v>763.04544666916479</v>
      </c>
      <c r="E160" s="164">
        <v>0.66820000000000002</v>
      </c>
      <c r="F160" s="164">
        <v>0.66820000000000002</v>
      </c>
      <c r="G160" s="163">
        <v>8</v>
      </c>
      <c r="H160" s="163">
        <v>11.666666666666668</v>
      </c>
      <c r="I160" s="163">
        <v>3.6666666666666679</v>
      </c>
      <c r="J160" s="163">
        <v>6</v>
      </c>
      <c r="K160" s="163">
        <v>6.5213495276653175</v>
      </c>
      <c r="L160" s="163">
        <v>0.5213495276653175</v>
      </c>
      <c r="M160" s="163">
        <v>7</v>
      </c>
      <c r="N160" s="163">
        <v>10.65901934322987</v>
      </c>
      <c r="O160" s="163">
        <v>3.6590193432298701</v>
      </c>
      <c r="P160" s="163"/>
      <c r="Q160" s="163">
        <v>7</v>
      </c>
      <c r="R160" s="163">
        <v>0</v>
      </c>
      <c r="S160" s="163">
        <v>0</v>
      </c>
      <c r="T160" s="163">
        <v>0</v>
      </c>
      <c r="U160" s="163">
        <v>0</v>
      </c>
      <c r="V160" s="163">
        <v>0</v>
      </c>
      <c r="W160" s="163">
        <v>0</v>
      </c>
      <c r="X160" s="163">
        <v>0</v>
      </c>
      <c r="Y160" s="163">
        <v>7</v>
      </c>
      <c r="Z160" s="163">
        <v>7</v>
      </c>
      <c r="AA160" s="163">
        <v>0</v>
      </c>
      <c r="AB160" s="163">
        <v>0</v>
      </c>
      <c r="AC160" s="163">
        <v>4</v>
      </c>
      <c r="AD160" s="163">
        <v>3</v>
      </c>
      <c r="AE160" s="165">
        <v>0.63429304544525322</v>
      </c>
      <c r="AF160" s="166">
        <v>0.55500641476459656</v>
      </c>
    </row>
    <row r="161" spans="1:32">
      <c r="A161" s="602">
        <v>4</v>
      </c>
      <c r="B161" s="162">
        <v>0.3125</v>
      </c>
      <c r="C161" s="163">
        <v>10.407746296108989</v>
      </c>
      <c r="D161" s="163">
        <v>810.4970994806348</v>
      </c>
      <c r="E161" s="164">
        <v>0.90059999999999996</v>
      </c>
      <c r="F161" s="164">
        <v>0.90059999999999996</v>
      </c>
      <c r="G161" s="163">
        <v>10</v>
      </c>
      <c r="H161" s="163">
        <v>18.333333333333332</v>
      </c>
      <c r="I161" s="163">
        <v>8.3333333333333321</v>
      </c>
      <c r="J161" s="163">
        <v>8</v>
      </c>
      <c r="K161" s="163">
        <v>8.1516869095816471</v>
      </c>
      <c r="L161" s="163">
        <v>0.1516869095816471</v>
      </c>
      <c r="M161" s="163">
        <v>9</v>
      </c>
      <c r="N161" s="163">
        <v>16.749887539361222</v>
      </c>
      <c r="O161" s="163">
        <v>7.7498875393612217</v>
      </c>
      <c r="P161" s="163"/>
      <c r="Q161" s="163">
        <v>11</v>
      </c>
      <c r="R161" s="163">
        <v>0</v>
      </c>
      <c r="S161" s="163">
        <v>0</v>
      </c>
      <c r="T161" s="163">
        <v>0</v>
      </c>
      <c r="U161" s="163">
        <v>0</v>
      </c>
      <c r="V161" s="163">
        <v>0</v>
      </c>
      <c r="W161" s="163">
        <v>0</v>
      </c>
      <c r="X161" s="163">
        <v>0</v>
      </c>
      <c r="Y161" s="163">
        <v>11</v>
      </c>
      <c r="Z161" s="163">
        <v>11</v>
      </c>
      <c r="AA161" s="163">
        <v>0</v>
      </c>
      <c r="AB161" s="163">
        <v>0</v>
      </c>
      <c r="AC161" s="163">
        <v>8</v>
      </c>
      <c r="AD161" s="163">
        <v>3</v>
      </c>
      <c r="AE161" s="165">
        <v>0.52263137844731433</v>
      </c>
      <c r="AF161" s="166">
        <v>0.5748945162920458</v>
      </c>
    </row>
    <row r="162" spans="1:32">
      <c r="A162" s="602">
        <v>4</v>
      </c>
      <c r="B162" s="162">
        <v>0.33333333333333331</v>
      </c>
      <c r="C162" s="163">
        <v>14.940885713536769</v>
      </c>
      <c r="D162" s="163">
        <v>817.36927190551705</v>
      </c>
      <c r="E162" s="164">
        <v>0.84179999999999999</v>
      </c>
      <c r="F162" s="164">
        <v>0.84179999999999999</v>
      </c>
      <c r="G162" s="163">
        <v>13</v>
      </c>
      <c r="H162" s="163">
        <v>21.666666666666664</v>
      </c>
      <c r="I162" s="163">
        <v>8.6666666666666643</v>
      </c>
      <c r="J162" s="163">
        <v>10</v>
      </c>
      <c r="K162" s="163">
        <v>10.597192982456141</v>
      </c>
      <c r="L162" s="163">
        <v>0.59719298245614105</v>
      </c>
      <c r="M162" s="163">
        <v>12</v>
      </c>
      <c r="N162" s="163">
        <v>19.795321637426898</v>
      </c>
      <c r="O162" s="163">
        <v>7.7953216374268983</v>
      </c>
      <c r="P162" s="163"/>
      <c r="Q162" s="163">
        <v>13</v>
      </c>
      <c r="R162" s="163">
        <v>0</v>
      </c>
      <c r="S162" s="163">
        <v>0</v>
      </c>
      <c r="T162" s="163">
        <v>0</v>
      </c>
      <c r="U162" s="163">
        <v>0</v>
      </c>
      <c r="V162" s="163">
        <v>0</v>
      </c>
      <c r="W162" s="163">
        <v>0</v>
      </c>
      <c r="X162" s="163">
        <v>0</v>
      </c>
      <c r="Y162" s="163">
        <v>13</v>
      </c>
      <c r="Z162" s="163">
        <v>13</v>
      </c>
      <c r="AA162" s="163">
        <v>0</v>
      </c>
      <c r="AB162" s="163">
        <v>0</v>
      </c>
      <c r="AC162" s="163">
        <v>10</v>
      </c>
      <c r="AD162" s="163">
        <v>3</v>
      </c>
      <c r="AE162" s="165">
        <v>0.64022304446903266</v>
      </c>
      <c r="AF162" s="166">
        <v>0.64022304446903266</v>
      </c>
    </row>
    <row r="163" spans="1:32">
      <c r="A163" s="602">
        <v>4</v>
      </c>
      <c r="B163" s="162">
        <v>0.35416666666666669</v>
      </c>
      <c r="C163" s="163">
        <v>17.796292291414957</v>
      </c>
      <c r="D163" s="163">
        <v>870.66930277054314</v>
      </c>
      <c r="E163" s="164">
        <v>0.81359999999999999</v>
      </c>
      <c r="F163" s="164">
        <v>0.81359999999999999</v>
      </c>
      <c r="G163" s="163">
        <v>15</v>
      </c>
      <c r="H163" s="163">
        <v>25</v>
      </c>
      <c r="I163" s="163">
        <v>10</v>
      </c>
      <c r="J163" s="163">
        <v>12</v>
      </c>
      <c r="K163" s="163">
        <v>12.22753036437247</v>
      </c>
      <c r="L163" s="163">
        <v>0.22753036437246976</v>
      </c>
      <c r="M163" s="163">
        <v>14</v>
      </c>
      <c r="N163" s="163">
        <v>22.840755735492575</v>
      </c>
      <c r="O163" s="163">
        <v>8.840755735492575</v>
      </c>
      <c r="P163" s="163"/>
      <c r="Q163" s="163">
        <v>15</v>
      </c>
      <c r="R163" s="163">
        <v>0</v>
      </c>
      <c r="S163" s="163">
        <v>0</v>
      </c>
      <c r="T163" s="163">
        <v>0</v>
      </c>
      <c r="U163" s="163">
        <v>0</v>
      </c>
      <c r="V163" s="163">
        <v>0</v>
      </c>
      <c r="W163" s="163">
        <v>0</v>
      </c>
      <c r="X163" s="163">
        <v>0</v>
      </c>
      <c r="Y163" s="163">
        <v>15</v>
      </c>
      <c r="Z163" s="163">
        <v>15</v>
      </c>
      <c r="AA163" s="163">
        <v>0</v>
      </c>
      <c r="AB163" s="163">
        <v>0</v>
      </c>
      <c r="AC163" s="163">
        <v>10</v>
      </c>
      <c r="AD163" s="163">
        <v>5</v>
      </c>
      <c r="AE163" s="165">
        <v>0.7039981336984602</v>
      </c>
      <c r="AF163" s="166">
        <v>0.7039981336984602</v>
      </c>
    </row>
    <row r="164" spans="1:32">
      <c r="A164" s="602">
        <v>4</v>
      </c>
      <c r="B164" s="162">
        <v>0.375</v>
      </c>
      <c r="C164" s="163">
        <v>20.577425625210271</v>
      </c>
      <c r="D164" s="163">
        <v>863.14321793924069</v>
      </c>
      <c r="E164" s="164">
        <v>0.78839999999999988</v>
      </c>
      <c r="F164" s="164">
        <v>0.78839999999999988</v>
      </c>
      <c r="G164" s="163">
        <v>18</v>
      </c>
      <c r="H164" s="163">
        <v>28.333333333333336</v>
      </c>
      <c r="I164" s="163">
        <v>10.333333333333336</v>
      </c>
      <c r="J164" s="163">
        <v>14</v>
      </c>
      <c r="K164" s="163">
        <v>14.673036437246964</v>
      </c>
      <c r="L164" s="163">
        <v>0.67303643724696371</v>
      </c>
      <c r="M164" s="163">
        <v>16</v>
      </c>
      <c r="N164" s="163">
        <v>25.886189833558255</v>
      </c>
      <c r="O164" s="163">
        <v>9.8861898335582552</v>
      </c>
      <c r="P164" s="163"/>
      <c r="Q164" s="163">
        <v>17</v>
      </c>
      <c r="R164" s="163">
        <v>0</v>
      </c>
      <c r="S164" s="163">
        <v>0</v>
      </c>
      <c r="T164" s="163">
        <v>0</v>
      </c>
      <c r="U164" s="163">
        <v>0</v>
      </c>
      <c r="V164" s="163">
        <v>0</v>
      </c>
      <c r="W164" s="163">
        <v>0</v>
      </c>
      <c r="X164" s="163">
        <v>0</v>
      </c>
      <c r="Y164" s="163">
        <v>17</v>
      </c>
      <c r="Z164" s="163">
        <v>17</v>
      </c>
      <c r="AA164" s="163">
        <v>0</v>
      </c>
      <c r="AB164" s="163">
        <v>0</v>
      </c>
      <c r="AC164" s="163">
        <v>12</v>
      </c>
      <c r="AD164" s="163">
        <v>5</v>
      </c>
      <c r="AE164" s="165">
        <v>0.71204097421304358</v>
      </c>
      <c r="AF164" s="166">
        <v>0.67248314231231887</v>
      </c>
    </row>
    <row r="165" spans="1:32">
      <c r="A165" s="602">
        <v>4</v>
      </c>
      <c r="B165" s="162">
        <v>0.39583333333333331</v>
      </c>
      <c r="C165" s="163">
        <v>21.612703798116804</v>
      </c>
      <c r="D165" s="163">
        <v>907.35290582953371</v>
      </c>
      <c r="E165" s="164">
        <v>0.84889999999999999</v>
      </c>
      <c r="F165" s="164">
        <v>0.84889999999999999</v>
      </c>
      <c r="G165" s="163">
        <v>19</v>
      </c>
      <c r="H165" s="163">
        <v>31.666666666666664</v>
      </c>
      <c r="I165" s="163">
        <v>12.666666666666664</v>
      </c>
      <c r="J165" s="163">
        <v>15</v>
      </c>
      <c r="K165" s="163">
        <v>15.488205128205129</v>
      </c>
      <c r="L165" s="163">
        <v>0.48820512820512896</v>
      </c>
      <c r="M165" s="163">
        <v>17</v>
      </c>
      <c r="N165" s="163">
        <v>28.931623931623928</v>
      </c>
      <c r="O165" s="163">
        <v>11.931623931623928</v>
      </c>
      <c r="P165" s="163"/>
      <c r="Q165" s="163">
        <v>19</v>
      </c>
      <c r="R165" s="163">
        <v>0</v>
      </c>
      <c r="S165" s="163">
        <v>0</v>
      </c>
      <c r="T165" s="163">
        <v>0</v>
      </c>
      <c r="U165" s="163">
        <v>0</v>
      </c>
      <c r="V165" s="163">
        <v>0</v>
      </c>
      <c r="W165" s="163">
        <v>0</v>
      </c>
      <c r="X165" s="163">
        <v>0</v>
      </c>
      <c r="Y165" s="163">
        <v>19</v>
      </c>
      <c r="Z165" s="163">
        <v>19</v>
      </c>
      <c r="AA165" s="163">
        <v>0</v>
      </c>
      <c r="AB165" s="163">
        <v>0</v>
      </c>
      <c r="AC165" s="163">
        <v>14</v>
      </c>
      <c r="AD165" s="163">
        <v>5</v>
      </c>
      <c r="AE165" s="165">
        <v>0.70341518421160198</v>
      </c>
      <c r="AF165" s="166">
        <v>0.70341518421160198</v>
      </c>
    </row>
    <row r="166" spans="1:32">
      <c r="A166" s="602">
        <v>4</v>
      </c>
      <c r="B166" s="162">
        <v>0.41666666666666669</v>
      </c>
      <c r="C166" s="163">
        <v>23.770020865402653</v>
      </c>
      <c r="D166" s="163">
        <v>929.1273112533479</v>
      </c>
      <c r="E166" s="164">
        <v>0.69020000000000004</v>
      </c>
      <c r="F166" s="164">
        <v>0.69020000000000004</v>
      </c>
      <c r="G166" s="163">
        <v>21</v>
      </c>
      <c r="H166" s="163">
        <v>31.666666666666664</v>
      </c>
      <c r="I166" s="163">
        <v>10.666666666666664</v>
      </c>
      <c r="J166" s="163">
        <v>17</v>
      </c>
      <c r="K166" s="163">
        <v>17.118542510121458</v>
      </c>
      <c r="L166" s="163">
        <v>0.11854251012145767</v>
      </c>
      <c r="M166" s="163">
        <v>19</v>
      </c>
      <c r="N166" s="163">
        <v>28.931623931623928</v>
      </c>
      <c r="O166" s="163">
        <v>9.9316239316239283</v>
      </c>
      <c r="P166" s="163"/>
      <c r="Q166" s="163">
        <v>19</v>
      </c>
      <c r="R166" s="163">
        <v>0</v>
      </c>
      <c r="S166" s="163">
        <v>0</v>
      </c>
      <c r="T166" s="163">
        <v>0</v>
      </c>
      <c r="U166" s="163">
        <v>0</v>
      </c>
      <c r="V166" s="163">
        <v>0</v>
      </c>
      <c r="W166" s="163">
        <v>0</v>
      </c>
      <c r="X166" s="163">
        <v>0</v>
      </c>
      <c r="Y166" s="163">
        <v>19</v>
      </c>
      <c r="Z166" s="163">
        <v>19</v>
      </c>
      <c r="AA166" s="163">
        <v>0</v>
      </c>
      <c r="AB166" s="163">
        <v>0</v>
      </c>
      <c r="AC166" s="163">
        <v>14</v>
      </c>
      <c r="AD166" s="163">
        <v>5</v>
      </c>
      <c r="AE166" s="165">
        <v>0.79219334943711794</v>
      </c>
      <c r="AF166" s="166">
        <v>0.71674636377644019</v>
      </c>
    </row>
    <row r="167" spans="1:32">
      <c r="A167" s="602">
        <v>4</v>
      </c>
      <c r="B167" s="162">
        <v>0.4375</v>
      </c>
      <c r="C167" s="163">
        <v>23.659605008068382</v>
      </c>
      <c r="D167" s="163">
        <v>883.55232312475744</v>
      </c>
      <c r="E167" s="164">
        <v>0.77610000000000001</v>
      </c>
      <c r="F167" s="164">
        <v>0.77610000000000001</v>
      </c>
      <c r="G167" s="163">
        <v>20</v>
      </c>
      <c r="H167" s="163">
        <v>31.666666666666664</v>
      </c>
      <c r="I167" s="163">
        <v>11.666666666666664</v>
      </c>
      <c r="J167" s="163">
        <v>16</v>
      </c>
      <c r="K167" s="163">
        <v>16.303373819163294</v>
      </c>
      <c r="L167" s="163">
        <v>0.3033738191632942</v>
      </c>
      <c r="M167" s="163">
        <v>18</v>
      </c>
      <c r="N167" s="163">
        <v>28.931623931623928</v>
      </c>
      <c r="O167" s="163">
        <v>10.931623931623928</v>
      </c>
      <c r="P167" s="163"/>
      <c r="Q167" s="163">
        <v>19</v>
      </c>
      <c r="R167" s="163">
        <v>0</v>
      </c>
      <c r="S167" s="163">
        <v>0</v>
      </c>
      <c r="T167" s="163">
        <v>0</v>
      </c>
      <c r="U167" s="163">
        <v>0</v>
      </c>
      <c r="V167" s="163">
        <v>0</v>
      </c>
      <c r="W167" s="163">
        <v>0</v>
      </c>
      <c r="X167" s="163">
        <v>0</v>
      </c>
      <c r="Y167" s="163">
        <v>19</v>
      </c>
      <c r="Z167" s="163">
        <v>19</v>
      </c>
      <c r="AA167" s="163">
        <v>0</v>
      </c>
      <c r="AB167" s="163">
        <v>0</v>
      </c>
      <c r="AC167" s="163">
        <v>14</v>
      </c>
      <c r="AD167" s="163">
        <v>5</v>
      </c>
      <c r="AE167" s="165">
        <v>0.74983579067117101</v>
      </c>
      <c r="AF167" s="166">
        <v>0.71234400113761254</v>
      </c>
    </row>
    <row r="168" spans="1:32">
      <c r="A168" s="602">
        <v>4</v>
      </c>
      <c r="B168" s="162">
        <v>0.45833333333333331</v>
      </c>
      <c r="C168" s="163">
        <v>25.987280314288299</v>
      </c>
      <c r="D168" s="163">
        <v>854.58066873089444</v>
      </c>
      <c r="E168" s="164">
        <v>0.68230000000000002</v>
      </c>
      <c r="F168" s="164">
        <v>0.68230000000000002</v>
      </c>
      <c r="G168" s="163">
        <v>21</v>
      </c>
      <c r="H168" s="163">
        <v>31.666666666666664</v>
      </c>
      <c r="I168" s="163">
        <v>10.666666666666664</v>
      </c>
      <c r="J168" s="163">
        <v>17</v>
      </c>
      <c r="K168" s="163">
        <v>17.118542510121458</v>
      </c>
      <c r="L168" s="163">
        <v>0.11854251012145767</v>
      </c>
      <c r="M168" s="163">
        <v>19</v>
      </c>
      <c r="N168" s="163">
        <v>28.931623931623928</v>
      </c>
      <c r="O168" s="163">
        <v>9.9316239316239283</v>
      </c>
      <c r="P168" s="163"/>
      <c r="Q168" s="163">
        <v>19</v>
      </c>
      <c r="R168" s="163">
        <v>0</v>
      </c>
      <c r="S168" s="163">
        <v>0</v>
      </c>
      <c r="T168" s="163">
        <v>0</v>
      </c>
      <c r="U168" s="163">
        <v>0</v>
      </c>
      <c r="V168" s="163">
        <v>0</v>
      </c>
      <c r="W168" s="163">
        <v>0</v>
      </c>
      <c r="X168" s="163">
        <v>0</v>
      </c>
      <c r="Y168" s="163">
        <v>19</v>
      </c>
      <c r="Z168" s="163">
        <v>19</v>
      </c>
      <c r="AA168" s="163">
        <v>0</v>
      </c>
      <c r="AB168" s="163">
        <v>0</v>
      </c>
      <c r="AC168" s="163">
        <v>14</v>
      </c>
      <c r="AD168" s="163">
        <v>5</v>
      </c>
      <c r="AE168" s="165">
        <v>0.79659999355247468</v>
      </c>
      <c r="AF168" s="166">
        <v>0.72073332749985819</v>
      </c>
    </row>
    <row r="169" spans="1:32">
      <c r="A169" s="602">
        <v>4</v>
      </c>
      <c r="B169" s="162">
        <v>0.47916666666666669</v>
      </c>
      <c r="C169" s="163">
        <v>23.599086795431212</v>
      </c>
      <c r="D169" s="163">
        <v>808.21725393406871</v>
      </c>
      <c r="E169" s="164">
        <v>0.87529999999999986</v>
      </c>
      <c r="F169" s="164">
        <v>0.87529999999999986</v>
      </c>
      <c r="G169" s="163">
        <v>19</v>
      </c>
      <c r="H169" s="163">
        <v>31.666666666666664</v>
      </c>
      <c r="I169" s="163">
        <v>12.666666666666664</v>
      </c>
      <c r="J169" s="163">
        <v>15</v>
      </c>
      <c r="K169" s="163">
        <v>15.488205128205129</v>
      </c>
      <c r="L169" s="163">
        <v>0.48820512820512896</v>
      </c>
      <c r="M169" s="163">
        <v>17</v>
      </c>
      <c r="N169" s="163">
        <v>28.931623931623928</v>
      </c>
      <c r="O169" s="163">
        <v>11.931623931623928</v>
      </c>
      <c r="P169" s="163"/>
      <c r="Q169" s="163">
        <v>19</v>
      </c>
      <c r="R169" s="163">
        <v>0</v>
      </c>
      <c r="S169" s="163">
        <v>0</v>
      </c>
      <c r="T169" s="163">
        <v>0</v>
      </c>
      <c r="U169" s="163">
        <v>0</v>
      </c>
      <c r="V169" s="163">
        <v>0</v>
      </c>
      <c r="W169" s="163">
        <v>0</v>
      </c>
      <c r="X169" s="163">
        <v>0</v>
      </c>
      <c r="Y169" s="163">
        <v>19</v>
      </c>
      <c r="Z169" s="163">
        <v>19</v>
      </c>
      <c r="AA169" s="163">
        <v>0</v>
      </c>
      <c r="AB169" s="163">
        <v>0</v>
      </c>
      <c r="AC169" s="163">
        <v>14</v>
      </c>
      <c r="AD169" s="163">
        <v>5</v>
      </c>
      <c r="AE169" s="165">
        <v>0.6841474588521097</v>
      </c>
      <c r="AF169" s="166">
        <v>0.6841474588521097</v>
      </c>
    </row>
    <row r="170" spans="1:32">
      <c r="A170" s="602">
        <v>4</v>
      </c>
      <c r="B170" s="162">
        <v>0.5</v>
      </c>
      <c r="C170" s="163">
        <v>24.456812651082124</v>
      </c>
      <c r="D170" s="163">
        <v>832.31341928459233</v>
      </c>
      <c r="E170" s="164">
        <v>0.81070000000000009</v>
      </c>
      <c r="F170" s="164">
        <v>0.81070000000000009</v>
      </c>
      <c r="G170" s="163">
        <v>20</v>
      </c>
      <c r="H170" s="163">
        <v>31.666666666666664</v>
      </c>
      <c r="I170" s="163">
        <v>11.666666666666664</v>
      </c>
      <c r="J170" s="163">
        <v>16</v>
      </c>
      <c r="K170" s="163">
        <v>16.303373819163294</v>
      </c>
      <c r="L170" s="163">
        <v>0.3033738191632942</v>
      </c>
      <c r="M170" s="163">
        <v>18</v>
      </c>
      <c r="N170" s="163">
        <v>28.931623931623928</v>
      </c>
      <c r="O170" s="163">
        <v>10.931623931623928</v>
      </c>
      <c r="P170" s="163"/>
      <c r="Q170" s="163">
        <v>19</v>
      </c>
      <c r="R170" s="163">
        <v>0</v>
      </c>
      <c r="S170" s="163">
        <v>0</v>
      </c>
      <c r="T170" s="163">
        <v>0</v>
      </c>
      <c r="U170" s="163">
        <v>0</v>
      </c>
      <c r="V170" s="163">
        <v>0</v>
      </c>
      <c r="W170" s="163">
        <v>0</v>
      </c>
      <c r="X170" s="163">
        <v>0</v>
      </c>
      <c r="Y170" s="163">
        <v>19</v>
      </c>
      <c r="Z170" s="163">
        <v>19</v>
      </c>
      <c r="AA170" s="163">
        <v>0</v>
      </c>
      <c r="AB170" s="163">
        <v>0</v>
      </c>
      <c r="AC170" s="163">
        <v>14</v>
      </c>
      <c r="AD170" s="163">
        <v>5</v>
      </c>
      <c r="AE170" s="165">
        <v>0.73015179378717443</v>
      </c>
      <c r="AF170" s="166">
        <v>0.6936442040978158</v>
      </c>
    </row>
    <row r="171" spans="1:32">
      <c r="A171" s="602">
        <v>4</v>
      </c>
      <c r="B171" s="162">
        <v>0.52083333333333337</v>
      </c>
      <c r="C171" s="163">
        <v>22.357305338331479</v>
      </c>
      <c r="D171" s="163">
        <v>833.80432307776925</v>
      </c>
      <c r="E171" s="164">
        <v>0.78260000000000007</v>
      </c>
      <c r="F171" s="164">
        <v>0.78260000000000007</v>
      </c>
      <c r="G171" s="163">
        <v>18</v>
      </c>
      <c r="H171" s="163">
        <v>30.333333333333336</v>
      </c>
      <c r="I171" s="163">
        <v>12.333333333333336</v>
      </c>
      <c r="J171" s="163">
        <v>14</v>
      </c>
      <c r="K171" s="163">
        <v>14.673036437246964</v>
      </c>
      <c r="L171" s="163">
        <v>0.67303643724696371</v>
      </c>
      <c r="M171" s="163">
        <v>16</v>
      </c>
      <c r="N171" s="163">
        <v>27.713450292397663</v>
      </c>
      <c r="O171" s="163">
        <v>11.713450292397663</v>
      </c>
      <c r="P171" s="163"/>
      <c r="Q171" s="163">
        <v>19</v>
      </c>
      <c r="R171" s="163">
        <v>0</v>
      </c>
      <c r="S171" s="163">
        <v>0</v>
      </c>
      <c r="T171" s="163">
        <v>0</v>
      </c>
      <c r="U171" s="163">
        <v>0</v>
      </c>
      <c r="V171" s="163">
        <v>0</v>
      </c>
      <c r="W171" s="163">
        <v>0</v>
      </c>
      <c r="X171" s="163">
        <v>0</v>
      </c>
      <c r="Y171" s="163">
        <v>19</v>
      </c>
      <c r="Z171" s="163">
        <v>19</v>
      </c>
      <c r="AA171" s="163">
        <v>0</v>
      </c>
      <c r="AB171" s="163">
        <v>0</v>
      </c>
      <c r="AC171" s="163">
        <v>14</v>
      </c>
      <c r="AD171" s="163">
        <v>5</v>
      </c>
      <c r="AE171" s="165">
        <v>0.66866717426306244</v>
      </c>
      <c r="AF171" s="166">
        <v>0.70581535061101042</v>
      </c>
    </row>
    <row r="172" spans="1:32">
      <c r="A172" s="602">
        <v>4</v>
      </c>
      <c r="B172" s="162">
        <v>0.54166666666666663</v>
      </c>
      <c r="C172" s="163">
        <v>22.593470875929167</v>
      </c>
      <c r="D172" s="163">
        <v>792.46821522174423</v>
      </c>
      <c r="E172" s="164">
        <v>0.78080000000000005</v>
      </c>
      <c r="F172" s="164">
        <v>0.78080000000000005</v>
      </c>
      <c r="G172" s="163">
        <v>18</v>
      </c>
      <c r="H172" s="163">
        <v>28.333333333333336</v>
      </c>
      <c r="I172" s="163">
        <v>10.333333333333336</v>
      </c>
      <c r="J172" s="163">
        <v>14</v>
      </c>
      <c r="K172" s="163">
        <v>14.673036437246964</v>
      </c>
      <c r="L172" s="163">
        <v>0.67303643724696371</v>
      </c>
      <c r="M172" s="163">
        <v>16</v>
      </c>
      <c r="N172" s="163">
        <v>25.886189833558255</v>
      </c>
      <c r="O172" s="163">
        <v>9.8861898335582552</v>
      </c>
      <c r="P172" s="163"/>
      <c r="Q172" s="163">
        <v>17</v>
      </c>
      <c r="R172" s="163">
        <v>0</v>
      </c>
      <c r="S172" s="163">
        <v>0</v>
      </c>
      <c r="T172" s="163">
        <v>0</v>
      </c>
      <c r="U172" s="163">
        <v>0</v>
      </c>
      <c r="V172" s="163">
        <v>0</v>
      </c>
      <c r="W172" s="163">
        <v>0</v>
      </c>
      <c r="X172" s="163">
        <v>0</v>
      </c>
      <c r="Y172" s="163">
        <v>17</v>
      </c>
      <c r="Z172" s="163">
        <v>17</v>
      </c>
      <c r="AA172" s="163">
        <v>0</v>
      </c>
      <c r="AB172" s="163">
        <v>0</v>
      </c>
      <c r="AC172" s="163">
        <v>12</v>
      </c>
      <c r="AD172" s="163">
        <v>5</v>
      </c>
      <c r="AE172" s="165">
        <v>0.71778749598388414</v>
      </c>
      <c r="AF172" s="166">
        <v>0.67791041287366838</v>
      </c>
    </row>
    <row r="173" spans="1:32">
      <c r="A173" s="161">
        <v>4</v>
      </c>
      <c r="B173" s="162">
        <v>0.5625</v>
      </c>
      <c r="C173" s="163">
        <v>20.722076200232497</v>
      </c>
      <c r="D173" s="163">
        <v>786.14622925348749</v>
      </c>
      <c r="E173" s="164">
        <v>0.87130000000000007</v>
      </c>
      <c r="F173" s="164">
        <v>0.87130000000000007</v>
      </c>
      <c r="G173" s="163">
        <v>16</v>
      </c>
      <c r="H173" s="163">
        <v>28.333333333333336</v>
      </c>
      <c r="I173" s="163">
        <v>12.333333333333336</v>
      </c>
      <c r="J173" s="163">
        <v>13</v>
      </c>
      <c r="K173" s="163">
        <v>13.042699055330635</v>
      </c>
      <c r="L173" s="163">
        <v>4.2699055330635005E-2</v>
      </c>
      <c r="M173" s="163">
        <v>15</v>
      </c>
      <c r="N173" s="163">
        <v>25.886189833558255</v>
      </c>
      <c r="O173" s="163">
        <v>10.886189833558255</v>
      </c>
      <c r="P173" s="163"/>
      <c r="Q173" s="163">
        <v>17</v>
      </c>
      <c r="R173" s="163">
        <v>0</v>
      </c>
      <c r="S173" s="163">
        <v>0</v>
      </c>
      <c r="T173" s="163">
        <v>0</v>
      </c>
      <c r="U173" s="163">
        <v>0</v>
      </c>
      <c r="V173" s="163">
        <v>0</v>
      </c>
      <c r="W173" s="163">
        <v>0</v>
      </c>
      <c r="X173" s="163">
        <v>0</v>
      </c>
      <c r="Y173" s="163">
        <v>17</v>
      </c>
      <c r="Z173" s="163">
        <v>17</v>
      </c>
      <c r="AA173" s="163">
        <v>0</v>
      </c>
      <c r="AB173" s="163">
        <v>0</v>
      </c>
      <c r="AC173" s="163">
        <v>12</v>
      </c>
      <c r="AD173" s="163">
        <v>5</v>
      </c>
      <c r="AE173" s="165">
        <v>0.65308195577518313</v>
      </c>
      <c r="AF173" s="166">
        <v>0.69389957801113211</v>
      </c>
    </row>
    <row r="174" spans="1:32">
      <c r="A174" s="161">
        <v>4</v>
      </c>
      <c r="B174" s="162">
        <v>0.58333333333333337</v>
      </c>
      <c r="C174" s="163">
        <v>22.295633498243838</v>
      </c>
      <c r="D174" s="163">
        <v>818.48202654840452</v>
      </c>
      <c r="E174" s="164">
        <v>0.75670000000000004</v>
      </c>
      <c r="F174" s="164">
        <v>0.75670000000000004</v>
      </c>
      <c r="G174" s="163">
        <v>18</v>
      </c>
      <c r="H174" s="163">
        <v>28.333333333333336</v>
      </c>
      <c r="I174" s="163">
        <v>10.333333333333336</v>
      </c>
      <c r="J174" s="163">
        <v>14</v>
      </c>
      <c r="K174" s="163">
        <v>14.673036437246964</v>
      </c>
      <c r="L174" s="163">
        <v>0.67303643724696371</v>
      </c>
      <c r="M174" s="163">
        <v>16</v>
      </c>
      <c r="N174" s="163">
        <v>25.886189833558255</v>
      </c>
      <c r="O174" s="163">
        <v>9.8861898335582552</v>
      </c>
      <c r="P174" s="163"/>
      <c r="Q174" s="163">
        <v>17</v>
      </c>
      <c r="R174" s="163">
        <v>0</v>
      </c>
      <c r="S174" s="163">
        <v>0</v>
      </c>
      <c r="T174" s="163">
        <v>0</v>
      </c>
      <c r="U174" s="163">
        <v>0</v>
      </c>
      <c r="V174" s="163">
        <v>0</v>
      </c>
      <c r="W174" s="163">
        <v>0</v>
      </c>
      <c r="X174" s="163">
        <v>0</v>
      </c>
      <c r="Y174" s="163">
        <v>17</v>
      </c>
      <c r="Z174" s="163">
        <v>17</v>
      </c>
      <c r="AA174" s="163">
        <v>0</v>
      </c>
      <c r="AB174" s="163">
        <v>0</v>
      </c>
      <c r="AC174" s="163">
        <v>12</v>
      </c>
      <c r="AD174" s="163">
        <v>5</v>
      </c>
      <c r="AE174" s="165">
        <v>0.73157700508395562</v>
      </c>
      <c r="AF174" s="166">
        <v>0.69093383813484688</v>
      </c>
    </row>
    <row r="175" spans="1:32">
      <c r="A175" s="161">
        <v>4</v>
      </c>
      <c r="B175" s="162">
        <v>0.60416666666666663</v>
      </c>
      <c r="C175" s="163">
        <v>20.422404068077519</v>
      </c>
      <c r="D175" s="163">
        <v>783.22129227625612</v>
      </c>
      <c r="E175" s="164">
        <v>0.9378333333333333</v>
      </c>
      <c r="F175" s="164">
        <v>0.9378333333333333</v>
      </c>
      <c r="G175" s="163">
        <v>16</v>
      </c>
      <c r="H175" s="163">
        <v>29.666666666666664</v>
      </c>
      <c r="I175" s="163">
        <v>13.666666666666664</v>
      </c>
      <c r="J175" s="163">
        <v>13</v>
      </c>
      <c r="K175" s="163">
        <v>13.042699055330635</v>
      </c>
      <c r="L175" s="163">
        <v>4.2699055330635005E-2</v>
      </c>
      <c r="M175" s="163">
        <v>15</v>
      </c>
      <c r="N175" s="163">
        <v>27.104363472784524</v>
      </c>
      <c r="O175" s="163">
        <v>12.104363472784524</v>
      </c>
      <c r="P175" s="163"/>
      <c r="Q175" s="163">
        <v>17</v>
      </c>
      <c r="R175" s="163">
        <v>0</v>
      </c>
      <c r="S175" s="163">
        <v>0</v>
      </c>
      <c r="T175" s="163">
        <v>0</v>
      </c>
      <c r="U175" s="163">
        <v>0</v>
      </c>
      <c r="V175" s="163">
        <v>0</v>
      </c>
      <c r="W175" s="163">
        <v>0</v>
      </c>
      <c r="X175" s="163">
        <v>0</v>
      </c>
      <c r="Y175" s="163">
        <v>17</v>
      </c>
      <c r="Z175" s="163">
        <v>17</v>
      </c>
      <c r="AA175" s="163">
        <v>0</v>
      </c>
      <c r="AB175" s="163">
        <v>0</v>
      </c>
      <c r="AC175" s="163">
        <v>12</v>
      </c>
      <c r="AD175" s="163">
        <v>5</v>
      </c>
      <c r="AE175" s="165">
        <v>0.6412426980683209</v>
      </c>
      <c r="AF175" s="166">
        <v>0.681320366697591</v>
      </c>
    </row>
    <row r="176" spans="1:32">
      <c r="A176" s="161">
        <v>4</v>
      </c>
      <c r="B176" s="162">
        <v>0.625</v>
      </c>
      <c r="C176" s="163">
        <v>20.912928681907569</v>
      </c>
      <c r="D176" s="163">
        <v>822.60791498811932</v>
      </c>
      <c r="E176" s="164">
        <v>0.7496666666666667</v>
      </c>
      <c r="F176" s="164">
        <v>0.7496666666666667</v>
      </c>
      <c r="G176" s="163">
        <v>18</v>
      </c>
      <c r="H176" s="163">
        <v>29</v>
      </c>
      <c r="I176" s="163">
        <v>11</v>
      </c>
      <c r="J176" s="163">
        <v>14</v>
      </c>
      <c r="K176" s="163">
        <v>14.673036437246964</v>
      </c>
      <c r="L176" s="163">
        <v>0.67303643724696371</v>
      </c>
      <c r="M176" s="163">
        <v>16</v>
      </c>
      <c r="N176" s="163">
        <v>26.495276653171388</v>
      </c>
      <c r="O176" s="163">
        <v>10.495276653171388</v>
      </c>
      <c r="P176" s="163"/>
      <c r="Q176" s="163">
        <v>19</v>
      </c>
      <c r="R176" s="163">
        <v>0</v>
      </c>
      <c r="S176" s="163">
        <v>0</v>
      </c>
      <c r="T176" s="163">
        <v>0</v>
      </c>
      <c r="U176" s="163">
        <v>0</v>
      </c>
      <c r="V176" s="163">
        <v>0</v>
      </c>
      <c r="W176" s="163">
        <v>0</v>
      </c>
      <c r="X176" s="163">
        <v>0</v>
      </c>
      <c r="Y176" s="163">
        <v>19</v>
      </c>
      <c r="Z176" s="163">
        <v>19</v>
      </c>
      <c r="AA176" s="163">
        <v>0</v>
      </c>
      <c r="AB176" s="163">
        <v>0</v>
      </c>
      <c r="AC176" s="163">
        <v>12</v>
      </c>
      <c r="AD176" s="163">
        <v>7</v>
      </c>
      <c r="AE176" s="165">
        <v>0.61706958857898453</v>
      </c>
      <c r="AF176" s="166">
        <v>0.65135123238892811</v>
      </c>
    </row>
    <row r="177" spans="1:32">
      <c r="A177" s="161">
        <v>4</v>
      </c>
      <c r="B177" s="162">
        <v>0.64583333333333337</v>
      </c>
      <c r="C177" s="163">
        <v>19.43761407186723</v>
      </c>
      <c r="D177" s="163">
        <v>830.00985521541065</v>
      </c>
      <c r="E177" s="164">
        <v>0.63529999999999998</v>
      </c>
      <c r="F177" s="164">
        <v>0.63529999999999998</v>
      </c>
      <c r="G177" s="163">
        <v>16</v>
      </c>
      <c r="H177" s="163">
        <v>23.333333333333336</v>
      </c>
      <c r="I177" s="163">
        <v>7.3333333333333357</v>
      </c>
      <c r="J177" s="163">
        <v>13</v>
      </c>
      <c r="K177" s="163">
        <v>13.042699055330635</v>
      </c>
      <c r="L177" s="163">
        <v>4.2699055330635005E-2</v>
      </c>
      <c r="M177" s="163">
        <v>15</v>
      </c>
      <c r="N177" s="163">
        <v>21.31803868645974</v>
      </c>
      <c r="O177" s="163">
        <v>6.3180386864597402</v>
      </c>
      <c r="P177" s="163"/>
      <c r="Q177" s="163">
        <v>14</v>
      </c>
      <c r="R177" s="163">
        <v>0</v>
      </c>
      <c r="S177" s="163">
        <v>0</v>
      </c>
      <c r="T177" s="163">
        <v>0</v>
      </c>
      <c r="U177" s="163">
        <v>0</v>
      </c>
      <c r="V177" s="163">
        <v>0</v>
      </c>
      <c r="W177" s="163">
        <v>0</v>
      </c>
      <c r="X177" s="163">
        <v>0</v>
      </c>
      <c r="Y177" s="163">
        <v>14</v>
      </c>
      <c r="Z177" s="163">
        <v>14</v>
      </c>
      <c r="AA177" s="163">
        <v>0</v>
      </c>
      <c r="AB177" s="163">
        <v>0</v>
      </c>
      <c r="AC177" s="163">
        <v>10</v>
      </c>
      <c r="AD177" s="163">
        <v>4</v>
      </c>
      <c r="AE177" s="165">
        <v>0.7853769887236095</v>
      </c>
      <c r="AF177" s="166">
        <v>0.68720486513315837</v>
      </c>
    </row>
    <row r="178" spans="1:32">
      <c r="A178" s="161">
        <v>4</v>
      </c>
      <c r="B178" s="162">
        <v>0.66666666666666663</v>
      </c>
      <c r="C178" s="163">
        <v>18.235678879077714</v>
      </c>
      <c r="D178" s="163">
        <v>838.3952663685651</v>
      </c>
      <c r="E178" s="164">
        <v>0.71689999999999998</v>
      </c>
      <c r="F178" s="164">
        <v>0.71689999999999998</v>
      </c>
      <c r="G178" s="163">
        <v>15</v>
      </c>
      <c r="H178" s="163">
        <v>23.333333333333336</v>
      </c>
      <c r="I178" s="163">
        <v>8.3333333333333357</v>
      </c>
      <c r="J178" s="163">
        <v>12</v>
      </c>
      <c r="K178" s="163">
        <v>12.22753036437247</v>
      </c>
      <c r="L178" s="163">
        <v>0.22753036437246976</v>
      </c>
      <c r="M178" s="163">
        <v>14</v>
      </c>
      <c r="N178" s="163">
        <v>21.31803868645974</v>
      </c>
      <c r="O178" s="163">
        <v>7.3180386864597402</v>
      </c>
      <c r="P178" s="163"/>
      <c r="Q178" s="163">
        <v>14</v>
      </c>
      <c r="R178" s="163">
        <v>0</v>
      </c>
      <c r="S178" s="163">
        <v>0</v>
      </c>
      <c r="T178" s="163">
        <v>0</v>
      </c>
      <c r="U178" s="163">
        <v>0</v>
      </c>
      <c r="V178" s="163">
        <v>0</v>
      </c>
      <c r="W178" s="163">
        <v>0</v>
      </c>
      <c r="X178" s="163">
        <v>0</v>
      </c>
      <c r="Y178" s="163">
        <v>14</v>
      </c>
      <c r="Z178" s="163">
        <v>14</v>
      </c>
      <c r="AA178" s="163">
        <v>0</v>
      </c>
      <c r="AB178" s="163">
        <v>0</v>
      </c>
      <c r="AC178" s="163">
        <v>10</v>
      </c>
      <c r="AD178" s="163">
        <v>4</v>
      </c>
      <c r="AE178" s="165">
        <v>0.74425664656694246</v>
      </c>
      <c r="AF178" s="166">
        <v>0.69463953679581303</v>
      </c>
    </row>
    <row r="179" spans="1:32">
      <c r="A179" s="161">
        <v>4</v>
      </c>
      <c r="B179" s="162">
        <v>0.6875</v>
      </c>
      <c r="C179" s="163">
        <v>18.399371782270212</v>
      </c>
      <c r="D179" s="163">
        <v>852.69303000627849</v>
      </c>
      <c r="E179" s="164">
        <v>0.43196666666666667</v>
      </c>
      <c r="F179" s="164">
        <v>0.43196666666666667</v>
      </c>
      <c r="G179" s="163">
        <v>16</v>
      </c>
      <c r="H179" s="163">
        <v>22</v>
      </c>
      <c r="I179" s="163">
        <v>6</v>
      </c>
      <c r="J179" s="163">
        <v>13</v>
      </c>
      <c r="K179" s="163">
        <v>13.042699055330635</v>
      </c>
      <c r="L179" s="163">
        <v>4.2699055330635005E-2</v>
      </c>
      <c r="M179" s="163">
        <v>15</v>
      </c>
      <c r="N179" s="163">
        <v>20.099865047233468</v>
      </c>
      <c r="O179" s="163">
        <v>5.0998650472334681</v>
      </c>
      <c r="P179" s="163"/>
      <c r="Q179" s="163">
        <v>14</v>
      </c>
      <c r="R179" s="163">
        <v>0</v>
      </c>
      <c r="S179" s="163">
        <v>0</v>
      </c>
      <c r="T179" s="163">
        <v>0</v>
      </c>
      <c r="U179" s="163">
        <v>0</v>
      </c>
      <c r="V179" s="163">
        <v>0</v>
      </c>
      <c r="W179" s="163">
        <v>0</v>
      </c>
      <c r="X179" s="163">
        <v>0</v>
      </c>
      <c r="Y179" s="163">
        <v>14</v>
      </c>
      <c r="Z179" s="163">
        <v>14</v>
      </c>
      <c r="AA179" s="163">
        <v>0</v>
      </c>
      <c r="AB179" s="163">
        <v>0</v>
      </c>
      <c r="AC179" s="163">
        <v>10</v>
      </c>
      <c r="AD179" s="163">
        <v>4</v>
      </c>
      <c r="AE179" s="165">
        <v>0.76374376235397801</v>
      </c>
      <c r="AF179" s="166">
        <v>0.66827579205973076</v>
      </c>
    </row>
    <row r="180" spans="1:32">
      <c r="A180" s="161">
        <v>4</v>
      </c>
      <c r="B180" s="162">
        <v>0.70833333333333337</v>
      </c>
      <c r="C180" s="163">
        <v>18.407314038239608</v>
      </c>
      <c r="D180" s="163">
        <v>811.36291748573888</v>
      </c>
      <c r="E180" s="164">
        <v>0.41699999999999998</v>
      </c>
      <c r="F180" s="164">
        <v>0.41699999999999998</v>
      </c>
      <c r="G180" s="163">
        <v>15</v>
      </c>
      <c r="H180" s="163">
        <v>20</v>
      </c>
      <c r="I180" s="163">
        <v>5</v>
      </c>
      <c r="J180" s="163">
        <v>12</v>
      </c>
      <c r="K180" s="163">
        <v>12.22753036437247</v>
      </c>
      <c r="L180" s="163">
        <v>0.22753036437246976</v>
      </c>
      <c r="M180" s="163">
        <v>14</v>
      </c>
      <c r="N180" s="163">
        <v>18.27260458839406</v>
      </c>
      <c r="O180" s="163">
        <v>4.27260458839406</v>
      </c>
      <c r="P180" s="163"/>
      <c r="Q180" s="163">
        <v>12</v>
      </c>
      <c r="R180" s="163">
        <v>0</v>
      </c>
      <c r="S180" s="163">
        <v>0</v>
      </c>
      <c r="T180" s="163">
        <v>0</v>
      </c>
      <c r="U180" s="163">
        <v>0</v>
      </c>
      <c r="V180" s="163">
        <v>0</v>
      </c>
      <c r="W180" s="163">
        <v>0</v>
      </c>
      <c r="X180" s="163">
        <v>0</v>
      </c>
      <c r="Y180" s="163">
        <v>12</v>
      </c>
      <c r="Z180" s="163">
        <v>12</v>
      </c>
      <c r="AA180" s="163">
        <v>0</v>
      </c>
      <c r="AB180" s="163">
        <v>0</v>
      </c>
      <c r="AC180" s="163">
        <v>10</v>
      </c>
      <c r="AD180" s="163">
        <v>2</v>
      </c>
      <c r="AE180" s="165">
        <v>0.84821184791435467</v>
      </c>
      <c r="AF180" s="166">
        <v>0.67856947833148373</v>
      </c>
    </row>
    <row r="181" spans="1:32">
      <c r="A181" s="161">
        <v>4</v>
      </c>
      <c r="B181" s="162">
        <v>0.72916666666666663</v>
      </c>
      <c r="C181" s="163">
        <v>17.215959816774667</v>
      </c>
      <c r="D181" s="163">
        <v>866.77201426269471</v>
      </c>
      <c r="E181" s="164">
        <v>0.74913333333333332</v>
      </c>
      <c r="F181" s="164">
        <v>0.74913333333333332</v>
      </c>
      <c r="G181" s="163">
        <v>15</v>
      </c>
      <c r="H181" s="163">
        <v>22.666666666666664</v>
      </c>
      <c r="I181" s="163">
        <v>7.6666666666666643</v>
      </c>
      <c r="J181" s="163">
        <v>12</v>
      </c>
      <c r="K181" s="163">
        <v>12.22753036437247</v>
      </c>
      <c r="L181" s="163">
        <v>0.22753036437246976</v>
      </c>
      <c r="M181" s="163">
        <v>14</v>
      </c>
      <c r="N181" s="163">
        <v>20.708951866846601</v>
      </c>
      <c r="O181" s="163">
        <v>6.7089518668466006</v>
      </c>
      <c r="P181" s="163"/>
      <c r="Q181" s="163">
        <v>12</v>
      </c>
      <c r="R181" s="163">
        <v>0</v>
      </c>
      <c r="S181" s="163">
        <v>0</v>
      </c>
      <c r="T181" s="163">
        <v>0</v>
      </c>
      <c r="U181" s="163">
        <v>0</v>
      </c>
      <c r="V181" s="163">
        <v>0</v>
      </c>
      <c r="W181" s="163">
        <v>0</v>
      </c>
      <c r="X181" s="163">
        <v>0</v>
      </c>
      <c r="Y181" s="163">
        <v>12</v>
      </c>
      <c r="Z181" s="163">
        <v>12</v>
      </c>
      <c r="AA181" s="163">
        <v>0</v>
      </c>
      <c r="AB181" s="163">
        <v>0</v>
      </c>
      <c r="AC181" s="163">
        <v>10</v>
      </c>
      <c r="AD181" s="163">
        <v>2</v>
      </c>
      <c r="AE181" s="165">
        <v>0.84749057859010746</v>
      </c>
      <c r="AF181" s="166">
        <v>0.67799246287208592</v>
      </c>
    </row>
    <row r="182" spans="1:32">
      <c r="A182" s="161">
        <v>4</v>
      </c>
      <c r="B182" s="162">
        <v>0.75</v>
      </c>
      <c r="C182" s="163">
        <v>17.145051786214417</v>
      </c>
      <c r="D182" s="163">
        <v>811.68929678905181</v>
      </c>
      <c r="E182" s="164">
        <v>0.94689999999999996</v>
      </c>
      <c r="F182" s="164">
        <v>0.94689999999999996</v>
      </c>
      <c r="G182" s="163">
        <v>14</v>
      </c>
      <c r="H182" s="163">
        <v>26.666666666666664</v>
      </c>
      <c r="I182" s="163">
        <v>12.666666666666664</v>
      </c>
      <c r="J182" s="163">
        <v>11</v>
      </c>
      <c r="K182" s="163">
        <v>11.412361673414306</v>
      </c>
      <c r="L182" s="163">
        <v>0.4123616734143063</v>
      </c>
      <c r="M182" s="163">
        <v>13</v>
      </c>
      <c r="N182" s="163">
        <v>24.363472784525413</v>
      </c>
      <c r="O182" s="163">
        <v>11.363472784525413</v>
      </c>
      <c r="P182" s="163"/>
      <c r="Q182" s="163">
        <v>16</v>
      </c>
      <c r="R182" s="163">
        <v>0</v>
      </c>
      <c r="S182" s="163">
        <v>0</v>
      </c>
      <c r="T182" s="163">
        <v>0</v>
      </c>
      <c r="U182" s="163">
        <v>0</v>
      </c>
      <c r="V182" s="163">
        <v>0</v>
      </c>
      <c r="W182" s="163">
        <v>0</v>
      </c>
      <c r="X182" s="163">
        <v>0</v>
      </c>
      <c r="Y182" s="163">
        <v>16</v>
      </c>
      <c r="Z182" s="163">
        <v>16</v>
      </c>
      <c r="AA182" s="163">
        <v>0</v>
      </c>
      <c r="AB182" s="163">
        <v>0</v>
      </c>
      <c r="AC182" s="163">
        <v>14</v>
      </c>
      <c r="AD182" s="163">
        <v>2</v>
      </c>
      <c r="AE182" s="165">
        <v>0.5927733110696608</v>
      </c>
      <c r="AF182" s="166">
        <v>0.67745521265104092</v>
      </c>
    </row>
    <row r="183" spans="1:32">
      <c r="A183" s="161">
        <v>4</v>
      </c>
      <c r="B183" s="162">
        <v>0.77083333333333337</v>
      </c>
      <c r="C183" s="163">
        <v>16.620583132516806</v>
      </c>
      <c r="D183" s="163">
        <v>813.43646112711008</v>
      </c>
      <c r="E183" s="164">
        <v>0.95650000000000002</v>
      </c>
      <c r="F183" s="164">
        <v>0.95650000000000002</v>
      </c>
      <c r="G183" s="163">
        <v>14</v>
      </c>
      <c r="H183" s="163">
        <v>26.666666666666664</v>
      </c>
      <c r="I183" s="163">
        <v>12.666666666666664</v>
      </c>
      <c r="J183" s="163">
        <v>11</v>
      </c>
      <c r="K183" s="163">
        <v>11.412361673414306</v>
      </c>
      <c r="L183" s="163">
        <v>0.4123616734143063</v>
      </c>
      <c r="M183" s="163">
        <v>13</v>
      </c>
      <c r="N183" s="163">
        <v>24.363472784525413</v>
      </c>
      <c r="O183" s="163">
        <v>11.363472784525413</v>
      </c>
      <c r="P183" s="163"/>
      <c r="Q183" s="163">
        <v>16</v>
      </c>
      <c r="R183" s="163">
        <v>0</v>
      </c>
      <c r="S183" s="163">
        <v>0</v>
      </c>
      <c r="T183" s="163">
        <v>0</v>
      </c>
      <c r="U183" s="163">
        <v>0</v>
      </c>
      <c r="V183" s="163">
        <v>0</v>
      </c>
      <c r="W183" s="163">
        <v>0</v>
      </c>
      <c r="X183" s="163">
        <v>0</v>
      </c>
      <c r="Y183" s="163">
        <v>16</v>
      </c>
      <c r="Z183" s="163">
        <v>16</v>
      </c>
      <c r="AA183" s="163">
        <v>0</v>
      </c>
      <c r="AB183" s="163">
        <v>0</v>
      </c>
      <c r="AC183" s="163">
        <v>14</v>
      </c>
      <c r="AD183" s="163">
        <v>2</v>
      </c>
      <c r="AE183" s="165">
        <v>0.57587723845556271</v>
      </c>
      <c r="AF183" s="166">
        <v>0.65814541537778593</v>
      </c>
    </row>
    <row r="184" spans="1:32">
      <c r="A184" s="161">
        <v>4</v>
      </c>
      <c r="B184" s="162">
        <v>0.79166666666666663</v>
      </c>
      <c r="C184" s="163">
        <v>16.766796028431315</v>
      </c>
      <c r="D184" s="163">
        <v>785.89002145611482</v>
      </c>
      <c r="E184" s="164">
        <v>0.86870000000000003</v>
      </c>
      <c r="F184" s="164">
        <v>0.86870000000000003</v>
      </c>
      <c r="G184" s="163">
        <v>14</v>
      </c>
      <c r="H184" s="163">
        <v>23.333333333333336</v>
      </c>
      <c r="I184" s="163">
        <v>9.3333333333333357</v>
      </c>
      <c r="J184" s="163">
        <v>11</v>
      </c>
      <c r="K184" s="163">
        <v>11.412361673414306</v>
      </c>
      <c r="L184" s="163">
        <v>0.4123616734143063</v>
      </c>
      <c r="M184" s="163">
        <v>13</v>
      </c>
      <c r="N184" s="163">
        <v>21.31803868645974</v>
      </c>
      <c r="O184" s="163">
        <v>8.3180386864597402</v>
      </c>
      <c r="P184" s="163"/>
      <c r="Q184" s="163">
        <v>14</v>
      </c>
      <c r="R184" s="163">
        <v>0</v>
      </c>
      <c r="S184" s="163">
        <v>0</v>
      </c>
      <c r="T184" s="163">
        <v>0</v>
      </c>
      <c r="U184" s="163">
        <v>0</v>
      </c>
      <c r="V184" s="163">
        <v>0</v>
      </c>
      <c r="W184" s="163">
        <v>0</v>
      </c>
      <c r="X184" s="163">
        <v>0</v>
      </c>
      <c r="Y184" s="163">
        <v>14</v>
      </c>
      <c r="Z184" s="163">
        <v>14</v>
      </c>
      <c r="AA184" s="163">
        <v>0</v>
      </c>
      <c r="AB184" s="163">
        <v>0</v>
      </c>
      <c r="AC184" s="163">
        <v>12</v>
      </c>
      <c r="AD184" s="163">
        <v>2</v>
      </c>
      <c r="AE184" s="165">
        <v>0.64145149831648329</v>
      </c>
      <c r="AF184" s="166">
        <v>0.64145149831648329</v>
      </c>
    </row>
    <row r="185" spans="1:32">
      <c r="A185" s="161">
        <v>4</v>
      </c>
      <c r="B185" s="162">
        <v>0.8125</v>
      </c>
      <c r="C185" s="163">
        <v>14.329345294566654</v>
      </c>
      <c r="D185" s="163">
        <v>783.23682514876646</v>
      </c>
      <c r="E185" s="164">
        <v>0.94790000000000008</v>
      </c>
      <c r="F185" s="164">
        <v>0.94790000000000008</v>
      </c>
      <c r="G185" s="163">
        <v>13</v>
      </c>
      <c r="H185" s="163">
        <v>23.333333333333336</v>
      </c>
      <c r="I185" s="163">
        <v>10.333333333333336</v>
      </c>
      <c r="J185" s="163">
        <v>10</v>
      </c>
      <c r="K185" s="163">
        <v>10.597192982456141</v>
      </c>
      <c r="L185" s="163">
        <v>0.59719298245614105</v>
      </c>
      <c r="M185" s="163">
        <v>12</v>
      </c>
      <c r="N185" s="163">
        <v>21.31803868645974</v>
      </c>
      <c r="O185" s="163">
        <v>9.3180386864597402</v>
      </c>
      <c r="P185" s="163"/>
      <c r="Q185" s="163">
        <v>14</v>
      </c>
      <c r="R185" s="163">
        <v>0</v>
      </c>
      <c r="S185" s="163">
        <v>0</v>
      </c>
      <c r="T185" s="163">
        <v>0</v>
      </c>
      <c r="U185" s="163">
        <v>0</v>
      </c>
      <c r="V185" s="163">
        <v>0</v>
      </c>
      <c r="W185" s="163">
        <v>0</v>
      </c>
      <c r="X185" s="163">
        <v>0</v>
      </c>
      <c r="Y185" s="163">
        <v>14</v>
      </c>
      <c r="Z185" s="163">
        <v>14</v>
      </c>
      <c r="AA185" s="163">
        <v>0</v>
      </c>
      <c r="AB185" s="163">
        <v>0</v>
      </c>
      <c r="AC185" s="163">
        <v>12</v>
      </c>
      <c r="AD185" s="163">
        <v>2</v>
      </c>
      <c r="AE185" s="165">
        <v>0.54635058778811363</v>
      </c>
      <c r="AF185" s="166">
        <v>0.58837755607950692</v>
      </c>
    </row>
    <row r="186" spans="1:32">
      <c r="A186" s="161">
        <v>4</v>
      </c>
      <c r="B186" s="162">
        <v>0.83333333333333337</v>
      </c>
      <c r="C186" s="163">
        <v>14.566105903790907</v>
      </c>
      <c r="D186" s="163">
        <v>756.04200309506643</v>
      </c>
      <c r="E186" s="164">
        <v>0.75</v>
      </c>
      <c r="F186" s="164">
        <v>0.75</v>
      </c>
      <c r="G186" s="163">
        <v>12</v>
      </c>
      <c r="H186" s="163">
        <v>20.666666666666668</v>
      </c>
      <c r="I186" s="163">
        <v>8.6666666666666679</v>
      </c>
      <c r="J186" s="163">
        <v>9</v>
      </c>
      <c r="K186" s="163">
        <v>9.7820242914979758</v>
      </c>
      <c r="L186" s="163">
        <v>0.78202429149797581</v>
      </c>
      <c r="M186" s="163">
        <v>11</v>
      </c>
      <c r="N186" s="163">
        <v>18.881691408007196</v>
      </c>
      <c r="O186" s="163">
        <v>7.881691408007196</v>
      </c>
      <c r="P186" s="163"/>
      <c r="Q186" s="163">
        <v>14</v>
      </c>
      <c r="R186" s="163">
        <v>0</v>
      </c>
      <c r="S186" s="163">
        <v>0</v>
      </c>
      <c r="T186" s="163">
        <v>0</v>
      </c>
      <c r="U186" s="163">
        <v>0</v>
      </c>
      <c r="V186" s="163">
        <v>0</v>
      </c>
      <c r="W186" s="163">
        <v>0</v>
      </c>
      <c r="X186" s="163">
        <v>0</v>
      </c>
      <c r="Y186" s="163">
        <v>14</v>
      </c>
      <c r="Z186" s="163">
        <v>14</v>
      </c>
      <c r="AA186" s="163">
        <v>0</v>
      </c>
      <c r="AB186" s="163">
        <v>0</v>
      </c>
      <c r="AC186" s="163">
        <v>12</v>
      </c>
      <c r="AD186" s="163">
        <v>2</v>
      </c>
      <c r="AE186" s="165">
        <v>0.53609450484689725</v>
      </c>
      <c r="AF186" s="166">
        <v>0.62544358898804675</v>
      </c>
    </row>
    <row r="187" spans="1:32">
      <c r="A187" s="161">
        <v>4</v>
      </c>
      <c r="B187" s="162">
        <v>0.85416666666666663</v>
      </c>
      <c r="C187" s="163">
        <v>13.39445311989212</v>
      </c>
      <c r="D187" s="163">
        <v>711.91430656265902</v>
      </c>
      <c r="E187" s="164">
        <v>0.5544</v>
      </c>
      <c r="F187" s="164">
        <v>0.5544</v>
      </c>
      <c r="G187" s="163">
        <v>10</v>
      </c>
      <c r="H187" s="163">
        <v>15.333333333333332</v>
      </c>
      <c r="I187" s="163">
        <v>5.3333333333333321</v>
      </c>
      <c r="J187" s="163">
        <v>8</v>
      </c>
      <c r="K187" s="163">
        <v>8.1516869095816471</v>
      </c>
      <c r="L187" s="163">
        <v>0.1516869095816471</v>
      </c>
      <c r="M187" s="163">
        <v>9</v>
      </c>
      <c r="N187" s="163">
        <v>14.008996851102113</v>
      </c>
      <c r="O187" s="163">
        <v>5.008996851102113</v>
      </c>
      <c r="P187" s="163"/>
      <c r="Q187" s="163">
        <v>10</v>
      </c>
      <c r="R187" s="163">
        <v>0</v>
      </c>
      <c r="S187" s="163">
        <v>0</v>
      </c>
      <c r="T187" s="163">
        <v>0</v>
      </c>
      <c r="U187" s="163">
        <v>0</v>
      </c>
      <c r="V187" s="163">
        <v>0</v>
      </c>
      <c r="W187" s="163">
        <v>0</v>
      </c>
      <c r="X187" s="163">
        <v>0</v>
      </c>
      <c r="Y187" s="163">
        <v>10</v>
      </c>
      <c r="Z187" s="163">
        <v>10</v>
      </c>
      <c r="AA187" s="163">
        <v>0</v>
      </c>
      <c r="AB187" s="163">
        <v>0</v>
      </c>
      <c r="AC187" s="163">
        <v>8</v>
      </c>
      <c r="AD187" s="163">
        <v>2</v>
      </c>
      <c r="AE187" s="165">
        <v>0.64987931062639581</v>
      </c>
      <c r="AF187" s="166">
        <v>0.64987931062639581</v>
      </c>
    </row>
    <row r="188" spans="1:32">
      <c r="A188" s="161">
        <v>4</v>
      </c>
      <c r="B188" s="162">
        <v>0.875</v>
      </c>
      <c r="C188" s="163">
        <v>12.099392647052678</v>
      </c>
      <c r="D188" s="163">
        <v>737.06335709455766</v>
      </c>
      <c r="E188" s="164">
        <v>0.52910000000000001</v>
      </c>
      <c r="F188" s="164">
        <v>0.52910000000000001</v>
      </c>
      <c r="G188" s="163">
        <v>10</v>
      </c>
      <c r="H188" s="163">
        <v>13.333333333333332</v>
      </c>
      <c r="I188" s="163">
        <v>3.3333333333333321</v>
      </c>
      <c r="J188" s="163">
        <v>8</v>
      </c>
      <c r="K188" s="163">
        <v>8.1516869095816471</v>
      </c>
      <c r="L188" s="163">
        <v>0.1516869095816471</v>
      </c>
      <c r="M188" s="163">
        <v>9</v>
      </c>
      <c r="N188" s="163">
        <v>12.181736392262707</v>
      </c>
      <c r="O188" s="163">
        <v>3.1817363922627067</v>
      </c>
      <c r="P188" s="163"/>
      <c r="Q188" s="163">
        <v>8</v>
      </c>
      <c r="R188" s="163">
        <v>0</v>
      </c>
      <c r="S188" s="163">
        <v>0</v>
      </c>
      <c r="T188" s="163">
        <v>0</v>
      </c>
      <c r="U188" s="163">
        <v>0</v>
      </c>
      <c r="V188" s="163">
        <v>0</v>
      </c>
      <c r="W188" s="163">
        <v>0</v>
      </c>
      <c r="X188" s="163">
        <v>0</v>
      </c>
      <c r="Y188" s="163">
        <v>8</v>
      </c>
      <c r="Z188" s="163">
        <v>8</v>
      </c>
      <c r="AA188" s="163">
        <v>0</v>
      </c>
      <c r="AB188" s="163">
        <v>0</v>
      </c>
      <c r="AC188" s="163">
        <v>6</v>
      </c>
      <c r="AD188" s="163">
        <v>2</v>
      </c>
      <c r="AE188" s="165">
        <v>0.759728482357935</v>
      </c>
      <c r="AF188" s="166">
        <v>0.60778278588634804</v>
      </c>
    </row>
    <row r="189" spans="1:32">
      <c r="A189" s="161">
        <v>4</v>
      </c>
      <c r="B189" s="162">
        <v>0.89583333333333337</v>
      </c>
      <c r="C189" s="163">
        <v>9.5959096828505697</v>
      </c>
      <c r="D189" s="163">
        <v>682.55973768783451</v>
      </c>
      <c r="E189" s="164">
        <v>0.82909999999999995</v>
      </c>
      <c r="F189" s="164">
        <v>0.82909999999999995</v>
      </c>
      <c r="G189" s="163">
        <v>8</v>
      </c>
      <c r="H189" s="163">
        <v>13.333333333333332</v>
      </c>
      <c r="I189" s="163">
        <v>5.3333333333333321</v>
      </c>
      <c r="J189" s="163">
        <v>6</v>
      </c>
      <c r="K189" s="163">
        <v>6.5213495276653175</v>
      </c>
      <c r="L189" s="163">
        <v>0.5213495276653175</v>
      </c>
      <c r="M189" s="163">
        <v>7</v>
      </c>
      <c r="N189" s="163">
        <v>12.181736392262707</v>
      </c>
      <c r="O189" s="163">
        <v>5.1817363922627067</v>
      </c>
      <c r="P189" s="163"/>
      <c r="Q189" s="163">
        <v>8</v>
      </c>
      <c r="R189" s="163">
        <v>0</v>
      </c>
      <c r="S189" s="163">
        <v>0</v>
      </c>
      <c r="T189" s="163">
        <v>0</v>
      </c>
      <c r="U189" s="163">
        <v>0</v>
      </c>
      <c r="V189" s="163">
        <v>0</v>
      </c>
      <c r="W189" s="163">
        <v>0</v>
      </c>
      <c r="X189" s="163">
        <v>0</v>
      </c>
      <c r="Y189" s="163">
        <v>8</v>
      </c>
      <c r="Z189" s="163">
        <v>8</v>
      </c>
      <c r="AA189" s="163">
        <v>0</v>
      </c>
      <c r="AB189" s="163">
        <v>0</v>
      </c>
      <c r="AC189" s="163">
        <v>6</v>
      </c>
      <c r="AD189" s="163">
        <v>2</v>
      </c>
      <c r="AE189" s="165">
        <v>0.55797769125825392</v>
      </c>
      <c r="AF189" s="166">
        <v>0.55797769125825392</v>
      </c>
    </row>
    <row r="190" spans="1:32">
      <c r="A190" s="161">
        <v>4</v>
      </c>
      <c r="B190" s="162">
        <v>0.91666666666666663</v>
      </c>
      <c r="C190" s="163">
        <v>5.194145281429936</v>
      </c>
      <c r="D190" s="163">
        <v>682.8853936037566</v>
      </c>
      <c r="E190" s="164">
        <v>0.90633333333333344</v>
      </c>
      <c r="F190" s="164">
        <v>0.90633333333333344</v>
      </c>
      <c r="G190" s="163">
        <v>5</v>
      </c>
      <c r="H190" s="163">
        <v>12</v>
      </c>
      <c r="I190" s="163">
        <v>7</v>
      </c>
      <c r="J190" s="163">
        <v>4</v>
      </c>
      <c r="K190" s="163">
        <v>4.0758434547908236</v>
      </c>
      <c r="L190" s="163">
        <v>7.584345479082355E-2</v>
      </c>
      <c r="M190" s="163">
        <v>5</v>
      </c>
      <c r="N190" s="163">
        <v>10.963562753036436</v>
      </c>
      <c r="O190" s="163">
        <v>5.9635627530364363</v>
      </c>
      <c r="P190" s="163"/>
      <c r="Q190" s="163">
        <v>8</v>
      </c>
      <c r="R190" s="163">
        <v>0</v>
      </c>
      <c r="S190" s="163">
        <v>0</v>
      </c>
      <c r="T190" s="163">
        <v>0</v>
      </c>
      <c r="U190" s="163">
        <v>0</v>
      </c>
      <c r="V190" s="163">
        <v>0</v>
      </c>
      <c r="W190" s="163">
        <v>0</v>
      </c>
      <c r="X190" s="163">
        <v>0</v>
      </c>
      <c r="Y190" s="163">
        <v>8</v>
      </c>
      <c r="Z190" s="163">
        <v>8</v>
      </c>
      <c r="AA190" s="163">
        <v>0</v>
      </c>
      <c r="AB190" s="163">
        <v>0</v>
      </c>
      <c r="AC190" s="163">
        <v>6</v>
      </c>
      <c r="AD190" s="163">
        <v>2</v>
      </c>
      <c r="AE190" s="165">
        <v>0.30217040965873571</v>
      </c>
      <c r="AF190" s="166">
        <v>0.48347265545397711</v>
      </c>
    </row>
    <row r="191" spans="1:32">
      <c r="A191" s="161">
        <v>4</v>
      </c>
      <c r="B191" s="162">
        <v>0.9375</v>
      </c>
      <c r="C191" s="163">
        <v>4.1460128050413871</v>
      </c>
      <c r="D191" s="163">
        <v>679.95800569917947</v>
      </c>
      <c r="E191" s="164">
        <v>0.87583333333333335</v>
      </c>
      <c r="F191" s="164">
        <v>0.87583333333333335</v>
      </c>
      <c r="G191" s="163">
        <v>5</v>
      </c>
      <c r="H191" s="163">
        <v>9.3333333333333339</v>
      </c>
      <c r="I191" s="163">
        <v>4.3333333333333339</v>
      </c>
      <c r="J191" s="163">
        <v>4</v>
      </c>
      <c r="K191" s="163">
        <v>4.0758434547908236</v>
      </c>
      <c r="L191" s="163">
        <v>7.584345479082355E-2</v>
      </c>
      <c r="M191" s="163">
        <v>5</v>
      </c>
      <c r="N191" s="163">
        <v>8.5272154745838957</v>
      </c>
      <c r="O191" s="163">
        <v>3.5272154745838957</v>
      </c>
      <c r="P191" s="163"/>
      <c r="Q191" s="163">
        <v>6</v>
      </c>
      <c r="R191" s="163">
        <v>0</v>
      </c>
      <c r="S191" s="163">
        <v>0</v>
      </c>
      <c r="T191" s="163">
        <v>0</v>
      </c>
      <c r="U191" s="163">
        <v>0</v>
      </c>
      <c r="V191" s="163">
        <v>0</v>
      </c>
      <c r="W191" s="163">
        <v>0</v>
      </c>
      <c r="X191" s="163">
        <v>0</v>
      </c>
      <c r="Y191" s="163">
        <v>6</v>
      </c>
      <c r="Z191" s="163">
        <v>6</v>
      </c>
      <c r="AA191" s="163">
        <v>0</v>
      </c>
      <c r="AB191" s="163">
        <v>0</v>
      </c>
      <c r="AC191" s="163">
        <v>4</v>
      </c>
      <c r="AD191" s="163">
        <v>2</v>
      </c>
      <c r="AE191" s="165">
        <v>0.32021486152234357</v>
      </c>
      <c r="AF191" s="166">
        <v>0.38425783382681233</v>
      </c>
    </row>
    <row r="192" spans="1:32">
      <c r="A192" s="161">
        <v>4</v>
      </c>
      <c r="B192" s="162">
        <v>0.95833333333333337</v>
      </c>
      <c r="C192" s="163">
        <v>3.0438504302399148</v>
      </c>
      <c r="D192" s="163">
        <v>646.21905119252563</v>
      </c>
      <c r="E192" s="164">
        <v>0.89859999999999995</v>
      </c>
      <c r="F192" s="164">
        <v>0.89859999999999995</v>
      </c>
      <c r="G192" s="163">
        <v>4</v>
      </c>
      <c r="H192" s="163">
        <v>6.6666666666666661</v>
      </c>
      <c r="I192" s="163">
        <v>2.6666666666666661</v>
      </c>
      <c r="J192" s="163">
        <v>3</v>
      </c>
      <c r="K192" s="163">
        <v>3.2606747638326588</v>
      </c>
      <c r="L192" s="163">
        <v>0.26067476383265875</v>
      </c>
      <c r="M192" s="163">
        <v>4</v>
      </c>
      <c r="N192" s="163">
        <v>6.0908681961313533</v>
      </c>
      <c r="O192" s="163">
        <v>2.0908681961313533</v>
      </c>
      <c r="P192" s="163"/>
      <c r="Q192" s="163">
        <v>4</v>
      </c>
      <c r="R192" s="163">
        <v>0</v>
      </c>
      <c r="S192" s="163">
        <v>0</v>
      </c>
      <c r="T192" s="163">
        <v>0</v>
      </c>
      <c r="U192" s="163">
        <v>0</v>
      </c>
      <c r="V192" s="163">
        <v>0</v>
      </c>
      <c r="W192" s="163">
        <v>0</v>
      </c>
      <c r="X192" s="163">
        <v>0</v>
      </c>
      <c r="Y192" s="163">
        <v>4</v>
      </c>
      <c r="Z192" s="163">
        <v>4</v>
      </c>
      <c r="AA192" s="163">
        <v>0</v>
      </c>
      <c r="AB192" s="163">
        <v>0</v>
      </c>
      <c r="AC192" s="163">
        <v>4</v>
      </c>
      <c r="AD192" s="163">
        <v>0</v>
      </c>
      <c r="AE192" s="165">
        <v>0.33513754044944238</v>
      </c>
      <c r="AF192" s="166">
        <v>0.33513754044944238</v>
      </c>
    </row>
    <row r="193" spans="1:32">
      <c r="A193" s="161">
        <v>4</v>
      </c>
      <c r="B193" s="162">
        <v>0.97916666666666663</v>
      </c>
      <c r="C193" s="163">
        <v>2.2676267328149495</v>
      </c>
      <c r="D193" s="163">
        <v>646.09685717202819</v>
      </c>
      <c r="E193" s="164">
        <v>0.95099999999999996</v>
      </c>
      <c r="F193" s="164">
        <v>0.95099999999999996</v>
      </c>
      <c r="G193" s="163">
        <v>4</v>
      </c>
      <c r="H193" s="163">
        <v>6.6666666666666661</v>
      </c>
      <c r="I193" s="163">
        <v>2.6666666666666661</v>
      </c>
      <c r="J193" s="163">
        <v>3</v>
      </c>
      <c r="K193" s="163">
        <v>3.2606747638326588</v>
      </c>
      <c r="L193" s="163">
        <v>0.26067476383265875</v>
      </c>
      <c r="M193" s="163">
        <v>4</v>
      </c>
      <c r="N193" s="163">
        <v>6.0908681961313533</v>
      </c>
      <c r="O193" s="163">
        <v>2.0908681961313533</v>
      </c>
      <c r="P193" s="163"/>
      <c r="Q193" s="163">
        <v>4</v>
      </c>
      <c r="R193" s="163">
        <v>0</v>
      </c>
      <c r="S193" s="163">
        <v>0</v>
      </c>
      <c r="T193" s="163">
        <v>0</v>
      </c>
      <c r="U193" s="163">
        <v>0</v>
      </c>
      <c r="V193" s="163">
        <v>0</v>
      </c>
      <c r="W193" s="163">
        <v>0</v>
      </c>
      <c r="X193" s="163">
        <v>0</v>
      </c>
      <c r="Y193" s="163">
        <v>4</v>
      </c>
      <c r="Z193" s="163">
        <v>4</v>
      </c>
      <c r="AA193" s="163">
        <v>0</v>
      </c>
      <c r="AB193" s="163">
        <v>0</v>
      </c>
      <c r="AC193" s="163">
        <v>4</v>
      </c>
      <c r="AD193" s="163">
        <v>0</v>
      </c>
      <c r="AE193" s="165">
        <v>0.24962565035139803</v>
      </c>
      <c r="AF193" s="166">
        <v>0.24962565035139803</v>
      </c>
    </row>
    <row r="194" spans="1:32">
      <c r="A194" s="161">
        <v>5</v>
      </c>
      <c r="B194" s="162">
        <v>0</v>
      </c>
      <c r="C194" s="163">
        <v>1.2372116994524207</v>
      </c>
      <c r="D194" s="163">
        <v>661.61328131345749</v>
      </c>
      <c r="E194" s="164">
        <v>0.98929999999999996</v>
      </c>
      <c r="F194" s="164">
        <v>0.98929999999999996</v>
      </c>
      <c r="G194" s="163">
        <v>3</v>
      </c>
      <c r="H194" s="163">
        <v>6.6666666666666661</v>
      </c>
      <c r="I194" s="163">
        <v>3.6666666666666661</v>
      </c>
      <c r="J194" s="163">
        <v>2</v>
      </c>
      <c r="K194" s="163">
        <v>2.445506072874494</v>
      </c>
      <c r="L194" s="163">
        <v>0.44550607287449395</v>
      </c>
      <c r="M194" s="163">
        <v>3</v>
      </c>
      <c r="N194" s="163">
        <v>6.0908681961313533</v>
      </c>
      <c r="O194" s="163">
        <v>3.0908681961313533</v>
      </c>
      <c r="P194" s="163"/>
      <c r="Q194" s="163">
        <v>4</v>
      </c>
      <c r="R194" s="163">
        <v>0</v>
      </c>
      <c r="S194" s="163">
        <v>0</v>
      </c>
      <c r="T194" s="163">
        <v>0</v>
      </c>
      <c r="U194" s="163">
        <v>0</v>
      </c>
      <c r="V194" s="163">
        <v>0</v>
      </c>
      <c r="W194" s="163">
        <v>0</v>
      </c>
      <c r="X194" s="163">
        <v>0</v>
      </c>
      <c r="Y194" s="163">
        <v>4</v>
      </c>
      <c r="Z194" s="163">
        <v>4</v>
      </c>
      <c r="AA194" s="163">
        <v>0</v>
      </c>
      <c r="AB194" s="163">
        <v>0</v>
      </c>
      <c r="AC194" s="163">
        <v>4</v>
      </c>
      <c r="AD194" s="163">
        <v>0</v>
      </c>
      <c r="AE194" s="165">
        <v>0.13946596801127026</v>
      </c>
      <c r="AF194" s="166">
        <v>0.18595462401502699</v>
      </c>
    </row>
    <row r="195" spans="1:32">
      <c r="A195" s="161">
        <v>5</v>
      </c>
      <c r="B195" s="162">
        <v>2.0833333333333332E-2</v>
      </c>
      <c r="C195" s="163">
        <v>0.86439601506507913</v>
      </c>
      <c r="D195" s="163">
        <v>661.46625645069355</v>
      </c>
      <c r="E195" s="164">
        <v>0.99609999999999987</v>
      </c>
      <c r="F195" s="164">
        <v>0.99609999999999987</v>
      </c>
      <c r="G195" s="163">
        <v>3</v>
      </c>
      <c r="H195" s="163">
        <v>6.6666666666666661</v>
      </c>
      <c r="I195" s="163">
        <v>3.6666666666666661</v>
      </c>
      <c r="J195" s="163">
        <v>2</v>
      </c>
      <c r="K195" s="163">
        <v>2.445506072874494</v>
      </c>
      <c r="L195" s="163">
        <v>0.44550607287449395</v>
      </c>
      <c r="M195" s="163">
        <v>3</v>
      </c>
      <c r="N195" s="163">
        <v>6.0908681961313533</v>
      </c>
      <c r="O195" s="163">
        <v>3.0908681961313533</v>
      </c>
      <c r="P195" s="163"/>
      <c r="Q195" s="163">
        <v>4</v>
      </c>
      <c r="R195" s="163">
        <v>0</v>
      </c>
      <c r="S195" s="163">
        <v>0</v>
      </c>
      <c r="T195" s="163">
        <v>0</v>
      </c>
      <c r="U195" s="163">
        <v>0</v>
      </c>
      <c r="V195" s="163">
        <v>0</v>
      </c>
      <c r="W195" s="163">
        <v>0</v>
      </c>
      <c r="X195" s="163">
        <v>0</v>
      </c>
      <c r="Y195" s="163">
        <v>4</v>
      </c>
      <c r="Z195" s="163">
        <v>4</v>
      </c>
      <c r="AA195" s="163">
        <v>0</v>
      </c>
      <c r="AB195" s="163">
        <v>0</v>
      </c>
      <c r="AC195" s="163">
        <v>4</v>
      </c>
      <c r="AD195" s="163">
        <v>0</v>
      </c>
      <c r="AE195" s="165">
        <v>9.741828125032477E-2</v>
      </c>
      <c r="AF195" s="166">
        <v>0.12989104166709969</v>
      </c>
    </row>
    <row r="196" spans="1:32">
      <c r="A196" s="161">
        <v>5</v>
      </c>
      <c r="B196" s="162">
        <v>4.1666666666666664E-2</v>
      </c>
      <c r="C196" s="163">
        <v>0.65918890715572642</v>
      </c>
      <c r="D196" s="163">
        <v>626.87687411356978</v>
      </c>
      <c r="E196" s="164">
        <v>0.99850000000000005</v>
      </c>
      <c r="F196" s="164">
        <v>0.99850000000000005</v>
      </c>
      <c r="G196" s="163">
        <v>3</v>
      </c>
      <c r="H196" s="163">
        <v>6.6666666666666661</v>
      </c>
      <c r="I196" s="163">
        <v>3.6666666666666661</v>
      </c>
      <c r="J196" s="163">
        <v>2</v>
      </c>
      <c r="K196" s="163">
        <v>2.445506072874494</v>
      </c>
      <c r="L196" s="163">
        <v>0.44550607287449395</v>
      </c>
      <c r="M196" s="163">
        <v>3</v>
      </c>
      <c r="N196" s="163">
        <v>6.0908681961313533</v>
      </c>
      <c r="O196" s="163">
        <v>3.0908681961313533</v>
      </c>
      <c r="P196" s="163"/>
      <c r="Q196" s="163">
        <v>4</v>
      </c>
      <c r="R196" s="163">
        <v>0</v>
      </c>
      <c r="S196" s="163">
        <v>0</v>
      </c>
      <c r="T196" s="163">
        <v>0</v>
      </c>
      <c r="U196" s="163">
        <v>0</v>
      </c>
      <c r="V196" s="163">
        <v>0</v>
      </c>
      <c r="W196" s="163">
        <v>0</v>
      </c>
      <c r="X196" s="163">
        <v>0</v>
      </c>
      <c r="Y196" s="163">
        <v>4</v>
      </c>
      <c r="Z196" s="163">
        <v>4</v>
      </c>
      <c r="AA196" s="163">
        <v>0</v>
      </c>
      <c r="AB196" s="163">
        <v>0</v>
      </c>
      <c r="AC196" s="163">
        <v>4</v>
      </c>
      <c r="AD196" s="163">
        <v>0</v>
      </c>
      <c r="AE196" s="165">
        <v>7.0406402133499787E-2</v>
      </c>
      <c r="AF196" s="166">
        <v>9.3875202844666369E-2</v>
      </c>
    </row>
    <row r="197" spans="1:32">
      <c r="A197" s="161">
        <v>5</v>
      </c>
      <c r="B197" s="162">
        <v>6.25E-2</v>
      </c>
      <c r="C197" s="163">
        <v>0.52266797960657574</v>
      </c>
      <c r="D197" s="163">
        <v>610.39912869829186</v>
      </c>
      <c r="E197" s="164">
        <v>0.99929999999999997</v>
      </c>
      <c r="F197" s="164">
        <v>0.99929999999999997</v>
      </c>
      <c r="G197" s="163">
        <v>2</v>
      </c>
      <c r="H197" s="163">
        <v>6.6666666666666661</v>
      </c>
      <c r="I197" s="163">
        <v>4.6666666666666661</v>
      </c>
      <c r="J197" s="163">
        <v>1</v>
      </c>
      <c r="K197" s="163">
        <v>1.6303373819163294</v>
      </c>
      <c r="L197" s="163">
        <v>0.63033738191632938</v>
      </c>
      <c r="M197" s="163">
        <v>2</v>
      </c>
      <c r="N197" s="163">
        <v>6.0908681961313533</v>
      </c>
      <c r="O197" s="163">
        <v>4.0908681961313533</v>
      </c>
      <c r="P197" s="163"/>
      <c r="Q197" s="163">
        <v>4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4</v>
      </c>
      <c r="Z197" s="163">
        <v>4</v>
      </c>
      <c r="AA197" s="163">
        <v>0</v>
      </c>
      <c r="AB197" s="163">
        <v>0</v>
      </c>
      <c r="AC197" s="163">
        <v>4</v>
      </c>
      <c r="AD197" s="163">
        <v>0</v>
      </c>
      <c r="AE197" s="165">
        <v>5.4357542270611597E-2</v>
      </c>
      <c r="AF197" s="166">
        <v>0.10871508454122319</v>
      </c>
    </row>
    <row r="198" spans="1:32">
      <c r="A198" s="161">
        <v>5</v>
      </c>
      <c r="B198" s="162">
        <v>8.3333333333333329E-2</v>
      </c>
      <c r="C198" s="163">
        <v>0.42157709487108874</v>
      </c>
      <c r="D198" s="163">
        <v>628.62678601517723</v>
      </c>
      <c r="E198" s="164">
        <v>0.99949999999999994</v>
      </c>
      <c r="F198" s="164">
        <v>0.99949999999999994</v>
      </c>
      <c r="G198" s="163">
        <v>2</v>
      </c>
      <c r="H198" s="163">
        <v>6.6666666666666661</v>
      </c>
      <c r="I198" s="163">
        <v>4.6666666666666661</v>
      </c>
      <c r="J198" s="163">
        <v>1</v>
      </c>
      <c r="K198" s="163">
        <v>1.6303373819163294</v>
      </c>
      <c r="L198" s="163">
        <v>0.63033738191632938</v>
      </c>
      <c r="M198" s="163">
        <v>2</v>
      </c>
      <c r="N198" s="163">
        <v>6.0908681961313533</v>
      </c>
      <c r="O198" s="163">
        <v>4.0908681961313533</v>
      </c>
      <c r="P198" s="163"/>
      <c r="Q198" s="163">
        <v>4</v>
      </c>
      <c r="R198" s="163">
        <v>0</v>
      </c>
      <c r="S198" s="163">
        <v>0</v>
      </c>
      <c r="T198" s="163">
        <v>0</v>
      </c>
      <c r="U198" s="163">
        <v>0</v>
      </c>
      <c r="V198" s="163">
        <v>0</v>
      </c>
      <c r="W198" s="163">
        <v>0</v>
      </c>
      <c r="X198" s="163">
        <v>0</v>
      </c>
      <c r="Y198" s="163">
        <v>4</v>
      </c>
      <c r="Z198" s="163">
        <v>4</v>
      </c>
      <c r="AA198" s="163">
        <v>0</v>
      </c>
      <c r="AB198" s="163">
        <v>0</v>
      </c>
      <c r="AC198" s="163">
        <v>4</v>
      </c>
      <c r="AD198" s="163">
        <v>0</v>
      </c>
      <c r="AE198" s="165">
        <v>4.5153342210358383E-2</v>
      </c>
      <c r="AF198" s="166">
        <v>9.0306684420716765E-2</v>
      </c>
    </row>
    <row r="199" spans="1:32">
      <c r="A199" s="161">
        <v>5</v>
      </c>
      <c r="B199" s="162">
        <v>0.10416666666666667</v>
      </c>
      <c r="C199" s="163">
        <v>0.33731546509453009</v>
      </c>
      <c r="D199" s="163">
        <v>598.66314428377257</v>
      </c>
      <c r="E199" s="164">
        <v>0.99980000000000002</v>
      </c>
      <c r="F199" s="164">
        <v>0.99980000000000002</v>
      </c>
      <c r="G199" s="163">
        <v>2</v>
      </c>
      <c r="H199" s="163">
        <v>6.6666666666666661</v>
      </c>
      <c r="I199" s="163">
        <v>4.6666666666666661</v>
      </c>
      <c r="J199" s="163">
        <v>1</v>
      </c>
      <c r="K199" s="163">
        <v>1.6303373819163294</v>
      </c>
      <c r="L199" s="163">
        <v>0.63033738191632938</v>
      </c>
      <c r="M199" s="163">
        <v>2</v>
      </c>
      <c r="N199" s="163">
        <v>6.0908681961313533</v>
      </c>
      <c r="O199" s="163">
        <v>4.0908681961313533</v>
      </c>
      <c r="P199" s="163"/>
      <c r="Q199" s="163">
        <v>4</v>
      </c>
      <c r="R199" s="163">
        <v>0</v>
      </c>
      <c r="S199" s="163">
        <v>0</v>
      </c>
      <c r="T199" s="163">
        <v>0</v>
      </c>
      <c r="U199" s="163">
        <v>0</v>
      </c>
      <c r="V199" s="163">
        <v>0</v>
      </c>
      <c r="W199" s="163">
        <v>0</v>
      </c>
      <c r="X199" s="163">
        <v>0</v>
      </c>
      <c r="Y199" s="163">
        <v>4</v>
      </c>
      <c r="Z199" s="163">
        <v>4</v>
      </c>
      <c r="AA199" s="163">
        <v>0</v>
      </c>
      <c r="AB199" s="163">
        <v>0</v>
      </c>
      <c r="AC199" s="163">
        <v>4</v>
      </c>
      <c r="AD199" s="163">
        <v>0</v>
      </c>
      <c r="AE199" s="165">
        <v>3.440636466294418E-2</v>
      </c>
      <c r="AF199" s="166">
        <v>6.8812729325888361E-2</v>
      </c>
    </row>
    <row r="200" spans="1:32">
      <c r="A200" s="161">
        <v>5</v>
      </c>
      <c r="B200" s="162">
        <v>0.125</v>
      </c>
      <c r="C200" s="163">
        <v>0.3039536154175751</v>
      </c>
      <c r="D200" s="163">
        <v>598.55817888087893</v>
      </c>
      <c r="E200" s="164">
        <v>0.99980000000000002</v>
      </c>
      <c r="F200" s="164">
        <v>0.99980000000000002</v>
      </c>
      <c r="G200" s="163">
        <v>2</v>
      </c>
      <c r="H200" s="163">
        <v>6.6666666666666661</v>
      </c>
      <c r="I200" s="163">
        <v>4.6666666666666661</v>
      </c>
      <c r="J200" s="163">
        <v>1</v>
      </c>
      <c r="K200" s="163">
        <v>1.6303373819163294</v>
      </c>
      <c r="L200" s="163">
        <v>0.63033738191632938</v>
      </c>
      <c r="M200" s="163">
        <v>2</v>
      </c>
      <c r="N200" s="163">
        <v>6.0908681961313533</v>
      </c>
      <c r="O200" s="163">
        <v>4.0908681961313533</v>
      </c>
      <c r="P200" s="163"/>
      <c r="Q200" s="163">
        <v>4</v>
      </c>
      <c r="R200" s="163">
        <v>0</v>
      </c>
      <c r="S200" s="163">
        <v>0</v>
      </c>
      <c r="T200" s="163">
        <v>0</v>
      </c>
      <c r="U200" s="163">
        <v>0</v>
      </c>
      <c r="V200" s="163">
        <v>0</v>
      </c>
      <c r="W200" s="163">
        <v>0</v>
      </c>
      <c r="X200" s="163">
        <v>0</v>
      </c>
      <c r="Y200" s="163">
        <v>4</v>
      </c>
      <c r="Z200" s="163">
        <v>4</v>
      </c>
      <c r="AA200" s="163">
        <v>0</v>
      </c>
      <c r="AB200" s="163">
        <v>0</v>
      </c>
      <c r="AC200" s="163">
        <v>4</v>
      </c>
      <c r="AD200" s="163">
        <v>0</v>
      </c>
      <c r="AE200" s="165">
        <v>3.0998001553170385E-2</v>
      </c>
      <c r="AF200" s="166">
        <v>6.199600310634077E-2</v>
      </c>
    </row>
    <row r="201" spans="1:32">
      <c r="A201" s="161">
        <v>5</v>
      </c>
      <c r="B201" s="162">
        <v>0.14583333333333334</v>
      </c>
      <c r="C201" s="163">
        <v>0.3063335282961086</v>
      </c>
      <c r="D201" s="163">
        <v>633.81912716253487</v>
      </c>
      <c r="E201" s="164">
        <v>0.99980000000000002</v>
      </c>
      <c r="F201" s="164">
        <v>0.99980000000000002</v>
      </c>
      <c r="G201" s="163">
        <v>2</v>
      </c>
      <c r="H201" s="163">
        <v>6.6666666666666661</v>
      </c>
      <c r="I201" s="163">
        <v>4.6666666666666661</v>
      </c>
      <c r="J201" s="163">
        <v>1</v>
      </c>
      <c r="K201" s="163">
        <v>1.6303373819163294</v>
      </c>
      <c r="L201" s="163">
        <v>0.63033738191632938</v>
      </c>
      <c r="M201" s="163">
        <v>2</v>
      </c>
      <c r="N201" s="163">
        <v>6.0908681961313533</v>
      </c>
      <c r="O201" s="163">
        <v>4.0908681961313533</v>
      </c>
      <c r="P201" s="163"/>
      <c r="Q201" s="163">
        <v>4</v>
      </c>
      <c r="R201" s="163">
        <v>0</v>
      </c>
      <c r="S201" s="163">
        <v>0</v>
      </c>
      <c r="T201" s="163">
        <v>0</v>
      </c>
      <c r="U201" s="163">
        <v>0</v>
      </c>
      <c r="V201" s="163">
        <v>0</v>
      </c>
      <c r="W201" s="163">
        <v>0</v>
      </c>
      <c r="X201" s="163">
        <v>0</v>
      </c>
      <c r="Y201" s="163">
        <v>4</v>
      </c>
      <c r="Z201" s="163">
        <v>4</v>
      </c>
      <c r="AA201" s="163">
        <v>0</v>
      </c>
      <c r="AB201" s="163">
        <v>0</v>
      </c>
      <c r="AC201" s="163">
        <v>4</v>
      </c>
      <c r="AD201" s="163">
        <v>0</v>
      </c>
      <c r="AE201" s="165">
        <v>3.3081095783349772E-2</v>
      </c>
      <c r="AF201" s="166">
        <v>6.6162191566699544E-2</v>
      </c>
    </row>
    <row r="202" spans="1:32">
      <c r="A202" s="161">
        <v>5</v>
      </c>
      <c r="B202" s="162">
        <v>0.16666666666666666</v>
      </c>
      <c r="C202" s="163">
        <v>0.3432354318644914</v>
      </c>
      <c r="D202" s="163">
        <v>633.84597370606411</v>
      </c>
      <c r="E202" s="164">
        <v>0.99970000000000014</v>
      </c>
      <c r="F202" s="164">
        <v>0.99970000000000014</v>
      </c>
      <c r="G202" s="163">
        <v>2</v>
      </c>
      <c r="H202" s="163">
        <v>6.6666666666666661</v>
      </c>
      <c r="I202" s="163">
        <v>4.6666666666666661</v>
      </c>
      <c r="J202" s="163">
        <v>1</v>
      </c>
      <c r="K202" s="163">
        <v>1.6303373819163294</v>
      </c>
      <c r="L202" s="163">
        <v>0.63033738191632938</v>
      </c>
      <c r="M202" s="163">
        <v>2</v>
      </c>
      <c r="N202" s="163">
        <v>6.0908681961313533</v>
      </c>
      <c r="O202" s="163">
        <v>4.0908681961313533</v>
      </c>
      <c r="P202" s="163"/>
      <c r="Q202" s="163">
        <v>4</v>
      </c>
      <c r="R202" s="163">
        <v>0</v>
      </c>
      <c r="S202" s="163">
        <v>0</v>
      </c>
      <c r="T202" s="163">
        <v>0</v>
      </c>
      <c r="U202" s="163">
        <v>0</v>
      </c>
      <c r="V202" s="163">
        <v>0</v>
      </c>
      <c r="W202" s="163">
        <v>0</v>
      </c>
      <c r="X202" s="163">
        <v>0</v>
      </c>
      <c r="Y202" s="163">
        <v>4</v>
      </c>
      <c r="Z202" s="163">
        <v>4</v>
      </c>
      <c r="AA202" s="163">
        <v>0</v>
      </c>
      <c r="AB202" s="163">
        <v>0</v>
      </c>
      <c r="AC202" s="163">
        <v>4</v>
      </c>
      <c r="AD202" s="163">
        <v>0</v>
      </c>
      <c r="AE202" s="165">
        <v>3.7067718984242756E-2</v>
      </c>
      <c r="AF202" s="166">
        <v>7.4135437968485512E-2</v>
      </c>
    </row>
    <row r="203" spans="1:32">
      <c r="A203" s="161">
        <v>5</v>
      </c>
      <c r="B203" s="162">
        <v>0.1875</v>
      </c>
      <c r="C203" s="163">
        <v>0.50457076237905596</v>
      </c>
      <c r="D203" s="163">
        <v>673.46166696071987</v>
      </c>
      <c r="E203" s="164">
        <v>0.99909999999999999</v>
      </c>
      <c r="F203" s="164">
        <v>0.99909999999999999</v>
      </c>
      <c r="G203" s="163">
        <v>2</v>
      </c>
      <c r="H203" s="163">
        <v>6.6666666666666661</v>
      </c>
      <c r="I203" s="163">
        <v>4.6666666666666661</v>
      </c>
      <c r="J203" s="163">
        <v>1</v>
      </c>
      <c r="K203" s="163">
        <v>1.6303373819163294</v>
      </c>
      <c r="L203" s="163">
        <v>0.63033738191632938</v>
      </c>
      <c r="M203" s="163">
        <v>2</v>
      </c>
      <c r="N203" s="163">
        <v>6.0908681961313533</v>
      </c>
      <c r="O203" s="163">
        <v>4.0908681961313533</v>
      </c>
      <c r="P203" s="163"/>
      <c r="Q203" s="163">
        <v>4</v>
      </c>
      <c r="R203" s="163">
        <v>0</v>
      </c>
      <c r="S203" s="163">
        <v>0</v>
      </c>
      <c r="T203" s="163">
        <v>0</v>
      </c>
      <c r="U203" s="163">
        <v>0</v>
      </c>
      <c r="V203" s="163">
        <v>0</v>
      </c>
      <c r="W203" s="163">
        <v>0</v>
      </c>
      <c r="X203" s="163">
        <v>0</v>
      </c>
      <c r="Y203" s="163">
        <v>4</v>
      </c>
      <c r="Z203" s="163">
        <v>4</v>
      </c>
      <c r="AA203" s="163">
        <v>0</v>
      </c>
      <c r="AB203" s="163">
        <v>0</v>
      </c>
      <c r="AC203" s="163">
        <v>4</v>
      </c>
      <c r="AD203" s="163">
        <v>0</v>
      </c>
      <c r="AE203" s="165">
        <v>5.789685525976878E-2</v>
      </c>
      <c r="AF203" s="166">
        <v>0.11579371051953756</v>
      </c>
    </row>
    <row r="204" spans="1:32">
      <c r="A204" s="161">
        <v>5</v>
      </c>
      <c r="B204" s="162">
        <v>0.20833333333333334</v>
      </c>
      <c r="C204" s="163">
        <v>0.88516167248638578</v>
      </c>
      <c r="D204" s="163">
        <v>707.88277556067817</v>
      </c>
      <c r="E204" s="164">
        <v>0.99480000000000002</v>
      </c>
      <c r="F204" s="164">
        <v>0.99480000000000002</v>
      </c>
      <c r="G204" s="163">
        <v>3</v>
      </c>
      <c r="H204" s="163">
        <v>6.6666666666666661</v>
      </c>
      <c r="I204" s="163">
        <v>3.6666666666666661</v>
      </c>
      <c r="J204" s="163">
        <v>2</v>
      </c>
      <c r="K204" s="163">
        <v>2.445506072874494</v>
      </c>
      <c r="L204" s="163">
        <v>0.44550607287449395</v>
      </c>
      <c r="M204" s="163">
        <v>3</v>
      </c>
      <c r="N204" s="163">
        <v>6.0908681961313533</v>
      </c>
      <c r="O204" s="163">
        <v>3.0908681961313533</v>
      </c>
      <c r="P204" s="163"/>
      <c r="Q204" s="163">
        <v>4</v>
      </c>
      <c r="R204" s="163">
        <v>0</v>
      </c>
      <c r="S204" s="163">
        <v>0</v>
      </c>
      <c r="T204" s="163">
        <v>0</v>
      </c>
      <c r="U204" s="163">
        <v>0</v>
      </c>
      <c r="V204" s="163">
        <v>0</v>
      </c>
      <c r="W204" s="163">
        <v>0</v>
      </c>
      <c r="X204" s="163">
        <v>0</v>
      </c>
      <c r="Y204" s="163">
        <v>4</v>
      </c>
      <c r="Z204" s="163">
        <v>4</v>
      </c>
      <c r="AA204" s="163">
        <v>0</v>
      </c>
      <c r="AB204" s="163">
        <v>0</v>
      </c>
      <c r="AC204" s="163">
        <v>4</v>
      </c>
      <c r="AD204" s="163">
        <v>0</v>
      </c>
      <c r="AE204" s="165">
        <v>0.10675886756966971</v>
      </c>
      <c r="AF204" s="166">
        <v>0.14234515675955958</v>
      </c>
    </row>
    <row r="205" spans="1:32">
      <c r="A205" s="161">
        <v>5</v>
      </c>
      <c r="B205" s="162">
        <v>0.22916666666666666</v>
      </c>
      <c r="C205" s="163">
        <v>1.4828649751206313</v>
      </c>
      <c r="D205" s="163">
        <v>723.49734578468758</v>
      </c>
      <c r="E205" s="164">
        <v>0.97789999999999999</v>
      </c>
      <c r="F205" s="164">
        <v>0.97789999999999999</v>
      </c>
      <c r="G205" s="163">
        <v>3</v>
      </c>
      <c r="H205" s="163">
        <v>6.6666666666666661</v>
      </c>
      <c r="I205" s="163">
        <v>3.6666666666666661</v>
      </c>
      <c r="J205" s="163">
        <v>2</v>
      </c>
      <c r="K205" s="163">
        <v>2.445506072874494</v>
      </c>
      <c r="L205" s="163">
        <v>0.44550607287449395</v>
      </c>
      <c r="M205" s="163">
        <v>3</v>
      </c>
      <c r="N205" s="163">
        <v>6.0908681961313533</v>
      </c>
      <c r="O205" s="163">
        <v>3.0908681961313533</v>
      </c>
      <c r="P205" s="163"/>
      <c r="Q205" s="163">
        <v>4</v>
      </c>
      <c r="R205" s="163">
        <v>0</v>
      </c>
      <c r="S205" s="163">
        <v>0</v>
      </c>
      <c r="T205" s="163">
        <v>0</v>
      </c>
      <c r="U205" s="163">
        <v>0</v>
      </c>
      <c r="V205" s="163">
        <v>0</v>
      </c>
      <c r="W205" s="163">
        <v>0</v>
      </c>
      <c r="X205" s="163">
        <v>0</v>
      </c>
      <c r="Y205" s="163">
        <v>4</v>
      </c>
      <c r="Z205" s="163">
        <v>4</v>
      </c>
      <c r="AA205" s="163">
        <v>0</v>
      </c>
      <c r="AB205" s="163">
        <v>0</v>
      </c>
      <c r="AC205" s="163">
        <v>4</v>
      </c>
      <c r="AD205" s="163">
        <v>0</v>
      </c>
      <c r="AE205" s="165">
        <v>0.18279257981897087</v>
      </c>
      <c r="AF205" s="166">
        <v>0.24372343975862784</v>
      </c>
    </row>
    <row r="206" spans="1:32">
      <c r="A206" s="161">
        <v>5</v>
      </c>
      <c r="B206" s="162">
        <v>0.25</v>
      </c>
      <c r="C206" s="163">
        <v>2.2782588718331223</v>
      </c>
      <c r="D206" s="163">
        <v>730.82681013509205</v>
      </c>
      <c r="E206" s="164">
        <v>0.93190000000000006</v>
      </c>
      <c r="F206" s="164">
        <v>0.93190000000000006</v>
      </c>
      <c r="G206" s="163">
        <v>4</v>
      </c>
      <c r="H206" s="163">
        <v>6.6666666666666661</v>
      </c>
      <c r="I206" s="163">
        <v>2.6666666666666661</v>
      </c>
      <c r="J206" s="163">
        <v>3</v>
      </c>
      <c r="K206" s="163">
        <v>3.2606747638326588</v>
      </c>
      <c r="L206" s="163">
        <v>0.26067476383265875</v>
      </c>
      <c r="M206" s="163">
        <v>4</v>
      </c>
      <c r="N206" s="163">
        <v>6.0908681961313533</v>
      </c>
      <c r="O206" s="163">
        <v>2.0908681961313533</v>
      </c>
      <c r="P206" s="163"/>
      <c r="Q206" s="163">
        <v>4</v>
      </c>
      <c r="R206" s="163">
        <v>0</v>
      </c>
      <c r="S206" s="163">
        <v>0</v>
      </c>
      <c r="T206" s="163">
        <v>0</v>
      </c>
      <c r="U206" s="163">
        <v>0</v>
      </c>
      <c r="V206" s="163">
        <v>0</v>
      </c>
      <c r="W206" s="163">
        <v>0</v>
      </c>
      <c r="X206" s="163">
        <v>0</v>
      </c>
      <c r="Y206" s="163">
        <v>4</v>
      </c>
      <c r="Z206" s="163">
        <v>4</v>
      </c>
      <c r="AA206" s="163">
        <v>0</v>
      </c>
      <c r="AB206" s="163">
        <v>0</v>
      </c>
      <c r="AC206" s="163">
        <v>4</v>
      </c>
      <c r="AD206" s="163">
        <v>0</v>
      </c>
      <c r="AE206" s="165">
        <v>0.28368577136106621</v>
      </c>
      <c r="AF206" s="166">
        <v>0.28368577136106621</v>
      </c>
    </row>
    <row r="207" spans="1:32">
      <c r="A207" s="161">
        <v>5</v>
      </c>
      <c r="B207" s="162">
        <v>0.27083333333333331</v>
      </c>
      <c r="C207" s="163">
        <v>3.2895676788585582</v>
      </c>
      <c r="D207" s="163">
        <v>800.85923183203136</v>
      </c>
      <c r="E207" s="164">
        <v>0.79779999999999995</v>
      </c>
      <c r="F207" s="164">
        <v>0.79779999999999995</v>
      </c>
      <c r="G207" s="163">
        <v>5</v>
      </c>
      <c r="H207" s="163">
        <v>6.6666666666666661</v>
      </c>
      <c r="I207" s="163">
        <v>1.6666666666666661</v>
      </c>
      <c r="J207" s="163">
        <v>4</v>
      </c>
      <c r="K207" s="163">
        <v>4.0758434547908236</v>
      </c>
      <c r="L207" s="163">
        <v>7.584345479082355E-2</v>
      </c>
      <c r="M207" s="163">
        <v>5</v>
      </c>
      <c r="N207" s="163">
        <v>6.0908681961313533</v>
      </c>
      <c r="O207" s="163">
        <v>1.0908681961313533</v>
      </c>
      <c r="P207" s="163"/>
      <c r="Q207" s="163">
        <v>4</v>
      </c>
      <c r="R207" s="163">
        <v>0</v>
      </c>
      <c r="S207" s="163">
        <v>0</v>
      </c>
      <c r="T207" s="163">
        <v>0</v>
      </c>
      <c r="U207" s="163">
        <v>0</v>
      </c>
      <c r="V207" s="163">
        <v>0</v>
      </c>
      <c r="W207" s="163">
        <v>0</v>
      </c>
      <c r="X207" s="163">
        <v>0</v>
      </c>
      <c r="Y207" s="163">
        <v>4</v>
      </c>
      <c r="Z207" s="163">
        <v>4</v>
      </c>
      <c r="AA207" s="163">
        <v>0</v>
      </c>
      <c r="AB207" s="163">
        <v>0</v>
      </c>
      <c r="AC207" s="163">
        <v>4</v>
      </c>
      <c r="AD207" s="163">
        <v>0</v>
      </c>
      <c r="AE207" s="165">
        <v>0.44886425785439527</v>
      </c>
      <c r="AF207" s="166">
        <v>0.35909140628351621</v>
      </c>
    </row>
    <row r="208" spans="1:32">
      <c r="A208" s="161">
        <v>5</v>
      </c>
      <c r="B208" s="162">
        <v>0.29166666666666669</v>
      </c>
      <c r="C208" s="163">
        <v>8.0320644800528598</v>
      </c>
      <c r="D208" s="163">
        <v>803.65692595240193</v>
      </c>
      <c r="E208" s="164">
        <v>0.67559999999999987</v>
      </c>
      <c r="F208" s="164">
        <v>0.67559999999999987</v>
      </c>
      <c r="G208" s="163">
        <v>8</v>
      </c>
      <c r="H208" s="163">
        <v>11.666666666666668</v>
      </c>
      <c r="I208" s="163">
        <v>3.6666666666666679</v>
      </c>
      <c r="J208" s="163">
        <v>6</v>
      </c>
      <c r="K208" s="163">
        <v>6.5213495276653175</v>
      </c>
      <c r="L208" s="163">
        <v>0.5213495276653175</v>
      </c>
      <c r="M208" s="163">
        <v>7</v>
      </c>
      <c r="N208" s="163">
        <v>10.65901934322987</v>
      </c>
      <c r="O208" s="163">
        <v>3.6590193432298701</v>
      </c>
      <c r="P208" s="163"/>
      <c r="Q208" s="163">
        <v>7</v>
      </c>
      <c r="R208" s="163">
        <v>0</v>
      </c>
      <c r="S208" s="163">
        <v>0</v>
      </c>
      <c r="T208" s="163">
        <v>0</v>
      </c>
      <c r="U208" s="163">
        <v>0</v>
      </c>
      <c r="V208" s="163">
        <v>0</v>
      </c>
      <c r="W208" s="163">
        <v>0</v>
      </c>
      <c r="X208" s="163">
        <v>0</v>
      </c>
      <c r="Y208" s="163">
        <v>7</v>
      </c>
      <c r="Z208" s="163">
        <v>7</v>
      </c>
      <c r="AA208" s="163">
        <v>0</v>
      </c>
      <c r="AB208" s="163">
        <v>0</v>
      </c>
      <c r="AC208" s="163">
        <v>4</v>
      </c>
      <c r="AD208" s="163">
        <v>3</v>
      </c>
      <c r="AE208" s="165">
        <v>0.62846318500092135</v>
      </c>
      <c r="AF208" s="166">
        <v>0.5499052868758062</v>
      </c>
    </row>
    <row r="209" spans="1:32">
      <c r="A209" s="161">
        <v>5</v>
      </c>
      <c r="B209" s="162">
        <v>0.3125</v>
      </c>
      <c r="C209" s="163">
        <v>9.4066069027135999</v>
      </c>
      <c r="D209" s="163">
        <v>813.35884689146178</v>
      </c>
      <c r="E209" s="164">
        <v>0.9365</v>
      </c>
      <c r="F209" s="164">
        <v>0.9365</v>
      </c>
      <c r="G209" s="163">
        <v>9</v>
      </c>
      <c r="H209" s="163">
        <v>18.333333333333332</v>
      </c>
      <c r="I209" s="163">
        <v>9.3333333333333321</v>
      </c>
      <c r="J209" s="163">
        <v>7</v>
      </c>
      <c r="K209" s="163">
        <v>7.3365182186234819</v>
      </c>
      <c r="L209" s="163">
        <v>0.33651821862348186</v>
      </c>
      <c r="M209" s="163">
        <v>8</v>
      </c>
      <c r="N209" s="163">
        <v>16.749887539361222</v>
      </c>
      <c r="O209" s="163">
        <v>8.7498875393612217</v>
      </c>
      <c r="P209" s="163"/>
      <c r="Q209" s="163">
        <v>11</v>
      </c>
      <c r="R209" s="163">
        <v>0</v>
      </c>
      <c r="S209" s="163">
        <v>0</v>
      </c>
      <c r="T209" s="163">
        <v>0</v>
      </c>
      <c r="U209" s="163">
        <v>0</v>
      </c>
      <c r="V209" s="163">
        <v>0</v>
      </c>
      <c r="W209" s="163">
        <v>0</v>
      </c>
      <c r="X209" s="163">
        <v>0</v>
      </c>
      <c r="Y209" s="163">
        <v>11</v>
      </c>
      <c r="Z209" s="163">
        <v>11</v>
      </c>
      <c r="AA209" s="163">
        <v>0</v>
      </c>
      <c r="AB209" s="163">
        <v>0</v>
      </c>
      <c r="AC209" s="163">
        <v>8</v>
      </c>
      <c r="AD209" s="163">
        <v>3</v>
      </c>
      <c r="AE209" s="165">
        <v>0.47402637770763784</v>
      </c>
      <c r="AF209" s="166">
        <v>0.57936557275377953</v>
      </c>
    </row>
    <row r="210" spans="1:32">
      <c r="A210" s="161">
        <v>5</v>
      </c>
      <c r="B210" s="162">
        <v>0.33333333333333331</v>
      </c>
      <c r="C210" s="163">
        <v>13.357341328515624</v>
      </c>
      <c r="D210" s="163">
        <v>851.7946578293047</v>
      </c>
      <c r="E210" s="164">
        <v>0.88880000000000015</v>
      </c>
      <c r="F210" s="164">
        <v>0.88880000000000015</v>
      </c>
      <c r="G210" s="163">
        <v>13</v>
      </c>
      <c r="H210" s="163">
        <v>21.666666666666664</v>
      </c>
      <c r="I210" s="163">
        <v>8.6666666666666643</v>
      </c>
      <c r="J210" s="163">
        <v>10</v>
      </c>
      <c r="K210" s="163">
        <v>10.597192982456141</v>
      </c>
      <c r="L210" s="163">
        <v>0.59719298245614105</v>
      </c>
      <c r="M210" s="163">
        <v>12</v>
      </c>
      <c r="N210" s="163">
        <v>19.795321637426898</v>
      </c>
      <c r="O210" s="163">
        <v>7.7953216374268983</v>
      </c>
      <c r="P210" s="163"/>
      <c r="Q210" s="163">
        <v>13</v>
      </c>
      <c r="R210" s="163">
        <v>0</v>
      </c>
      <c r="S210" s="163">
        <v>0</v>
      </c>
      <c r="T210" s="163">
        <v>0</v>
      </c>
      <c r="U210" s="163">
        <v>0</v>
      </c>
      <c r="V210" s="163">
        <v>0</v>
      </c>
      <c r="W210" s="163">
        <v>0</v>
      </c>
      <c r="X210" s="163">
        <v>0</v>
      </c>
      <c r="Y210" s="163">
        <v>13</v>
      </c>
      <c r="Z210" s="163">
        <v>13</v>
      </c>
      <c r="AA210" s="163">
        <v>0</v>
      </c>
      <c r="AB210" s="163">
        <v>0</v>
      </c>
      <c r="AC210" s="163">
        <v>10</v>
      </c>
      <c r="AD210" s="163">
        <v>3</v>
      </c>
      <c r="AE210" s="165">
        <v>0.59647409592690259</v>
      </c>
      <c r="AF210" s="166">
        <v>0.59647409592690259</v>
      </c>
    </row>
    <row r="211" spans="1:32">
      <c r="A211" s="161">
        <v>5</v>
      </c>
      <c r="B211" s="162">
        <v>0.35416666666666669</v>
      </c>
      <c r="C211" s="163">
        <v>16.175123583133789</v>
      </c>
      <c r="D211" s="163">
        <v>868.52805344375304</v>
      </c>
      <c r="E211" s="164">
        <v>0.89370000000000005</v>
      </c>
      <c r="F211" s="164">
        <v>0.89370000000000005</v>
      </c>
      <c r="G211" s="163">
        <v>15</v>
      </c>
      <c r="H211" s="163">
        <v>25</v>
      </c>
      <c r="I211" s="163">
        <v>10</v>
      </c>
      <c r="J211" s="163">
        <v>12</v>
      </c>
      <c r="K211" s="163">
        <v>12.22753036437247</v>
      </c>
      <c r="L211" s="163">
        <v>0.22753036437246976</v>
      </c>
      <c r="M211" s="163">
        <v>14</v>
      </c>
      <c r="N211" s="163">
        <v>22.840755735492575</v>
      </c>
      <c r="O211" s="163">
        <v>8.840755735492575</v>
      </c>
      <c r="P211" s="163"/>
      <c r="Q211" s="163">
        <v>15</v>
      </c>
      <c r="R211" s="163">
        <v>0</v>
      </c>
      <c r="S211" s="163">
        <v>0</v>
      </c>
      <c r="T211" s="163">
        <v>0</v>
      </c>
      <c r="U211" s="163">
        <v>0</v>
      </c>
      <c r="V211" s="163">
        <v>0</v>
      </c>
      <c r="W211" s="163">
        <v>0</v>
      </c>
      <c r="X211" s="163">
        <v>0</v>
      </c>
      <c r="Y211" s="163">
        <v>15</v>
      </c>
      <c r="Z211" s="163">
        <v>15</v>
      </c>
      <c r="AA211" s="163">
        <v>0</v>
      </c>
      <c r="AB211" s="163">
        <v>0</v>
      </c>
      <c r="AC211" s="163">
        <v>10</v>
      </c>
      <c r="AD211" s="163">
        <v>5</v>
      </c>
      <c r="AE211" s="165">
        <v>0.63829317855480849</v>
      </c>
      <c r="AF211" s="166">
        <v>0.63829317855480849</v>
      </c>
    </row>
    <row r="212" spans="1:32">
      <c r="A212" s="161">
        <v>5</v>
      </c>
      <c r="B212" s="162">
        <v>0.375</v>
      </c>
      <c r="C212" s="163">
        <v>19.587416043607881</v>
      </c>
      <c r="D212" s="163">
        <v>880.22772877191267</v>
      </c>
      <c r="E212" s="164">
        <v>0.81979999999999997</v>
      </c>
      <c r="F212" s="164">
        <v>0.81979999999999997</v>
      </c>
      <c r="G212" s="163">
        <v>18</v>
      </c>
      <c r="H212" s="163">
        <v>28.333333333333336</v>
      </c>
      <c r="I212" s="163">
        <v>10.333333333333336</v>
      </c>
      <c r="J212" s="163">
        <v>14</v>
      </c>
      <c r="K212" s="163">
        <v>14.673036437246964</v>
      </c>
      <c r="L212" s="163">
        <v>0.67303643724696371</v>
      </c>
      <c r="M212" s="163">
        <v>16</v>
      </c>
      <c r="N212" s="163">
        <v>25.886189833558255</v>
      </c>
      <c r="O212" s="163">
        <v>9.8861898335582552</v>
      </c>
      <c r="P212" s="163"/>
      <c r="Q212" s="163">
        <v>17</v>
      </c>
      <c r="R212" s="163">
        <v>0</v>
      </c>
      <c r="S212" s="163">
        <v>0</v>
      </c>
      <c r="T212" s="163">
        <v>0</v>
      </c>
      <c r="U212" s="163">
        <v>0</v>
      </c>
      <c r="V212" s="163">
        <v>0</v>
      </c>
      <c r="W212" s="163">
        <v>0</v>
      </c>
      <c r="X212" s="163">
        <v>0</v>
      </c>
      <c r="Y212" s="163">
        <v>17</v>
      </c>
      <c r="Z212" s="163">
        <v>17</v>
      </c>
      <c r="AA212" s="163">
        <v>0</v>
      </c>
      <c r="AB212" s="163">
        <v>0</v>
      </c>
      <c r="AC212" s="163">
        <v>12</v>
      </c>
      <c r="AD212" s="163">
        <v>5</v>
      </c>
      <c r="AE212" s="165">
        <v>0.69119927844249784</v>
      </c>
      <c r="AF212" s="166">
        <v>0.65279931852902573</v>
      </c>
    </row>
    <row r="213" spans="1:32">
      <c r="A213" s="161">
        <v>5</v>
      </c>
      <c r="B213" s="162">
        <v>0.39583333333333331</v>
      </c>
      <c r="C213" s="163">
        <v>20.27967912306524</v>
      </c>
      <c r="D213" s="163">
        <v>850.48476912949241</v>
      </c>
      <c r="E213" s="164">
        <v>0.93720000000000014</v>
      </c>
      <c r="F213" s="164">
        <v>0.93720000000000014</v>
      </c>
      <c r="G213" s="163">
        <v>18</v>
      </c>
      <c r="H213" s="163">
        <v>31.666666666666664</v>
      </c>
      <c r="I213" s="163">
        <v>13.666666666666664</v>
      </c>
      <c r="J213" s="163">
        <v>14</v>
      </c>
      <c r="K213" s="163">
        <v>14.673036437246964</v>
      </c>
      <c r="L213" s="163">
        <v>0.67303643724696371</v>
      </c>
      <c r="M213" s="163">
        <v>16</v>
      </c>
      <c r="N213" s="163">
        <v>28.931623931623928</v>
      </c>
      <c r="O213" s="163">
        <v>12.931623931623928</v>
      </c>
      <c r="P213" s="163"/>
      <c r="Q213" s="163">
        <v>19</v>
      </c>
      <c r="R213" s="163">
        <v>0</v>
      </c>
      <c r="S213" s="163">
        <v>0</v>
      </c>
      <c r="T213" s="163">
        <v>0</v>
      </c>
      <c r="U213" s="163">
        <v>0</v>
      </c>
      <c r="V213" s="163">
        <v>0</v>
      </c>
      <c r="W213" s="163">
        <v>0</v>
      </c>
      <c r="X213" s="163">
        <v>0</v>
      </c>
      <c r="Y213" s="163">
        <v>19</v>
      </c>
      <c r="Z213" s="163">
        <v>19</v>
      </c>
      <c r="AA213" s="163">
        <v>0</v>
      </c>
      <c r="AB213" s="163">
        <v>0</v>
      </c>
      <c r="AC213" s="163">
        <v>14</v>
      </c>
      <c r="AD213" s="163">
        <v>5</v>
      </c>
      <c r="AE213" s="165">
        <v>0.61866282812673623</v>
      </c>
      <c r="AF213" s="166">
        <v>0.65303298524488829</v>
      </c>
    </row>
    <row r="214" spans="1:32">
      <c r="A214" s="161">
        <v>5</v>
      </c>
      <c r="B214" s="162">
        <v>0.41666666666666669</v>
      </c>
      <c r="C214" s="163">
        <v>21.888567553608524</v>
      </c>
      <c r="D214" s="163">
        <v>868.26020511462184</v>
      </c>
      <c r="E214" s="164">
        <v>0.87729999999999997</v>
      </c>
      <c r="F214" s="164">
        <v>0.87729999999999997</v>
      </c>
      <c r="G214" s="163">
        <v>19</v>
      </c>
      <c r="H214" s="163">
        <v>31.666666666666664</v>
      </c>
      <c r="I214" s="163">
        <v>12.666666666666664</v>
      </c>
      <c r="J214" s="163">
        <v>15</v>
      </c>
      <c r="K214" s="163">
        <v>15.488205128205129</v>
      </c>
      <c r="L214" s="163">
        <v>0.48820512820512896</v>
      </c>
      <c r="M214" s="163">
        <v>17</v>
      </c>
      <c r="N214" s="163">
        <v>28.931623931623928</v>
      </c>
      <c r="O214" s="163">
        <v>11.931623931623928</v>
      </c>
      <c r="P214" s="163"/>
      <c r="Q214" s="163">
        <v>19</v>
      </c>
      <c r="R214" s="163">
        <v>0</v>
      </c>
      <c r="S214" s="163">
        <v>0</v>
      </c>
      <c r="T214" s="163">
        <v>0</v>
      </c>
      <c r="U214" s="163">
        <v>0</v>
      </c>
      <c r="V214" s="163">
        <v>0</v>
      </c>
      <c r="W214" s="163">
        <v>0</v>
      </c>
      <c r="X214" s="163">
        <v>0</v>
      </c>
      <c r="Y214" s="163">
        <v>19</v>
      </c>
      <c r="Z214" s="163">
        <v>19</v>
      </c>
      <c r="AA214" s="163">
        <v>0</v>
      </c>
      <c r="AB214" s="163">
        <v>0</v>
      </c>
      <c r="AC214" s="163">
        <v>14</v>
      </c>
      <c r="AD214" s="163">
        <v>5</v>
      </c>
      <c r="AE214" s="165">
        <v>0.68170054411103598</v>
      </c>
      <c r="AF214" s="166">
        <v>0.68170054411103598</v>
      </c>
    </row>
    <row r="215" spans="1:32">
      <c r="A215" s="161">
        <v>5</v>
      </c>
      <c r="B215" s="162">
        <v>0.4375</v>
      </c>
      <c r="C215" s="163">
        <v>21.903888496584372</v>
      </c>
      <c r="D215" s="163">
        <v>866.88522064179938</v>
      </c>
      <c r="E215" s="164">
        <v>0.878</v>
      </c>
      <c r="F215" s="164">
        <v>0.878</v>
      </c>
      <c r="G215" s="163">
        <v>19</v>
      </c>
      <c r="H215" s="163">
        <v>31.666666666666664</v>
      </c>
      <c r="I215" s="163">
        <v>12.666666666666664</v>
      </c>
      <c r="J215" s="163">
        <v>15</v>
      </c>
      <c r="K215" s="163">
        <v>15.488205128205129</v>
      </c>
      <c r="L215" s="163">
        <v>0.48820512820512896</v>
      </c>
      <c r="M215" s="163">
        <v>17</v>
      </c>
      <c r="N215" s="163">
        <v>28.931623931623928</v>
      </c>
      <c r="O215" s="163">
        <v>11.931623931623928</v>
      </c>
      <c r="P215" s="163"/>
      <c r="Q215" s="163">
        <v>19</v>
      </c>
      <c r="R215" s="163">
        <v>0</v>
      </c>
      <c r="S215" s="163">
        <v>0</v>
      </c>
      <c r="T215" s="163">
        <v>0</v>
      </c>
      <c r="U215" s="163">
        <v>0</v>
      </c>
      <c r="V215" s="163">
        <v>0</v>
      </c>
      <c r="W215" s="163">
        <v>0</v>
      </c>
      <c r="X215" s="163">
        <v>0</v>
      </c>
      <c r="Y215" s="163">
        <v>19</v>
      </c>
      <c r="Z215" s="163">
        <v>19</v>
      </c>
      <c r="AA215" s="163">
        <v>0</v>
      </c>
      <c r="AB215" s="163">
        <v>0</v>
      </c>
      <c r="AC215" s="163">
        <v>14</v>
      </c>
      <c r="AD215" s="163">
        <v>5</v>
      </c>
      <c r="AE215" s="165">
        <v>0.68109739906731859</v>
      </c>
      <c r="AF215" s="166">
        <v>0.68109739906731859</v>
      </c>
    </row>
    <row r="216" spans="1:32">
      <c r="A216" s="161">
        <v>5</v>
      </c>
      <c r="B216" s="162">
        <v>0.45833333333333331</v>
      </c>
      <c r="C216" s="163">
        <v>23.872232529391852</v>
      </c>
      <c r="D216" s="163">
        <v>874.72167784178646</v>
      </c>
      <c r="E216" s="164">
        <v>0.77780000000000005</v>
      </c>
      <c r="F216" s="164">
        <v>0.77780000000000005</v>
      </c>
      <c r="G216" s="163">
        <v>20</v>
      </c>
      <c r="H216" s="163">
        <v>31.666666666666664</v>
      </c>
      <c r="I216" s="163">
        <v>11.666666666666664</v>
      </c>
      <c r="J216" s="163">
        <v>16</v>
      </c>
      <c r="K216" s="163">
        <v>16.303373819163294</v>
      </c>
      <c r="L216" s="163">
        <v>0.3033738191632942</v>
      </c>
      <c r="M216" s="163">
        <v>18</v>
      </c>
      <c r="N216" s="163">
        <v>28.931623931623928</v>
      </c>
      <c r="O216" s="163">
        <v>10.931623931623928</v>
      </c>
      <c r="P216" s="163"/>
      <c r="Q216" s="163">
        <v>19</v>
      </c>
      <c r="R216" s="163">
        <v>0</v>
      </c>
      <c r="S216" s="163">
        <v>0</v>
      </c>
      <c r="T216" s="163">
        <v>0</v>
      </c>
      <c r="U216" s="163">
        <v>0</v>
      </c>
      <c r="V216" s="163">
        <v>0</v>
      </c>
      <c r="W216" s="163">
        <v>0</v>
      </c>
      <c r="X216" s="163">
        <v>0</v>
      </c>
      <c r="Y216" s="163">
        <v>19</v>
      </c>
      <c r="Z216" s="163">
        <v>19</v>
      </c>
      <c r="AA216" s="163">
        <v>0</v>
      </c>
      <c r="AB216" s="163">
        <v>0</v>
      </c>
      <c r="AC216" s="163">
        <v>14</v>
      </c>
      <c r="AD216" s="163">
        <v>5</v>
      </c>
      <c r="AE216" s="165">
        <v>0.74901295387503541</v>
      </c>
      <c r="AF216" s="166">
        <v>0.7115623061812838</v>
      </c>
    </row>
    <row r="217" spans="1:32">
      <c r="A217" s="161">
        <v>5</v>
      </c>
      <c r="B217" s="162">
        <v>0.47916666666666669</v>
      </c>
      <c r="C217" s="163">
        <v>21.713292953703583</v>
      </c>
      <c r="D217" s="163">
        <v>848.24273813668879</v>
      </c>
      <c r="E217" s="164">
        <v>0.90069999999999995</v>
      </c>
      <c r="F217" s="164">
        <v>0.90069999999999995</v>
      </c>
      <c r="G217" s="163">
        <v>18</v>
      </c>
      <c r="H217" s="163">
        <v>31.666666666666664</v>
      </c>
      <c r="I217" s="163">
        <v>13.666666666666664</v>
      </c>
      <c r="J217" s="163">
        <v>14</v>
      </c>
      <c r="K217" s="163">
        <v>14.673036437246964</v>
      </c>
      <c r="L217" s="163">
        <v>0.67303643724696371</v>
      </c>
      <c r="M217" s="163">
        <v>16</v>
      </c>
      <c r="N217" s="163">
        <v>28.931623931623928</v>
      </c>
      <c r="O217" s="163">
        <v>12.931623931623928</v>
      </c>
      <c r="P217" s="163"/>
      <c r="Q217" s="163">
        <v>19</v>
      </c>
      <c r="R217" s="163">
        <v>0</v>
      </c>
      <c r="S217" s="163">
        <v>0</v>
      </c>
      <c r="T217" s="163">
        <v>0</v>
      </c>
      <c r="U217" s="163">
        <v>0</v>
      </c>
      <c r="V217" s="163">
        <v>0</v>
      </c>
      <c r="W217" s="163">
        <v>0</v>
      </c>
      <c r="X217" s="163">
        <v>0</v>
      </c>
      <c r="Y217" s="163">
        <v>19</v>
      </c>
      <c r="Z217" s="163">
        <v>19</v>
      </c>
      <c r="AA217" s="163">
        <v>0</v>
      </c>
      <c r="AB217" s="163">
        <v>0</v>
      </c>
      <c r="AC217" s="163">
        <v>14</v>
      </c>
      <c r="AD217" s="163">
        <v>5</v>
      </c>
      <c r="AE217" s="165">
        <v>0.6606512259044014</v>
      </c>
      <c r="AF217" s="166">
        <v>0.69735407178797926</v>
      </c>
    </row>
    <row r="218" spans="1:32">
      <c r="A218" s="161">
        <v>5</v>
      </c>
      <c r="B218" s="162">
        <v>0.5</v>
      </c>
      <c r="C218" s="163">
        <v>21.947935412560522</v>
      </c>
      <c r="D218" s="163">
        <v>869.7816255094674</v>
      </c>
      <c r="E218" s="164">
        <v>0.87350000000000005</v>
      </c>
      <c r="F218" s="164">
        <v>0.87350000000000005</v>
      </c>
      <c r="G218" s="163">
        <v>19</v>
      </c>
      <c r="H218" s="163">
        <v>31.666666666666664</v>
      </c>
      <c r="I218" s="163">
        <v>12.666666666666664</v>
      </c>
      <c r="J218" s="163">
        <v>15</v>
      </c>
      <c r="K218" s="163">
        <v>15.488205128205129</v>
      </c>
      <c r="L218" s="163">
        <v>0.48820512820512896</v>
      </c>
      <c r="M218" s="163">
        <v>17</v>
      </c>
      <c r="N218" s="163">
        <v>28.931623931623928</v>
      </c>
      <c r="O218" s="163">
        <v>11.931623931623928</v>
      </c>
      <c r="P218" s="163"/>
      <c r="Q218" s="163">
        <v>19</v>
      </c>
      <c r="R218" s="163">
        <v>0</v>
      </c>
      <c r="S218" s="163">
        <v>0</v>
      </c>
      <c r="T218" s="163">
        <v>0</v>
      </c>
      <c r="U218" s="163">
        <v>0</v>
      </c>
      <c r="V218" s="163">
        <v>0</v>
      </c>
      <c r="W218" s="163">
        <v>0</v>
      </c>
      <c r="X218" s="163">
        <v>0</v>
      </c>
      <c r="Y218" s="163">
        <v>19</v>
      </c>
      <c r="Z218" s="163">
        <v>19</v>
      </c>
      <c r="AA218" s="163">
        <v>0</v>
      </c>
      <c r="AB218" s="163">
        <v>0</v>
      </c>
      <c r="AC218" s="163">
        <v>14</v>
      </c>
      <c r="AD218" s="163">
        <v>5</v>
      </c>
      <c r="AE218" s="165">
        <v>0.68474726347117731</v>
      </c>
      <c r="AF218" s="166">
        <v>0.68474726347117731</v>
      </c>
    </row>
    <row r="219" spans="1:32">
      <c r="A219" s="161">
        <v>5</v>
      </c>
      <c r="B219" s="162">
        <v>0.52083333333333337</v>
      </c>
      <c r="C219" s="163">
        <v>21.007868643071422</v>
      </c>
      <c r="D219" s="163">
        <v>838.07582335818597</v>
      </c>
      <c r="E219" s="164">
        <v>0.84166666666666667</v>
      </c>
      <c r="F219" s="164">
        <v>0.84166666666666667</v>
      </c>
      <c r="G219" s="163">
        <v>18</v>
      </c>
      <c r="H219" s="163">
        <v>30.333333333333336</v>
      </c>
      <c r="I219" s="163">
        <v>12.333333333333336</v>
      </c>
      <c r="J219" s="163">
        <v>14</v>
      </c>
      <c r="K219" s="163">
        <v>14.673036437246964</v>
      </c>
      <c r="L219" s="163">
        <v>0.67303643724696371</v>
      </c>
      <c r="M219" s="163">
        <v>16</v>
      </c>
      <c r="N219" s="163">
        <v>27.713450292397663</v>
      </c>
      <c r="O219" s="163">
        <v>11.713450292397663</v>
      </c>
      <c r="P219" s="163"/>
      <c r="Q219" s="163">
        <v>19</v>
      </c>
      <c r="R219" s="163">
        <v>0</v>
      </c>
      <c r="S219" s="163">
        <v>0</v>
      </c>
      <c r="T219" s="163">
        <v>0</v>
      </c>
      <c r="U219" s="163">
        <v>0</v>
      </c>
      <c r="V219" s="163">
        <v>0</v>
      </c>
      <c r="W219" s="163">
        <v>0</v>
      </c>
      <c r="X219" s="163">
        <v>0</v>
      </c>
      <c r="Y219" s="163">
        <v>19</v>
      </c>
      <c r="Z219" s="163">
        <v>19</v>
      </c>
      <c r="AA219" s="163">
        <v>0</v>
      </c>
      <c r="AB219" s="163">
        <v>0</v>
      </c>
      <c r="AC219" s="163">
        <v>14</v>
      </c>
      <c r="AD219" s="163">
        <v>5</v>
      </c>
      <c r="AE219" s="165">
        <v>0.63152668843827964</v>
      </c>
      <c r="AF219" s="166">
        <v>0.66661150446262851</v>
      </c>
    </row>
    <row r="220" spans="1:32">
      <c r="A220" s="161">
        <v>5</v>
      </c>
      <c r="B220" s="162">
        <v>0.54166666666666663</v>
      </c>
      <c r="C220" s="163">
        <v>20.809881120764281</v>
      </c>
      <c r="D220" s="163">
        <v>796.49554982498489</v>
      </c>
      <c r="E220" s="164">
        <v>0.85740000000000005</v>
      </c>
      <c r="F220" s="164">
        <v>0.85740000000000005</v>
      </c>
      <c r="G220" s="163">
        <v>16</v>
      </c>
      <c r="H220" s="163">
        <v>28.333333333333336</v>
      </c>
      <c r="I220" s="163">
        <v>12.333333333333336</v>
      </c>
      <c r="J220" s="163">
        <v>13</v>
      </c>
      <c r="K220" s="163">
        <v>13.042699055330635</v>
      </c>
      <c r="L220" s="163">
        <v>4.2699055330635005E-2</v>
      </c>
      <c r="M220" s="163">
        <v>15</v>
      </c>
      <c r="N220" s="163">
        <v>25.886189833558255</v>
      </c>
      <c r="O220" s="163">
        <v>10.886189833558255</v>
      </c>
      <c r="P220" s="163"/>
      <c r="Q220" s="163">
        <v>17</v>
      </c>
      <c r="R220" s="163">
        <v>0</v>
      </c>
      <c r="S220" s="163">
        <v>0</v>
      </c>
      <c r="T220" s="163">
        <v>0</v>
      </c>
      <c r="U220" s="163">
        <v>0</v>
      </c>
      <c r="V220" s="163">
        <v>0</v>
      </c>
      <c r="W220" s="163">
        <v>0</v>
      </c>
      <c r="X220" s="163">
        <v>0</v>
      </c>
      <c r="Y220" s="163">
        <v>17</v>
      </c>
      <c r="Z220" s="163">
        <v>17</v>
      </c>
      <c r="AA220" s="163">
        <v>0</v>
      </c>
      <c r="AB220" s="163">
        <v>0</v>
      </c>
      <c r="AC220" s="163">
        <v>12</v>
      </c>
      <c r="AD220" s="163">
        <v>5</v>
      </c>
      <c r="AE220" s="165">
        <v>0.6644832463298922</v>
      </c>
      <c r="AF220" s="166">
        <v>0.70601344922551057</v>
      </c>
    </row>
    <row r="221" spans="1:32">
      <c r="A221" s="161">
        <v>5</v>
      </c>
      <c r="B221" s="162">
        <v>0.5625</v>
      </c>
      <c r="C221" s="163">
        <v>19.789473320345497</v>
      </c>
      <c r="D221" s="163">
        <v>847.28581323889296</v>
      </c>
      <c r="E221" s="164">
        <v>0.84660000000000002</v>
      </c>
      <c r="F221" s="164">
        <v>0.84660000000000002</v>
      </c>
      <c r="G221" s="163">
        <v>16</v>
      </c>
      <c r="H221" s="163">
        <v>28.333333333333336</v>
      </c>
      <c r="I221" s="163">
        <v>12.333333333333336</v>
      </c>
      <c r="J221" s="163">
        <v>13</v>
      </c>
      <c r="K221" s="163">
        <v>13.042699055330635</v>
      </c>
      <c r="L221" s="163">
        <v>4.2699055330635005E-2</v>
      </c>
      <c r="M221" s="163">
        <v>15</v>
      </c>
      <c r="N221" s="163">
        <v>25.886189833558255</v>
      </c>
      <c r="O221" s="163">
        <v>10.886189833558255</v>
      </c>
      <c r="P221" s="163"/>
      <c r="Q221" s="163">
        <v>17</v>
      </c>
      <c r="R221" s="163">
        <v>0</v>
      </c>
      <c r="S221" s="163">
        <v>0</v>
      </c>
      <c r="T221" s="163">
        <v>0</v>
      </c>
      <c r="U221" s="163">
        <v>0</v>
      </c>
      <c r="V221" s="163">
        <v>0</v>
      </c>
      <c r="W221" s="163">
        <v>0</v>
      </c>
      <c r="X221" s="163">
        <v>0</v>
      </c>
      <c r="Y221" s="163">
        <v>17</v>
      </c>
      <c r="Z221" s="163">
        <v>17</v>
      </c>
      <c r="AA221" s="163">
        <v>0</v>
      </c>
      <c r="AB221" s="163">
        <v>0</v>
      </c>
      <c r="AC221" s="163">
        <v>12</v>
      </c>
      <c r="AD221" s="163">
        <v>5</v>
      </c>
      <c r="AE221" s="165">
        <v>0.67219496224801734</v>
      </c>
      <c r="AF221" s="166">
        <v>0.71420714738851843</v>
      </c>
    </row>
    <row r="222" spans="1:32">
      <c r="A222" s="161">
        <v>5</v>
      </c>
      <c r="B222" s="162">
        <v>0.58333333333333337</v>
      </c>
      <c r="C222" s="163">
        <v>19.163625676523786</v>
      </c>
      <c r="D222" s="163">
        <v>838.20753490204231</v>
      </c>
      <c r="E222" s="164">
        <v>0.88059999999999994</v>
      </c>
      <c r="F222" s="164">
        <v>0.88059999999999994</v>
      </c>
      <c r="G222" s="163">
        <v>16</v>
      </c>
      <c r="H222" s="163">
        <v>28.333333333333336</v>
      </c>
      <c r="I222" s="163">
        <v>12.333333333333336</v>
      </c>
      <c r="J222" s="163">
        <v>13</v>
      </c>
      <c r="K222" s="163">
        <v>13.042699055330635</v>
      </c>
      <c r="L222" s="163">
        <v>4.2699055330635005E-2</v>
      </c>
      <c r="M222" s="163">
        <v>15</v>
      </c>
      <c r="N222" s="163">
        <v>25.886189833558255</v>
      </c>
      <c r="O222" s="163">
        <v>10.886189833558255</v>
      </c>
      <c r="P222" s="163"/>
      <c r="Q222" s="163">
        <v>17</v>
      </c>
      <c r="R222" s="163">
        <v>0</v>
      </c>
      <c r="S222" s="163">
        <v>0</v>
      </c>
      <c r="T222" s="163">
        <v>0</v>
      </c>
      <c r="U222" s="163">
        <v>0</v>
      </c>
      <c r="V222" s="163">
        <v>0</v>
      </c>
      <c r="W222" s="163">
        <v>0</v>
      </c>
      <c r="X222" s="163">
        <v>0</v>
      </c>
      <c r="Y222" s="163">
        <v>17</v>
      </c>
      <c r="Z222" s="163">
        <v>17</v>
      </c>
      <c r="AA222" s="163">
        <v>0</v>
      </c>
      <c r="AB222" s="163">
        <v>0</v>
      </c>
      <c r="AC222" s="163">
        <v>12</v>
      </c>
      <c r="AD222" s="163">
        <v>5</v>
      </c>
      <c r="AE222" s="165">
        <v>0.64396212126125385</v>
      </c>
      <c r="AF222" s="166">
        <v>0.68420975384008231</v>
      </c>
    </row>
    <row r="223" spans="1:32">
      <c r="A223" s="161">
        <v>5</v>
      </c>
      <c r="B223" s="162">
        <v>0.60416666666666663</v>
      </c>
      <c r="C223" s="163">
        <v>18.588827990532515</v>
      </c>
      <c r="D223" s="163">
        <v>832.94023585526702</v>
      </c>
      <c r="E223" s="164">
        <v>0.94953333333333345</v>
      </c>
      <c r="F223" s="164">
        <v>0.94953333333333345</v>
      </c>
      <c r="G223" s="163">
        <v>15</v>
      </c>
      <c r="H223" s="163">
        <v>29.666666666666664</v>
      </c>
      <c r="I223" s="163">
        <v>14.666666666666664</v>
      </c>
      <c r="J223" s="163">
        <v>12</v>
      </c>
      <c r="K223" s="163">
        <v>12.22753036437247</v>
      </c>
      <c r="L223" s="163">
        <v>0.22753036437246976</v>
      </c>
      <c r="M223" s="163">
        <v>14</v>
      </c>
      <c r="N223" s="163">
        <v>27.104363472784524</v>
      </c>
      <c r="O223" s="163">
        <v>13.104363472784524</v>
      </c>
      <c r="P223" s="163"/>
      <c r="Q223" s="163">
        <v>17</v>
      </c>
      <c r="R223" s="163">
        <v>0</v>
      </c>
      <c r="S223" s="163">
        <v>0</v>
      </c>
      <c r="T223" s="163">
        <v>0</v>
      </c>
      <c r="U223" s="163">
        <v>0</v>
      </c>
      <c r="V223" s="163">
        <v>0</v>
      </c>
      <c r="W223" s="163">
        <v>0</v>
      </c>
      <c r="X223" s="163">
        <v>0</v>
      </c>
      <c r="Y223" s="163">
        <v>17</v>
      </c>
      <c r="Z223" s="163">
        <v>17</v>
      </c>
      <c r="AA223" s="163">
        <v>0</v>
      </c>
      <c r="AB223" s="163">
        <v>0</v>
      </c>
      <c r="AC223" s="163">
        <v>12</v>
      </c>
      <c r="AD223" s="163">
        <v>5</v>
      </c>
      <c r="AE223" s="165">
        <v>0.62072170658167425</v>
      </c>
      <c r="AF223" s="166">
        <v>0.70348460079256403</v>
      </c>
    </row>
    <row r="224" spans="1:32">
      <c r="A224" s="161">
        <v>5</v>
      </c>
      <c r="B224" s="162">
        <v>0.625</v>
      </c>
      <c r="C224" s="163">
        <v>19.12548167005945</v>
      </c>
      <c r="D224" s="163">
        <v>880.53207477246985</v>
      </c>
      <c r="E224" s="164">
        <v>0.77406666666666668</v>
      </c>
      <c r="F224" s="164">
        <v>0.77406666666666668</v>
      </c>
      <c r="G224" s="163">
        <v>16</v>
      </c>
      <c r="H224" s="163">
        <v>29</v>
      </c>
      <c r="I224" s="163">
        <v>13</v>
      </c>
      <c r="J224" s="163">
        <v>13</v>
      </c>
      <c r="K224" s="163">
        <v>13.042699055330635</v>
      </c>
      <c r="L224" s="163">
        <v>4.2699055330635005E-2</v>
      </c>
      <c r="M224" s="163">
        <v>15</v>
      </c>
      <c r="N224" s="163">
        <v>26.495276653171388</v>
      </c>
      <c r="O224" s="163">
        <v>11.495276653171388</v>
      </c>
      <c r="P224" s="163"/>
      <c r="Q224" s="163">
        <v>19</v>
      </c>
      <c r="R224" s="163">
        <v>0</v>
      </c>
      <c r="S224" s="163">
        <v>0</v>
      </c>
      <c r="T224" s="163">
        <v>0</v>
      </c>
      <c r="U224" s="163">
        <v>0</v>
      </c>
      <c r="V224" s="163">
        <v>0</v>
      </c>
      <c r="W224" s="163">
        <v>0</v>
      </c>
      <c r="X224" s="163">
        <v>0</v>
      </c>
      <c r="Y224" s="163">
        <v>19</v>
      </c>
      <c r="Z224" s="163">
        <v>19</v>
      </c>
      <c r="AA224" s="163">
        <v>0</v>
      </c>
      <c r="AB224" s="163">
        <v>0</v>
      </c>
      <c r="AC224" s="163">
        <v>12</v>
      </c>
      <c r="AD224" s="163">
        <v>7</v>
      </c>
      <c r="AE224" s="165">
        <v>0.60406540606439907</v>
      </c>
      <c r="AF224" s="166">
        <v>0.71732766970147388</v>
      </c>
    </row>
    <row r="225" spans="1:32">
      <c r="A225" s="161">
        <v>5</v>
      </c>
      <c r="B225" s="162">
        <v>0.64583333333333337</v>
      </c>
      <c r="C225" s="163">
        <v>18.535448998456864</v>
      </c>
      <c r="D225" s="163">
        <v>860.02439206416409</v>
      </c>
      <c r="E225" s="164">
        <v>0.65429999999999999</v>
      </c>
      <c r="F225" s="164">
        <v>0.65429999999999999</v>
      </c>
      <c r="G225" s="163">
        <v>16</v>
      </c>
      <c r="H225" s="163">
        <v>23.333333333333336</v>
      </c>
      <c r="I225" s="163">
        <v>7.3333333333333357</v>
      </c>
      <c r="J225" s="163">
        <v>13</v>
      </c>
      <c r="K225" s="163">
        <v>13.042699055330635</v>
      </c>
      <c r="L225" s="163">
        <v>4.2699055330635005E-2</v>
      </c>
      <c r="M225" s="163">
        <v>15</v>
      </c>
      <c r="N225" s="163">
        <v>21.31803868645974</v>
      </c>
      <c r="O225" s="163">
        <v>6.3180386864597402</v>
      </c>
      <c r="P225" s="163"/>
      <c r="Q225" s="163">
        <v>14</v>
      </c>
      <c r="R225" s="163">
        <v>0</v>
      </c>
      <c r="S225" s="163">
        <v>0</v>
      </c>
      <c r="T225" s="163">
        <v>0</v>
      </c>
      <c r="U225" s="163">
        <v>0</v>
      </c>
      <c r="V225" s="163">
        <v>0</v>
      </c>
      <c r="W225" s="163">
        <v>0</v>
      </c>
      <c r="X225" s="163">
        <v>0</v>
      </c>
      <c r="Y225" s="163">
        <v>14</v>
      </c>
      <c r="Z225" s="163">
        <v>14</v>
      </c>
      <c r="AA225" s="163">
        <v>0</v>
      </c>
      <c r="AB225" s="163">
        <v>0</v>
      </c>
      <c r="AC225" s="163">
        <v>10</v>
      </c>
      <c r="AD225" s="163">
        <v>4</v>
      </c>
      <c r="AE225" s="165">
        <v>0.77600737363733874</v>
      </c>
      <c r="AF225" s="166">
        <v>0.6790064519326714</v>
      </c>
    </row>
    <row r="226" spans="1:32">
      <c r="A226" s="161">
        <v>5</v>
      </c>
      <c r="B226" s="162">
        <v>0.66666666666666663</v>
      </c>
      <c r="C226" s="163">
        <v>17.782642266243219</v>
      </c>
      <c r="D226" s="163">
        <v>895.59907618673765</v>
      </c>
      <c r="E226" s="164">
        <v>0.65490000000000004</v>
      </c>
      <c r="F226" s="164">
        <v>0.65490000000000004</v>
      </c>
      <c r="G226" s="163">
        <v>16</v>
      </c>
      <c r="H226" s="163">
        <v>23.333333333333336</v>
      </c>
      <c r="I226" s="163">
        <v>7.3333333333333357</v>
      </c>
      <c r="J226" s="163">
        <v>13</v>
      </c>
      <c r="K226" s="163">
        <v>13.042699055330635</v>
      </c>
      <c r="L226" s="163">
        <v>4.2699055330635005E-2</v>
      </c>
      <c r="M226" s="163">
        <v>15</v>
      </c>
      <c r="N226" s="163">
        <v>21.31803868645974</v>
      </c>
      <c r="O226" s="163">
        <v>6.3180386864597402</v>
      </c>
      <c r="P226" s="163"/>
      <c r="Q226" s="163">
        <v>14</v>
      </c>
      <c r="R226" s="163">
        <v>0</v>
      </c>
      <c r="S226" s="163">
        <v>0</v>
      </c>
      <c r="T226" s="163">
        <v>0</v>
      </c>
      <c r="U226" s="163">
        <v>0</v>
      </c>
      <c r="V226" s="163">
        <v>0</v>
      </c>
      <c r="W226" s="163">
        <v>0</v>
      </c>
      <c r="X226" s="163">
        <v>0</v>
      </c>
      <c r="Y226" s="163">
        <v>14</v>
      </c>
      <c r="Z226" s="163">
        <v>14</v>
      </c>
      <c r="AA226" s="163">
        <v>0</v>
      </c>
      <c r="AB226" s="163">
        <v>0</v>
      </c>
      <c r="AC226" s="163">
        <v>10</v>
      </c>
      <c r="AD226" s="163">
        <v>4</v>
      </c>
      <c r="AE226" s="165">
        <v>0.77528592053471801</v>
      </c>
      <c r="AF226" s="166">
        <v>0.67837518046787826</v>
      </c>
    </row>
    <row r="227" spans="1:32">
      <c r="A227" s="161">
        <v>5</v>
      </c>
      <c r="B227" s="162">
        <v>0.6875</v>
      </c>
      <c r="C227" s="163">
        <v>16.93467761265272</v>
      </c>
      <c r="D227" s="163">
        <v>841.3918725316488</v>
      </c>
      <c r="E227" s="164">
        <v>0.60470000000000013</v>
      </c>
      <c r="F227" s="164">
        <v>0.60470000000000013</v>
      </c>
      <c r="G227" s="163">
        <v>15</v>
      </c>
      <c r="H227" s="163">
        <v>22</v>
      </c>
      <c r="I227" s="163">
        <v>7</v>
      </c>
      <c r="J227" s="163">
        <v>12</v>
      </c>
      <c r="K227" s="163">
        <v>12.22753036437247</v>
      </c>
      <c r="L227" s="163">
        <v>0.22753036437246976</v>
      </c>
      <c r="M227" s="163">
        <v>14</v>
      </c>
      <c r="N227" s="163">
        <v>20.099865047233468</v>
      </c>
      <c r="O227" s="163">
        <v>6.0998650472334681</v>
      </c>
      <c r="P227" s="163"/>
      <c r="Q227" s="163">
        <v>14</v>
      </c>
      <c r="R227" s="163">
        <v>0</v>
      </c>
      <c r="S227" s="163">
        <v>0</v>
      </c>
      <c r="T227" s="163">
        <v>0</v>
      </c>
      <c r="U227" s="163">
        <v>0</v>
      </c>
      <c r="V227" s="163">
        <v>0</v>
      </c>
      <c r="W227" s="163">
        <v>0</v>
      </c>
      <c r="X227" s="163">
        <v>0</v>
      </c>
      <c r="Y227" s="163">
        <v>14</v>
      </c>
      <c r="Z227" s="163">
        <v>14</v>
      </c>
      <c r="AA227" s="163">
        <v>0</v>
      </c>
      <c r="AB227" s="163">
        <v>0</v>
      </c>
      <c r="AC227" s="163">
        <v>10</v>
      </c>
      <c r="AD227" s="163">
        <v>4</v>
      </c>
      <c r="AE227" s="165">
        <v>0.69362895521065426</v>
      </c>
      <c r="AF227" s="166">
        <v>0.64738702486327737</v>
      </c>
    </row>
    <row r="228" spans="1:32">
      <c r="A228" s="161">
        <v>5</v>
      </c>
      <c r="B228" s="162">
        <v>0.70833333333333337</v>
      </c>
      <c r="C228" s="163">
        <v>17.085881829915195</v>
      </c>
      <c r="D228" s="163">
        <v>881.55277828776298</v>
      </c>
      <c r="E228" s="164">
        <v>0.3977</v>
      </c>
      <c r="F228" s="164">
        <v>0.3977</v>
      </c>
      <c r="G228" s="163">
        <v>15</v>
      </c>
      <c r="H228" s="163">
        <v>20</v>
      </c>
      <c r="I228" s="163">
        <v>5</v>
      </c>
      <c r="J228" s="163">
        <v>12</v>
      </c>
      <c r="K228" s="163">
        <v>12.22753036437247</v>
      </c>
      <c r="L228" s="163">
        <v>0.22753036437246976</v>
      </c>
      <c r="M228" s="163">
        <v>14</v>
      </c>
      <c r="N228" s="163">
        <v>18.27260458839406</v>
      </c>
      <c r="O228" s="163">
        <v>4.27260458839406</v>
      </c>
      <c r="P228" s="163"/>
      <c r="Q228" s="163">
        <v>12</v>
      </c>
      <c r="R228" s="163">
        <v>0</v>
      </c>
      <c r="S228" s="163">
        <v>0</v>
      </c>
      <c r="T228" s="163">
        <v>0</v>
      </c>
      <c r="U228" s="163">
        <v>0</v>
      </c>
      <c r="V228" s="163">
        <v>0</v>
      </c>
      <c r="W228" s="163">
        <v>0</v>
      </c>
      <c r="X228" s="163">
        <v>0</v>
      </c>
      <c r="Y228" s="163">
        <v>12</v>
      </c>
      <c r="Z228" s="163">
        <v>12</v>
      </c>
      <c r="AA228" s="163">
        <v>0</v>
      </c>
      <c r="AB228" s="163">
        <v>0</v>
      </c>
      <c r="AC228" s="163">
        <v>10</v>
      </c>
      <c r="AD228" s="163">
        <v>2</v>
      </c>
      <c r="AE228" s="165">
        <v>0.85542999575418166</v>
      </c>
      <c r="AF228" s="166">
        <v>0.68434399660334533</v>
      </c>
    </row>
    <row r="229" spans="1:32">
      <c r="A229" s="161">
        <v>5</v>
      </c>
      <c r="B229" s="162">
        <v>0.72916666666666663</v>
      </c>
      <c r="C229" s="163">
        <v>17.118720609157251</v>
      </c>
      <c r="D229" s="163">
        <v>824.23023588472745</v>
      </c>
      <c r="E229" s="164">
        <v>0.80270000000000008</v>
      </c>
      <c r="F229" s="164">
        <v>0.80270000000000008</v>
      </c>
      <c r="G229" s="163">
        <v>15</v>
      </c>
      <c r="H229" s="163">
        <v>22.666666666666664</v>
      </c>
      <c r="I229" s="163">
        <v>7.6666666666666643</v>
      </c>
      <c r="J229" s="163">
        <v>12</v>
      </c>
      <c r="K229" s="163">
        <v>12.22753036437247</v>
      </c>
      <c r="L229" s="163">
        <v>0.22753036437246976</v>
      </c>
      <c r="M229" s="163">
        <v>14</v>
      </c>
      <c r="N229" s="163">
        <v>20.708951866846601</v>
      </c>
      <c r="O229" s="163">
        <v>6.7089518668466006</v>
      </c>
      <c r="P229" s="163"/>
      <c r="Q229" s="163">
        <v>12</v>
      </c>
      <c r="R229" s="163">
        <v>0</v>
      </c>
      <c r="S229" s="163">
        <v>0</v>
      </c>
      <c r="T229" s="163">
        <v>0</v>
      </c>
      <c r="U229" s="163">
        <v>0</v>
      </c>
      <c r="V229" s="163">
        <v>0</v>
      </c>
      <c r="W229" s="163">
        <v>0</v>
      </c>
      <c r="X229" s="163">
        <v>0</v>
      </c>
      <c r="Y229" s="163">
        <v>12</v>
      </c>
      <c r="Z229" s="163">
        <v>12</v>
      </c>
      <c r="AA229" s="163">
        <v>0</v>
      </c>
      <c r="AB229" s="163">
        <v>0</v>
      </c>
      <c r="AC229" s="163">
        <v>10</v>
      </c>
      <c r="AD229" s="163">
        <v>2</v>
      </c>
      <c r="AE229" s="165">
        <v>0.80134328853668046</v>
      </c>
      <c r="AF229" s="166">
        <v>0.64107463082934446</v>
      </c>
    </row>
    <row r="230" spans="1:32">
      <c r="A230" s="161">
        <v>5</v>
      </c>
      <c r="B230" s="162">
        <v>0.75</v>
      </c>
      <c r="C230" s="163">
        <v>16.15039672852085</v>
      </c>
      <c r="D230" s="163">
        <v>858.56440026122732</v>
      </c>
      <c r="E230" s="164">
        <v>0.94790000000000008</v>
      </c>
      <c r="F230" s="164">
        <v>0.94790000000000008</v>
      </c>
      <c r="G230" s="163">
        <v>14</v>
      </c>
      <c r="H230" s="163">
        <v>26.666666666666664</v>
      </c>
      <c r="I230" s="163">
        <v>12.666666666666664</v>
      </c>
      <c r="J230" s="163">
        <v>11</v>
      </c>
      <c r="K230" s="163">
        <v>11.412361673414306</v>
      </c>
      <c r="L230" s="163">
        <v>0.4123616734143063</v>
      </c>
      <c r="M230" s="163">
        <v>13</v>
      </c>
      <c r="N230" s="163">
        <v>24.363472784525413</v>
      </c>
      <c r="O230" s="163">
        <v>11.363472784525413</v>
      </c>
      <c r="P230" s="163"/>
      <c r="Q230" s="163">
        <v>16</v>
      </c>
      <c r="R230" s="163">
        <v>0</v>
      </c>
      <c r="S230" s="163">
        <v>0</v>
      </c>
      <c r="T230" s="163">
        <v>0</v>
      </c>
      <c r="U230" s="163">
        <v>0</v>
      </c>
      <c r="V230" s="163">
        <v>0</v>
      </c>
      <c r="W230" s="163">
        <v>0</v>
      </c>
      <c r="X230" s="163">
        <v>0</v>
      </c>
      <c r="Y230" s="163">
        <v>16</v>
      </c>
      <c r="Z230" s="163">
        <v>16</v>
      </c>
      <c r="AA230" s="163">
        <v>0</v>
      </c>
      <c r="AB230" s="163">
        <v>0</v>
      </c>
      <c r="AC230" s="163">
        <v>14</v>
      </c>
      <c r="AD230" s="163">
        <v>2</v>
      </c>
      <c r="AE230" s="165">
        <v>0.590630803502465</v>
      </c>
      <c r="AF230" s="166">
        <v>0.67500663257424565</v>
      </c>
    </row>
    <row r="231" spans="1:32">
      <c r="A231" s="161">
        <v>5</v>
      </c>
      <c r="B231" s="162">
        <v>0.77083333333333337</v>
      </c>
      <c r="C231" s="163">
        <v>15.719801184570848</v>
      </c>
      <c r="D231" s="163">
        <v>792.14385523796057</v>
      </c>
      <c r="E231" s="164">
        <v>0.97599999999999998</v>
      </c>
      <c r="F231" s="164">
        <v>0.97599999999999998</v>
      </c>
      <c r="G231" s="163">
        <v>13</v>
      </c>
      <c r="H231" s="163">
        <v>26.666666666666664</v>
      </c>
      <c r="I231" s="163">
        <v>13.666666666666664</v>
      </c>
      <c r="J231" s="163">
        <v>10</v>
      </c>
      <c r="K231" s="163">
        <v>10.597192982456141</v>
      </c>
      <c r="L231" s="163">
        <v>0.59719298245614105</v>
      </c>
      <c r="M231" s="163">
        <v>12</v>
      </c>
      <c r="N231" s="163">
        <v>24.363472784525413</v>
      </c>
      <c r="O231" s="163">
        <v>12.363472784525413</v>
      </c>
      <c r="P231" s="163"/>
      <c r="Q231" s="163">
        <v>16</v>
      </c>
      <c r="R231" s="163">
        <v>0</v>
      </c>
      <c r="S231" s="163">
        <v>0</v>
      </c>
      <c r="T231" s="163">
        <v>0</v>
      </c>
      <c r="U231" s="163">
        <v>0</v>
      </c>
      <c r="V231" s="163">
        <v>0</v>
      </c>
      <c r="W231" s="163">
        <v>0</v>
      </c>
      <c r="X231" s="163">
        <v>0</v>
      </c>
      <c r="Y231" s="163">
        <v>16</v>
      </c>
      <c r="Z231" s="163">
        <v>16</v>
      </c>
      <c r="AA231" s="163">
        <v>0</v>
      </c>
      <c r="AB231" s="163">
        <v>0</v>
      </c>
      <c r="AC231" s="163">
        <v>14</v>
      </c>
      <c r="AD231" s="163">
        <v>2</v>
      </c>
      <c r="AE231" s="165">
        <v>0.53040929731790187</v>
      </c>
      <c r="AF231" s="166">
        <v>0.65281144285280235</v>
      </c>
    </row>
    <row r="232" spans="1:32">
      <c r="A232" s="161">
        <v>5</v>
      </c>
      <c r="B232" s="162">
        <v>0.79166666666666663</v>
      </c>
      <c r="C232" s="163">
        <v>15.489892178837657</v>
      </c>
      <c r="D232" s="163">
        <v>832.13865074949479</v>
      </c>
      <c r="E232" s="164">
        <v>0.88289999999999991</v>
      </c>
      <c r="F232" s="164">
        <v>0.88289999999999991</v>
      </c>
      <c r="G232" s="163">
        <v>14</v>
      </c>
      <c r="H232" s="163">
        <v>23.333333333333336</v>
      </c>
      <c r="I232" s="163">
        <v>9.3333333333333357</v>
      </c>
      <c r="J232" s="163">
        <v>11</v>
      </c>
      <c r="K232" s="163">
        <v>11.412361673414306</v>
      </c>
      <c r="L232" s="163">
        <v>0.4123616734143063</v>
      </c>
      <c r="M232" s="163">
        <v>13</v>
      </c>
      <c r="N232" s="163">
        <v>21.31803868645974</v>
      </c>
      <c r="O232" s="163">
        <v>8.3180386864597402</v>
      </c>
      <c r="P232" s="163"/>
      <c r="Q232" s="163">
        <v>14</v>
      </c>
      <c r="R232" s="163">
        <v>0</v>
      </c>
      <c r="S232" s="163">
        <v>0</v>
      </c>
      <c r="T232" s="163">
        <v>0</v>
      </c>
      <c r="U232" s="163">
        <v>0</v>
      </c>
      <c r="V232" s="163">
        <v>0</v>
      </c>
      <c r="W232" s="163">
        <v>0</v>
      </c>
      <c r="X232" s="163">
        <v>0</v>
      </c>
      <c r="Y232" s="163">
        <v>14</v>
      </c>
      <c r="Z232" s="163">
        <v>14</v>
      </c>
      <c r="AA232" s="163">
        <v>0</v>
      </c>
      <c r="AB232" s="163">
        <v>0</v>
      </c>
      <c r="AC232" s="163">
        <v>12</v>
      </c>
      <c r="AD232" s="163">
        <v>2</v>
      </c>
      <c r="AE232" s="165">
        <v>0.6274744656918062</v>
      </c>
      <c r="AF232" s="166">
        <v>0.6274744656918062</v>
      </c>
    </row>
    <row r="233" spans="1:32">
      <c r="A233" s="161">
        <v>5</v>
      </c>
      <c r="B233" s="162">
        <v>0.8125</v>
      </c>
      <c r="C233" s="163">
        <v>13.548194984264404</v>
      </c>
      <c r="D233" s="163">
        <v>810.73235217794115</v>
      </c>
      <c r="E233" s="164">
        <v>0.95409999999999995</v>
      </c>
      <c r="F233" s="164">
        <v>0.95409999999999995</v>
      </c>
      <c r="G233" s="163">
        <v>12</v>
      </c>
      <c r="H233" s="163">
        <v>23.333333333333336</v>
      </c>
      <c r="I233" s="163">
        <v>11.333333333333336</v>
      </c>
      <c r="J233" s="163">
        <v>9</v>
      </c>
      <c r="K233" s="163">
        <v>9.7820242914979758</v>
      </c>
      <c r="L233" s="163">
        <v>0.78202429149797581</v>
      </c>
      <c r="M233" s="163">
        <v>11</v>
      </c>
      <c r="N233" s="163">
        <v>21.31803868645974</v>
      </c>
      <c r="O233" s="163">
        <v>10.31803868645974</v>
      </c>
      <c r="P233" s="163"/>
      <c r="Q233" s="163">
        <v>14</v>
      </c>
      <c r="R233" s="163">
        <v>0</v>
      </c>
      <c r="S233" s="163">
        <v>0</v>
      </c>
      <c r="T233" s="163">
        <v>0</v>
      </c>
      <c r="U233" s="163">
        <v>0</v>
      </c>
      <c r="V233" s="163">
        <v>0</v>
      </c>
      <c r="W233" s="163">
        <v>0</v>
      </c>
      <c r="X233" s="163">
        <v>0</v>
      </c>
      <c r="Y233" s="163">
        <v>14</v>
      </c>
      <c r="Z233" s="163">
        <v>14</v>
      </c>
      <c r="AA233" s="163">
        <v>0</v>
      </c>
      <c r="AB233" s="163">
        <v>0</v>
      </c>
      <c r="AC233" s="163">
        <v>12</v>
      </c>
      <c r="AD233" s="163">
        <v>2</v>
      </c>
      <c r="AE233" s="165">
        <v>0.53470089431113077</v>
      </c>
      <c r="AF233" s="166">
        <v>0.62381771002965258</v>
      </c>
    </row>
    <row r="234" spans="1:32">
      <c r="A234" s="161">
        <v>5</v>
      </c>
      <c r="B234" s="162">
        <v>0.83333333333333337</v>
      </c>
      <c r="C234" s="163">
        <v>13.866053521089709</v>
      </c>
      <c r="D234" s="163">
        <v>785.30823706127399</v>
      </c>
      <c r="E234" s="164">
        <v>0.76073333333333337</v>
      </c>
      <c r="F234" s="164">
        <v>0.76073333333333337</v>
      </c>
      <c r="G234" s="163">
        <v>12</v>
      </c>
      <c r="H234" s="163">
        <v>20.666666666666668</v>
      </c>
      <c r="I234" s="163">
        <v>8.6666666666666679</v>
      </c>
      <c r="J234" s="163">
        <v>9</v>
      </c>
      <c r="K234" s="163">
        <v>9.7820242914979758</v>
      </c>
      <c r="L234" s="163">
        <v>0.78202429149797581</v>
      </c>
      <c r="M234" s="163">
        <v>11</v>
      </c>
      <c r="N234" s="163">
        <v>18.881691408007196</v>
      </c>
      <c r="O234" s="163">
        <v>7.881691408007196</v>
      </c>
      <c r="P234" s="163"/>
      <c r="Q234" s="163">
        <v>14</v>
      </c>
      <c r="R234" s="163">
        <v>0</v>
      </c>
      <c r="S234" s="163">
        <v>0</v>
      </c>
      <c r="T234" s="163">
        <v>0</v>
      </c>
      <c r="U234" s="163">
        <v>0</v>
      </c>
      <c r="V234" s="163">
        <v>0</v>
      </c>
      <c r="W234" s="163">
        <v>0</v>
      </c>
      <c r="X234" s="163">
        <v>0</v>
      </c>
      <c r="Y234" s="163">
        <v>14</v>
      </c>
      <c r="Z234" s="163">
        <v>14</v>
      </c>
      <c r="AA234" s="163">
        <v>0</v>
      </c>
      <c r="AB234" s="163">
        <v>0</v>
      </c>
      <c r="AC234" s="163">
        <v>12</v>
      </c>
      <c r="AD234" s="163">
        <v>2</v>
      </c>
      <c r="AE234" s="165">
        <v>0.53008436315990681</v>
      </c>
      <c r="AF234" s="166">
        <v>0.61843175701989117</v>
      </c>
    </row>
    <row r="235" spans="1:32">
      <c r="A235" s="161">
        <v>5</v>
      </c>
      <c r="B235" s="162">
        <v>0.85416666666666663</v>
      </c>
      <c r="C235" s="163">
        <v>12.370202486073872</v>
      </c>
      <c r="D235" s="163">
        <v>762.04603014632869</v>
      </c>
      <c r="E235" s="164">
        <v>0.56873333333333331</v>
      </c>
      <c r="F235" s="164">
        <v>0.56873333333333331</v>
      </c>
      <c r="G235" s="163">
        <v>10</v>
      </c>
      <c r="H235" s="163">
        <v>15.333333333333332</v>
      </c>
      <c r="I235" s="163">
        <v>5.3333333333333321</v>
      </c>
      <c r="J235" s="163">
        <v>8</v>
      </c>
      <c r="K235" s="163">
        <v>8.1516869095816471</v>
      </c>
      <c r="L235" s="163">
        <v>0.1516869095816471</v>
      </c>
      <c r="M235" s="163">
        <v>9</v>
      </c>
      <c r="N235" s="163">
        <v>14.008996851102113</v>
      </c>
      <c r="O235" s="163">
        <v>5.008996851102113</v>
      </c>
      <c r="P235" s="163"/>
      <c r="Q235" s="163">
        <v>10</v>
      </c>
      <c r="R235" s="163">
        <v>0</v>
      </c>
      <c r="S235" s="163">
        <v>0</v>
      </c>
      <c r="T235" s="163">
        <v>0</v>
      </c>
      <c r="U235" s="163">
        <v>0</v>
      </c>
      <c r="V235" s="163">
        <v>0</v>
      </c>
      <c r="W235" s="163">
        <v>0</v>
      </c>
      <c r="X235" s="163">
        <v>0</v>
      </c>
      <c r="Y235" s="163">
        <v>10</v>
      </c>
      <c r="Z235" s="163">
        <v>10</v>
      </c>
      <c r="AA235" s="163">
        <v>0</v>
      </c>
      <c r="AB235" s="163">
        <v>0</v>
      </c>
      <c r="AC235" s="163">
        <v>8</v>
      </c>
      <c r="AD235" s="163">
        <v>2</v>
      </c>
      <c r="AE235" s="165">
        <v>0.64244805340287992</v>
      </c>
      <c r="AF235" s="166">
        <v>0.64244805340287992</v>
      </c>
    </row>
    <row r="236" spans="1:32">
      <c r="A236" s="161">
        <v>5</v>
      </c>
      <c r="B236" s="162">
        <v>0.875</v>
      </c>
      <c r="C236" s="163">
        <v>10.462136870851863</v>
      </c>
      <c r="D236" s="163">
        <v>736.51041814405403</v>
      </c>
      <c r="E236" s="164">
        <v>0.70130000000000015</v>
      </c>
      <c r="F236" s="164">
        <v>0.70130000000000015</v>
      </c>
      <c r="G236" s="163">
        <v>9</v>
      </c>
      <c r="H236" s="163">
        <v>13.333333333333332</v>
      </c>
      <c r="I236" s="163">
        <v>4.3333333333333321</v>
      </c>
      <c r="J236" s="163">
        <v>7</v>
      </c>
      <c r="K236" s="163">
        <v>7.3365182186234819</v>
      </c>
      <c r="L236" s="163">
        <v>0.33651821862348186</v>
      </c>
      <c r="M236" s="163">
        <v>8</v>
      </c>
      <c r="N236" s="163">
        <v>12.181736392262707</v>
      </c>
      <c r="O236" s="163">
        <v>4.1817363922627067</v>
      </c>
      <c r="P236" s="163"/>
      <c r="Q236" s="163">
        <v>8</v>
      </c>
      <c r="R236" s="163">
        <v>0</v>
      </c>
      <c r="S236" s="163">
        <v>0</v>
      </c>
      <c r="T236" s="163">
        <v>0</v>
      </c>
      <c r="U236" s="163">
        <v>0</v>
      </c>
      <c r="V236" s="163">
        <v>0</v>
      </c>
      <c r="W236" s="163">
        <v>0</v>
      </c>
      <c r="X236" s="163">
        <v>0</v>
      </c>
      <c r="Y236" s="163">
        <v>8</v>
      </c>
      <c r="Z236" s="163">
        <v>8</v>
      </c>
      <c r="AA236" s="163">
        <v>0</v>
      </c>
      <c r="AB236" s="163">
        <v>0</v>
      </c>
      <c r="AC236" s="163">
        <v>6</v>
      </c>
      <c r="AD236" s="163">
        <v>2</v>
      </c>
      <c r="AE236" s="165">
        <v>0.65643134214123622</v>
      </c>
      <c r="AF236" s="166">
        <v>0.58349452634776544</v>
      </c>
    </row>
    <row r="237" spans="1:32">
      <c r="A237" s="161">
        <v>5</v>
      </c>
      <c r="B237" s="162">
        <v>0.89583333333333337</v>
      </c>
      <c r="C237" s="163">
        <v>8.5753710021275396</v>
      </c>
      <c r="D237" s="163">
        <v>711.94087083696002</v>
      </c>
      <c r="E237" s="164">
        <v>0.86680000000000001</v>
      </c>
      <c r="F237" s="164">
        <v>0.86680000000000001</v>
      </c>
      <c r="G237" s="163">
        <v>8</v>
      </c>
      <c r="H237" s="163">
        <v>13.333333333333332</v>
      </c>
      <c r="I237" s="163">
        <v>5.3333333333333321</v>
      </c>
      <c r="J237" s="163">
        <v>6</v>
      </c>
      <c r="K237" s="163">
        <v>6.5213495276653175</v>
      </c>
      <c r="L237" s="163">
        <v>0.5213495276653175</v>
      </c>
      <c r="M237" s="163">
        <v>7</v>
      </c>
      <c r="N237" s="163">
        <v>12.181736392262707</v>
      </c>
      <c r="O237" s="163">
        <v>5.1817363922627067</v>
      </c>
      <c r="P237" s="163"/>
      <c r="Q237" s="163">
        <v>8</v>
      </c>
      <c r="R237" s="163">
        <v>0</v>
      </c>
      <c r="S237" s="163">
        <v>0</v>
      </c>
      <c r="T237" s="163">
        <v>0</v>
      </c>
      <c r="U237" s="163">
        <v>0</v>
      </c>
      <c r="V237" s="163">
        <v>0</v>
      </c>
      <c r="W237" s="163">
        <v>0</v>
      </c>
      <c r="X237" s="163">
        <v>0</v>
      </c>
      <c r="Y237" s="163">
        <v>8</v>
      </c>
      <c r="Z237" s="163">
        <v>8</v>
      </c>
      <c r="AA237" s="163">
        <v>0</v>
      </c>
      <c r="AB237" s="163">
        <v>0</v>
      </c>
      <c r="AC237" s="163">
        <v>6</v>
      </c>
      <c r="AD237" s="163">
        <v>2</v>
      </c>
      <c r="AE237" s="165">
        <v>0.52010000836525716</v>
      </c>
      <c r="AF237" s="166">
        <v>0.52010000836525716</v>
      </c>
    </row>
    <row r="238" spans="1:32">
      <c r="A238" s="161">
        <v>5</v>
      </c>
      <c r="B238" s="162">
        <v>0.91666666666666663</v>
      </c>
      <c r="C238" s="163">
        <v>4.7468810686788219</v>
      </c>
      <c r="D238" s="163">
        <v>699.66640232094892</v>
      </c>
      <c r="E238" s="164">
        <v>0.9220666666666667</v>
      </c>
      <c r="F238" s="164">
        <v>0.9220666666666667</v>
      </c>
      <c r="G238" s="163">
        <v>5</v>
      </c>
      <c r="H238" s="163">
        <v>12</v>
      </c>
      <c r="I238" s="163">
        <v>7</v>
      </c>
      <c r="J238" s="163">
        <v>4</v>
      </c>
      <c r="K238" s="163">
        <v>4.0758434547908236</v>
      </c>
      <c r="L238" s="163">
        <v>7.584345479082355E-2</v>
      </c>
      <c r="M238" s="163">
        <v>5</v>
      </c>
      <c r="N238" s="163">
        <v>10.963562753036436</v>
      </c>
      <c r="O238" s="163">
        <v>5.9635627530364363</v>
      </c>
      <c r="P238" s="163"/>
      <c r="Q238" s="163">
        <v>8</v>
      </c>
      <c r="R238" s="163">
        <v>0</v>
      </c>
      <c r="S238" s="163">
        <v>0</v>
      </c>
      <c r="T238" s="163">
        <v>0</v>
      </c>
      <c r="U238" s="163">
        <v>0</v>
      </c>
      <c r="V238" s="163">
        <v>0</v>
      </c>
      <c r="W238" s="163">
        <v>0</v>
      </c>
      <c r="X238" s="163">
        <v>0</v>
      </c>
      <c r="Y238" s="163">
        <v>8</v>
      </c>
      <c r="Z238" s="163">
        <v>8</v>
      </c>
      <c r="AA238" s="163">
        <v>0</v>
      </c>
      <c r="AB238" s="163">
        <v>0</v>
      </c>
      <c r="AC238" s="163">
        <v>6</v>
      </c>
      <c r="AD238" s="163">
        <v>2</v>
      </c>
      <c r="AE238" s="165">
        <v>0.28293676753377239</v>
      </c>
      <c r="AF238" s="166">
        <v>0.45269882805403583</v>
      </c>
    </row>
    <row r="239" spans="1:32">
      <c r="A239" s="161">
        <v>5</v>
      </c>
      <c r="B239" s="162">
        <v>0.9375</v>
      </c>
      <c r="C239" s="163">
        <v>3.7997593686040734</v>
      </c>
      <c r="D239" s="163">
        <v>696.62464458898523</v>
      </c>
      <c r="E239" s="164">
        <v>0.89373333333333338</v>
      </c>
      <c r="F239" s="164">
        <v>0.89373333333333338</v>
      </c>
      <c r="G239" s="163">
        <v>5</v>
      </c>
      <c r="H239" s="163">
        <v>9.3333333333333339</v>
      </c>
      <c r="I239" s="163">
        <v>4.3333333333333339</v>
      </c>
      <c r="J239" s="163">
        <v>4</v>
      </c>
      <c r="K239" s="163">
        <v>4.0758434547908236</v>
      </c>
      <c r="L239" s="163">
        <v>7.584345479082355E-2</v>
      </c>
      <c r="M239" s="163">
        <v>5</v>
      </c>
      <c r="N239" s="163">
        <v>8.5272154745838957</v>
      </c>
      <c r="O239" s="163">
        <v>3.5272154745838957</v>
      </c>
      <c r="P239" s="163"/>
      <c r="Q239" s="163">
        <v>6</v>
      </c>
      <c r="R239" s="163">
        <v>0</v>
      </c>
      <c r="S239" s="163">
        <v>0</v>
      </c>
      <c r="T239" s="163">
        <v>0</v>
      </c>
      <c r="U239" s="163">
        <v>0</v>
      </c>
      <c r="V239" s="163">
        <v>0</v>
      </c>
      <c r="W239" s="163">
        <v>0</v>
      </c>
      <c r="X239" s="163">
        <v>0</v>
      </c>
      <c r="Y239" s="163">
        <v>6</v>
      </c>
      <c r="Z239" s="163">
        <v>6</v>
      </c>
      <c r="AA239" s="163">
        <v>0</v>
      </c>
      <c r="AB239" s="163">
        <v>0</v>
      </c>
      <c r="AC239" s="163">
        <v>4</v>
      </c>
      <c r="AD239" s="163">
        <v>2</v>
      </c>
      <c r="AE239" s="165">
        <v>0.30066555878397372</v>
      </c>
      <c r="AF239" s="166">
        <v>0.36079867054076853</v>
      </c>
    </row>
    <row r="240" spans="1:32">
      <c r="A240" s="161">
        <v>5</v>
      </c>
      <c r="B240" s="162">
        <v>0.95833333333333337</v>
      </c>
      <c r="C240" s="163">
        <v>2.7962227666234161</v>
      </c>
      <c r="D240" s="163">
        <v>662.07004488318944</v>
      </c>
      <c r="E240" s="164">
        <v>0.91220000000000001</v>
      </c>
      <c r="F240" s="164">
        <v>0.91220000000000001</v>
      </c>
      <c r="G240" s="163">
        <v>4</v>
      </c>
      <c r="H240" s="163">
        <v>6.6666666666666661</v>
      </c>
      <c r="I240" s="163">
        <v>2.6666666666666661</v>
      </c>
      <c r="J240" s="163">
        <v>3</v>
      </c>
      <c r="K240" s="163">
        <v>3.2606747638326588</v>
      </c>
      <c r="L240" s="163">
        <v>0.26067476383265875</v>
      </c>
      <c r="M240" s="163">
        <v>4</v>
      </c>
      <c r="N240" s="163">
        <v>6.0908681961313533</v>
      </c>
      <c r="O240" s="163">
        <v>2.0908681961313533</v>
      </c>
      <c r="P240" s="163"/>
      <c r="Q240" s="163">
        <v>4</v>
      </c>
      <c r="R240" s="163">
        <v>0</v>
      </c>
      <c r="S240" s="163">
        <v>0</v>
      </c>
      <c r="T240" s="163">
        <v>0</v>
      </c>
      <c r="U240" s="163">
        <v>0</v>
      </c>
      <c r="V240" s="163">
        <v>0</v>
      </c>
      <c r="W240" s="163">
        <v>0</v>
      </c>
      <c r="X240" s="163">
        <v>0</v>
      </c>
      <c r="Y240" s="163">
        <v>4</v>
      </c>
      <c r="Z240" s="163">
        <v>4</v>
      </c>
      <c r="AA240" s="163">
        <v>0</v>
      </c>
      <c r="AB240" s="163">
        <v>0</v>
      </c>
      <c r="AC240" s="163">
        <v>4</v>
      </c>
      <c r="AD240" s="163">
        <v>0</v>
      </c>
      <c r="AE240" s="165">
        <v>0.31542471466613348</v>
      </c>
      <c r="AF240" s="166">
        <v>0.31542471466613348</v>
      </c>
    </row>
    <row r="241" spans="1:32">
      <c r="A241" s="161">
        <v>5</v>
      </c>
      <c r="B241" s="162">
        <v>0.97916666666666663</v>
      </c>
      <c r="C241" s="163">
        <v>2.0808347023346538</v>
      </c>
      <c r="D241" s="163">
        <v>661.93966703776414</v>
      </c>
      <c r="E241" s="164">
        <v>0.95799999999999985</v>
      </c>
      <c r="F241" s="164">
        <v>0.95799999999999985</v>
      </c>
      <c r="G241" s="163">
        <v>4</v>
      </c>
      <c r="H241" s="163">
        <v>6.6666666666666661</v>
      </c>
      <c r="I241" s="163">
        <v>2.6666666666666661</v>
      </c>
      <c r="J241" s="163">
        <v>3</v>
      </c>
      <c r="K241" s="163">
        <v>3.2606747638326588</v>
      </c>
      <c r="L241" s="163">
        <v>0.26067476383265875</v>
      </c>
      <c r="M241" s="163">
        <v>4</v>
      </c>
      <c r="N241" s="163">
        <v>6.0908681961313533</v>
      </c>
      <c r="O241" s="163">
        <v>2.0908681961313533</v>
      </c>
      <c r="P241" s="163"/>
      <c r="Q241" s="163">
        <v>4</v>
      </c>
      <c r="R241" s="163">
        <v>0</v>
      </c>
      <c r="S241" s="163">
        <v>0</v>
      </c>
      <c r="T241" s="163">
        <v>0</v>
      </c>
      <c r="U241" s="163">
        <v>0</v>
      </c>
      <c r="V241" s="163">
        <v>0</v>
      </c>
      <c r="W241" s="163">
        <v>0</v>
      </c>
      <c r="X241" s="163">
        <v>0</v>
      </c>
      <c r="Y241" s="163">
        <v>4</v>
      </c>
      <c r="Z241" s="163">
        <v>4</v>
      </c>
      <c r="AA241" s="163">
        <v>0</v>
      </c>
      <c r="AB241" s="163">
        <v>0</v>
      </c>
      <c r="AC241" s="163">
        <v>4</v>
      </c>
      <c r="AD241" s="163">
        <v>0</v>
      </c>
      <c r="AE241" s="165">
        <v>0.23467995801598016</v>
      </c>
      <c r="AF241" s="166">
        <v>0.23467995801598016</v>
      </c>
    </row>
    <row r="242" spans="1:32">
      <c r="A242" s="161">
        <v>6</v>
      </c>
      <c r="B242" s="162">
        <v>0</v>
      </c>
      <c r="C242" s="163">
        <v>1.1658006146414492</v>
      </c>
      <c r="D242" s="163">
        <v>633.90879295067077</v>
      </c>
      <c r="E242" s="164">
        <v>0.99199999999999999</v>
      </c>
      <c r="F242" s="164">
        <v>0.99199999999999999</v>
      </c>
      <c r="G242" s="163">
        <v>3</v>
      </c>
      <c r="H242" s="163">
        <v>6.6666666666666661</v>
      </c>
      <c r="I242" s="163">
        <v>3.6666666666666661</v>
      </c>
      <c r="J242" s="163">
        <v>2</v>
      </c>
      <c r="K242" s="163">
        <v>2.445506072874494</v>
      </c>
      <c r="L242" s="163">
        <v>0.44550607287449395</v>
      </c>
      <c r="M242" s="163">
        <v>3</v>
      </c>
      <c r="N242" s="163">
        <v>6.0908681961313533</v>
      </c>
      <c r="O242" s="163">
        <v>3.0908681961313533</v>
      </c>
      <c r="P242" s="163"/>
      <c r="Q242" s="163">
        <v>4</v>
      </c>
      <c r="R242" s="163">
        <v>0</v>
      </c>
      <c r="S242" s="163">
        <v>0</v>
      </c>
      <c r="T242" s="163">
        <v>0</v>
      </c>
      <c r="U242" s="163">
        <v>0</v>
      </c>
      <c r="V242" s="163">
        <v>0</v>
      </c>
      <c r="W242" s="163">
        <v>0</v>
      </c>
      <c r="X242" s="163">
        <v>0</v>
      </c>
      <c r="Y242" s="163">
        <v>4</v>
      </c>
      <c r="Z242" s="163">
        <v>4</v>
      </c>
      <c r="AA242" s="163">
        <v>0</v>
      </c>
      <c r="AB242" s="163">
        <v>0</v>
      </c>
      <c r="AC242" s="163">
        <v>4</v>
      </c>
      <c r="AD242" s="163">
        <v>0</v>
      </c>
      <c r="AE242" s="165">
        <v>0.12591314408729987</v>
      </c>
      <c r="AF242" s="166">
        <v>0.16788419211639979</v>
      </c>
    </row>
    <row r="243" spans="1:32">
      <c r="A243" s="161">
        <v>6</v>
      </c>
      <c r="B243" s="162">
        <v>2.0833333333333332E-2</v>
      </c>
      <c r="C243" s="163">
        <v>0.81449956241323029</v>
      </c>
      <c r="D243" s="163">
        <v>633.78950631406599</v>
      </c>
      <c r="E243" s="164">
        <v>0.99709999999999999</v>
      </c>
      <c r="F243" s="164">
        <v>0.99709999999999999</v>
      </c>
      <c r="G243" s="163">
        <v>3</v>
      </c>
      <c r="H243" s="163">
        <v>6.6666666666666661</v>
      </c>
      <c r="I243" s="163">
        <v>3.6666666666666661</v>
      </c>
      <c r="J243" s="163">
        <v>2</v>
      </c>
      <c r="K243" s="163">
        <v>2.445506072874494</v>
      </c>
      <c r="L243" s="163">
        <v>0.44550607287449395</v>
      </c>
      <c r="M243" s="163">
        <v>3</v>
      </c>
      <c r="N243" s="163">
        <v>6.0908681961313533</v>
      </c>
      <c r="O243" s="163">
        <v>3.0908681961313533</v>
      </c>
      <c r="P243" s="163"/>
      <c r="Q243" s="163">
        <v>4</v>
      </c>
      <c r="R243" s="163">
        <v>0</v>
      </c>
      <c r="S243" s="163">
        <v>0</v>
      </c>
      <c r="T243" s="163">
        <v>0</v>
      </c>
      <c r="U243" s="163">
        <v>0</v>
      </c>
      <c r="V243" s="163">
        <v>0</v>
      </c>
      <c r="W243" s="163">
        <v>0</v>
      </c>
      <c r="X243" s="163">
        <v>0</v>
      </c>
      <c r="Y243" s="163">
        <v>4</v>
      </c>
      <c r="Z243" s="163">
        <v>4</v>
      </c>
      <c r="AA243" s="163">
        <v>0</v>
      </c>
      <c r="AB243" s="163">
        <v>0</v>
      </c>
      <c r="AC243" s="163">
        <v>4</v>
      </c>
      <c r="AD243" s="163">
        <v>0</v>
      </c>
      <c r="AE243" s="165">
        <v>8.7954064205227361E-2</v>
      </c>
      <c r="AF243" s="166">
        <v>0.11727208560696981</v>
      </c>
    </row>
    <row r="244" spans="1:32">
      <c r="A244" s="161">
        <v>6</v>
      </c>
      <c r="B244" s="162">
        <v>4.1666666666666664E-2</v>
      </c>
      <c r="C244" s="163">
        <v>0.62114283119471569</v>
      </c>
      <c r="D244" s="163">
        <v>600.61441477833341</v>
      </c>
      <c r="E244" s="164">
        <v>0.99880000000000002</v>
      </c>
      <c r="F244" s="164">
        <v>0.99880000000000002</v>
      </c>
      <c r="G244" s="163">
        <v>3</v>
      </c>
      <c r="H244" s="163">
        <v>6.6666666666666661</v>
      </c>
      <c r="I244" s="163">
        <v>3.6666666666666661</v>
      </c>
      <c r="J244" s="163">
        <v>2</v>
      </c>
      <c r="K244" s="163">
        <v>2.445506072874494</v>
      </c>
      <c r="L244" s="163">
        <v>0.44550607287449395</v>
      </c>
      <c r="M244" s="163">
        <v>3</v>
      </c>
      <c r="N244" s="163">
        <v>6.0908681961313533</v>
      </c>
      <c r="O244" s="163">
        <v>3.0908681961313533</v>
      </c>
      <c r="P244" s="163"/>
      <c r="Q244" s="163">
        <v>4</v>
      </c>
      <c r="R244" s="163">
        <v>0</v>
      </c>
      <c r="S244" s="163">
        <v>0</v>
      </c>
      <c r="T244" s="163">
        <v>0</v>
      </c>
      <c r="U244" s="163">
        <v>0</v>
      </c>
      <c r="V244" s="163">
        <v>0</v>
      </c>
      <c r="W244" s="163">
        <v>0</v>
      </c>
      <c r="X244" s="163">
        <v>0</v>
      </c>
      <c r="Y244" s="163">
        <v>4</v>
      </c>
      <c r="Z244" s="163">
        <v>4</v>
      </c>
      <c r="AA244" s="163">
        <v>0</v>
      </c>
      <c r="AB244" s="163">
        <v>0</v>
      </c>
      <c r="AC244" s="163">
        <v>4</v>
      </c>
      <c r="AD244" s="163">
        <v>0</v>
      </c>
      <c r="AE244" s="165">
        <v>6.3563417777787554E-2</v>
      </c>
      <c r="AF244" s="166">
        <v>8.4751223703716738E-2</v>
      </c>
    </row>
    <row r="245" spans="1:32">
      <c r="A245" s="161">
        <v>6</v>
      </c>
      <c r="B245" s="162">
        <v>6.25E-2</v>
      </c>
      <c r="C245" s="163">
        <v>0.49250294687459761</v>
      </c>
      <c r="D245" s="163">
        <v>584.81464142044831</v>
      </c>
      <c r="E245" s="164">
        <v>0.99949999999999994</v>
      </c>
      <c r="F245" s="164">
        <v>0.99949999999999994</v>
      </c>
      <c r="G245" s="163">
        <v>2</v>
      </c>
      <c r="H245" s="163">
        <v>6.6666666666666661</v>
      </c>
      <c r="I245" s="163">
        <v>4.6666666666666661</v>
      </c>
      <c r="J245" s="163">
        <v>1</v>
      </c>
      <c r="K245" s="163">
        <v>1.6303373819163294</v>
      </c>
      <c r="L245" s="163">
        <v>0.63033738191632938</v>
      </c>
      <c r="M245" s="163">
        <v>2</v>
      </c>
      <c r="N245" s="163">
        <v>6.0908681961313533</v>
      </c>
      <c r="O245" s="163">
        <v>4.0908681961313533</v>
      </c>
      <c r="P245" s="163"/>
      <c r="Q245" s="163">
        <v>4</v>
      </c>
      <c r="R245" s="163">
        <v>0</v>
      </c>
      <c r="S245" s="163">
        <v>0</v>
      </c>
      <c r="T245" s="163">
        <v>0</v>
      </c>
      <c r="U245" s="163">
        <v>0</v>
      </c>
      <c r="V245" s="163">
        <v>0</v>
      </c>
      <c r="W245" s="163">
        <v>0</v>
      </c>
      <c r="X245" s="163">
        <v>0</v>
      </c>
      <c r="Y245" s="163">
        <v>4</v>
      </c>
      <c r="Z245" s="163">
        <v>4</v>
      </c>
      <c r="AA245" s="163">
        <v>0</v>
      </c>
      <c r="AB245" s="163">
        <v>0</v>
      </c>
      <c r="AC245" s="163">
        <v>4</v>
      </c>
      <c r="AD245" s="163">
        <v>0</v>
      </c>
      <c r="AE245" s="165">
        <v>4.9073505594221502E-2</v>
      </c>
      <c r="AF245" s="166">
        <v>9.8147011188443004E-2</v>
      </c>
    </row>
    <row r="246" spans="1:32">
      <c r="A246" s="161">
        <v>6</v>
      </c>
      <c r="B246" s="162">
        <v>8.3333333333333329E-2</v>
      </c>
      <c r="C246" s="163">
        <v>0.39725047904649319</v>
      </c>
      <c r="D246" s="163">
        <v>602.23230384857038</v>
      </c>
      <c r="E246" s="164">
        <v>0.99960000000000004</v>
      </c>
      <c r="F246" s="164">
        <v>0.99960000000000004</v>
      </c>
      <c r="G246" s="163">
        <v>2</v>
      </c>
      <c r="H246" s="163">
        <v>6.6666666666666661</v>
      </c>
      <c r="I246" s="163">
        <v>4.6666666666666661</v>
      </c>
      <c r="J246" s="163">
        <v>1</v>
      </c>
      <c r="K246" s="163">
        <v>1.6303373819163294</v>
      </c>
      <c r="L246" s="163">
        <v>0.63033738191632938</v>
      </c>
      <c r="M246" s="163">
        <v>2</v>
      </c>
      <c r="N246" s="163">
        <v>6.0908681961313533</v>
      </c>
      <c r="O246" s="163">
        <v>4.0908681961313533</v>
      </c>
      <c r="P246" s="163"/>
      <c r="Q246" s="163">
        <v>4</v>
      </c>
      <c r="R246" s="163">
        <v>0</v>
      </c>
      <c r="S246" s="163">
        <v>0</v>
      </c>
      <c r="T246" s="163">
        <v>0</v>
      </c>
      <c r="U246" s="163">
        <v>0</v>
      </c>
      <c r="V246" s="163">
        <v>0</v>
      </c>
      <c r="W246" s="163">
        <v>0</v>
      </c>
      <c r="X246" s="163">
        <v>0</v>
      </c>
      <c r="Y246" s="163">
        <v>4</v>
      </c>
      <c r="Z246" s="163">
        <v>4</v>
      </c>
      <c r="AA246" s="163">
        <v>0</v>
      </c>
      <c r="AB246" s="163">
        <v>0</v>
      </c>
      <c r="AC246" s="163">
        <v>4</v>
      </c>
      <c r="AD246" s="163">
        <v>0</v>
      </c>
      <c r="AE246" s="165">
        <v>4.0761343472477056E-2</v>
      </c>
      <c r="AF246" s="166">
        <v>8.1522686944954112E-2</v>
      </c>
    </row>
    <row r="247" spans="1:32">
      <c r="A247" s="161">
        <v>6</v>
      </c>
      <c r="B247" s="162">
        <v>0.10416666666666667</v>
      </c>
      <c r="C247" s="163">
        <v>0.31785896631130361</v>
      </c>
      <c r="D247" s="163">
        <v>573.41964311808715</v>
      </c>
      <c r="E247" s="164">
        <v>0.99980000000000002</v>
      </c>
      <c r="F247" s="164">
        <v>0.99980000000000002</v>
      </c>
      <c r="G247" s="163">
        <v>2</v>
      </c>
      <c r="H247" s="163">
        <v>6.6666666666666661</v>
      </c>
      <c r="I247" s="163">
        <v>4.6666666666666661</v>
      </c>
      <c r="J247" s="163">
        <v>1</v>
      </c>
      <c r="K247" s="163">
        <v>1.6303373819163294</v>
      </c>
      <c r="L247" s="163">
        <v>0.63033738191632938</v>
      </c>
      <c r="M247" s="163">
        <v>2</v>
      </c>
      <c r="N247" s="163">
        <v>6.0908681961313533</v>
      </c>
      <c r="O247" s="163">
        <v>4.0908681961313533</v>
      </c>
      <c r="P247" s="163"/>
      <c r="Q247" s="163">
        <v>4</v>
      </c>
      <c r="R247" s="163">
        <v>0</v>
      </c>
      <c r="S247" s="163">
        <v>0</v>
      </c>
      <c r="T247" s="163">
        <v>0</v>
      </c>
      <c r="U247" s="163">
        <v>0</v>
      </c>
      <c r="V247" s="163">
        <v>0</v>
      </c>
      <c r="W247" s="163">
        <v>0</v>
      </c>
      <c r="X247" s="163">
        <v>0</v>
      </c>
      <c r="Y247" s="163">
        <v>4</v>
      </c>
      <c r="Z247" s="163">
        <v>4</v>
      </c>
      <c r="AA247" s="163">
        <v>0</v>
      </c>
      <c r="AB247" s="163">
        <v>0</v>
      </c>
      <c r="AC247" s="163">
        <v>4</v>
      </c>
      <c r="AD247" s="163">
        <v>0</v>
      </c>
      <c r="AE247" s="165">
        <v>3.105467907130572E-2</v>
      </c>
      <c r="AF247" s="166">
        <v>6.210935814261144E-2</v>
      </c>
    </row>
    <row r="248" spans="1:32">
      <c r="A248" s="161">
        <v>6</v>
      </c>
      <c r="B248" s="162">
        <v>0.125</v>
      </c>
      <c r="C248" s="163">
        <v>0.28642049554737437</v>
      </c>
      <c r="D248" s="163">
        <v>573.33196091556454</v>
      </c>
      <c r="E248" s="164">
        <v>0.9998999999999999</v>
      </c>
      <c r="F248" s="164">
        <v>0.9998999999999999</v>
      </c>
      <c r="G248" s="163">
        <v>2</v>
      </c>
      <c r="H248" s="163">
        <v>6.6666666666666661</v>
      </c>
      <c r="I248" s="163">
        <v>4.6666666666666661</v>
      </c>
      <c r="J248" s="163">
        <v>1</v>
      </c>
      <c r="K248" s="163">
        <v>1.6303373819163294</v>
      </c>
      <c r="L248" s="163">
        <v>0.63033738191632938</v>
      </c>
      <c r="M248" s="163">
        <v>2</v>
      </c>
      <c r="N248" s="163">
        <v>6.0908681961313533</v>
      </c>
      <c r="O248" s="163">
        <v>4.0908681961313533</v>
      </c>
      <c r="P248" s="163"/>
      <c r="Q248" s="163">
        <v>4</v>
      </c>
      <c r="R248" s="163">
        <v>0</v>
      </c>
      <c r="S248" s="163">
        <v>0</v>
      </c>
      <c r="T248" s="163">
        <v>0</v>
      </c>
      <c r="U248" s="163">
        <v>0</v>
      </c>
      <c r="V248" s="163">
        <v>0</v>
      </c>
      <c r="W248" s="163">
        <v>0</v>
      </c>
      <c r="X248" s="163">
        <v>0</v>
      </c>
      <c r="Y248" s="163">
        <v>4</v>
      </c>
      <c r="Z248" s="163">
        <v>4</v>
      </c>
      <c r="AA248" s="163">
        <v>0</v>
      </c>
      <c r="AB248" s="163">
        <v>0</v>
      </c>
      <c r="AC248" s="163">
        <v>4</v>
      </c>
      <c r="AD248" s="163">
        <v>0</v>
      </c>
      <c r="AE248" s="165">
        <v>2.7978875582584359E-2</v>
      </c>
      <c r="AF248" s="166">
        <v>5.5957751165168719E-2</v>
      </c>
    </row>
    <row r="249" spans="1:32">
      <c r="A249" s="161">
        <v>6</v>
      </c>
      <c r="B249" s="162">
        <v>0.14583333333333334</v>
      </c>
      <c r="C249" s="163">
        <v>0.28866356997926412</v>
      </c>
      <c r="D249" s="163">
        <v>607.1005106553099</v>
      </c>
      <c r="E249" s="164">
        <v>0.9998999999999999</v>
      </c>
      <c r="F249" s="164">
        <v>0.9998999999999999</v>
      </c>
      <c r="G249" s="163">
        <v>2</v>
      </c>
      <c r="H249" s="163">
        <v>6.6666666666666661</v>
      </c>
      <c r="I249" s="163">
        <v>4.6666666666666661</v>
      </c>
      <c r="J249" s="163">
        <v>1</v>
      </c>
      <c r="K249" s="163">
        <v>1.6303373819163294</v>
      </c>
      <c r="L249" s="163">
        <v>0.63033738191632938</v>
      </c>
      <c r="M249" s="163">
        <v>2</v>
      </c>
      <c r="N249" s="163">
        <v>6.0908681961313533</v>
      </c>
      <c r="O249" s="163">
        <v>4.0908681961313533</v>
      </c>
      <c r="P249" s="163"/>
      <c r="Q249" s="163">
        <v>4</v>
      </c>
      <c r="R249" s="163">
        <v>0</v>
      </c>
      <c r="S249" s="163">
        <v>0</v>
      </c>
      <c r="T249" s="163">
        <v>0</v>
      </c>
      <c r="U249" s="163">
        <v>0</v>
      </c>
      <c r="V249" s="163">
        <v>0</v>
      </c>
      <c r="W249" s="163">
        <v>0</v>
      </c>
      <c r="X249" s="163">
        <v>0</v>
      </c>
      <c r="Y249" s="163">
        <v>4</v>
      </c>
      <c r="Z249" s="163">
        <v>4</v>
      </c>
      <c r="AA249" s="163">
        <v>0</v>
      </c>
      <c r="AB249" s="163">
        <v>0</v>
      </c>
      <c r="AC249" s="163">
        <v>4</v>
      </c>
      <c r="AD249" s="163">
        <v>0</v>
      </c>
      <c r="AE249" s="165">
        <v>2.9858816457569739E-2</v>
      </c>
      <c r="AF249" s="166">
        <v>5.9717632915139478E-2</v>
      </c>
    </row>
    <row r="250" spans="1:32">
      <c r="A250" s="161">
        <v>6</v>
      </c>
      <c r="B250" s="162">
        <v>0.16666666666666666</v>
      </c>
      <c r="C250" s="163">
        <v>0.3234309154991814</v>
      </c>
      <c r="D250" s="163">
        <v>607.20086074640335</v>
      </c>
      <c r="E250" s="164">
        <v>0.99980000000000002</v>
      </c>
      <c r="F250" s="164">
        <v>0.99980000000000002</v>
      </c>
      <c r="G250" s="163">
        <v>2</v>
      </c>
      <c r="H250" s="163">
        <v>6.6666666666666661</v>
      </c>
      <c r="I250" s="163">
        <v>4.6666666666666661</v>
      </c>
      <c r="J250" s="163">
        <v>1</v>
      </c>
      <c r="K250" s="163">
        <v>1.6303373819163294</v>
      </c>
      <c r="L250" s="163">
        <v>0.63033738191632938</v>
      </c>
      <c r="M250" s="163">
        <v>2</v>
      </c>
      <c r="N250" s="163">
        <v>6.0908681961313533</v>
      </c>
      <c r="O250" s="163">
        <v>4.0908681961313533</v>
      </c>
      <c r="P250" s="163"/>
      <c r="Q250" s="163">
        <v>4</v>
      </c>
      <c r="R250" s="163">
        <v>0</v>
      </c>
      <c r="S250" s="163">
        <v>0</v>
      </c>
      <c r="T250" s="163">
        <v>0</v>
      </c>
      <c r="U250" s="163">
        <v>0</v>
      </c>
      <c r="V250" s="163">
        <v>0</v>
      </c>
      <c r="W250" s="163">
        <v>0</v>
      </c>
      <c r="X250" s="163">
        <v>0</v>
      </c>
      <c r="Y250" s="163">
        <v>4</v>
      </c>
      <c r="Z250" s="163">
        <v>4</v>
      </c>
      <c r="AA250" s="163">
        <v>0</v>
      </c>
      <c r="AB250" s="163">
        <v>0</v>
      </c>
      <c r="AC250" s="163">
        <v>4</v>
      </c>
      <c r="AD250" s="163">
        <v>0</v>
      </c>
      <c r="AE250" s="165">
        <v>3.346061517719974E-2</v>
      </c>
      <c r="AF250" s="166">
        <v>6.692123035439948E-2</v>
      </c>
    </row>
    <row r="251" spans="1:32">
      <c r="A251" s="161">
        <v>6</v>
      </c>
      <c r="B251" s="162">
        <v>0.1875</v>
      </c>
      <c r="C251" s="163">
        <v>0.47545051197179605</v>
      </c>
      <c r="D251" s="163">
        <v>645.21251741402716</v>
      </c>
      <c r="E251" s="164">
        <v>0.99939999999999996</v>
      </c>
      <c r="F251" s="164">
        <v>0.99939999999999996</v>
      </c>
      <c r="G251" s="163">
        <v>2</v>
      </c>
      <c r="H251" s="163">
        <v>6.6666666666666661</v>
      </c>
      <c r="I251" s="163">
        <v>4.6666666666666661</v>
      </c>
      <c r="J251" s="163">
        <v>1</v>
      </c>
      <c r="K251" s="163">
        <v>1.6303373819163294</v>
      </c>
      <c r="L251" s="163">
        <v>0.63033738191632938</v>
      </c>
      <c r="M251" s="163">
        <v>2</v>
      </c>
      <c r="N251" s="163">
        <v>6.0908681961313533</v>
      </c>
      <c r="O251" s="163">
        <v>4.0908681961313533</v>
      </c>
      <c r="P251" s="163"/>
      <c r="Q251" s="163">
        <v>4</v>
      </c>
      <c r="R251" s="163">
        <v>0</v>
      </c>
      <c r="S251" s="163">
        <v>0</v>
      </c>
      <c r="T251" s="163">
        <v>0</v>
      </c>
      <c r="U251" s="163">
        <v>0</v>
      </c>
      <c r="V251" s="163">
        <v>0</v>
      </c>
      <c r="W251" s="163">
        <v>0</v>
      </c>
      <c r="X251" s="163">
        <v>0</v>
      </c>
      <c r="Y251" s="163">
        <v>4</v>
      </c>
      <c r="Z251" s="163">
        <v>4</v>
      </c>
      <c r="AA251" s="163">
        <v>0</v>
      </c>
      <c r="AB251" s="163">
        <v>0</v>
      </c>
      <c r="AC251" s="163">
        <v>4</v>
      </c>
      <c r="AD251" s="163">
        <v>0</v>
      </c>
      <c r="AE251" s="165">
        <v>5.2267065349267929E-2</v>
      </c>
      <c r="AF251" s="166">
        <v>0.10453413069853586</v>
      </c>
    </row>
    <row r="252" spans="1:32">
      <c r="A252" s="161">
        <v>6</v>
      </c>
      <c r="B252" s="162">
        <v>0.20833333333333334</v>
      </c>
      <c r="C252" s="163">
        <v>0.83407759632881828</v>
      </c>
      <c r="D252" s="163">
        <v>678.1911125787525</v>
      </c>
      <c r="E252" s="164">
        <v>0.99609999999999987</v>
      </c>
      <c r="F252" s="164">
        <v>0.99609999999999987</v>
      </c>
      <c r="G252" s="163">
        <v>3</v>
      </c>
      <c r="H252" s="163">
        <v>6.6666666666666661</v>
      </c>
      <c r="I252" s="163">
        <v>3.6666666666666661</v>
      </c>
      <c r="J252" s="163">
        <v>2</v>
      </c>
      <c r="K252" s="163">
        <v>2.445506072874494</v>
      </c>
      <c r="L252" s="163">
        <v>0.44550607287449395</v>
      </c>
      <c r="M252" s="163">
        <v>3</v>
      </c>
      <c r="N252" s="163">
        <v>6.0908681961313533</v>
      </c>
      <c r="O252" s="163">
        <v>3.0908681961313533</v>
      </c>
      <c r="P252" s="163"/>
      <c r="Q252" s="163">
        <v>4</v>
      </c>
      <c r="R252" s="163">
        <v>0</v>
      </c>
      <c r="S252" s="163">
        <v>0</v>
      </c>
      <c r="T252" s="163">
        <v>0</v>
      </c>
      <c r="U252" s="163">
        <v>0</v>
      </c>
      <c r="V252" s="163">
        <v>0</v>
      </c>
      <c r="W252" s="163">
        <v>0</v>
      </c>
      <c r="X252" s="163">
        <v>0</v>
      </c>
      <c r="Y252" s="163">
        <v>4</v>
      </c>
      <c r="Z252" s="163">
        <v>4</v>
      </c>
      <c r="AA252" s="163">
        <v>0</v>
      </c>
      <c r="AB252" s="163">
        <v>0</v>
      </c>
      <c r="AC252" s="163">
        <v>4</v>
      </c>
      <c r="AD252" s="163">
        <v>0</v>
      </c>
      <c r="AE252" s="165">
        <v>9.6378144948126701E-2</v>
      </c>
      <c r="AF252" s="166">
        <v>0.12850419326416893</v>
      </c>
    </row>
    <row r="253" spans="1:32">
      <c r="A253" s="161">
        <v>6</v>
      </c>
      <c r="B253" s="162">
        <v>0.22916666666666666</v>
      </c>
      <c r="C253" s="163">
        <v>1.3972954181046018</v>
      </c>
      <c r="D253" s="163">
        <v>693.12176022170695</v>
      </c>
      <c r="E253" s="164">
        <v>0.98329999999999995</v>
      </c>
      <c r="F253" s="164">
        <v>0.98329999999999995</v>
      </c>
      <c r="G253" s="163">
        <v>3</v>
      </c>
      <c r="H253" s="163">
        <v>6.6666666666666661</v>
      </c>
      <c r="I253" s="163">
        <v>3.6666666666666661</v>
      </c>
      <c r="J253" s="163">
        <v>2</v>
      </c>
      <c r="K253" s="163">
        <v>2.445506072874494</v>
      </c>
      <c r="L253" s="163">
        <v>0.44550607287449395</v>
      </c>
      <c r="M253" s="163">
        <v>3</v>
      </c>
      <c r="N253" s="163">
        <v>6.0908681961313533</v>
      </c>
      <c r="O253" s="163">
        <v>3.0908681961313533</v>
      </c>
      <c r="P253" s="163"/>
      <c r="Q253" s="163">
        <v>4</v>
      </c>
      <c r="R253" s="163">
        <v>0</v>
      </c>
      <c r="S253" s="163">
        <v>0</v>
      </c>
      <c r="T253" s="163">
        <v>0</v>
      </c>
      <c r="U253" s="163">
        <v>0</v>
      </c>
      <c r="V253" s="163">
        <v>0</v>
      </c>
      <c r="W253" s="163">
        <v>0</v>
      </c>
      <c r="X253" s="163">
        <v>0</v>
      </c>
      <c r="Y253" s="163">
        <v>4</v>
      </c>
      <c r="Z253" s="163">
        <v>4</v>
      </c>
      <c r="AA253" s="163">
        <v>0</v>
      </c>
      <c r="AB253" s="163">
        <v>0</v>
      </c>
      <c r="AC253" s="163">
        <v>4</v>
      </c>
      <c r="AD253" s="163">
        <v>0</v>
      </c>
      <c r="AE253" s="165">
        <v>0.16501285604523827</v>
      </c>
      <c r="AF253" s="166">
        <v>0.220017141393651</v>
      </c>
    </row>
    <row r="254" spans="1:32">
      <c r="A254" s="161">
        <v>6</v>
      </c>
      <c r="B254" s="162">
        <v>0.25</v>
      </c>
      <c r="C254" s="163">
        <v>2.1467907266591473</v>
      </c>
      <c r="D254" s="163">
        <v>700.1498775699713</v>
      </c>
      <c r="E254" s="164">
        <v>0.94740000000000002</v>
      </c>
      <c r="F254" s="164">
        <v>0.94740000000000002</v>
      </c>
      <c r="G254" s="163">
        <v>4</v>
      </c>
      <c r="H254" s="163">
        <v>6.6666666666666661</v>
      </c>
      <c r="I254" s="163">
        <v>2.6666666666666661</v>
      </c>
      <c r="J254" s="163">
        <v>3</v>
      </c>
      <c r="K254" s="163">
        <v>3.2606747638326588</v>
      </c>
      <c r="L254" s="163">
        <v>0.26067476383265875</v>
      </c>
      <c r="M254" s="163">
        <v>4</v>
      </c>
      <c r="N254" s="163">
        <v>6.0908681961313533</v>
      </c>
      <c r="O254" s="163">
        <v>2.0908681961313533</v>
      </c>
      <c r="P254" s="163"/>
      <c r="Q254" s="163">
        <v>4</v>
      </c>
      <c r="R254" s="163">
        <v>0</v>
      </c>
      <c r="S254" s="163">
        <v>0</v>
      </c>
      <c r="T254" s="163">
        <v>0</v>
      </c>
      <c r="U254" s="163">
        <v>0</v>
      </c>
      <c r="V254" s="163">
        <v>0</v>
      </c>
      <c r="W254" s="163">
        <v>0</v>
      </c>
      <c r="X254" s="163">
        <v>0</v>
      </c>
      <c r="Y254" s="163">
        <v>4</v>
      </c>
      <c r="Z254" s="163">
        <v>4</v>
      </c>
      <c r="AA254" s="163">
        <v>0</v>
      </c>
      <c r="AB254" s="163">
        <v>0</v>
      </c>
      <c r="AC254" s="163">
        <v>4</v>
      </c>
      <c r="AD254" s="163">
        <v>0</v>
      </c>
      <c r="AE254" s="165">
        <v>0.25609478836692084</v>
      </c>
      <c r="AF254" s="166">
        <v>0.25609478836692084</v>
      </c>
    </row>
    <row r="255" spans="1:32">
      <c r="A255" s="161">
        <v>6</v>
      </c>
      <c r="B255" s="162">
        <v>0.27083333333333331</v>
      </c>
      <c r="C255" s="163">
        <v>3.0997256039194339</v>
      </c>
      <c r="D255" s="163">
        <v>767.27191476855933</v>
      </c>
      <c r="E255" s="164">
        <v>0.84</v>
      </c>
      <c r="F255" s="164">
        <v>0.84</v>
      </c>
      <c r="G255" s="163">
        <v>4</v>
      </c>
      <c r="H255" s="163">
        <v>6.6666666666666661</v>
      </c>
      <c r="I255" s="163">
        <v>2.6666666666666661</v>
      </c>
      <c r="J255" s="163">
        <v>3</v>
      </c>
      <c r="K255" s="163">
        <v>3.2606747638326588</v>
      </c>
      <c r="L255" s="163">
        <v>0.26067476383265875</v>
      </c>
      <c r="M255" s="163">
        <v>4</v>
      </c>
      <c r="N255" s="163">
        <v>6.0908681961313533</v>
      </c>
      <c r="O255" s="163">
        <v>2.0908681961313533</v>
      </c>
      <c r="P255" s="163"/>
      <c r="Q255" s="163">
        <v>4</v>
      </c>
      <c r="R255" s="163">
        <v>0</v>
      </c>
      <c r="S255" s="163">
        <v>0</v>
      </c>
      <c r="T255" s="163">
        <v>0</v>
      </c>
      <c r="U255" s="163">
        <v>0</v>
      </c>
      <c r="V255" s="163">
        <v>0</v>
      </c>
      <c r="W255" s="163">
        <v>0</v>
      </c>
      <c r="X255" s="163">
        <v>0</v>
      </c>
      <c r="Y255" s="163">
        <v>4</v>
      </c>
      <c r="Z255" s="163">
        <v>4</v>
      </c>
      <c r="AA255" s="163">
        <v>0</v>
      </c>
      <c r="AB255" s="163">
        <v>0</v>
      </c>
      <c r="AC255" s="163">
        <v>4</v>
      </c>
      <c r="AD255" s="163">
        <v>0</v>
      </c>
      <c r="AE255" s="165">
        <v>0.40522157931453834</v>
      </c>
      <c r="AF255" s="166">
        <v>0.40522157931453834</v>
      </c>
    </row>
    <row r="256" spans="1:32">
      <c r="A256" s="161">
        <v>6</v>
      </c>
      <c r="B256" s="162">
        <v>0.29166666666666669</v>
      </c>
      <c r="C256" s="163">
        <v>6.7102252938076745</v>
      </c>
      <c r="D256" s="163">
        <v>726.55584692431785</v>
      </c>
      <c r="E256" s="164">
        <v>0.86029999999999995</v>
      </c>
      <c r="F256" s="164">
        <v>0.86029999999999995</v>
      </c>
      <c r="G256" s="163">
        <v>7</v>
      </c>
      <c r="H256" s="163">
        <v>11.666666666666668</v>
      </c>
      <c r="I256" s="163">
        <v>4.6666666666666679</v>
      </c>
      <c r="J256" s="163">
        <v>5</v>
      </c>
      <c r="K256" s="163">
        <v>5.7061808367071531</v>
      </c>
      <c r="L256" s="163">
        <v>0.70618083670715315</v>
      </c>
      <c r="M256" s="163">
        <v>6</v>
      </c>
      <c r="N256" s="163">
        <v>10.65901934322987</v>
      </c>
      <c r="O256" s="163">
        <v>4.6590193432298701</v>
      </c>
      <c r="P256" s="163"/>
      <c r="Q256" s="163">
        <v>7</v>
      </c>
      <c r="R256" s="163">
        <v>0</v>
      </c>
      <c r="S256" s="163">
        <v>0</v>
      </c>
      <c r="T256" s="163">
        <v>0</v>
      </c>
      <c r="U256" s="163">
        <v>0</v>
      </c>
      <c r="V256" s="163">
        <v>0</v>
      </c>
      <c r="W256" s="163">
        <v>0</v>
      </c>
      <c r="X256" s="163">
        <v>0</v>
      </c>
      <c r="Y256" s="163">
        <v>7</v>
      </c>
      <c r="Z256" s="163">
        <v>7</v>
      </c>
      <c r="AA256" s="163">
        <v>0</v>
      </c>
      <c r="AB256" s="163">
        <v>0</v>
      </c>
      <c r="AC256" s="163">
        <v>4</v>
      </c>
      <c r="AD256" s="163">
        <v>3</v>
      </c>
      <c r="AE256" s="165">
        <v>0.47466593787728789</v>
      </c>
      <c r="AF256" s="166">
        <v>0.47466593787728789</v>
      </c>
    </row>
    <row r="257" spans="1:32">
      <c r="A257" s="161">
        <v>6</v>
      </c>
      <c r="B257" s="162">
        <v>0.3125</v>
      </c>
      <c r="C257" s="163">
        <v>8.3048444385083684</v>
      </c>
      <c r="D257" s="163">
        <v>779.61648742861485</v>
      </c>
      <c r="E257" s="164">
        <v>0.97230000000000005</v>
      </c>
      <c r="F257" s="164">
        <v>0.97230000000000005</v>
      </c>
      <c r="G257" s="163">
        <v>8</v>
      </c>
      <c r="H257" s="163">
        <v>18.333333333333332</v>
      </c>
      <c r="I257" s="163">
        <v>10.333333333333332</v>
      </c>
      <c r="J257" s="163">
        <v>6</v>
      </c>
      <c r="K257" s="163">
        <v>6.5213495276653175</v>
      </c>
      <c r="L257" s="163">
        <v>0.5213495276653175</v>
      </c>
      <c r="M257" s="163">
        <v>7</v>
      </c>
      <c r="N257" s="163">
        <v>16.749887539361222</v>
      </c>
      <c r="O257" s="163">
        <v>9.7498875393612217</v>
      </c>
      <c r="P257" s="163"/>
      <c r="Q257" s="163">
        <v>11</v>
      </c>
      <c r="R257" s="163">
        <v>0</v>
      </c>
      <c r="S257" s="163">
        <v>0</v>
      </c>
      <c r="T257" s="163">
        <v>0</v>
      </c>
      <c r="U257" s="163">
        <v>0</v>
      </c>
      <c r="V257" s="163">
        <v>0</v>
      </c>
      <c r="W257" s="163">
        <v>0</v>
      </c>
      <c r="X257" s="163">
        <v>0</v>
      </c>
      <c r="Y257" s="163">
        <v>11</v>
      </c>
      <c r="Z257" s="163">
        <v>11</v>
      </c>
      <c r="AA257" s="163">
        <v>0</v>
      </c>
      <c r="AB257" s="163">
        <v>0</v>
      </c>
      <c r="AC257" s="163">
        <v>8</v>
      </c>
      <c r="AD257" s="163">
        <v>3</v>
      </c>
      <c r="AE257" s="165">
        <v>0.40114357053876809</v>
      </c>
      <c r="AF257" s="166">
        <v>0.5515724094908061</v>
      </c>
    </row>
    <row r="258" spans="1:32">
      <c r="A258" s="161">
        <v>6</v>
      </c>
      <c r="B258" s="162">
        <v>0.33333333333333331</v>
      </c>
      <c r="C258" s="163">
        <v>12.01112191090948</v>
      </c>
      <c r="D258" s="163">
        <v>763.9389082663979</v>
      </c>
      <c r="E258" s="164">
        <v>0.96679999999999999</v>
      </c>
      <c r="F258" s="164">
        <v>0.96679999999999999</v>
      </c>
      <c r="G258" s="163">
        <v>10</v>
      </c>
      <c r="H258" s="163">
        <v>21.666666666666664</v>
      </c>
      <c r="I258" s="163">
        <v>11.666666666666664</v>
      </c>
      <c r="J258" s="163">
        <v>8</v>
      </c>
      <c r="K258" s="163">
        <v>8.1516869095816471</v>
      </c>
      <c r="L258" s="163">
        <v>0.1516869095816471</v>
      </c>
      <c r="M258" s="163">
        <v>9</v>
      </c>
      <c r="N258" s="163">
        <v>19.795321637426898</v>
      </c>
      <c r="O258" s="163">
        <v>10.795321637426898</v>
      </c>
      <c r="P258" s="163"/>
      <c r="Q258" s="163">
        <v>13</v>
      </c>
      <c r="R258" s="163">
        <v>0</v>
      </c>
      <c r="S258" s="163">
        <v>0</v>
      </c>
      <c r="T258" s="163">
        <v>0</v>
      </c>
      <c r="U258" s="163">
        <v>0</v>
      </c>
      <c r="V258" s="163">
        <v>0</v>
      </c>
      <c r="W258" s="163">
        <v>0</v>
      </c>
      <c r="X258" s="163">
        <v>0</v>
      </c>
      <c r="Y258" s="163">
        <v>13</v>
      </c>
      <c r="Z258" s="163">
        <v>13</v>
      </c>
      <c r="AA258" s="163">
        <v>0</v>
      </c>
      <c r="AB258" s="163">
        <v>0</v>
      </c>
      <c r="AC258" s="163">
        <v>10</v>
      </c>
      <c r="AD258" s="163">
        <v>3</v>
      </c>
      <c r="AE258" s="165">
        <v>0.48103741428222513</v>
      </c>
      <c r="AF258" s="166">
        <v>0.62534863856689271</v>
      </c>
    </row>
    <row r="259" spans="1:32">
      <c r="A259" s="161">
        <v>6</v>
      </c>
      <c r="B259" s="162">
        <v>0.35416666666666669</v>
      </c>
      <c r="C259" s="163">
        <v>14.903922525884003</v>
      </c>
      <c r="D259" s="163">
        <v>814.64518513932592</v>
      </c>
      <c r="E259" s="164">
        <v>0.9578000000000001</v>
      </c>
      <c r="F259" s="164">
        <v>0.9578000000000001</v>
      </c>
      <c r="G259" s="163">
        <v>13</v>
      </c>
      <c r="H259" s="163">
        <v>25</v>
      </c>
      <c r="I259" s="163">
        <v>12</v>
      </c>
      <c r="J259" s="163">
        <v>10</v>
      </c>
      <c r="K259" s="163">
        <v>10.597192982456141</v>
      </c>
      <c r="L259" s="163">
        <v>0.59719298245614105</v>
      </c>
      <c r="M259" s="163">
        <v>12</v>
      </c>
      <c r="N259" s="163">
        <v>22.840755735492575</v>
      </c>
      <c r="O259" s="163">
        <v>10.840755735492575</v>
      </c>
      <c r="P259" s="163"/>
      <c r="Q259" s="163">
        <v>15</v>
      </c>
      <c r="R259" s="163">
        <v>0</v>
      </c>
      <c r="S259" s="163">
        <v>0</v>
      </c>
      <c r="T259" s="163">
        <v>0</v>
      </c>
      <c r="U259" s="163">
        <v>0</v>
      </c>
      <c r="V259" s="163">
        <v>0</v>
      </c>
      <c r="W259" s="163">
        <v>0</v>
      </c>
      <c r="X259" s="163">
        <v>0</v>
      </c>
      <c r="Y259" s="163">
        <v>15</v>
      </c>
      <c r="Z259" s="163">
        <v>15</v>
      </c>
      <c r="AA259" s="163">
        <v>0</v>
      </c>
      <c r="AB259" s="163">
        <v>0</v>
      </c>
      <c r="AC259" s="163">
        <v>10</v>
      </c>
      <c r="AD259" s="163">
        <v>5</v>
      </c>
      <c r="AE259" s="165">
        <v>0.55164263499364152</v>
      </c>
      <c r="AF259" s="166">
        <v>0.63651073268497105</v>
      </c>
    </row>
    <row r="260" spans="1:32">
      <c r="A260" s="161">
        <v>6</v>
      </c>
      <c r="B260" s="162">
        <v>0.375</v>
      </c>
      <c r="C260" s="163">
        <v>17.188476292389051</v>
      </c>
      <c r="D260" s="163">
        <v>797.05374139927653</v>
      </c>
      <c r="E260" s="164">
        <v>0.95679999999999998</v>
      </c>
      <c r="F260" s="164">
        <v>0.95679999999999998</v>
      </c>
      <c r="G260" s="163">
        <v>14</v>
      </c>
      <c r="H260" s="163">
        <v>28.333333333333336</v>
      </c>
      <c r="I260" s="163">
        <v>14.333333333333336</v>
      </c>
      <c r="J260" s="163">
        <v>11</v>
      </c>
      <c r="K260" s="163">
        <v>11.412361673414306</v>
      </c>
      <c r="L260" s="163">
        <v>0.4123616734143063</v>
      </c>
      <c r="M260" s="163">
        <v>13</v>
      </c>
      <c r="N260" s="163">
        <v>25.886189833558255</v>
      </c>
      <c r="O260" s="163">
        <v>12.886189833558255</v>
      </c>
      <c r="P260" s="163"/>
      <c r="Q260" s="163">
        <v>17</v>
      </c>
      <c r="R260" s="163">
        <v>0</v>
      </c>
      <c r="S260" s="163">
        <v>0</v>
      </c>
      <c r="T260" s="163">
        <v>0</v>
      </c>
      <c r="U260" s="163">
        <v>0</v>
      </c>
      <c r="V260" s="163">
        <v>0</v>
      </c>
      <c r="W260" s="163">
        <v>0</v>
      </c>
      <c r="X260" s="163">
        <v>0</v>
      </c>
      <c r="Y260" s="163">
        <v>17</v>
      </c>
      <c r="Z260" s="163">
        <v>17</v>
      </c>
      <c r="AA260" s="163">
        <v>0</v>
      </c>
      <c r="AB260" s="163">
        <v>0</v>
      </c>
      <c r="AC260" s="163">
        <v>12</v>
      </c>
      <c r="AD260" s="163">
        <v>5</v>
      </c>
      <c r="AE260" s="165">
        <v>0.54923229607521118</v>
      </c>
      <c r="AF260" s="166">
        <v>0.66692493094847083</v>
      </c>
    </row>
    <row r="261" spans="1:32">
      <c r="A261" s="161">
        <v>6</v>
      </c>
      <c r="B261" s="162">
        <v>0.39583333333333331</v>
      </c>
      <c r="C261" s="163">
        <v>18.604297028893185</v>
      </c>
      <c r="D261" s="163">
        <v>813.30726568749583</v>
      </c>
      <c r="E261" s="164">
        <v>0.9768</v>
      </c>
      <c r="F261" s="164">
        <v>0.9768</v>
      </c>
      <c r="G261" s="163">
        <v>15</v>
      </c>
      <c r="H261" s="163">
        <v>31.666666666666664</v>
      </c>
      <c r="I261" s="163">
        <v>16.666666666666664</v>
      </c>
      <c r="J261" s="163">
        <v>12</v>
      </c>
      <c r="K261" s="163">
        <v>12.22753036437247</v>
      </c>
      <c r="L261" s="163">
        <v>0.22753036437246976</v>
      </c>
      <c r="M261" s="163">
        <v>14</v>
      </c>
      <c r="N261" s="163">
        <v>28.931623931623928</v>
      </c>
      <c r="O261" s="163">
        <v>14.931623931623928</v>
      </c>
      <c r="P261" s="163"/>
      <c r="Q261" s="163">
        <v>19</v>
      </c>
      <c r="R261" s="163">
        <v>0</v>
      </c>
      <c r="S261" s="163">
        <v>0</v>
      </c>
      <c r="T261" s="163">
        <v>0</v>
      </c>
      <c r="U261" s="163">
        <v>0</v>
      </c>
      <c r="V261" s="163">
        <v>0</v>
      </c>
      <c r="W261" s="163">
        <v>0</v>
      </c>
      <c r="X261" s="163">
        <v>0</v>
      </c>
      <c r="Y261" s="163">
        <v>19</v>
      </c>
      <c r="Z261" s="163">
        <v>19</v>
      </c>
      <c r="AA261" s="163">
        <v>0</v>
      </c>
      <c r="AB261" s="163">
        <v>0</v>
      </c>
      <c r="AC261" s="163">
        <v>14</v>
      </c>
      <c r="AD261" s="163">
        <v>5</v>
      </c>
      <c r="AE261" s="165">
        <v>0.54274311112369078</v>
      </c>
      <c r="AF261" s="166">
        <v>0.68747460742334177</v>
      </c>
    </row>
    <row r="262" spans="1:32">
      <c r="A262" s="161">
        <v>6</v>
      </c>
      <c r="B262" s="162">
        <v>0.41666666666666669</v>
      </c>
      <c r="C262" s="163">
        <v>20.297036044390225</v>
      </c>
      <c r="D262" s="163">
        <v>787.348720804241</v>
      </c>
      <c r="E262" s="164">
        <v>0.9647</v>
      </c>
      <c r="F262" s="164">
        <v>0.9647</v>
      </c>
      <c r="G262" s="163">
        <v>16</v>
      </c>
      <c r="H262" s="163">
        <v>31.666666666666664</v>
      </c>
      <c r="I262" s="163">
        <v>15.666666666666664</v>
      </c>
      <c r="J262" s="163">
        <v>13</v>
      </c>
      <c r="K262" s="163">
        <v>13.042699055330635</v>
      </c>
      <c r="L262" s="163">
        <v>4.2699055330635005E-2</v>
      </c>
      <c r="M262" s="163">
        <v>15</v>
      </c>
      <c r="N262" s="163">
        <v>28.931623931623928</v>
      </c>
      <c r="O262" s="163">
        <v>13.931623931623928</v>
      </c>
      <c r="P262" s="163"/>
      <c r="Q262" s="163">
        <v>19</v>
      </c>
      <c r="R262" s="163">
        <v>0</v>
      </c>
      <c r="S262" s="163">
        <v>0</v>
      </c>
      <c r="T262" s="163">
        <v>0</v>
      </c>
      <c r="U262" s="163">
        <v>0</v>
      </c>
      <c r="V262" s="163">
        <v>0</v>
      </c>
      <c r="W262" s="163">
        <v>0</v>
      </c>
      <c r="X262" s="163">
        <v>0</v>
      </c>
      <c r="Y262" s="163">
        <v>19</v>
      </c>
      <c r="Z262" s="163">
        <v>19</v>
      </c>
      <c r="AA262" s="163">
        <v>0</v>
      </c>
      <c r="AB262" s="163">
        <v>0</v>
      </c>
      <c r="AC262" s="163">
        <v>14</v>
      </c>
      <c r="AD262" s="163">
        <v>5</v>
      </c>
      <c r="AE262" s="165">
        <v>0.57322635850188386</v>
      </c>
      <c r="AF262" s="166">
        <v>0.68070630072098715</v>
      </c>
    </row>
    <row r="263" spans="1:32">
      <c r="A263" s="161">
        <v>6</v>
      </c>
      <c r="B263" s="162">
        <v>0.4375</v>
      </c>
      <c r="C263" s="163">
        <v>20.380594116606794</v>
      </c>
      <c r="D263" s="163">
        <v>784.12993368177354</v>
      </c>
      <c r="E263" s="164">
        <v>0.96479999999999999</v>
      </c>
      <c r="F263" s="164">
        <v>0.96479999999999999</v>
      </c>
      <c r="G263" s="163">
        <v>16</v>
      </c>
      <c r="H263" s="163">
        <v>31.666666666666664</v>
      </c>
      <c r="I263" s="163">
        <v>15.666666666666664</v>
      </c>
      <c r="J263" s="163">
        <v>13</v>
      </c>
      <c r="K263" s="163">
        <v>13.042699055330635</v>
      </c>
      <c r="L263" s="163">
        <v>4.2699055330635005E-2</v>
      </c>
      <c r="M263" s="163">
        <v>15</v>
      </c>
      <c r="N263" s="163">
        <v>28.931623931623928</v>
      </c>
      <c r="O263" s="163">
        <v>13.931623931623928</v>
      </c>
      <c r="P263" s="163"/>
      <c r="Q263" s="163">
        <v>19</v>
      </c>
      <c r="R263" s="163">
        <v>0</v>
      </c>
      <c r="S263" s="163">
        <v>0</v>
      </c>
      <c r="T263" s="163">
        <v>0</v>
      </c>
      <c r="U263" s="163">
        <v>0</v>
      </c>
      <c r="V263" s="163">
        <v>0</v>
      </c>
      <c r="W263" s="163">
        <v>0</v>
      </c>
      <c r="X263" s="163">
        <v>0</v>
      </c>
      <c r="Y263" s="163">
        <v>19</v>
      </c>
      <c r="Z263" s="163">
        <v>19</v>
      </c>
      <c r="AA263" s="163">
        <v>0</v>
      </c>
      <c r="AB263" s="163">
        <v>0</v>
      </c>
      <c r="AC263" s="163">
        <v>14</v>
      </c>
      <c r="AD263" s="163">
        <v>5</v>
      </c>
      <c r="AE263" s="165">
        <v>0.57323312161901641</v>
      </c>
      <c r="AF263" s="166">
        <v>0.68071433192258202</v>
      </c>
    </row>
    <row r="264" spans="1:32">
      <c r="A264" s="161">
        <v>6</v>
      </c>
      <c r="B264" s="162">
        <v>0.45833333333333331</v>
      </c>
      <c r="C264" s="163">
        <v>21.917145485494153</v>
      </c>
      <c r="D264" s="163">
        <v>826.28250327875173</v>
      </c>
      <c r="E264" s="164">
        <v>0.91180000000000005</v>
      </c>
      <c r="F264" s="164">
        <v>0.91180000000000005</v>
      </c>
      <c r="G264" s="163">
        <v>18</v>
      </c>
      <c r="H264" s="163">
        <v>31.666666666666664</v>
      </c>
      <c r="I264" s="163">
        <v>13.666666666666664</v>
      </c>
      <c r="J264" s="163">
        <v>14</v>
      </c>
      <c r="K264" s="163">
        <v>14.673036437246964</v>
      </c>
      <c r="L264" s="163">
        <v>0.67303643724696371</v>
      </c>
      <c r="M264" s="163">
        <v>16</v>
      </c>
      <c r="N264" s="163">
        <v>28.931623931623928</v>
      </c>
      <c r="O264" s="163">
        <v>12.931623931623928</v>
      </c>
      <c r="P264" s="163"/>
      <c r="Q264" s="163">
        <v>19</v>
      </c>
      <c r="R264" s="163">
        <v>0</v>
      </c>
      <c r="S264" s="163">
        <v>0</v>
      </c>
      <c r="T264" s="163">
        <v>0</v>
      </c>
      <c r="U264" s="163">
        <v>0</v>
      </c>
      <c r="V264" s="163">
        <v>0</v>
      </c>
      <c r="W264" s="163">
        <v>0</v>
      </c>
      <c r="X264" s="163">
        <v>0</v>
      </c>
      <c r="Y264" s="163">
        <v>19</v>
      </c>
      <c r="Z264" s="163">
        <v>19</v>
      </c>
      <c r="AA264" s="163">
        <v>0</v>
      </c>
      <c r="AB264" s="163">
        <v>0</v>
      </c>
      <c r="AC264" s="163">
        <v>14</v>
      </c>
      <c r="AD264" s="163">
        <v>5</v>
      </c>
      <c r="AE264" s="165">
        <v>0.64958943081645559</v>
      </c>
      <c r="AF264" s="166">
        <v>0.68567773252848097</v>
      </c>
    </row>
    <row r="265" spans="1:32">
      <c r="A265" s="161">
        <v>6</v>
      </c>
      <c r="B265" s="162">
        <v>0.47916666666666669</v>
      </c>
      <c r="C265" s="163">
        <v>20.022143791041827</v>
      </c>
      <c r="D265" s="163">
        <v>732.51979934727683</v>
      </c>
      <c r="E265" s="164">
        <v>0.98229999999999995</v>
      </c>
      <c r="F265" s="164">
        <v>0.98229999999999995</v>
      </c>
      <c r="G265" s="163">
        <v>15</v>
      </c>
      <c r="H265" s="163">
        <v>31.666666666666664</v>
      </c>
      <c r="I265" s="163">
        <v>16.666666666666664</v>
      </c>
      <c r="J265" s="163">
        <v>12</v>
      </c>
      <c r="K265" s="163">
        <v>12.22753036437247</v>
      </c>
      <c r="L265" s="163">
        <v>0.22753036437246976</v>
      </c>
      <c r="M265" s="163">
        <v>14</v>
      </c>
      <c r="N265" s="163">
        <v>28.931623931623928</v>
      </c>
      <c r="O265" s="163">
        <v>14.931623931623928</v>
      </c>
      <c r="P265" s="163"/>
      <c r="Q265" s="163">
        <v>19</v>
      </c>
      <c r="R265" s="163">
        <v>0</v>
      </c>
      <c r="S265" s="163">
        <v>0</v>
      </c>
      <c r="T265" s="163">
        <v>0</v>
      </c>
      <c r="U265" s="163">
        <v>0</v>
      </c>
      <c r="V265" s="163">
        <v>0</v>
      </c>
      <c r="W265" s="163">
        <v>0</v>
      </c>
      <c r="X265" s="163">
        <v>0</v>
      </c>
      <c r="Y265" s="163">
        <v>19</v>
      </c>
      <c r="Z265" s="163">
        <v>19</v>
      </c>
      <c r="AA265" s="163">
        <v>0</v>
      </c>
      <c r="AB265" s="163">
        <v>0</v>
      </c>
      <c r="AC265" s="163">
        <v>14</v>
      </c>
      <c r="AD265" s="163">
        <v>5</v>
      </c>
      <c r="AE265" s="165">
        <v>0.52608551801236036</v>
      </c>
      <c r="AF265" s="166">
        <v>0.6663749894823231</v>
      </c>
    </row>
    <row r="266" spans="1:32">
      <c r="A266" s="161">
        <v>6</v>
      </c>
      <c r="B266" s="162">
        <v>0.5</v>
      </c>
      <c r="C266" s="163">
        <v>20.119864482355133</v>
      </c>
      <c r="D266" s="163">
        <v>794.32438458517481</v>
      </c>
      <c r="E266" s="164">
        <v>0.96460000000000001</v>
      </c>
      <c r="F266" s="164">
        <v>0.96460000000000001</v>
      </c>
      <c r="G266" s="163">
        <v>16</v>
      </c>
      <c r="H266" s="163">
        <v>31.666666666666664</v>
      </c>
      <c r="I266" s="163">
        <v>15.666666666666664</v>
      </c>
      <c r="J266" s="163">
        <v>13</v>
      </c>
      <c r="K266" s="163">
        <v>13.042699055330635</v>
      </c>
      <c r="L266" s="163">
        <v>4.2699055330635005E-2</v>
      </c>
      <c r="M266" s="163">
        <v>15</v>
      </c>
      <c r="N266" s="163">
        <v>28.931623931623928</v>
      </c>
      <c r="O266" s="163">
        <v>13.931623931623928</v>
      </c>
      <c r="P266" s="163"/>
      <c r="Q266" s="163">
        <v>19</v>
      </c>
      <c r="R266" s="163">
        <v>0</v>
      </c>
      <c r="S266" s="163">
        <v>0</v>
      </c>
      <c r="T266" s="163">
        <v>0</v>
      </c>
      <c r="U266" s="163">
        <v>0</v>
      </c>
      <c r="V266" s="163">
        <v>0</v>
      </c>
      <c r="W266" s="163">
        <v>0</v>
      </c>
      <c r="X266" s="163">
        <v>0</v>
      </c>
      <c r="Y266" s="163">
        <v>19</v>
      </c>
      <c r="Z266" s="163">
        <v>19</v>
      </c>
      <c r="AA266" s="163">
        <v>0</v>
      </c>
      <c r="AB266" s="163">
        <v>0</v>
      </c>
      <c r="AC266" s="163">
        <v>14</v>
      </c>
      <c r="AD266" s="163">
        <v>5</v>
      </c>
      <c r="AE266" s="165">
        <v>0.57325697704205603</v>
      </c>
      <c r="AF266" s="166">
        <v>0.68074266023744157</v>
      </c>
    </row>
    <row r="267" spans="1:32">
      <c r="A267" s="161">
        <v>6</v>
      </c>
      <c r="B267" s="162">
        <v>0.52083333333333337</v>
      </c>
      <c r="C267" s="163">
        <v>18.468391867421847</v>
      </c>
      <c r="D267" s="163">
        <v>763.62539373079892</v>
      </c>
      <c r="E267" s="164">
        <v>0.96099999999999997</v>
      </c>
      <c r="F267" s="164">
        <v>0.96099999999999997</v>
      </c>
      <c r="G267" s="163">
        <v>15</v>
      </c>
      <c r="H267" s="163">
        <v>30.333333333333336</v>
      </c>
      <c r="I267" s="163">
        <v>15.333333333333336</v>
      </c>
      <c r="J267" s="163">
        <v>12</v>
      </c>
      <c r="K267" s="163">
        <v>12.22753036437247</v>
      </c>
      <c r="L267" s="163">
        <v>0.22753036437246976</v>
      </c>
      <c r="M267" s="163">
        <v>14</v>
      </c>
      <c r="N267" s="163">
        <v>27.713450292397663</v>
      </c>
      <c r="O267" s="163">
        <v>13.713450292397663</v>
      </c>
      <c r="P267" s="163"/>
      <c r="Q267" s="163">
        <v>19</v>
      </c>
      <c r="R267" s="163">
        <v>0</v>
      </c>
      <c r="S267" s="163">
        <v>0</v>
      </c>
      <c r="T267" s="163">
        <v>0</v>
      </c>
      <c r="U267" s="163">
        <v>0</v>
      </c>
      <c r="V267" s="163">
        <v>0</v>
      </c>
      <c r="W267" s="163">
        <v>0</v>
      </c>
      <c r="X267" s="163">
        <v>0</v>
      </c>
      <c r="Y267" s="163">
        <v>19</v>
      </c>
      <c r="Z267" s="163">
        <v>19</v>
      </c>
      <c r="AA267" s="163">
        <v>0</v>
      </c>
      <c r="AB267" s="163">
        <v>0</v>
      </c>
      <c r="AC267" s="163">
        <v>14</v>
      </c>
      <c r="AD267" s="163">
        <v>5</v>
      </c>
      <c r="AE267" s="165">
        <v>0.50586641377875363</v>
      </c>
      <c r="AF267" s="166">
        <v>0.64076412411975459</v>
      </c>
    </row>
    <row r="268" spans="1:32">
      <c r="A268" s="161">
        <v>6</v>
      </c>
      <c r="B268" s="162">
        <v>0.54166666666666663</v>
      </c>
      <c r="C268" s="163">
        <v>18.282761728383122</v>
      </c>
      <c r="D268" s="163">
        <v>737.62678281771991</v>
      </c>
      <c r="E268" s="164">
        <v>0.9617</v>
      </c>
      <c r="F268" s="164">
        <v>0.9617</v>
      </c>
      <c r="G268" s="163">
        <v>14</v>
      </c>
      <c r="H268" s="163">
        <v>28.333333333333336</v>
      </c>
      <c r="I268" s="163">
        <v>14.333333333333336</v>
      </c>
      <c r="J268" s="163">
        <v>11</v>
      </c>
      <c r="K268" s="163">
        <v>11.412361673414306</v>
      </c>
      <c r="L268" s="163">
        <v>0.4123616734143063</v>
      </c>
      <c r="M268" s="163">
        <v>13</v>
      </c>
      <c r="N268" s="163">
        <v>25.886189833558255</v>
      </c>
      <c r="O268" s="163">
        <v>12.886189833558255</v>
      </c>
      <c r="P268" s="163"/>
      <c r="Q268" s="163">
        <v>17</v>
      </c>
      <c r="R268" s="163">
        <v>0</v>
      </c>
      <c r="S268" s="163">
        <v>0</v>
      </c>
      <c r="T268" s="163">
        <v>0</v>
      </c>
      <c r="U268" s="163">
        <v>0</v>
      </c>
      <c r="V268" s="163">
        <v>0</v>
      </c>
      <c r="W268" s="163">
        <v>0</v>
      </c>
      <c r="X268" s="163">
        <v>0</v>
      </c>
      <c r="Y268" s="163">
        <v>17</v>
      </c>
      <c r="Z268" s="163">
        <v>17</v>
      </c>
      <c r="AA268" s="163">
        <v>0</v>
      </c>
      <c r="AB268" s="163">
        <v>0</v>
      </c>
      <c r="AC268" s="163">
        <v>12</v>
      </c>
      <c r="AD268" s="163">
        <v>5</v>
      </c>
      <c r="AE268" s="165">
        <v>0.54064172391815912</v>
      </c>
      <c r="AF268" s="166">
        <v>0.65649352190062182</v>
      </c>
    </row>
    <row r="269" spans="1:32">
      <c r="A269" s="161">
        <v>6</v>
      </c>
      <c r="B269" s="162">
        <v>0.5625</v>
      </c>
      <c r="C269" s="163">
        <v>17.666760237741652</v>
      </c>
      <c r="D269" s="163">
        <v>752.09332122432181</v>
      </c>
      <c r="E269" s="164">
        <v>0.96530000000000005</v>
      </c>
      <c r="F269" s="164">
        <v>0.96530000000000005</v>
      </c>
      <c r="G269" s="163">
        <v>14</v>
      </c>
      <c r="H269" s="163">
        <v>28.333333333333336</v>
      </c>
      <c r="I269" s="163">
        <v>14.333333333333336</v>
      </c>
      <c r="J269" s="163">
        <v>11</v>
      </c>
      <c r="K269" s="163">
        <v>11.412361673414306</v>
      </c>
      <c r="L269" s="163">
        <v>0.4123616734143063</v>
      </c>
      <c r="M269" s="163">
        <v>13</v>
      </c>
      <c r="N269" s="163">
        <v>25.886189833558255</v>
      </c>
      <c r="O269" s="163">
        <v>12.886189833558255</v>
      </c>
      <c r="P269" s="163"/>
      <c r="Q269" s="163">
        <v>17</v>
      </c>
      <c r="R269" s="163">
        <v>0</v>
      </c>
      <c r="S269" s="163">
        <v>0</v>
      </c>
      <c r="T269" s="163">
        <v>0</v>
      </c>
      <c r="U269" s="163">
        <v>0</v>
      </c>
      <c r="V269" s="163">
        <v>0</v>
      </c>
      <c r="W269" s="163">
        <v>0</v>
      </c>
      <c r="X269" s="163">
        <v>0</v>
      </c>
      <c r="Y269" s="163">
        <v>17</v>
      </c>
      <c r="Z269" s="163">
        <v>17</v>
      </c>
      <c r="AA269" s="163">
        <v>0</v>
      </c>
      <c r="AB269" s="163">
        <v>0</v>
      </c>
      <c r="AC269" s="163">
        <v>12</v>
      </c>
      <c r="AD269" s="163">
        <v>5</v>
      </c>
      <c r="AE269" s="165">
        <v>0.53267182969180649</v>
      </c>
      <c r="AF269" s="166">
        <v>0.64681579319719362</v>
      </c>
    </row>
    <row r="270" spans="1:32">
      <c r="A270" s="161">
        <v>6</v>
      </c>
      <c r="B270" s="162">
        <v>0.58333333333333337</v>
      </c>
      <c r="C270" s="163">
        <v>17.411819271879807</v>
      </c>
      <c r="D270" s="163">
        <v>751.89434684620494</v>
      </c>
      <c r="E270" s="164">
        <v>0.96870000000000001</v>
      </c>
      <c r="F270" s="164">
        <v>0.96870000000000001</v>
      </c>
      <c r="G270" s="163">
        <v>14</v>
      </c>
      <c r="H270" s="163">
        <v>28.333333333333336</v>
      </c>
      <c r="I270" s="163">
        <v>14.333333333333336</v>
      </c>
      <c r="J270" s="163">
        <v>11</v>
      </c>
      <c r="K270" s="163">
        <v>11.412361673414306</v>
      </c>
      <c r="L270" s="163">
        <v>0.4123616734143063</v>
      </c>
      <c r="M270" s="163">
        <v>13</v>
      </c>
      <c r="N270" s="163">
        <v>25.886189833558255</v>
      </c>
      <c r="O270" s="163">
        <v>12.886189833558255</v>
      </c>
      <c r="P270" s="163"/>
      <c r="Q270" s="163">
        <v>17</v>
      </c>
      <c r="R270" s="163">
        <v>0</v>
      </c>
      <c r="S270" s="163">
        <v>0</v>
      </c>
      <c r="T270" s="163">
        <v>0</v>
      </c>
      <c r="U270" s="163">
        <v>0</v>
      </c>
      <c r="V270" s="163">
        <v>0</v>
      </c>
      <c r="W270" s="163">
        <v>0</v>
      </c>
      <c r="X270" s="163">
        <v>0</v>
      </c>
      <c r="Y270" s="163">
        <v>17</v>
      </c>
      <c r="Z270" s="163">
        <v>17</v>
      </c>
      <c r="AA270" s="163">
        <v>0</v>
      </c>
      <c r="AB270" s="163">
        <v>0</v>
      </c>
      <c r="AC270" s="163">
        <v>12</v>
      </c>
      <c r="AD270" s="163">
        <v>5</v>
      </c>
      <c r="AE270" s="165">
        <v>0.52484619481635009</v>
      </c>
      <c r="AF270" s="166">
        <v>0.63731323656271088</v>
      </c>
    </row>
    <row r="271" spans="1:32">
      <c r="A271" s="161">
        <v>6</v>
      </c>
      <c r="B271" s="162">
        <v>0.60416666666666663</v>
      </c>
      <c r="C271" s="163">
        <v>17.523268850403163</v>
      </c>
      <c r="D271" s="163">
        <v>713.86084483703405</v>
      </c>
      <c r="E271" s="164">
        <v>0.98953333333333349</v>
      </c>
      <c r="F271" s="164">
        <v>0.98953333333333349</v>
      </c>
      <c r="G271" s="163">
        <v>13</v>
      </c>
      <c r="H271" s="163">
        <v>29.666666666666664</v>
      </c>
      <c r="I271" s="163">
        <v>16.666666666666664</v>
      </c>
      <c r="J271" s="163">
        <v>10</v>
      </c>
      <c r="K271" s="163">
        <v>10.597192982456141</v>
      </c>
      <c r="L271" s="163">
        <v>0.59719298245614105</v>
      </c>
      <c r="M271" s="163">
        <v>12</v>
      </c>
      <c r="N271" s="163">
        <v>27.104363472784524</v>
      </c>
      <c r="O271" s="163">
        <v>15.104363472784524</v>
      </c>
      <c r="P271" s="163"/>
      <c r="Q271" s="163">
        <v>17</v>
      </c>
      <c r="R271" s="163">
        <v>0</v>
      </c>
      <c r="S271" s="163">
        <v>0</v>
      </c>
      <c r="T271" s="163">
        <v>0</v>
      </c>
      <c r="U271" s="163">
        <v>0</v>
      </c>
      <c r="V271" s="163">
        <v>0</v>
      </c>
      <c r="W271" s="163">
        <v>0</v>
      </c>
      <c r="X271" s="163">
        <v>0</v>
      </c>
      <c r="Y271" s="163">
        <v>17</v>
      </c>
      <c r="Z271" s="163">
        <v>17</v>
      </c>
      <c r="AA271" s="163">
        <v>0</v>
      </c>
      <c r="AB271" s="163">
        <v>0</v>
      </c>
      <c r="AC271" s="163">
        <v>12</v>
      </c>
      <c r="AD271" s="163">
        <v>5</v>
      </c>
      <c r="AE271" s="165">
        <v>0.50148710284513287</v>
      </c>
      <c r="AF271" s="166">
        <v>0.65579082679748146</v>
      </c>
    </row>
    <row r="272" spans="1:32">
      <c r="A272" s="161">
        <v>6</v>
      </c>
      <c r="B272" s="162">
        <v>0.625</v>
      </c>
      <c r="C272" s="163">
        <v>17.91426616074207</v>
      </c>
      <c r="D272" s="163">
        <v>770.27442862998339</v>
      </c>
      <c r="E272" s="164">
        <v>0.92393333333333327</v>
      </c>
      <c r="F272" s="164">
        <v>0.92393333333333327</v>
      </c>
      <c r="G272" s="163">
        <v>14</v>
      </c>
      <c r="H272" s="163">
        <v>29</v>
      </c>
      <c r="I272" s="163">
        <v>15</v>
      </c>
      <c r="J272" s="163">
        <v>11</v>
      </c>
      <c r="K272" s="163">
        <v>11.412361673414306</v>
      </c>
      <c r="L272" s="163">
        <v>0.4123616734143063</v>
      </c>
      <c r="M272" s="163">
        <v>13</v>
      </c>
      <c r="N272" s="163">
        <v>26.495276653171388</v>
      </c>
      <c r="O272" s="163">
        <v>13.495276653171388</v>
      </c>
      <c r="P272" s="163"/>
      <c r="Q272" s="163">
        <v>19</v>
      </c>
      <c r="R272" s="163">
        <v>0</v>
      </c>
      <c r="S272" s="163">
        <v>0</v>
      </c>
      <c r="T272" s="163">
        <v>0</v>
      </c>
      <c r="U272" s="163">
        <v>0</v>
      </c>
      <c r="V272" s="163">
        <v>0</v>
      </c>
      <c r="W272" s="163">
        <v>0</v>
      </c>
      <c r="X272" s="163">
        <v>0</v>
      </c>
      <c r="Y272" s="163">
        <v>19</v>
      </c>
      <c r="Z272" s="163">
        <v>19</v>
      </c>
      <c r="AA272" s="163">
        <v>0</v>
      </c>
      <c r="AB272" s="163">
        <v>0</v>
      </c>
      <c r="AC272" s="163">
        <v>12</v>
      </c>
      <c r="AD272" s="163">
        <v>7</v>
      </c>
      <c r="AE272" s="165">
        <v>0.49496091513471385</v>
      </c>
      <c r="AF272" s="166">
        <v>0.67173267053996888</v>
      </c>
    </row>
    <row r="273" spans="1:32">
      <c r="A273" s="161">
        <v>6</v>
      </c>
      <c r="B273" s="162">
        <v>0.64583333333333337</v>
      </c>
      <c r="C273" s="163">
        <v>16.506231549120038</v>
      </c>
      <c r="D273" s="163">
        <v>749.37396124240411</v>
      </c>
      <c r="E273" s="164">
        <v>0.90810000000000002</v>
      </c>
      <c r="F273" s="164">
        <v>0.90810000000000002</v>
      </c>
      <c r="G273" s="163">
        <v>13</v>
      </c>
      <c r="H273" s="163">
        <v>23.333333333333336</v>
      </c>
      <c r="I273" s="163">
        <v>10.333333333333336</v>
      </c>
      <c r="J273" s="163">
        <v>10</v>
      </c>
      <c r="K273" s="163">
        <v>10.597192982456141</v>
      </c>
      <c r="L273" s="163">
        <v>0.59719298245614105</v>
      </c>
      <c r="M273" s="163">
        <v>12</v>
      </c>
      <c r="N273" s="163">
        <v>21.31803868645974</v>
      </c>
      <c r="O273" s="163">
        <v>9.3180386864597402</v>
      </c>
      <c r="P273" s="163"/>
      <c r="Q273" s="163">
        <v>14</v>
      </c>
      <c r="R273" s="163">
        <v>0</v>
      </c>
      <c r="S273" s="163">
        <v>0</v>
      </c>
      <c r="T273" s="163">
        <v>0</v>
      </c>
      <c r="U273" s="163">
        <v>0</v>
      </c>
      <c r="V273" s="163">
        <v>0</v>
      </c>
      <c r="W273" s="163">
        <v>0</v>
      </c>
      <c r="X273" s="163">
        <v>0</v>
      </c>
      <c r="Y273" s="163">
        <v>14</v>
      </c>
      <c r="Z273" s="163">
        <v>14</v>
      </c>
      <c r="AA273" s="163">
        <v>0</v>
      </c>
      <c r="AB273" s="163">
        <v>0</v>
      </c>
      <c r="AC273" s="163">
        <v>10</v>
      </c>
      <c r="AD273" s="163">
        <v>4</v>
      </c>
      <c r="AE273" s="165">
        <v>0.60214141643167385</v>
      </c>
      <c r="AF273" s="166">
        <v>0.64845998692641804</v>
      </c>
    </row>
    <row r="274" spans="1:32">
      <c r="A274" s="161">
        <v>6</v>
      </c>
      <c r="B274" s="162">
        <v>0.66666666666666663</v>
      </c>
      <c r="C274" s="163">
        <v>15.706440761004828</v>
      </c>
      <c r="D274" s="163">
        <v>778.4604717657096</v>
      </c>
      <c r="E274" s="164">
        <v>0.91360000000000008</v>
      </c>
      <c r="F274" s="164">
        <v>0.91360000000000008</v>
      </c>
      <c r="G274" s="163">
        <v>13</v>
      </c>
      <c r="H274" s="163">
        <v>23.333333333333336</v>
      </c>
      <c r="I274" s="163">
        <v>10.333333333333336</v>
      </c>
      <c r="J274" s="163">
        <v>10</v>
      </c>
      <c r="K274" s="163">
        <v>10.597192982456141</v>
      </c>
      <c r="L274" s="163">
        <v>0.59719298245614105</v>
      </c>
      <c r="M274" s="163">
        <v>12</v>
      </c>
      <c r="N274" s="163">
        <v>21.31803868645974</v>
      </c>
      <c r="O274" s="163">
        <v>9.3180386864597402</v>
      </c>
      <c r="P274" s="163"/>
      <c r="Q274" s="163">
        <v>14</v>
      </c>
      <c r="R274" s="163">
        <v>0</v>
      </c>
      <c r="S274" s="163">
        <v>0</v>
      </c>
      <c r="T274" s="163">
        <v>0</v>
      </c>
      <c r="U274" s="163">
        <v>0</v>
      </c>
      <c r="V274" s="163">
        <v>0</v>
      </c>
      <c r="W274" s="163">
        <v>0</v>
      </c>
      <c r="X274" s="163">
        <v>0</v>
      </c>
      <c r="Y274" s="163">
        <v>14</v>
      </c>
      <c r="Z274" s="163">
        <v>14</v>
      </c>
      <c r="AA274" s="163">
        <v>0</v>
      </c>
      <c r="AB274" s="163">
        <v>0</v>
      </c>
      <c r="AC274" s="163">
        <v>10</v>
      </c>
      <c r="AD274" s="163">
        <v>4</v>
      </c>
      <c r="AE274" s="165">
        <v>0.59520464808568352</v>
      </c>
      <c r="AF274" s="166">
        <v>0.64098962101535162</v>
      </c>
    </row>
    <row r="275" spans="1:32">
      <c r="A275" s="161">
        <v>6</v>
      </c>
      <c r="B275" s="162">
        <v>0.6875</v>
      </c>
      <c r="C275" s="163">
        <v>15.252368774112377</v>
      </c>
      <c r="D275" s="163">
        <v>732.46118791201366</v>
      </c>
      <c r="E275" s="164">
        <v>0.86166666666666669</v>
      </c>
      <c r="F275" s="164">
        <v>0.86166666666666669</v>
      </c>
      <c r="G275" s="163">
        <v>13</v>
      </c>
      <c r="H275" s="163">
        <v>22</v>
      </c>
      <c r="I275" s="163">
        <v>9</v>
      </c>
      <c r="J275" s="163">
        <v>10</v>
      </c>
      <c r="K275" s="163">
        <v>10.597192982456141</v>
      </c>
      <c r="L275" s="163">
        <v>0.59719298245614105</v>
      </c>
      <c r="M275" s="163">
        <v>12</v>
      </c>
      <c r="N275" s="163">
        <v>20.099865047233468</v>
      </c>
      <c r="O275" s="163">
        <v>8.0998650472334681</v>
      </c>
      <c r="P275" s="163"/>
      <c r="Q275" s="163">
        <v>14</v>
      </c>
      <c r="R275" s="163">
        <v>0</v>
      </c>
      <c r="S275" s="163">
        <v>0</v>
      </c>
      <c r="T275" s="163">
        <v>0</v>
      </c>
      <c r="U275" s="163">
        <v>0</v>
      </c>
      <c r="V275" s="163">
        <v>0</v>
      </c>
      <c r="W275" s="163">
        <v>0</v>
      </c>
      <c r="X275" s="163">
        <v>0</v>
      </c>
      <c r="Y275" s="163">
        <v>14</v>
      </c>
      <c r="Z275" s="163">
        <v>14</v>
      </c>
      <c r="AA275" s="163">
        <v>0</v>
      </c>
      <c r="AB275" s="163">
        <v>0</v>
      </c>
      <c r="AC275" s="163">
        <v>10</v>
      </c>
      <c r="AD275" s="163">
        <v>4</v>
      </c>
      <c r="AE275" s="165">
        <v>0.54384342515107376</v>
      </c>
      <c r="AF275" s="166">
        <v>0.58567753477807938</v>
      </c>
    </row>
    <row r="276" spans="1:32">
      <c r="A276" s="161">
        <v>6</v>
      </c>
      <c r="B276" s="162">
        <v>0.70833333333333337</v>
      </c>
      <c r="C276" s="163">
        <v>15.885976726849634</v>
      </c>
      <c r="D276" s="163">
        <v>745.54085880967114</v>
      </c>
      <c r="E276" s="164">
        <v>0.76439999999999986</v>
      </c>
      <c r="F276" s="164">
        <v>0.76439999999999986</v>
      </c>
      <c r="G276" s="163">
        <v>13</v>
      </c>
      <c r="H276" s="163">
        <v>20</v>
      </c>
      <c r="I276" s="163">
        <v>7</v>
      </c>
      <c r="J276" s="163">
        <v>10</v>
      </c>
      <c r="K276" s="163">
        <v>10.597192982456141</v>
      </c>
      <c r="L276" s="163">
        <v>0.59719298245614105</v>
      </c>
      <c r="M276" s="163">
        <v>12</v>
      </c>
      <c r="N276" s="163">
        <v>18.27260458839406</v>
      </c>
      <c r="O276" s="163">
        <v>6.27260458839406</v>
      </c>
      <c r="P276" s="163"/>
      <c r="Q276" s="163">
        <v>12</v>
      </c>
      <c r="R276" s="163">
        <v>0</v>
      </c>
      <c r="S276" s="163">
        <v>0</v>
      </c>
      <c r="T276" s="163">
        <v>0</v>
      </c>
      <c r="U276" s="163">
        <v>0</v>
      </c>
      <c r="V276" s="163">
        <v>0</v>
      </c>
      <c r="W276" s="163">
        <v>0</v>
      </c>
      <c r="X276" s="163">
        <v>0</v>
      </c>
      <c r="Y276" s="163">
        <v>12</v>
      </c>
      <c r="Z276" s="163">
        <v>12</v>
      </c>
      <c r="AA276" s="163">
        <v>0</v>
      </c>
      <c r="AB276" s="163">
        <v>0</v>
      </c>
      <c r="AC276" s="163">
        <v>10</v>
      </c>
      <c r="AD276" s="163">
        <v>2</v>
      </c>
      <c r="AE276" s="165">
        <v>0.67264222954228181</v>
      </c>
      <c r="AF276" s="166">
        <v>0.62090051957749093</v>
      </c>
    </row>
    <row r="277" spans="1:32">
      <c r="A277" s="161">
        <v>6</v>
      </c>
      <c r="B277" s="162">
        <v>0.72916666666666663</v>
      </c>
      <c r="C277" s="163">
        <v>15.35209212561303</v>
      </c>
      <c r="D277" s="163">
        <v>769.80384045581627</v>
      </c>
      <c r="E277" s="164">
        <v>0.91123333333333323</v>
      </c>
      <c r="F277" s="164">
        <v>0.91123333333333323</v>
      </c>
      <c r="G277" s="163">
        <v>13</v>
      </c>
      <c r="H277" s="163">
        <v>22.666666666666664</v>
      </c>
      <c r="I277" s="163">
        <v>9.6666666666666643</v>
      </c>
      <c r="J277" s="163">
        <v>10</v>
      </c>
      <c r="K277" s="163">
        <v>10.597192982456141</v>
      </c>
      <c r="L277" s="163">
        <v>0.59719298245614105</v>
      </c>
      <c r="M277" s="163">
        <v>12</v>
      </c>
      <c r="N277" s="163">
        <v>20.708951866846601</v>
      </c>
      <c r="O277" s="163">
        <v>8.7089518668466006</v>
      </c>
      <c r="P277" s="163"/>
      <c r="Q277" s="163">
        <v>12</v>
      </c>
      <c r="R277" s="163">
        <v>0</v>
      </c>
      <c r="S277" s="163">
        <v>0</v>
      </c>
      <c r="T277" s="163">
        <v>0</v>
      </c>
      <c r="U277" s="163">
        <v>0</v>
      </c>
      <c r="V277" s="163">
        <v>0</v>
      </c>
      <c r="W277" s="163">
        <v>0</v>
      </c>
      <c r="X277" s="163">
        <v>0</v>
      </c>
      <c r="Y277" s="163">
        <v>12</v>
      </c>
      <c r="Z277" s="163">
        <v>12</v>
      </c>
      <c r="AA277" s="163">
        <v>0</v>
      </c>
      <c r="AB277" s="163">
        <v>0</v>
      </c>
      <c r="AC277" s="163">
        <v>10</v>
      </c>
      <c r="AD277" s="163">
        <v>2</v>
      </c>
      <c r="AE277" s="165">
        <v>0.67119142470791948</v>
      </c>
      <c r="AF277" s="166">
        <v>0.61956131511500268</v>
      </c>
    </row>
    <row r="278" spans="1:32">
      <c r="A278" s="161">
        <v>6</v>
      </c>
      <c r="B278" s="162">
        <v>0.75</v>
      </c>
      <c r="C278" s="163">
        <v>14.974220757538621</v>
      </c>
      <c r="D278" s="163">
        <v>746.76819487978617</v>
      </c>
      <c r="E278" s="164">
        <v>0.98950000000000005</v>
      </c>
      <c r="F278" s="164">
        <v>0.98950000000000005</v>
      </c>
      <c r="G278" s="163">
        <v>13</v>
      </c>
      <c r="H278" s="163">
        <v>26.666666666666664</v>
      </c>
      <c r="I278" s="163">
        <v>13.666666666666664</v>
      </c>
      <c r="J278" s="163">
        <v>10</v>
      </c>
      <c r="K278" s="163">
        <v>10.597192982456141</v>
      </c>
      <c r="L278" s="163">
        <v>0.59719298245614105</v>
      </c>
      <c r="M278" s="163">
        <v>12</v>
      </c>
      <c r="N278" s="163">
        <v>24.363472784525413</v>
      </c>
      <c r="O278" s="163">
        <v>12.363472784525413</v>
      </c>
      <c r="P278" s="163"/>
      <c r="Q278" s="163">
        <v>16</v>
      </c>
      <c r="R278" s="163">
        <v>0</v>
      </c>
      <c r="S278" s="163">
        <v>0</v>
      </c>
      <c r="T278" s="163">
        <v>0</v>
      </c>
      <c r="U278" s="163">
        <v>0</v>
      </c>
      <c r="V278" s="163">
        <v>0</v>
      </c>
      <c r="W278" s="163">
        <v>0</v>
      </c>
      <c r="X278" s="163">
        <v>0</v>
      </c>
      <c r="Y278" s="163">
        <v>16</v>
      </c>
      <c r="Z278" s="163">
        <v>16</v>
      </c>
      <c r="AA278" s="163">
        <v>0</v>
      </c>
      <c r="AB278" s="163">
        <v>0</v>
      </c>
      <c r="AC278" s="163">
        <v>14</v>
      </c>
      <c r="AD278" s="163">
        <v>2</v>
      </c>
      <c r="AE278" s="165">
        <v>0.47631040159369953</v>
      </c>
      <c r="AF278" s="166">
        <v>0.58622818657686093</v>
      </c>
    </row>
    <row r="279" spans="1:32">
      <c r="A279" s="161">
        <v>6</v>
      </c>
      <c r="B279" s="162">
        <v>0.77083333333333337</v>
      </c>
      <c r="C279" s="163">
        <v>14.139748400586853</v>
      </c>
      <c r="D279" s="163">
        <v>740.64148936037293</v>
      </c>
      <c r="E279" s="164">
        <v>0.99379999999999991</v>
      </c>
      <c r="F279" s="164">
        <v>0.99379999999999991</v>
      </c>
      <c r="G279" s="163">
        <v>12</v>
      </c>
      <c r="H279" s="163">
        <v>26.666666666666664</v>
      </c>
      <c r="I279" s="163">
        <v>14.666666666666664</v>
      </c>
      <c r="J279" s="163">
        <v>9</v>
      </c>
      <c r="K279" s="163">
        <v>9.7820242914979758</v>
      </c>
      <c r="L279" s="163">
        <v>0.78202429149797581</v>
      </c>
      <c r="M279" s="163">
        <v>11</v>
      </c>
      <c r="N279" s="163">
        <v>24.363472784525413</v>
      </c>
      <c r="O279" s="163">
        <v>13.363472784525413</v>
      </c>
      <c r="P279" s="163"/>
      <c r="Q279" s="163">
        <v>16</v>
      </c>
      <c r="R279" s="163">
        <v>0</v>
      </c>
      <c r="S279" s="163">
        <v>0</v>
      </c>
      <c r="T279" s="163">
        <v>0</v>
      </c>
      <c r="U279" s="163">
        <v>0</v>
      </c>
      <c r="V279" s="163">
        <v>0</v>
      </c>
      <c r="W279" s="163">
        <v>0</v>
      </c>
      <c r="X279" s="163">
        <v>0</v>
      </c>
      <c r="Y279" s="163">
        <v>16</v>
      </c>
      <c r="Z279" s="163">
        <v>16</v>
      </c>
      <c r="AA279" s="163">
        <v>0</v>
      </c>
      <c r="AB279" s="163">
        <v>0</v>
      </c>
      <c r="AC279" s="163">
        <v>14</v>
      </c>
      <c r="AD279" s="163">
        <v>2</v>
      </c>
      <c r="AE279" s="165">
        <v>0.44607690607274297</v>
      </c>
      <c r="AF279" s="166">
        <v>0.59476920809699052</v>
      </c>
    </row>
    <row r="280" spans="1:32">
      <c r="A280" s="161">
        <v>6</v>
      </c>
      <c r="B280" s="162">
        <v>0.79166666666666663</v>
      </c>
      <c r="C280" s="163">
        <v>14.12490516071248</v>
      </c>
      <c r="D280" s="163">
        <v>749.24885352203626</v>
      </c>
      <c r="E280" s="164">
        <v>0.96390000000000009</v>
      </c>
      <c r="F280" s="164">
        <v>0.96390000000000009</v>
      </c>
      <c r="G280" s="163">
        <v>12</v>
      </c>
      <c r="H280" s="163">
        <v>23.333333333333336</v>
      </c>
      <c r="I280" s="163">
        <v>11.333333333333336</v>
      </c>
      <c r="J280" s="163">
        <v>9</v>
      </c>
      <c r="K280" s="163">
        <v>9.7820242914979758</v>
      </c>
      <c r="L280" s="163">
        <v>0.78202429149797581</v>
      </c>
      <c r="M280" s="163">
        <v>11</v>
      </c>
      <c r="N280" s="163">
        <v>21.31803868645974</v>
      </c>
      <c r="O280" s="163">
        <v>10.31803868645974</v>
      </c>
      <c r="P280" s="163"/>
      <c r="Q280" s="163">
        <v>14</v>
      </c>
      <c r="R280" s="163">
        <v>0</v>
      </c>
      <c r="S280" s="163">
        <v>0</v>
      </c>
      <c r="T280" s="163">
        <v>0</v>
      </c>
      <c r="U280" s="163">
        <v>0</v>
      </c>
      <c r="V280" s="163">
        <v>0</v>
      </c>
      <c r="W280" s="163">
        <v>0</v>
      </c>
      <c r="X280" s="163">
        <v>0</v>
      </c>
      <c r="Y280" s="163">
        <v>14</v>
      </c>
      <c r="Z280" s="163">
        <v>14</v>
      </c>
      <c r="AA280" s="163">
        <v>0</v>
      </c>
      <c r="AB280" s="163">
        <v>0</v>
      </c>
      <c r="AC280" s="163">
        <v>12</v>
      </c>
      <c r="AD280" s="163">
        <v>2</v>
      </c>
      <c r="AE280" s="165">
        <v>0.51518545808412153</v>
      </c>
      <c r="AF280" s="166">
        <v>0.60104970109814182</v>
      </c>
    </row>
    <row r="281" spans="1:32">
      <c r="A281" s="161">
        <v>6</v>
      </c>
      <c r="B281" s="162">
        <v>0.8125</v>
      </c>
      <c r="C281" s="163">
        <v>12.3740613097248</v>
      </c>
      <c r="D281" s="163">
        <v>753.37525411956653</v>
      </c>
      <c r="E281" s="164">
        <v>0.98419999999999996</v>
      </c>
      <c r="F281" s="164">
        <v>0.98419999999999996</v>
      </c>
      <c r="G281" s="163">
        <v>10</v>
      </c>
      <c r="H281" s="163">
        <v>23.333333333333336</v>
      </c>
      <c r="I281" s="163">
        <v>13.333333333333336</v>
      </c>
      <c r="J281" s="163">
        <v>8</v>
      </c>
      <c r="K281" s="163">
        <v>8.1516869095816471</v>
      </c>
      <c r="L281" s="163">
        <v>0.1516869095816471</v>
      </c>
      <c r="M281" s="163">
        <v>9</v>
      </c>
      <c r="N281" s="163">
        <v>21.31803868645974</v>
      </c>
      <c r="O281" s="163">
        <v>12.31803868645974</v>
      </c>
      <c r="P281" s="163"/>
      <c r="Q281" s="163">
        <v>14</v>
      </c>
      <c r="R281" s="163">
        <v>0</v>
      </c>
      <c r="S281" s="163">
        <v>0</v>
      </c>
      <c r="T281" s="163">
        <v>0</v>
      </c>
      <c r="U281" s="163">
        <v>0</v>
      </c>
      <c r="V281" s="163">
        <v>0</v>
      </c>
      <c r="W281" s="163">
        <v>0</v>
      </c>
      <c r="X281" s="163">
        <v>0</v>
      </c>
      <c r="Y281" s="163">
        <v>14</v>
      </c>
      <c r="Z281" s="163">
        <v>14</v>
      </c>
      <c r="AA281" s="163">
        <v>0</v>
      </c>
      <c r="AB281" s="163">
        <v>0</v>
      </c>
      <c r="AC281" s="163">
        <v>12</v>
      </c>
      <c r="AD281" s="163">
        <v>2</v>
      </c>
      <c r="AE281" s="165">
        <v>0.4538115894987913</v>
      </c>
      <c r="AF281" s="166">
        <v>0.63533622529830791</v>
      </c>
    </row>
    <row r="282" spans="1:32">
      <c r="A282" s="161">
        <v>6</v>
      </c>
      <c r="B282" s="162">
        <v>0.83333333333333337</v>
      </c>
      <c r="C282" s="163">
        <v>12.247550586449965</v>
      </c>
      <c r="D282" s="163">
        <v>710.81166993773286</v>
      </c>
      <c r="E282" s="164">
        <v>0.91116666666666657</v>
      </c>
      <c r="F282" s="164">
        <v>0.91116666666666657</v>
      </c>
      <c r="G282" s="163">
        <v>10</v>
      </c>
      <c r="H282" s="163">
        <v>20.666666666666668</v>
      </c>
      <c r="I282" s="163">
        <v>10.666666666666668</v>
      </c>
      <c r="J282" s="163">
        <v>8</v>
      </c>
      <c r="K282" s="163">
        <v>8.1516869095816471</v>
      </c>
      <c r="L282" s="163">
        <v>0.1516869095816471</v>
      </c>
      <c r="M282" s="163">
        <v>9</v>
      </c>
      <c r="N282" s="163">
        <v>18.881691408007196</v>
      </c>
      <c r="O282" s="163">
        <v>9.881691408007196</v>
      </c>
      <c r="P282" s="163"/>
      <c r="Q282" s="163">
        <v>14</v>
      </c>
      <c r="R282" s="163">
        <v>0</v>
      </c>
      <c r="S282" s="163">
        <v>0</v>
      </c>
      <c r="T282" s="163">
        <v>0</v>
      </c>
      <c r="U282" s="163">
        <v>0</v>
      </c>
      <c r="V282" s="163">
        <v>0</v>
      </c>
      <c r="W282" s="163">
        <v>0</v>
      </c>
      <c r="X282" s="163">
        <v>0</v>
      </c>
      <c r="Y282" s="163">
        <v>14</v>
      </c>
      <c r="Z282" s="163">
        <v>14</v>
      </c>
      <c r="AA282" s="163">
        <v>0</v>
      </c>
      <c r="AB282" s="163">
        <v>0</v>
      </c>
      <c r="AC282" s="163">
        <v>12</v>
      </c>
      <c r="AD282" s="163">
        <v>2</v>
      </c>
      <c r="AE282" s="165">
        <v>0.42379493269038782</v>
      </c>
      <c r="AF282" s="166">
        <v>0.59331290576654294</v>
      </c>
    </row>
    <row r="283" spans="1:32">
      <c r="A283" s="161">
        <v>6</v>
      </c>
      <c r="B283" s="162">
        <v>0.85416666666666663</v>
      </c>
      <c r="C283" s="163">
        <v>11.471085723081561</v>
      </c>
      <c r="D283" s="163">
        <v>695.46779307498798</v>
      </c>
      <c r="E283" s="164">
        <v>0.7496666666666667</v>
      </c>
      <c r="F283" s="164">
        <v>0.7496666666666667</v>
      </c>
      <c r="G283" s="163">
        <v>9</v>
      </c>
      <c r="H283" s="163">
        <v>15.333333333333332</v>
      </c>
      <c r="I283" s="163">
        <v>6.3333333333333321</v>
      </c>
      <c r="J283" s="163">
        <v>7</v>
      </c>
      <c r="K283" s="163">
        <v>7.3365182186234819</v>
      </c>
      <c r="L283" s="163">
        <v>0.33651821862348186</v>
      </c>
      <c r="M283" s="163">
        <v>8</v>
      </c>
      <c r="N283" s="163">
        <v>14.008996851102113</v>
      </c>
      <c r="O283" s="163">
        <v>6.008996851102113</v>
      </c>
      <c r="P283" s="163"/>
      <c r="Q283" s="163">
        <v>10</v>
      </c>
      <c r="R283" s="163">
        <v>0</v>
      </c>
      <c r="S283" s="163">
        <v>0</v>
      </c>
      <c r="T283" s="163">
        <v>0</v>
      </c>
      <c r="U283" s="163">
        <v>0</v>
      </c>
      <c r="V283" s="163">
        <v>0</v>
      </c>
      <c r="W283" s="163">
        <v>0</v>
      </c>
      <c r="X283" s="163">
        <v>0</v>
      </c>
      <c r="Y283" s="163">
        <v>10</v>
      </c>
      <c r="Z283" s="163">
        <v>10</v>
      </c>
      <c r="AA283" s="163">
        <v>0</v>
      </c>
      <c r="AB283" s="163">
        <v>0</v>
      </c>
      <c r="AC283" s="163">
        <v>8</v>
      </c>
      <c r="AD283" s="163">
        <v>2</v>
      </c>
      <c r="AE283" s="165">
        <v>0.54370277795768707</v>
      </c>
      <c r="AF283" s="166">
        <v>0.60411419773076336</v>
      </c>
    </row>
    <row r="284" spans="1:32">
      <c r="A284" s="161">
        <v>6</v>
      </c>
      <c r="B284" s="162">
        <v>0.875</v>
      </c>
      <c r="C284" s="163">
        <v>9.5690492843560584</v>
      </c>
      <c r="D284" s="163">
        <v>688.89478630393774</v>
      </c>
      <c r="E284" s="164">
        <v>0.82499999999999984</v>
      </c>
      <c r="F284" s="164">
        <v>0.82499999999999984</v>
      </c>
      <c r="G284" s="163">
        <v>8</v>
      </c>
      <c r="H284" s="163">
        <v>13.333333333333332</v>
      </c>
      <c r="I284" s="163">
        <v>5.3333333333333321</v>
      </c>
      <c r="J284" s="163">
        <v>6</v>
      </c>
      <c r="K284" s="163">
        <v>6.5213495276653175</v>
      </c>
      <c r="L284" s="163">
        <v>0.5213495276653175</v>
      </c>
      <c r="M284" s="163">
        <v>7</v>
      </c>
      <c r="N284" s="163">
        <v>12.181736392262707</v>
      </c>
      <c r="O284" s="163">
        <v>5.1817363922627067</v>
      </c>
      <c r="P284" s="163"/>
      <c r="Q284" s="163">
        <v>8</v>
      </c>
      <c r="R284" s="163">
        <v>0</v>
      </c>
      <c r="S284" s="163">
        <v>0</v>
      </c>
      <c r="T284" s="163">
        <v>0</v>
      </c>
      <c r="U284" s="163">
        <v>0</v>
      </c>
      <c r="V284" s="163">
        <v>0</v>
      </c>
      <c r="W284" s="163">
        <v>0</v>
      </c>
      <c r="X284" s="163">
        <v>0</v>
      </c>
      <c r="Y284" s="163">
        <v>8</v>
      </c>
      <c r="Z284" s="163">
        <v>8</v>
      </c>
      <c r="AA284" s="163">
        <v>0</v>
      </c>
      <c r="AB284" s="163">
        <v>0</v>
      </c>
      <c r="AC284" s="163">
        <v>6</v>
      </c>
      <c r="AD284" s="163">
        <v>2</v>
      </c>
      <c r="AE284" s="165">
        <v>0.56158009540756959</v>
      </c>
      <c r="AF284" s="166">
        <v>0.56158009540756959</v>
      </c>
    </row>
    <row r="285" spans="1:32">
      <c r="A285" s="161">
        <v>6</v>
      </c>
      <c r="B285" s="162">
        <v>0.89583333333333337</v>
      </c>
      <c r="C285" s="163">
        <v>8.2960843300676466</v>
      </c>
      <c r="D285" s="163">
        <v>645.44767650106508</v>
      </c>
      <c r="E285" s="164">
        <v>0.91970000000000007</v>
      </c>
      <c r="F285" s="164">
        <v>0.91970000000000007</v>
      </c>
      <c r="G285" s="163">
        <v>8</v>
      </c>
      <c r="H285" s="163">
        <v>13.333333333333332</v>
      </c>
      <c r="I285" s="163">
        <v>5.3333333333333321</v>
      </c>
      <c r="J285" s="163">
        <v>6</v>
      </c>
      <c r="K285" s="163">
        <v>6.5213495276653175</v>
      </c>
      <c r="L285" s="163">
        <v>0.5213495276653175</v>
      </c>
      <c r="M285" s="163">
        <v>7</v>
      </c>
      <c r="N285" s="163">
        <v>12.181736392262707</v>
      </c>
      <c r="O285" s="163">
        <v>5.1817363922627067</v>
      </c>
      <c r="P285" s="163"/>
      <c r="Q285" s="163">
        <v>8</v>
      </c>
      <c r="R285" s="163">
        <v>0</v>
      </c>
      <c r="S285" s="163">
        <v>0</v>
      </c>
      <c r="T285" s="163">
        <v>0</v>
      </c>
      <c r="U285" s="163">
        <v>0</v>
      </c>
      <c r="V285" s="163">
        <v>0</v>
      </c>
      <c r="W285" s="163">
        <v>0</v>
      </c>
      <c r="X285" s="163">
        <v>0</v>
      </c>
      <c r="Y285" s="163">
        <v>8</v>
      </c>
      <c r="Z285" s="163">
        <v>8</v>
      </c>
      <c r="AA285" s="163">
        <v>0</v>
      </c>
      <c r="AB285" s="163">
        <v>0</v>
      </c>
      <c r="AC285" s="163">
        <v>6</v>
      </c>
      <c r="AD285" s="163">
        <v>2</v>
      </c>
      <c r="AE285" s="165">
        <v>0.45616737014521225</v>
      </c>
      <c r="AF285" s="166">
        <v>0.45616737014521225</v>
      </c>
    </row>
    <row r="286" spans="1:32">
      <c r="A286" s="161">
        <v>6</v>
      </c>
      <c r="B286" s="162">
        <v>0.91666666666666663</v>
      </c>
      <c r="C286" s="163">
        <v>4.4728707865698176</v>
      </c>
      <c r="D286" s="163">
        <v>670.391027864585</v>
      </c>
      <c r="E286" s="164">
        <v>0.94236666666666657</v>
      </c>
      <c r="F286" s="164">
        <v>0.94236666666666657</v>
      </c>
      <c r="G286" s="163">
        <v>5</v>
      </c>
      <c r="H286" s="163">
        <v>12</v>
      </c>
      <c r="I286" s="163">
        <v>7</v>
      </c>
      <c r="J286" s="163">
        <v>4</v>
      </c>
      <c r="K286" s="163">
        <v>4.0758434547908236</v>
      </c>
      <c r="L286" s="163">
        <v>7.584345479082355E-2</v>
      </c>
      <c r="M286" s="163">
        <v>5</v>
      </c>
      <c r="N286" s="163">
        <v>10.963562753036436</v>
      </c>
      <c r="O286" s="163">
        <v>5.9635627530364363</v>
      </c>
      <c r="P286" s="163"/>
      <c r="Q286" s="163">
        <v>8</v>
      </c>
      <c r="R286" s="163">
        <v>0</v>
      </c>
      <c r="S286" s="163">
        <v>0</v>
      </c>
      <c r="T286" s="163">
        <v>0</v>
      </c>
      <c r="U286" s="163">
        <v>0</v>
      </c>
      <c r="V286" s="163">
        <v>0</v>
      </c>
      <c r="W286" s="163">
        <v>0</v>
      </c>
      <c r="X286" s="163">
        <v>0</v>
      </c>
      <c r="Y286" s="163">
        <v>8</v>
      </c>
      <c r="Z286" s="163">
        <v>8</v>
      </c>
      <c r="AA286" s="163">
        <v>0</v>
      </c>
      <c r="AB286" s="163">
        <v>0</v>
      </c>
      <c r="AC286" s="163">
        <v>6</v>
      </c>
      <c r="AD286" s="163">
        <v>2</v>
      </c>
      <c r="AE286" s="165">
        <v>0.25544920924668402</v>
      </c>
      <c r="AF286" s="166">
        <v>0.40871873479469445</v>
      </c>
    </row>
    <row r="287" spans="1:32">
      <c r="A287" s="161">
        <v>6</v>
      </c>
      <c r="B287" s="162">
        <v>0.9375</v>
      </c>
      <c r="C287" s="163">
        <v>3.5804614795392986</v>
      </c>
      <c r="D287" s="163">
        <v>667.42625076067839</v>
      </c>
      <c r="E287" s="164">
        <v>0.91836666666666666</v>
      </c>
      <c r="F287" s="164">
        <v>0.91836666666666666</v>
      </c>
      <c r="G287" s="163">
        <v>4</v>
      </c>
      <c r="H287" s="163">
        <v>9.3333333333333339</v>
      </c>
      <c r="I287" s="163">
        <v>5.3333333333333339</v>
      </c>
      <c r="J287" s="163">
        <v>3</v>
      </c>
      <c r="K287" s="163">
        <v>3.2606747638326588</v>
      </c>
      <c r="L287" s="163">
        <v>0.26067476383265875</v>
      </c>
      <c r="M287" s="163">
        <v>4</v>
      </c>
      <c r="N287" s="163">
        <v>8.5272154745838957</v>
      </c>
      <c r="O287" s="163">
        <v>4.5272154745838957</v>
      </c>
      <c r="P287" s="163"/>
      <c r="Q287" s="163">
        <v>6</v>
      </c>
      <c r="R287" s="163">
        <v>0</v>
      </c>
      <c r="S287" s="163">
        <v>0</v>
      </c>
      <c r="T287" s="163">
        <v>0</v>
      </c>
      <c r="U287" s="163">
        <v>0</v>
      </c>
      <c r="V287" s="163">
        <v>0</v>
      </c>
      <c r="W287" s="163">
        <v>0</v>
      </c>
      <c r="X287" s="163">
        <v>0</v>
      </c>
      <c r="Y287" s="163">
        <v>6</v>
      </c>
      <c r="Z287" s="163">
        <v>6</v>
      </c>
      <c r="AA287" s="163">
        <v>0</v>
      </c>
      <c r="AB287" s="163">
        <v>0</v>
      </c>
      <c r="AC287" s="163">
        <v>4</v>
      </c>
      <c r="AD287" s="163">
        <v>2</v>
      </c>
      <c r="AE287" s="165">
        <v>0.27143824791617943</v>
      </c>
      <c r="AF287" s="166">
        <v>0.4071573718742692</v>
      </c>
    </row>
    <row r="288" spans="1:32">
      <c r="A288" s="161">
        <v>6</v>
      </c>
      <c r="B288" s="162">
        <v>0.95833333333333337</v>
      </c>
      <c r="C288" s="163">
        <v>2.6348672987801613</v>
      </c>
      <c r="D288" s="163">
        <v>634.27937432558485</v>
      </c>
      <c r="E288" s="164">
        <v>0.93190000000000006</v>
      </c>
      <c r="F288" s="164">
        <v>0.93190000000000006</v>
      </c>
      <c r="G288" s="163">
        <v>4</v>
      </c>
      <c r="H288" s="163">
        <v>6.6666666666666661</v>
      </c>
      <c r="I288" s="163">
        <v>2.6666666666666661</v>
      </c>
      <c r="J288" s="163">
        <v>3</v>
      </c>
      <c r="K288" s="163">
        <v>3.2606747638326588</v>
      </c>
      <c r="L288" s="163">
        <v>0.26067476383265875</v>
      </c>
      <c r="M288" s="163">
        <v>4</v>
      </c>
      <c r="N288" s="163">
        <v>6.0908681961313533</v>
      </c>
      <c r="O288" s="163">
        <v>2.0908681961313533</v>
      </c>
      <c r="P288" s="163"/>
      <c r="Q288" s="163">
        <v>4</v>
      </c>
      <c r="R288" s="163">
        <v>0</v>
      </c>
      <c r="S288" s="163">
        <v>0</v>
      </c>
      <c r="T288" s="163">
        <v>0</v>
      </c>
      <c r="U288" s="163">
        <v>0</v>
      </c>
      <c r="V288" s="163">
        <v>0</v>
      </c>
      <c r="W288" s="163">
        <v>0</v>
      </c>
      <c r="X288" s="163">
        <v>0</v>
      </c>
      <c r="Y288" s="163">
        <v>4</v>
      </c>
      <c r="Z288" s="163">
        <v>4</v>
      </c>
      <c r="AA288" s="163">
        <v>0</v>
      </c>
      <c r="AB288" s="163">
        <v>0</v>
      </c>
      <c r="AC288" s="163">
        <v>4</v>
      </c>
      <c r="AD288" s="163">
        <v>0</v>
      </c>
      <c r="AE288" s="165">
        <v>0.28474712593550816</v>
      </c>
      <c r="AF288" s="166">
        <v>0.28474712593550816</v>
      </c>
    </row>
    <row r="289" spans="1:32">
      <c r="A289" s="161">
        <v>6</v>
      </c>
      <c r="B289" s="162">
        <v>0.97916666666666663</v>
      </c>
      <c r="C289" s="163">
        <v>1.9607518998423421</v>
      </c>
      <c r="D289" s="163">
        <v>634.17359735399145</v>
      </c>
      <c r="E289" s="164">
        <v>0.96779999999999999</v>
      </c>
      <c r="F289" s="164">
        <v>0.96779999999999999</v>
      </c>
      <c r="G289" s="163">
        <v>3</v>
      </c>
      <c r="H289" s="163">
        <v>6.6666666666666661</v>
      </c>
      <c r="I289" s="163">
        <v>3.6666666666666661</v>
      </c>
      <c r="J289" s="163">
        <v>2</v>
      </c>
      <c r="K289" s="163">
        <v>2.445506072874494</v>
      </c>
      <c r="L289" s="163">
        <v>0.44550607287449395</v>
      </c>
      <c r="M289" s="163">
        <v>3</v>
      </c>
      <c r="N289" s="163">
        <v>6.0908681961313533</v>
      </c>
      <c r="O289" s="163">
        <v>3.0908681961313533</v>
      </c>
      <c r="P289" s="163"/>
      <c r="Q289" s="163">
        <v>4</v>
      </c>
      <c r="R289" s="163">
        <v>0</v>
      </c>
      <c r="S289" s="163">
        <v>0</v>
      </c>
      <c r="T289" s="163">
        <v>0</v>
      </c>
      <c r="U289" s="163">
        <v>0</v>
      </c>
      <c r="V289" s="163">
        <v>0</v>
      </c>
      <c r="W289" s="163">
        <v>0</v>
      </c>
      <c r="X289" s="163">
        <v>0</v>
      </c>
      <c r="Y289" s="163">
        <v>4</v>
      </c>
      <c r="Z289" s="163">
        <v>4</v>
      </c>
      <c r="AA289" s="163">
        <v>0</v>
      </c>
      <c r="AB289" s="163">
        <v>0</v>
      </c>
      <c r="AC289" s="163">
        <v>4</v>
      </c>
      <c r="AD289" s="163">
        <v>0</v>
      </c>
      <c r="AE289" s="165">
        <v>0.21186090063219995</v>
      </c>
      <c r="AF289" s="166">
        <v>0.28248120084293321</v>
      </c>
    </row>
    <row r="290" spans="1:32">
      <c r="A290" s="161">
        <v>7</v>
      </c>
      <c r="B290" s="162">
        <v>0</v>
      </c>
      <c r="C290" s="163">
        <v>1.2344137586469388</v>
      </c>
      <c r="D290" s="163">
        <v>611.65659865960765</v>
      </c>
      <c r="E290" s="164">
        <v>0.99149999999999994</v>
      </c>
      <c r="F290" s="164">
        <v>0.99149999999999994</v>
      </c>
      <c r="G290" s="163">
        <v>3</v>
      </c>
      <c r="H290" s="163">
        <v>6.6666666666666661</v>
      </c>
      <c r="I290" s="163">
        <v>3.6666666666666661</v>
      </c>
      <c r="J290" s="163">
        <v>2</v>
      </c>
      <c r="K290" s="163">
        <v>2.445506072874494</v>
      </c>
      <c r="L290" s="163">
        <v>0.44550607287449395</v>
      </c>
      <c r="M290" s="163">
        <v>3</v>
      </c>
      <c r="N290" s="163">
        <v>6.0908681961313533</v>
      </c>
      <c r="O290" s="163">
        <v>3.0908681961313533</v>
      </c>
      <c r="P290" s="163"/>
      <c r="Q290" s="163">
        <v>4</v>
      </c>
      <c r="R290" s="163">
        <v>0</v>
      </c>
      <c r="S290" s="163">
        <v>0</v>
      </c>
      <c r="T290" s="163">
        <v>0</v>
      </c>
      <c r="U290" s="163">
        <v>0</v>
      </c>
      <c r="V290" s="163">
        <v>0</v>
      </c>
      <c r="W290" s="163">
        <v>0</v>
      </c>
      <c r="X290" s="163">
        <v>0</v>
      </c>
      <c r="Y290" s="163">
        <v>4</v>
      </c>
      <c r="Z290" s="163">
        <v>4</v>
      </c>
      <c r="AA290" s="163">
        <v>0</v>
      </c>
      <c r="AB290" s="163">
        <v>0</v>
      </c>
      <c r="AC290" s="163">
        <v>4</v>
      </c>
      <c r="AD290" s="163">
        <v>0</v>
      </c>
      <c r="AE290" s="165">
        <v>0.12864367307028116</v>
      </c>
      <c r="AF290" s="166">
        <v>0.17152489742704152</v>
      </c>
    </row>
    <row r="291" spans="1:32">
      <c r="A291" s="161">
        <v>7</v>
      </c>
      <c r="B291" s="162">
        <v>2.0833333333333332E-2</v>
      </c>
      <c r="C291" s="163">
        <v>0.86299658544418878</v>
      </c>
      <c r="D291" s="163">
        <v>611.5274343656672</v>
      </c>
      <c r="E291" s="164">
        <v>0.99690000000000001</v>
      </c>
      <c r="F291" s="164">
        <v>0.99690000000000001</v>
      </c>
      <c r="G291" s="163">
        <v>3</v>
      </c>
      <c r="H291" s="163">
        <v>6.6666666666666661</v>
      </c>
      <c r="I291" s="163">
        <v>3.6666666666666661</v>
      </c>
      <c r="J291" s="163">
        <v>2</v>
      </c>
      <c r="K291" s="163">
        <v>2.445506072874494</v>
      </c>
      <c r="L291" s="163">
        <v>0.44550607287449395</v>
      </c>
      <c r="M291" s="163">
        <v>3</v>
      </c>
      <c r="N291" s="163">
        <v>6.0908681961313533</v>
      </c>
      <c r="O291" s="163">
        <v>3.0908681961313533</v>
      </c>
      <c r="P291" s="163"/>
      <c r="Q291" s="163">
        <v>4</v>
      </c>
      <c r="R291" s="163">
        <v>0</v>
      </c>
      <c r="S291" s="163">
        <v>0</v>
      </c>
      <c r="T291" s="163">
        <v>0</v>
      </c>
      <c r="U291" s="163">
        <v>0</v>
      </c>
      <c r="V291" s="163">
        <v>0</v>
      </c>
      <c r="W291" s="163">
        <v>0</v>
      </c>
      <c r="X291" s="163">
        <v>0</v>
      </c>
      <c r="Y291" s="163">
        <v>4</v>
      </c>
      <c r="Z291" s="163">
        <v>4</v>
      </c>
      <c r="AA291" s="163">
        <v>0</v>
      </c>
      <c r="AB291" s="163">
        <v>0</v>
      </c>
      <c r="AC291" s="163">
        <v>4</v>
      </c>
      <c r="AD291" s="163">
        <v>0</v>
      </c>
      <c r="AE291" s="165">
        <v>8.991766803348078E-2</v>
      </c>
      <c r="AF291" s="166">
        <v>0.11989022404464103</v>
      </c>
    </row>
    <row r="292" spans="1:32">
      <c r="A292" s="161">
        <v>7</v>
      </c>
      <c r="B292" s="162">
        <v>4.1666666666666664E-2</v>
      </c>
      <c r="C292" s="163">
        <v>0.65743864341801328</v>
      </c>
      <c r="D292" s="163">
        <v>579.53920080840442</v>
      </c>
      <c r="E292" s="164">
        <v>0.99870000000000003</v>
      </c>
      <c r="F292" s="164">
        <v>0.99870000000000003</v>
      </c>
      <c r="G292" s="163">
        <v>3</v>
      </c>
      <c r="H292" s="163">
        <v>6.6666666666666661</v>
      </c>
      <c r="I292" s="163">
        <v>3.6666666666666661</v>
      </c>
      <c r="J292" s="163">
        <v>2</v>
      </c>
      <c r="K292" s="163">
        <v>2.445506072874494</v>
      </c>
      <c r="L292" s="163">
        <v>0.44550607287449395</v>
      </c>
      <c r="M292" s="163">
        <v>3</v>
      </c>
      <c r="N292" s="163">
        <v>6.0908681961313533</v>
      </c>
      <c r="O292" s="163">
        <v>3.0908681961313533</v>
      </c>
      <c r="P292" s="163"/>
      <c r="Q292" s="163">
        <v>4</v>
      </c>
      <c r="R292" s="163">
        <v>0</v>
      </c>
      <c r="S292" s="163">
        <v>0</v>
      </c>
      <c r="T292" s="163">
        <v>0</v>
      </c>
      <c r="U292" s="163">
        <v>0</v>
      </c>
      <c r="V292" s="163">
        <v>0</v>
      </c>
      <c r="W292" s="163">
        <v>0</v>
      </c>
      <c r="X292" s="163">
        <v>0</v>
      </c>
      <c r="Y292" s="163">
        <v>4</v>
      </c>
      <c r="Z292" s="163">
        <v>4</v>
      </c>
      <c r="AA292" s="163">
        <v>0</v>
      </c>
      <c r="AB292" s="163">
        <v>0</v>
      </c>
      <c r="AC292" s="163">
        <v>4</v>
      </c>
      <c r="AD292" s="163">
        <v>0</v>
      </c>
      <c r="AE292" s="165">
        <v>6.4916942654734605E-2</v>
      </c>
      <c r="AF292" s="166">
        <v>8.6555923539646126E-2</v>
      </c>
    </row>
    <row r="293" spans="1:32">
      <c r="A293" s="161">
        <v>7</v>
      </c>
      <c r="B293" s="162">
        <v>6.25E-2</v>
      </c>
      <c r="C293" s="163">
        <v>0.5210702430408567</v>
      </c>
      <c r="D293" s="163">
        <v>564.30406984652632</v>
      </c>
      <c r="E293" s="164">
        <v>0.99949999999999994</v>
      </c>
      <c r="F293" s="164">
        <v>0.99949999999999994</v>
      </c>
      <c r="G293" s="163">
        <v>2</v>
      </c>
      <c r="H293" s="163">
        <v>6.6666666666666661</v>
      </c>
      <c r="I293" s="163">
        <v>4.6666666666666661</v>
      </c>
      <c r="J293" s="163">
        <v>1</v>
      </c>
      <c r="K293" s="163">
        <v>1.6303373819163294</v>
      </c>
      <c r="L293" s="163">
        <v>0.63033738191632938</v>
      </c>
      <c r="M293" s="163">
        <v>2</v>
      </c>
      <c r="N293" s="163">
        <v>6.0908681961313533</v>
      </c>
      <c r="O293" s="163">
        <v>4.0908681961313533</v>
      </c>
      <c r="P293" s="163"/>
      <c r="Q293" s="163">
        <v>4</v>
      </c>
      <c r="R293" s="163">
        <v>0</v>
      </c>
      <c r="S293" s="163">
        <v>0</v>
      </c>
      <c r="T293" s="163">
        <v>0</v>
      </c>
      <c r="U293" s="163">
        <v>0</v>
      </c>
      <c r="V293" s="163">
        <v>0</v>
      </c>
      <c r="W293" s="163">
        <v>0</v>
      </c>
      <c r="X293" s="163">
        <v>0</v>
      </c>
      <c r="Y293" s="163">
        <v>4</v>
      </c>
      <c r="Z293" s="163">
        <v>4</v>
      </c>
      <c r="AA293" s="163">
        <v>0</v>
      </c>
      <c r="AB293" s="163">
        <v>0</v>
      </c>
      <c r="AC293" s="163">
        <v>4</v>
      </c>
      <c r="AD293" s="163">
        <v>0</v>
      </c>
      <c r="AE293" s="165">
        <v>5.009904733785351E-2</v>
      </c>
      <c r="AF293" s="166">
        <v>0.10019809467570702</v>
      </c>
    </row>
    <row r="294" spans="1:32">
      <c r="A294" s="161">
        <v>7</v>
      </c>
      <c r="B294" s="162">
        <v>8.3333333333333329E-2</v>
      </c>
      <c r="C294" s="163">
        <v>0.41972672632660524</v>
      </c>
      <c r="D294" s="163">
        <v>581.06633656530096</v>
      </c>
      <c r="E294" s="164">
        <v>0.99960000000000004</v>
      </c>
      <c r="F294" s="164">
        <v>0.99960000000000004</v>
      </c>
      <c r="G294" s="163">
        <v>2</v>
      </c>
      <c r="H294" s="163">
        <v>6.6666666666666661</v>
      </c>
      <c r="I294" s="163">
        <v>4.6666666666666661</v>
      </c>
      <c r="J294" s="163">
        <v>1</v>
      </c>
      <c r="K294" s="163">
        <v>1.6303373819163294</v>
      </c>
      <c r="L294" s="163">
        <v>0.63033738191632938</v>
      </c>
      <c r="M294" s="163">
        <v>2</v>
      </c>
      <c r="N294" s="163">
        <v>6.0908681961313533</v>
      </c>
      <c r="O294" s="163">
        <v>4.0908681961313533</v>
      </c>
      <c r="P294" s="163"/>
      <c r="Q294" s="163">
        <v>4</v>
      </c>
      <c r="R294" s="163">
        <v>0</v>
      </c>
      <c r="S294" s="163">
        <v>0</v>
      </c>
      <c r="T294" s="163">
        <v>0</v>
      </c>
      <c r="U294" s="163">
        <v>0</v>
      </c>
      <c r="V294" s="163">
        <v>0</v>
      </c>
      <c r="W294" s="163">
        <v>0</v>
      </c>
      <c r="X294" s="163">
        <v>0</v>
      </c>
      <c r="Y294" s="163">
        <v>4</v>
      </c>
      <c r="Z294" s="163">
        <v>4</v>
      </c>
      <c r="AA294" s="163">
        <v>0</v>
      </c>
      <c r="AB294" s="163">
        <v>0</v>
      </c>
      <c r="AC294" s="163">
        <v>4</v>
      </c>
      <c r="AD294" s="163">
        <v>0</v>
      </c>
      <c r="AE294" s="165">
        <v>4.155395378935401E-2</v>
      </c>
      <c r="AF294" s="166">
        <v>8.3107907578708021E-2</v>
      </c>
    </row>
    <row r="295" spans="1:32">
      <c r="A295" s="161">
        <v>7</v>
      </c>
      <c r="B295" s="162">
        <v>0.10416666666666667</v>
      </c>
      <c r="C295" s="163">
        <v>0.33475342804643726</v>
      </c>
      <c r="D295" s="163">
        <v>553.12763013499546</v>
      </c>
      <c r="E295" s="164">
        <v>0.99980000000000002</v>
      </c>
      <c r="F295" s="164">
        <v>0.99980000000000002</v>
      </c>
      <c r="G295" s="163">
        <v>2</v>
      </c>
      <c r="H295" s="163">
        <v>6.6666666666666661</v>
      </c>
      <c r="I295" s="163">
        <v>4.6666666666666661</v>
      </c>
      <c r="J295" s="163">
        <v>1</v>
      </c>
      <c r="K295" s="163">
        <v>1.6303373819163294</v>
      </c>
      <c r="L295" s="163">
        <v>0.63033738191632938</v>
      </c>
      <c r="M295" s="163">
        <v>2</v>
      </c>
      <c r="N295" s="163">
        <v>6.0908681961313533</v>
      </c>
      <c r="O295" s="163">
        <v>4.0908681961313533</v>
      </c>
      <c r="P295" s="163"/>
      <c r="Q295" s="163">
        <v>4</v>
      </c>
      <c r="R295" s="163">
        <v>0</v>
      </c>
      <c r="S295" s="163">
        <v>0</v>
      </c>
      <c r="T295" s="163">
        <v>0</v>
      </c>
      <c r="U295" s="163">
        <v>0</v>
      </c>
      <c r="V295" s="163">
        <v>0</v>
      </c>
      <c r="W295" s="163">
        <v>0</v>
      </c>
      <c r="X295" s="163">
        <v>0</v>
      </c>
      <c r="Y295" s="163">
        <v>4</v>
      </c>
      <c r="Z295" s="163">
        <v>4</v>
      </c>
      <c r="AA295" s="163">
        <v>0</v>
      </c>
      <c r="AB295" s="163">
        <v>0</v>
      </c>
      <c r="AC295" s="163">
        <v>4</v>
      </c>
      <c r="AD295" s="163">
        <v>0</v>
      </c>
      <c r="AE295" s="165">
        <v>3.1547895884873937E-2</v>
      </c>
      <c r="AF295" s="166">
        <v>6.3095791769747875E-2</v>
      </c>
    </row>
    <row r="296" spans="1:32">
      <c r="A296" s="161">
        <v>7</v>
      </c>
      <c r="B296" s="162">
        <v>0.125</v>
      </c>
      <c r="C296" s="163">
        <v>0.30177461366592429</v>
      </c>
      <c r="D296" s="163">
        <v>553.03257284528502</v>
      </c>
      <c r="E296" s="164">
        <v>0.9998999999999999</v>
      </c>
      <c r="F296" s="164">
        <v>0.9998999999999999</v>
      </c>
      <c r="G296" s="163">
        <v>2</v>
      </c>
      <c r="H296" s="163">
        <v>6.6666666666666661</v>
      </c>
      <c r="I296" s="163">
        <v>4.6666666666666661</v>
      </c>
      <c r="J296" s="163">
        <v>1</v>
      </c>
      <c r="K296" s="163">
        <v>1.6303373819163294</v>
      </c>
      <c r="L296" s="163">
        <v>0.63033738191632938</v>
      </c>
      <c r="M296" s="163">
        <v>2</v>
      </c>
      <c r="N296" s="163">
        <v>6.0908681961313533</v>
      </c>
      <c r="O296" s="163">
        <v>4.0908681961313533</v>
      </c>
      <c r="P296" s="163"/>
      <c r="Q296" s="163">
        <v>4</v>
      </c>
      <c r="R296" s="163">
        <v>0</v>
      </c>
      <c r="S296" s="163">
        <v>0</v>
      </c>
      <c r="T296" s="163">
        <v>0</v>
      </c>
      <c r="U296" s="163">
        <v>0</v>
      </c>
      <c r="V296" s="163">
        <v>0</v>
      </c>
      <c r="W296" s="163">
        <v>0</v>
      </c>
      <c r="X296" s="163">
        <v>0</v>
      </c>
      <c r="Y296" s="163">
        <v>4</v>
      </c>
      <c r="Z296" s="163">
        <v>4</v>
      </c>
      <c r="AA296" s="163">
        <v>0</v>
      </c>
      <c r="AB296" s="163">
        <v>0</v>
      </c>
      <c r="AC296" s="163">
        <v>4</v>
      </c>
      <c r="AD296" s="163">
        <v>0</v>
      </c>
      <c r="AE296" s="165">
        <v>2.8435012706608372E-2</v>
      </c>
      <c r="AF296" s="166">
        <v>5.6870025413216743E-2</v>
      </c>
    </row>
    <row r="297" spans="1:32">
      <c r="A297" s="161">
        <v>7</v>
      </c>
      <c r="B297" s="162">
        <v>0.14583333333333334</v>
      </c>
      <c r="C297" s="163">
        <v>0.3040767536414179</v>
      </c>
      <c r="D297" s="163">
        <v>585.61065868936873</v>
      </c>
      <c r="E297" s="164">
        <v>0.99980000000000002</v>
      </c>
      <c r="F297" s="164">
        <v>0.99980000000000002</v>
      </c>
      <c r="G297" s="163">
        <v>2</v>
      </c>
      <c r="H297" s="163">
        <v>6.6666666666666661</v>
      </c>
      <c r="I297" s="163">
        <v>4.6666666666666661</v>
      </c>
      <c r="J297" s="163">
        <v>1</v>
      </c>
      <c r="K297" s="163">
        <v>1.6303373819163294</v>
      </c>
      <c r="L297" s="163">
        <v>0.63033738191632938</v>
      </c>
      <c r="M297" s="163">
        <v>2</v>
      </c>
      <c r="N297" s="163">
        <v>6.0908681961313533</v>
      </c>
      <c r="O297" s="163">
        <v>4.0908681961313533</v>
      </c>
      <c r="P297" s="163"/>
      <c r="Q297" s="163">
        <v>4</v>
      </c>
      <c r="R297" s="163">
        <v>0</v>
      </c>
      <c r="S297" s="163">
        <v>0</v>
      </c>
      <c r="T297" s="163">
        <v>0</v>
      </c>
      <c r="U297" s="163">
        <v>0</v>
      </c>
      <c r="V297" s="163">
        <v>0</v>
      </c>
      <c r="W297" s="163">
        <v>0</v>
      </c>
      <c r="X297" s="163">
        <v>0</v>
      </c>
      <c r="Y297" s="163">
        <v>4</v>
      </c>
      <c r="Z297" s="163">
        <v>4</v>
      </c>
      <c r="AA297" s="163">
        <v>0</v>
      </c>
      <c r="AB297" s="163">
        <v>0</v>
      </c>
      <c r="AC297" s="163">
        <v>4</v>
      </c>
      <c r="AD297" s="163">
        <v>0</v>
      </c>
      <c r="AE297" s="165">
        <v>3.0339764498241481E-2</v>
      </c>
      <c r="AF297" s="166">
        <v>6.0679528996482962E-2</v>
      </c>
    </row>
    <row r="298" spans="1:32">
      <c r="A298" s="161">
        <v>7</v>
      </c>
      <c r="B298" s="162">
        <v>0.16666666666666666</v>
      </c>
      <c r="C298" s="163">
        <v>0.3415255719703178</v>
      </c>
      <c r="D298" s="163">
        <v>585.61380238892389</v>
      </c>
      <c r="E298" s="164">
        <v>0.99980000000000002</v>
      </c>
      <c r="F298" s="164">
        <v>0.99980000000000002</v>
      </c>
      <c r="G298" s="163">
        <v>2</v>
      </c>
      <c r="H298" s="163">
        <v>6.6666666666666661</v>
      </c>
      <c r="I298" s="163">
        <v>4.6666666666666661</v>
      </c>
      <c r="J298" s="163">
        <v>1</v>
      </c>
      <c r="K298" s="163">
        <v>1.6303373819163294</v>
      </c>
      <c r="L298" s="163">
        <v>0.63033738191632938</v>
      </c>
      <c r="M298" s="163">
        <v>2</v>
      </c>
      <c r="N298" s="163">
        <v>6.0908681961313533</v>
      </c>
      <c r="O298" s="163">
        <v>4.0908681961313533</v>
      </c>
      <c r="P298" s="163"/>
      <c r="Q298" s="163">
        <v>4</v>
      </c>
      <c r="R298" s="163">
        <v>0</v>
      </c>
      <c r="S298" s="163">
        <v>0</v>
      </c>
      <c r="T298" s="163">
        <v>0</v>
      </c>
      <c r="U298" s="163">
        <v>0</v>
      </c>
      <c r="V298" s="163">
        <v>0</v>
      </c>
      <c r="W298" s="163">
        <v>0</v>
      </c>
      <c r="X298" s="163">
        <v>0</v>
      </c>
      <c r="Y298" s="163">
        <v>4</v>
      </c>
      <c r="Z298" s="163">
        <v>4</v>
      </c>
      <c r="AA298" s="163">
        <v>0</v>
      </c>
      <c r="AB298" s="163">
        <v>0</v>
      </c>
      <c r="AC298" s="163">
        <v>4</v>
      </c>
      <c r="AD298" s="163">
        <v>0</v>
      </c>
      <c r="AE298" s="165">
        <v>3.4076465643282247E-2</v>
      </c>
      <c r="AF298" s="166">
        <v>6.8152931286564494E-2</v>
      </c>
    </row>
    <row r="299" spans="1:32">
      <c r="A299" s="161">
        <v>7</v>
      </c>
      <c r="B299" s="162">
        <v>0.1875</v>
      </c>
      <c r="C299" s="163">
        <v>0.50298351434674082</v>
      </c>
      <c r="D299" s="163">
        <v>622.20308613810448</v>
      </c>
      <c r="E299" s="164">
        <v>0.99929999999999997</v>
      </c>
      <c r="F299" s="164">
        <v>0.99929999999999997</v>
      </c>
      <c r="G299" s="163">
        <v>2</v>
      </c>
      <c r="H299" s="163">
        <v>6.6666666666666661</v>
      </c>
      <c r="I299" s="163">
        <v>4.6666666666666661</v>
      </c>
      <c r="J299" s="163">
        <v>1</v>
      </c>
      <c r="K299" s="163">
        <v>1.6303373819163294</v>
      </c>
      <c r="L299" s="163">
        <v>0.63033738191632938</v>
      </c>
      <c r="M299" s="163">
        <v>2</v>
      </c>
      <c r="N299" s="163">
        <v>6.0908681961313533</v>
      </c>
      <c r="O299" s="163">
        <v>4.0908681961313533</v>
      </c>
      <c r="P299" s="163"/>
      <c r="Q299" s="163">
        <v>4</v>
      </c>
      <c r="R299" s="163">
        <v>0</v>
      </c>
      <c r="S299" s="163">
        <v>0</v>
      </c>
      <c r="T299" s="163">
        <v>0</v>
      </c>
      <c r="U299" s="163">
        <v>0</v>
      </c>
      <c r="V299" s="163">
        <v>0</v>
      </c>
      <c r="W299" s="163">
        <v>0</v>
      </c>
      <c r="X299" s="163">
        <v>0</v>
      </c>
      <c r="Y299" s="163">
        <v>4</v>
      </c>
      <c r="Z299" s="163">
        <v>4</v>
      </c>
      <c r="AA299" s="163">
        <v>0</v>
      </c>
      <c r="AB299" s="163">
        <v>0</v>
      </c>
      <c r="AC299" s="163">
        <v>4</v>
      </c>
      <c r="AD299" s="163">
        <v>0</v>
      </c>
      <c r="AE299" s="165">
        <v>5.3321937869093602E-2</v>
      </c>
      <c r="AF299" s="166">
        <v>0.1066438757381872</v>
      </c>
    </row>
    <row r="300" spans="1:32">
      <c r="A300" s="161">
        <v>7</v>
      </c>
      <c r="B300" s="162">
        <v>0.20833333333333334</v>
      </c>
      <c r="C300" s="163">
        <v>0.88221480742653335</v>
      </c>
      <c r="D300" s="163">
        <v>654.17443411633803</v>
      </c>
      <c r="E300" s="164">
        <v>0.996</v>
      </c>
      <c r="F300" s="164">
        <v>0.996</v>
      </c>
      <c r="G300" s="163">
        <v>3</v>
      </c>
      <c r="H300" s="163">
        <v>6.6666666666666661</v>
      </c>
      <c r="I300" s="163">
        <v>3.6666666666666661</v>
      </c>
      <c r="J300" s="163">
        <v>2</v>
      </c>
      <c r="K300" s="163">
        <v>2.445506072874494</v>
      </c>
      <c r="L300" s="163">
        <v>0.44550607287449395</v>
      </c>
      <c r="M300" s="163">
        <v>3</v>
      </c>
      <c r="N300" s="163">
        <v>6.0908681961313533</v>
      </c>
      <c r="O300" s="163">
        <v>3.0908681961313533</v>
      </c>
      <c r="P300" s="163"/>
      <c r="Q300" s="163">
        <v>4</v>
      </c>
      <c r="R300" s="163">
        <v>0</v>
      </c>
      <c r="S300" s="163">
        <v>0</v>
      </c>
      <c r="T300" s="163">
        <v>0</v>
      </c>
      <c r="U300" s="163">
        <v>0</v>
      </c>
      <c r="V300" s="163">
        <v>0</v>
      </c>
      <c r="W300" s="163">
        <v>0</v>
      </c>
      <c r="X300" s="163">
        <v>0</v>
      </c>
      <c r="Y300" s="163">
        <v>4</v>
      </c>
      <c r="Z300" s="163">
        <v>4</v>
      </c>
      <c r="AA300" s="163">
        <v>0</v>
      </c>
      <c r="AB300" s="163">
        <v>0</v>
      </c>
      <c r="AC300" s="163">
        <v>4</v>
      </c>
      <c r="AD300" s="163">
        <v>0</v>
      </c>
      <c r="AE300" s="165">
        <v>9.8330426508091859E-2</v>
      </c>
      <c r="AF300" s="166">
        <v>0.13110723534412247</v>
      </c>
    </row>
    <row r="301" spans="1:32">
      <c r="A301" s="161">
        <v>7</v>
      </c>
      <c r="B301" s="162">
        <v>0.22916666666666666</v>
      </c>
      <c r="C301" s="163">
        <v>1.4767068312961065</v>
      </c>
      <c r="D301" s="163">
        <v>668.62246905429106</v>
      </c>
      <c r="E301" s="164">
        <v>0.98240000000000005</v>
      </c>
      <c r="F301" s="164">
        <v>0.98240000000000005</v>
      </c>
      <c r="G301" s="163">
        <v>3</v>
      </c>
      <c r="H301" s="163">
        <v>6.6666666666666661</v>
      </c>
      <c r="I301" s="163">
        <v>3.6666666666666661</v>
      </c>
      <c r="J301" s="163">
        <v>2</v>
      </c>
      <c r="K301" s="163">
        <v>2.445506072874494</v>
      </c>
      <c r="L301" s="163">
        <v>0.44550607287449395</v>
      </c>
      <c r="M301" s="163">
        <v>3</v>
      </c>
      <c r="N301" s="163">
        <v>6.0908681961313533</v>
      </c>
      <c r="O301" s="163">
        <v>3.0908681961313533</v>
      </c>
      <c r="P301" s="163"/>
      <c r="Q301" s="163">
        <v>4</v>
      </c>
      <c r="R301" s="163">
        <v>0</v>
      </c>
      <c r="S301" s="163">
        <v>0</v>
      </c>
      <c r="T301" s="163">
        <v>0</v>
      </c>
      <c r="U301" s="163">
        <v>0</v>
      </c>
      <c r="V301" s="163">
        <v>0</v>
      </c>
      <c r="W301" s="163">
        <v>0</v>
      </c>
      <c r="X301" s="163">
        <v>0</v>
      </c>
      <c r="Y301" s="163">
        <v>4</v>
      </c>
      <c r="Z301" s="163">
        <v>4</v>
      </c>
      <c r="AA301" s="163">
        <v>0</v>
      </c>
      <c r="AB301" s="163">
        <v>0</v>
      </c>
      <c r="AC301" s="163">
        <v>4</v>
      </c>
      <c r="AD301" s="163">
        <v>0</v>
      </c>
      <c r="AE301" s="165">
        <v>0.16822683086647386</v>
      </c>
      <c r="AF301" s="166">
        <v>0.22430244115529846</v>
      </c>
    </row>
    <row r="302" spans="1:32">
      <c r="A302" s="161">
        <v>7</v>
      </c>
      <c r="B302" s="162">
        <v>0.25</v>
      </c>
      <c r="C302" s="163">
        <v>2.2687888246126944</v>
      </c>
      <c r="D302" s="163">
        <v>675.53794928928789</v>
      </c>
      <c r="E302" s="164">
        <v>0.94489999999999996</v>
      </c>
      <c r="F302" s="164">
        <v>0.94489999999999996</v>
      </c>
      <c r="G302" s="163">
        <v>4</v>
      </c>
      <c r="H302" s="163">
        <v>6.6666666666666661</v>
      </c>
      <c r="I302" s="163">
        <v>2.6666666666666661</v>
      </c>
      <c r="J302" s="163">
        <v>3</v>
      </c>
      <c r="K302" s="163">
        <v>3.2606747638326588</v>
      </c>
      <c r="L302" s="163">
        <v>0.26067476383265875</v>
      </c>
      <c r="M302" s="163">
        <v>4</v>
      </c>
      <c r="N302" s="163">
        <v>6.0908681961313533</v>
      </c>
      <c r="O302" s="163">
        <v>2.0908681961313533</v>
      </c>
      <c r="P302" s="163"/>
      <c r="Q302" s="163">
        <v>4</v>
      </c>
      <c r="R302" s="163">
        <v>0</v>
      </c>
      <c r="S302" s="163">
        <v>0</v>
      </c>
      <c r="T302" s="163">
        <v>0</v>
      </c>
      <c r="U302" s="163">
        <v>0</v>
      </c>
      <c r="V302" s="163">
        <v>0</v>
      </c>
      <c r="W302" s="163">
        <v>0</v>
      </c>
      <c r="X302" s="163">
        <v>0</v>
      </c>
      <c r="Y302" s="163">
        <v>4</v>
      </c>
      <c r="Z302" s="163">
        <v>4</v>
      </c>
      <c r="AA302" s="163">
        <v>0</v>
      </c>
      <c r="AB302" s="163">
        <v>0</v>
      </c>
      <c r="AC302" s="163">
        <v>4</v>
      </c>
      <c r="AD302" s="163">
        <v>0</v>
      </c>
      <c r="AE302" s="165">
        <v>0.26113425065495138</v>
      </c>
      <c r="AF302" s="166">
        <v>0.26113425065495138</v>
      </c>
    </row>
    <row r="303" spans="1:32">
      <c r="A303" s="161">
        <v>7</v>
      </c>
      <c r="B303" s="162">
        <v>0.27083333333333331</v>
      </c>
      <c r="C303" s="163">
        <v>3.2780595903484797</v>
      </c>
      <c r="D303" s="163">
        <v>740.33513382877743</v>
      </c>
      <c r="E303" s="164">
        <v>0.8327</v>
      </c>
      <c r="F303" s="164">
        <v>0.8327</v>
      </c>
      <c r="G303" s="163">
        <v>4</v>
      </c>
      <c r="H303" s="163">
        <v>6.6666666666666661</v>
      </c>
      <c r="I303" s="163">
        <v>2.6666666666666661</v>
      </c>
      <c r="J303" s="163">
        <v>3</v>
      </c>
      <c r="K303" s="163">
        <v>3.2606747638326588</v>
      </c>
      <c r="L303" s="163">
        <v>0.26067476383265875</v>
      </c>
      <c r="M303" s="163">
        <v>4</v>
      </c>
      <c r="N303" s="163">
        <v>6.0908681961313533</v>
      </c>
      <c r="O303" s="163">
        <v>2.0908681961313533</v>
      </c>
      <c r="P303" s="163"/>
      <c r="Q303" s="163">
        <v>4</v>
      </c>
      <c r="R303" s="163">
        <v>0</v>
      </c>
      <c r="S303" s="163">
        <v>0</v>
      </c>
      <c r="T303" s="163">
        <v>0</v>
      </c>
      <c r="U303" s="163">
        <v>0</v>
      </c>
      <c r="V303" s="163">
        <v>0</v>
      </c>
      <c r="W303" s="163">
        <v>0</v>
      </c>
      <c r="X303" s="163">
        <v>0</v>
      </c>
      <c r="Y303" s="163">
        <v>4</v>
      </c>
      <c r="Z303" s="163">
        <v>4</v>
      </c>
      <c r="AA303" s="163">
        <v>0</v>
      </c>
      <c r="AB303" s="163">
        <v>0</v>
      </c>
      <c r="AC303" s="163">
        <v>4</v>
      </c>
      <c r="AD303" s="163">
        <v>0</v>
      </c>
      <c r="AE303" s="165">
        <v>0.41349019609854704</v>
      </c>
      <c r="AF303" s="166">
        <v>0.41349019609854704</v>
      </c>
    </row>
    <row r="304" spans="1:32">
      <c r="A304" s="161">
        <v>7</v>
      </c>
      <c r="B304" s="162">
        <v>0.29166666666666669</v>
      </c>
      <c r="C304" s="163">
        <v>7.241180720497101</v>
      </c>
      <c r="D304" s="163">
        <v>778.84593888080929</v>
      </c>
      <c r="E304" s="164">
        <v>0.78020000000000012</v>
      </c>
      <c r="F304" s="164">
        <v>0.78020000000000012</v>
      </c>
      <c r="G304" s="163">
        <v>8</v>
      </c>
      <c r="H304" s="163">
        <v>11.666666666666668</v>
      </c>
      <c r="I304" s="163">
        <v>3.6666666666666679</v>
      </c>
      <c r="J304" s="163">
        <v>6</v>
      </c>
      <c r="K304" s="163">
        <v>6.5213495276653175</v>
      </c>
      <c r="L304" s="163">
        <v>0.5213495276653175</v>
      </c>
      <c r="M304" s="163">
        <v>7</v>
      </c>
      <c r="N304" s="163">
        <v>10.65901934322987</v>
      </c>
      <c r="O304" s="163">
        <v>3.6590193432298701</v>
      </c>
      <c r="P304" s="163"/>
      <c r="Q304" s="163">
        <v>7</v>
      </c>
      <c r="R304" s="163">
        <v>0</v>
      </c>
      <c r="S304" s="163">
        <v>0</v>
      </c>
      <c r="T304" s="163">
        <v>0</v>
      </c>
      <c r="U304" s="163">
        <v>0</v>
      </c>
      <c r="V304" s="163">
        <v>0</v>
      </c>
      <c r="W304" s="163">
        <v>0</v>
      </c>
      <c r="X304" s="163">
        <v>0</v>
      </c>
      <c r="Y304" s="163">
        <v>7</v>
      </c>
      <c r="Z304" s="163">
        <v>7</v>
      </c>
      <c r="AA304" s="163">
        <v>0</v>
      </c>
      <c r="AB304" s="163">
        <v>0</v>
      </c>
      <c r="AC304" s="163">
        <v>4</v>
      </c>
      <c r="AD304" s="163">
        <v>3</v>
      </c>
      <c r="AE304" s="165">
        <v>0.54908921067380878</v>
      </c>
      <c r="AF304" s="166">
        <v>0.48045305933958271</v>
      </c>
    </row>
    <row r="305" spans="1:32">
      <c r="A305" s="161">
        <v>7</v>
      </c>
      <c r="B305" s="162">
        <v>0.3125</v>
      </c>
      <c r="C305" s="163">
        <v>9.3792945815067892</v>
      </c>
      <c r="D305" s="163">
        <v>740.79399051337612</v>
      </c>
      <c r="E305" s="164">
        <v>0.9607</v>
      </c>
      <c r="F305" s="164">
        <v>0.9607</v>
      </c>
      <c r="G305" s="163">
        <v>9</v>
      </c>
      <c r="H305" s="163">
        <v>18.333333333333332</v>
      </c>
      <c r="I305" s="163">
        <v>9.3333333333333321</v>
      </c>
      <c r="J305" s="163">
        <v>7</v>
      </c>
      <c r="K305" s="163">
        <v>7.3365182186234819</v>
      </c>
      <c r="L305" s="163">
        <v>0.33651821862348186</v>
      </c>
      <c r="M305" s="163">
        <v>8</v>
      </c>
      <c r="N305" s="163">
        <v>16.749887539361222</v>
      </c>
      <c r="O305" s="163">
        <v>8.7498875393612217</v>
      </c>
      <c r="P305" s="163"/>
      <c r="Q305" s="163">
        <v>11</v>
      </c>
      <c r="R305" s="163">
        <v>0</v>
      </c>
      <c r="S305" s="163">
        <v>0</v>
      </c>
      <c r="T305" s="163">
        <v>0</v>
      </c>
      <c r="U305" s="163">
        <v>0</v>
      </c>
      <c r="V305" s="163">
        <v>0</v>
      </c>
      <c r="W305" s="163">
        <v>0</v>
      </c>
      <c r="X305" s="163">
        <v>0</v>
      </c>
      <c r="Y305" s="163">
        <v>11</v>
      </c>
      <c r="Z305" s="163">
        <v>11</v>
      </c>
      <c r="AA305" s="163">
        <v>0</v>
      </c>
      <c r="AB305" s="163">
        <v>0</v>
      </c>
      <c r="AC305" s="163">
        <v>8</v>
      </c>
      <c r="AD305" s="163">
        <v>3</v>
      </c>
      <c r="AE305" s="165">
        <v>0.4304819493503893</v>
      </c>
      <c r="AF305" s="166">
        <v>0.52614460476158686</v>
      </c>
    </row>
    <row r="306" spans="1:32">
      <c r="A306" s="161">
        <v>7</v>
      </c>
      <c r="B306" s="162">
        <v>0.33333333333333331</v>
      </c>
      <c r="C306" s="163">
        <v>13.1209805048611</v>
      </c>
      <c r="D306" s="163">
        <v>805.78668398248374</v>
      </c>
      <c r="E306" s="164">
        <v>0.92510000000000003</v>
      </c>
      <c r="F306" s="164">
        <v>0.92510000000000003</v>
      </c>
      <c r="G306" s="163">
        <v>12</v>
      </c>
      <c r="H306" s="163">
        <v>21.666666666666664</v>
      </c>
      <c r="I306" s="163">
        <v>9.6666666666666643</v>
      </c>
      <c r="J306" s="163">
        <v>9</v>
      </c>
      <c r="K306" s="163">
        <v>9.7820242914979758</v>
      </c>
      <c r="L306" s="163">
        <v>0.78202429149797581</v>
      </c>
      <c r="M306" s="163">
        <v>11</v>
      </c>
      <c r="N306" s="163">
        <v>19.795321637426898</v>
      </c>
      <c r="O306" s="163">
        <v>8.7953216374268983</v>
      </c>
      <c r="P306" s="163"/>
      <c r="Q306" s="163">
        <v>13</v>
      </c>
      <c r="R306" s="163">
        <v>0</v>
      </c>
      <c r="S306" s="163">
        <v>0</v>
      </c>
      <c r="T306" s="163">
        <v>0</v>
      </c>
      <c r="U306" s="163">
        <v>0</v>
      </c>
      <c r="V306" s="163">
        <v>0</v>
      </c>
      <c r="W306" s="163">
        <v>0</v>
      </c>
      <c r="X306" s="163">
        <v>0</v>
      </c>
      <c r="Y306" s="163">
        <v>13</v>
      </c>
      <c r="Z306" s="163">
        <v>13</v>
      </c>
      <c r="AA306" s="163">
        <v>0</v>
      </c>
      <c r="AB306" s="163">
        <v>0</v>
      </c>
      <c r="AC306" s="163">
        <v>10</v>
      </c>
      <c r="AD306" s="163">
        <v>3</v>
      </c>
      <c r="AE306" s="165">
        <v>0.55427211238937257</v>
      </c>
      <c r="AF306" s="166">
        <v>0.60046145508848692</v>
      </c>
    </row>
    <row r="307" spans="1:32">
      <c r="A307" s="161">
        <v>7</v>
      </c>
      <c r="B307" s="162">
        <v>0.35416666666666669</v>
      </c>
      <c r="C307" s="163">
        <v>15.371506438251423</v>
      </c>
      <c r="D307" s="163">
        <v>803.17612695869309</v>
      </c>
      <c r="E307" s="164">
        <v>0.95289999999999997</v>
      </c>
      <c r="F307" s="164">
        <v>0.95289999999999997</v>
      </c>
      <c r="G307" s="163">
        <v>13</v>
      </c>
      <c r="H307" s="163">
        <v>25</v>
      </c>
      <c r="I307" s="163">
        <v>12</v>
      </c>
      <c r="J307" s="163">
        <v>10</v>
      </c>
      <c r="K307" s="163">
        <v>10.597192982456141</v>
      </c>
      <c r="L307" s="163">
        <v>0.59719298245614105</v>
      </c>
      <c r="M307" s="163">
        <v>12</v>
      </c>
      <c r="N307" s="163">
        <v>22.840755735492575</v>
      </c>
      <c r="O307" s="163">
        <v>10.840755735492575</v>
      </c>
      <c r="P307" s="163"/>
      <c r="Q307" s="163">
        <v>15</v>
      </c>
      <c r="R307" s="163">
        <v>0</v>
      </c>
      <c r="S307" s="163">
        <v>0</v>
      </c>
      <c r="T307" s="163">
        <v>0</v>
      </c>
      <c r="U307" s="163">
        <v>0</v>
      </c>
      <c r="V307" s="163">
        <v>0</v>
      </c>
      <c r="W307" s="163">
        <v>0</v>
      </c>
      <c r="X307" s="163">
        <v>0</v>
      </c>
      <c r="Y307" s="163">
        <v>15</v>
      </c>
      <c r="Z307" s="163">
        <v>15</v>
      </c>
      <c r="AA307" s="163">
        <v>0</v>
      </c>
      <c r="AB307" s="163">
        <v>0</v>
      </c>
      <c r="AC307" s="163">
        <v>10</v>
      </c>
      <c r="AD307" s="163">
        <v>5</v>
      </c>
      <c r="AE307" s="165">
        <v>0.56093942833606714</v>
      </c>
      <c r="AF307" s="166">
        <v>0.64723780192623148</v>
      </c>
    </row>
    <row r="308" spans="1:32">
      <c r="A308" s="161">
        <v>7</v>
      </c>
      <c r="B308" s="162">
        <v>0.375</v>
      </c>
      <c r="C308" s="163">
        <v>19.027488893868856</v>
      </c>
      <c r="D308" s="163">
        <v>852.39533834448582</v>
      </c>
      <c r="E308" s="164">
        <v>0.87339999999999984</v>
      </c>
      <c r="F308" s="164">
        <v>0.87339999999999984</v>
      </c>
      <c r="G308" s="163">
        <v>16</v>
      </c>
      <c r="H308" s="163">
        <v>28.333333333333336</v>
      </c>
      <c r="I308" s="163">
        <v>12.333333333333336</v>
      </c>
      <c r="J308" s="163">
        <v>13</v>
      </c>
      <c r="K308" s="163">
        <v>13.042699055330635</v>
      </c>
      <c r="L308" s="163">
        <v>4.2699055330635005E-2</v>
      </c>
      <c r="M308" s="163">
        <v>15</v>
      </c>
      <c r="N308" s="163">
        <v>25.886189833558255</v>
      </c>
      <c r="O308" s="163">
        <v>10.886189833558255</v>
      </c>
      <c r="P308" s="163"/>
      <c r="Q308" s="163">
        <v>17</v>
      </c>
      <c r="R308" s="163">
        <v>0</v>
      </c>
      <c r="S308" s="163">
        <v>0</v>
      </c>
      <c r="T308" s="163">
        <v>0</v>
      </c>
      <c r="U308" s="163">
        <v>0</v>
      </c>
      <c r="V308" s="163">
        <v>0</v>
      </c>
      <c r="W308" s="163">
        <v>0</v>
      </c>
      <c r="X308" s="163">
        <v>0</v>
      </c>
      <c r="Y308" s="163">
        <v>17</v>
      </c>
      <c r="Z308" s="163">
        <v>17</v>
      </c>
      <c r="AA308" s="163">
        <v>0</v>
      </c>
      <c r="AB308" s="163">
        <v>0</v>
      </c>
      <c r="AC308" s="163">
        <v>12</v>
      </c>
      <c r="AD308" s="163">
        <v>5</v>
      </c>
      <c r="AE308" s="165">
        <v>0.6502099717917682</v>
      </c>
      <c r="AF308" s="166">
        <v>0.69084809502875366</v>
      </c>
    </row>
    <row r="309" spans="1:32">
      <c r="A309" s="161">
        <v>7</v>
      </c>
      <c r="B309" s="162">
        <v>0.39583333333333331</v>
      </c>
      <c r="C309" s="163">
        <v>19.624061433617701</v>
      </c>
      <c r="D309" s="163">
        <v>842.57183397301719</v>
      </c>
      <c r="E309" s="164">
        <v>0.95379999999999987</v>
      </c>
      <c r="F309" s="164">
        <v>0.95379999999999987</v>
      </c>
      <c r="G309" s="163">
        <v>16</v>
      </c>
      <c r="H309" s="163">
        <v>31.666666666666664</v>
      </c>
      <c r="I309" s="163">
        <v>15.666666666666664</v>
      </c>
      <c r="J309" s="163">
        <v>13</v>
      </c>
      <c r="K309" s="163">
        <v>13.042699055330635</v>
      </c>
      <c r="L309" s="163">
        <v>4.2699055330635005E-2</v>
      </c>
      <c r="M309" s="163">
        <v>15</v>
      </c>
      <c r="N309" s="163">
        <v>28.931623931623928</v>
      </c>
      <c r="O309" s="163">
        <v>13.931623931623928</v>
      </c>
      <c r="P309" s="163"/>
      <c r="Q309" s="163">
        <v>19</v>
      </c>
      <c r="R309" s="163">
        <v>0</v>
      </c>
      <c r="S309" s="163">
        <v>0</v>
      </c>
      <c r="T309" s="163">
        <v>0</v>
      </c>
      <c r="U309" s="163">
        <v>0</v>
      </c>
      <c r="V309" s="163">
        <v>0</v>
      </c>
      <c r="W309" s="163">
        <v>0</v>
      </c>
      <c r="X309" s="163">
        <v>0</v>
      </c>
      <c r="Y309" s="163">
        <v>19</v>
      </c>
      <c r="Z309" s="163">
        <v>19</v>
      </c>
      <c r="AA309" s="163">
        <v>0</v>
      </c>
      <c r="AB309" s="163">
        <v>0</v>
      </c>
      <c r="AC309" s="163">
        <v>14</v>
      </c>
      <c r="AD309" s="163">
        <v>5</v>
      </c>
      <c r="AE309" s="165">
        <v>0.59309223069551542</v>
      </c>
      <c r="AF309" s="166">
        <v>0.70429702395092464</v>
      </c>
    </row>
    <row r="310" spans="1:32">
      <c r="A310" s="161">
        <v>7</v>
      </c>
      <c r="B310" s="162">
        <v>0.41666666666666669</v>
      </c>
      <c r="C310" s="163">
        <v>22.125716741976568</v>
      </c>
      <c r="D310" s="163">
        <v>849.75415519637522</v>
      </c>
      <c r="E310" s="164">
        <v>0.88600000000000001</v>
      </c>
      <c r="F310" s="164">
        <v>0.88600000000000001</v>
      </c>
      <c r="G310" s="163">
        <v>19</v>
      </c>
      <c r="H310" s="163">
        <v>31.666666666666664</v>
      </c>
      <c r="I310" s="163">
        <v>12.666666666666664</v>
      </c>
      <c r="J310" s="163">
        <v>15</v>
      </c>
      <c r="K310" s="163">
        <v>15.488205128205129</v>
      </c>
      <c r="L310" s="163">
        <v>0.48820512820512896</v>
      </c>
      <c r="M310" s="163">
        <v>17</v>
      </c>
      <c r="N310" s="163">
        <v>28.931623931623928</v>
      </c>
      <c r="O310" s="163">
        <v>11.931623931623928</v>
      </c>
      <c r="P310" s="163"/>
      <c r="Q310" s="163">
        <v>19</v>
      </c>
      <c r="R310" s="163">
        <v>0</v>
      </c>
      <c r="S310" s="163">
        <v>0</v>
      </c>
      <c r="T310" s="163">
        <v>0</v>
      </c>
      <c r="U310" s="163">
        <v>0</v>
      </c>
      <c r="V310" s="163">
        <v>0</v>
      </c>
      <c r="W310" s="163">
        <v>0</v>
      </c>
      <c r="X310" s="163">
        <v>0</v>
      </c>
      <c r="Y310" s="163">
        <v>19</v>
      </c>
      <c r="Z310" s="163">
        <v>19</v>
      </c>
      <c r="AA310" s="163">
        <v>0</v>
      </c>
      <c r="AB310" s="163">
        <v>0</v>
      </c>
      <c r="AC310" s="163">
        <v>14</v>
      </c>
      <c r="AD310" s="163">
        <v>5</v>
      </c>
      <c r="AE310" s="165">
        <v>0.67439920258179287</v>
      </c>
      <c r="AF310" s="166">
        <v>0.67439920258179287</v>
      </c>
    </row>
    <row r="311" spans="1:32">
      <c r="A311" s="161">
        <v>7</v>
      </c>
      <c r="B311" s="162">
        <v>0.4375</v>
      </c>
      <c r="C311" s="163">
        <v>20.869310271111132</v>
      </c>
      <c r="D311" s="163">
        <v>820.16867947115145</v>
      </c>
      <c r="E311" s="164">
        <v>0.94079999999999997</v>
      </c>
      <c r="F311" s="164">
        <v>0.94079999999999997</v>
      </c>
      <c r="G311" s="163">
        <v>16</v>
      </c>
      <c r="H311" s="163">
        <v>31.666666666666664</v>
      </c>
      <c r="I311" s="163">
        <v>15.666666666666664</v>
      </c>
      <c r="J311" s="163">
        <v>13</v>
      </c>
      <c r="K311" s="163">
        <v>13.042699055330635</v>
      </c>
      <c r="L311" s="163">
        <v>4.2699055330635005E-2</v>
      </c>
      <c r="M311" s="163">
        <v>15</v>
      </c>
      <c r="N311" s="163">
        <v>28.931623931623928</v>
      </c>
      <c r="O311" s="163">
        <v>13.931623931623928</v>
      </c>
      <c r="P311" s="163"/>
      <c r="Q311" s="163">
        <v>19</v>
      </c>
      <c r="R311" s="163">
        <v>0</v>
      </c>
      <c r="S311" s="163">
        <v>0</v>
      </c>
      <c r="T311" s="163">
        <v>0</v>
      </c>
      <c r="U311" s="163">
        <v>0</v>
      </c>
      <c r="V311" s="163">
        <v>0</v>
      </c>
      <c r="W311" s="163">
        <v>0</v>
      </c>
      <c r="X311" s="163">
        <v>0</v>
      </c>
      <c r="Y311" s="163">
        <v>19</v>
      </c>
      <c r="Z311" s="163">
        <v>19</v>
      </c>
      <c r="AA311" s="163">
        <v>0</v>
      </c>
      <c r="AB311" s="163">
        <v>0</v>
      </c>
      <c r="AC311" s="163">
        <v>14</v>
      </c>
      <c r="AD311" s="163">
        <v>5</v>
      </c>
      <c r="AE311" s="165">
        <v>0.61395660995105839</v>
      </c>
      <c r="AF311" s="166">
        <v>0.72907347431688196</v>
      </c>
    </row>
    <row r="312" spans="1:32">
      <c r="A312" s="161">
        <v>7</v>
      </c>
      <c r="B312" s="162">
        <v>0.45833333333333331</v>
      </c>
      <c r="C312" s="163">
        <v>23.023022429965572</v>
      </c>
      <c r="D312" s="163">
        <v>810.86009527537033</v>
      </c>
      <c r="E312" s="164">
        <v>0.89180000000000004</v>
      </c>
      <c r="F312" s="164">
        <v>0.89180000000000004</v>
      </c>
      <c r="G312" s="163">
        <v>18</v>
      </c>
      <c r="H312" s="163">
        <v>31.666666666666664</v>
      </c>
      <c r="I312" s="163">
        <v>13.666666666666664</v>
      </c>
      <c r="J312" s="163">
        <v>14</v>
      </c>
      <c r="K312" s="163">
        <v>14.673036437246964</v>
      </c>
      <c r="L312" s="163">
        <v>0.67303643724696371</v>
      </c>
      <c r="M312" s="163">
        <v>16</v>
      </c>
      <c r="N312" s="163">
        <v>28.931623931623928</v>
      </c>
      <c r="O312" s="163">
        <v>12.931623931623928</v>
      </c>
      <c r="P312" s="163"/>
      <c r="Q312" s="163">
        <v>19</v>
      </c>
      <c r="R312" s="163">
        <v>0</v>
      </c>
      <c r="S312" s="163">
        <v>0</v>
      </c>
      <c r="T312" s="163">
        <v>0</v>
      </c>
      <c r="U312" s="163">
        <v>0</v>
      </c>
      <c r="V312" s="163">
        <v>0</v>
      </c>
      <c r="W312" s="163">
        <v>0</v>
      </c>
      <c r="X312" s="163">
        <v>0</v>
      </c>
      <c r="Y312" s="163">
        <v>19</v>
      </c>
      <c r="Z312" s="163">
        <v>19</v>
      </c>
      <c r="AA312" s="163">
        <v>0</v>
      </c>
      <c r="AB312" s="163">
        <v>0</v>
      </c>
      <c r="AC312" s="163">
        <v>14</v>
      </c>
      <c r="AD312" s="163">
        <v>5</v>
      </c>
      <c r="AE312" s="165">
        <v>0.66962963847359802</v>
      </c>
      <c r="AF312" s="166">
        <v>0.70683128505546466</v>
      </c>
    </row>
    <row r="313" spans="1:32">
      <c r="A313" s="161">
        <v>7</v>
      </c>
      <c r="B313" s="162">
        <v>0.47916666666666669</v>
      </c>
      <c r="C313" s="163">
        <v>21.330038581554959</v>
      </c>
      <c r="D313" s="163">
        <v>796.57725759781545</v>
      </c>
      <c r="E313" s="164">
        <v>0.94420000000000004</v>
      </c>
      <c r="F313" s="164">
        <v>0.94420000000000004</v>
      </c>
      <c r="G313" s="163">
        <v>16</v>
      </c>
      <c r="H313" s="163">
        <v>31.666666666666664</v>
      </c>
      <c r="I313" s="163">
        <v>15.666666666666664</v>
      </c>
      <c r="J313" s="163">
        <v>13</v>
      </c>
      <c r="K313" s="163">
        <v>13.042699055330635</v>
      </c>
      <c r="L313" s="163">
        <v>4.2699055330635005E-2</v>
      </c>
      <c r="M313" s="163">
        <v>15</v>
      </c>
      <c r="N313" s="163">
        <v>28.931623931623928</v>
      </c>
      <c r="O313" s="163">
        <v>13.931623931623928</v>
      </c>
      <c r="P313" s="163"/>
      <c r="Q313" s="163">
        <v>19</v>
      </c>
      <c r="R313" s="163">
        <v>0</v>
      </c>
      <c r="S313" s="163">
        <v>0</v>
      </c>
      <c r="T313" s="163">
        <v>0</v>
      </c>
      <c r="U313" s="163">
        <v>0</v>
      </c>
      <c r="V313" s="163">
        <v>0</v>
      </c>
      <c r="W313" s="163">
        <v>0</v>
      </c>
      <c r="X313" s="163">
        <v>0</v>
      </c>
      <c r="Y313" s="163">
        <v>19</v>
      </c>
      <c r="Z313" s="163">
        <v>19</v>
      </c>
      <c r="AA313" s="163">
        <v>0</v>
      </c>
      <c r="AB313" s="163">
        <v>0</v>
      </c>
      <c r="AC313" s="163">
        <v>14</v>
      </c>
      <c r="AD313" s="163">
        <v>5</v>
      </c>
      <c r="AE313" s="165">
        <v>0.60946103815078012</v>
      </c>
      <c r="AF313" s="166">
        <v>0.72373498280405157</v>
      </c>
    </row>
    <row r="314" spans="1:32">
      <c r="A314" s="161">
        <v>7</v>
      </c>
      <c r="B314" s="162">
        <v>0.5</v>
      </c>
      <c r="C314" s="163">
        <v>20.71057183424238</v>
      </c>
      <c r="D314" s="163">
        <v>809.90043723249164</v>
      </c>
      <c r="E314" s="164">
        <v>0.94899999999999995</v>
      </c>
      <c r="F314" s="164">
        <v>0.94899999999999995</v>
      </c>
      <c r="G314" s="163">
        <v>16</v>
      </c>
      <c r="H314" s="163">
        <v>31.666666666666664</v>
      </c>
      <c r="I314" s="163">
        <v>15.666666666666664</v>
      </c>
      <c r="J314" s="163">
        <v>13</v>
      </c>
      <c r="K314" s="163">
        <v>13.042699055330635</v>
      </c>
      <c r="L314" s="163">
        <v>4.2699055330635005E-2</v>
      </c>
      <c r="M314" s="163">
        <v>15</v>
      </c>
      <c r="N314" s="163">
        <v>28.931623931623928</v>
      </c>
      <c r="O314" s="163">
        <v>13.931623931623928</v>
      </c>
      <c r="P314" s="163"/>
      <c r="Q314" s="163">
        <v>19</v>
      </c>
      <c r="R314" s="163">
        <v>0</v>
      </c>
      <c r="S314" s="163">
        <v>0</v>
      </c>
      <c r="T314" s="163">
        <v>0</v>
      </c>
      <c r="U314" s="163">
        <v>0</v>
      </c>
      <c r="V314" s="163">
        <v>0</v>
      </c>
      <c r="W314" s="163">
        <v>0</v>
      </c>
      <c r="X314" s="163">
        <v>0</v>
      </c>
      <c r="Y314" s="163">
        <v>19</v>
      </c>
      <c r="Z314" s="163">
        <v>19</v>
      </c>
      <c r="AA314" s="163">
        <v>0</v>
      </c>
      <c r="AB314" s="163">
        <v>0</v>
      </c>
      <c r="AC314" s="163">
        <v>14</v>
      </c>
      <c r="AD314" s="163">
        <v>5</v>
      </c>
      <c r="AE314" s="165">
        <v>0.60165859708667691</v>
      </c>
      <c r="AF314" s="166">
        <v>0.71446958404042893</v>
      </c>
    </row>
    <row r="315" spans="1:32">
      <c r="A315" s="161">
        <v>7</v>
      </c>
      <c r="B315" s="162">
        <v>0.52083333333333337</v>
      </c>
      <c r="C315" s="163">
        <v>20.584584730389281</v>
      </c>
      <c r="D315" s="163">
        <v>798.44258655464557</v>
      </c>
      <c r="E315" s="164">
        <v>0.89489999999999992</v>
      </c>
      <c r="F315" s="164">
        <v>0.89489999999999992</v>
      </c>
      <c r="G315" s="163">
        <v>16</v>
      </c>
      <c r="H315" s="163">
        <v>30.333333333333336</v>
      </c>
      <c r="I315" s="163">
        <v>14.333333333333336</v>
      </c>
      <c r="J315" s="163">
        <v>13</v>
      </c>
      <c r="K315" s="163">
        <v>13.042699055330635</v>
      </c>
      <c r="L315" s="163">
        <v>4.2699055330635005E-2</v>
      </c>
      <c r="M315" s="163">
        <v>15</v>
      </c>
      <c r="N315" s="163">
        <v>27.713450292397663</v>
      </c>
      <c r="O315" s="163">
        <v>12.713450292397663</v>
      </c>
      <c r="P315" s="163"/>
      <c r="Q315" s="163">
        <v>19</v>
      </c>
      <c r="R315" s="163">
        <v>0</v>
      </c>
      <c r="S315" s="163">
        <v>0</v>
      </c>
      <c r="T315" s="163">
        <v>0</v>
      </c>
      <c r="U315" s="163">
        <v>0</v>
      </c>
      <c r="V315" s="163">
        <v>0</v>
      </c>
      <c r="W315" s="163">
        <v>0</v>
      </c>
      <c r="X315" s="163">
        <v>0</v>
      </c>
      <c r="Y315" s="163">
        <v>19</v>
      </c>
      <c r="Z315" s="163">
        <v>19</v>
      </c>
      <c r="AA315" s="163">
        <v>0</v>
      </c>
      <c r="AB315" s="163">
        <v>0</v>
      </c>
      <c r="AC315" s="163">
        <v>14</v>
      </c>
      <c r="AD315" s="163">
        <v>5</v>
      </c>
      <c r="AE315" s="165">
        <v>0.58953854595365818</v>
      </c>
      <c r="AF315" s="166">
        <v>0.70007702331996924</v>
      </c>
    </row>
    <row r="316" spans="1:32">
      <c r="A316" s="161">
        <v>7</v>
      </c>
      <c r="B316" s="162">
        <v>0.54166666666666663</v>
      </c>
      <c r="C316" s="163">
        <v>19.850040544875437</v>
      </c>
      <c r="D316" s="163">
        <v>773.59168760246848</v>
      </c>
      <c r="E316" s="164">
        <v>0.91</v>
      </c>
      <c r="F316" s="164">
        <v>0.91</v>
      </c>
      <c r="G316" s="163">
        <v>15</v>
      </c>
      <c r="H316" s="163">
        <v>28.333333333333336</v>
      </c>
      <c r="I316" s="163">
        <v>13.333333333333336</v>
      </c>
      <c r="J316" s="163">
        <v>12</v>
      </c>
      <c r="K316" s="163">
        <v>12.22753036437247</v>
      </c>
      <c r="L316" s="163">
        <v>0.22753036437246976</v>
      </c>
      <c r="M316" s="163">
        <v>14</v>
      </c>
      <c r="N316" s="163">
        <v>25.886189833558255</v>
      </c>
      <c r="O316" s="163">
        <v>11.886189833558255</v>
      </c>
      <c r="P316" s="163"/>
      <c r="Q316" s="163">
        <v>17</v>
      </c>
      <c r="R316" s="163">
        <v>0</v>
      </c>
      <c r="S316" s="163">
        <v>0</v>
      </c>
      <c r="T316" s="163">
        <v>0</v>
      </c>
      <c r="U316" s="163">
        <v>0</v>
      </c>
      <c r="V316" s="163">
        <v>0</v>
      </c>
      <c r="W316" s="163">
        <v>0</v>
      </c>
      <c r="X316" s="163">
        <v>0</v>
      </c>
      <c r="Y316" s="163">
        <v>17</v>
      </c>
      <c r="Z316" s="163">
        <v>17</v>
      </c>
      <c r="AA316" s="163">
        <v>0</v>
      </c>
      <c r="AB316" s="163">
        <v>0</v>
      </c>
      <c r="AC316" s="163">
        <v>12</v>
      </c>
      <c r="AD316" s="163">
        <v>5</v>
      </c>
      <c r="AE316" s="165">
        <v>0.61560802880370868</v>
      </c>
      <c r="AF316" s="166">
        <v>0.69768909931086975</v>
      </c>
    </row>
    <row r="317" spans="1:32">
      <c r="A317" s="161">
        <v>7</v>
      </c>
      <c r="B317" s="162">
        <v>0.5625</v>
      </c>
      <c r="C317" s="163">
        <v>18.558864407106334</v>
      </c>
      <c r="D317" s="163">
        <v>771.80438832033462</v>
      </c>
      <c r="E317" s="164">
        <v>0.94220000000000004</v>
      </c>
      <c r="F317" s="164">
        <v>0.94220000000000004</v>
      </c>
      <c r="G317" s="163">
        <v>15</v>
      </c>
      <c r="H317" s="163">
        <v>28.333333333333336</v>
      </c>
      <c r="I317" s="163">
        <v>13.333333333333336</v>
      </c>
      <c r="J317" s="163">
        <v>12</v>
      </c>
      <c r="K317" s="163">
        <v>12.22753036437247</v>
      </c>
      <c r="L317" s="163">
        <v>0.22753036437246976</v>
      </c>
      <c r="M317" s="163">
        <v>14</v>
      </c>
      <c r="N317" s="163">
        <v>25.886189833558255</v>
      </c>
      <c r="O317" s="163">
        <v>11.886189833558255</v>
      </c>
      <c r="P317" s="163"/>
      <c r="Q317" s="163">
        <v>17</v>
      </c>
      <c r="R317" s="163">
        <v>0</v>
      </c>
      <c r="S317" s="163">
        <v>0</v>
      </c>
      <c r="T317" s="163">
        <v>0</v>
      </c>
      <c r="U317" s="163">
        <v>0</v>
      </c>
      <c r="V317" s="163">
        <v>0</v>
      </c>
      <c r="W317" s="163">
        <v>0</v>
      </c>
      <c r="X317" s="163">
        <v>0</v>
      </c>
      <c r="Y317" s="163">
        <v>17</v>
      </c>
      <c r="Z317" s="163">
        <v>17</v>
      </c>
      <c r="AA317" s="163">
        <v>0</v>
      </c>
      <c r="AB317" s="163">
        <v>0</v>
      </c>
      <c r="AC317" s="163">
        <v>12</v>
      </c>
      <c r="AD317" s="163">
        <v>5</v>
      </c>
      <c r="AE317" s="165">
        <v>0.57423508651821897</v>
      </c>
      <c r="AF317" s="166">
        <v>0.65079976472064816</v>
      </c>
    </row>
    <row r="318" spans="1:32">
      <c r="A318" s="161">
        <v>7</v>
      </c>
      <c r="B318" s="162">
        <v>0.58333333333333337</v>
      </c>
      <c r="C318" s="163">
        <v>18.960801736196636</v>
      </c>
      <c r="D318" s="163">
        <v>805.91204768011596</v>
      </c>
      <c r="E318" s="164">
        <v>0.91220000000000001</v>
      </c>
      <c r="F318" s="164">
        <v>0.91220000000000001</v>
      </c>
      <c r="G318" s="163">
        <v>15</v>
      </c>
      <c r="H318" s="163">
        <v>28.333333333333336</v>
      </c>
      <c r="I318" s="163">
        <v>13.333333333333336</v>
      </c>
      <c r="J318" s="163">
        <v>12</v>
      </c>
      <c r="K318" s="163">
        <v>12.22753036437247</v>
      </c>
      <c r="L318" s="163">
        <v>0.22753036437246976</v>
      </c>
      <c r="M318" s="163">
        <v>14</v>
      </c>
      <c r="N318" s="163">
        <v>25.886189833558255</v>
      </c>
      <c r="O318" s="163">
        <v>11.886189833558255</v>
      </c>
      <c r="P318" s="163"/>
      <c r="Q318" s="163">
        <v>17</v>
      </c>
      <c r="R318" s="163">
        <v>0</v>
      </c>
      <c r="S318" s="163">
        <v>0</v>
      </c>
      <c r="T318" s="163">
        <v>0</v>
      </c>
      <c r="U318" s="163">
        <v>0</v>
      </c>
      <c r="V318" s="163">
        <v>0</v>
      </c>
      <c r="W318" s="163">
        <v>0</v>
      </c>
      <c r="X318" s="163">
        <v>0</v>
      </c>
      <c r="Y318" s="163">
        <v>17</v>
      </c>
      <c r="Z318" s="163">
        <v>17</v>
      </c>
      <c r="AA318" s="163">
        <v>0</v>
      </c>
      <c r="AB318" s="163">
        <v>0</v>
      </c>
      <c r="AC318" s="163">
        <v>12</v>
      </c>
      <c r="AD318" s="163">
        <v>5</v>
      </c>
      <c r="AE318" s="165">
        <v>0.61259779292633953</v>
      </c>
      <c r="AF318" s="166">
        <v>0.69427749864985155</v>
      </c>
    </row>
    <row r="319" spans="1:32">
      <c r="A319" s="161">
        <v>7</v>
      </c>
      <c r="B319" s="162">
        <v>0.60416666666666663</v>
      </c>
      <c r="C319" s="163">
        <v>18.581827093502501</v>
      </c>
      <c r="D319" s="163">
        <v>799.65480624582165</v>
      </c>
      <c r="E319" s="164">
        <v>0.96223333333333338</v>
      </c>
      <c r="F319" s="164">
        <v>0.96223333333333338</v>
      </c>
      <c r="G319" s="163">
        <v>15</v>
      </c>
      <c r="H319" s="163">
        <v>29.666666666666664</v>
      </c>
      <c r="I319" s="163">
        <v>14.666666666666664</v>
      </c>
      <c r="J319" s="163">
        <v>12</v>
      </c>
      <c r="K319" s="163">
        <v>12.22753036437247</v>
      </c>
      <c r="L319" s="163">
        <v>0.22753036437246976</v>
      </c>
      <c r="M319" s="163">
        <v>14</v>
      </c>
      <c r="N319" s="163">
        <v>27.104363472784524</v>
      </c>
      <c r="O319" s="163">
        <v>13.104363472784524</v>
      </c>
      <c r="P319" s="163"/>
      <c r="Q319" s="163">
        <v>17</v>
      </c>
      <c r="R319" s="163">
        <v>0</v>
      </c>
      <c r="S319" s="163">
        <v>0</v>
      </c>
      <c r="T319" s="163">
        <v>0</v>
      </c>
      <c r="U319" s="163">
        <v>0</v>
      </c>
      <c r="V319" s="163">
        <v>0</v>
      </c>
      <c r="W319" s="163">
        <v>0</v>
      </c>
      <c r="X319" s="163">
        <v>0</v>
      </c>
      <c r="Y319" s="163">
        <v>17</v>
      </c>
      <c r="Z319" s="163">
        <v>17</v>
      </c>
      <c r="AA319" s="163">
        <v>0</v>
      </c>
      <c r="AB319" s="163">
        <v>0</v>
      </c>
      <c r="AC319" s="163">
        <v>12</v>
      </c>
      <c r="AD319" s="163">
        <v>5</v>
      </c>
      <c r="AE319" s="165">
        <v>0.59569238597440322</v>
      </c>
      <c r="AF319" s="166">
        <v>0.67511803743765697</v>
      </c>
    </row>
    <row r="320" spans="1:32">
      <c r="A320" s="161">
        <v>7</v>
      </c>
      <c r="B320" s="162">
        <v>0.625</v>
      </c>
      <c r="C320" s="163">
        <v>18.279780243462028</v>
      </c>
      <c r="D320" s="163">
        <v>811.71749488256171</v>
      </c>
      <c r="E320" s="164">
        <v>0.88493333333333324</v>
      </c>
      <c r="F320" s="164">
        <v>0.88493333333333324</v>
      </c>
      <c r="G320" s="163">
        <v>15</v>
      </c>
      <c r="H320" s="163">
        <v>29</v>
      </c>
      <c r="I320" s="163">
        <v>14</v>
      </c>
      <c r="J320" s="163">
        <v>12</v>
      </c>
      <c r="K320" s="163">
        <v>12.22753036437247</v>
      </c>
      <c r="L320" s="163">
        <v>0.22753036437246976</v>
      </c>
      <c r="M320" s="163">
        <v>14</v>
      </c>
      <c r="N320" s="163">
        <v>26.495276653171388</v>
      </c>
      <c r="O320" s="163">
        <v>12.495276653171388</v>
      </c>
      <c r="P320" s="163"/>
      <c r="Q320" s="163">
        <v>19</v>
      </c>
      <c r="R320" s="163">
        <v>0</v>
      </c>
      <c r="S320" s="163">
        <v>0</v>
      </c>
      <c r="T320" s="163">
        <v>0</v>
      </c>
      <c r="U320" s="163">
        <v>0</v>
      </c>
      <c r="V320" s="163">
        <v>0</v>
      </c>
      <c r="W320" s="163">
        <v>0</v>
      </c>
      <c r="X320" s="163">
        <v>0</v>
      </c>
      <c r="Y320" s="163">
        <v>19</v>
      </c>
      <c r="Z320" s="163">
        <v>19</v>
      </c>
      <c r="AA320" s="163">
        <v>0</v>
      </c>
      <c r="AB320" s="163">
        <v>0</v>
      </c>
      <c r="AC320" s="163">
        <v>12</v>
      </c>
      <c r="AD320" s="163">
        <v>7</v>
      </c>
      <c r="AE320" s="165">
        <v>0.53223358977591884</v>
      </c>
      <c r="AF320" s="166">
        <v>0.67416254704949719</v>
      </c>
    </row>
    <row r="321" spans="1:32">
      <c r="A321" s="161">
        <v>7</v>
      </c>
      <c r="B321" s="162">
        <v>0.64583333333333337</v>
      </c>
      <c r="C321" s="163">
        <v>17.529465030660063</v>
      </c>
      <c r="D321" s="163">
        <v>790.3765398990713</v>
      </c>
      <c r="E321" s="164">
        <v>0.82830000000000004</v>
      </c>
      <c r="F321" s="164">
        <v>0.82830000000000004</v>
      </c>
      <c r="G321" s="163">
        <v>14</v>
      </c>
      <c r="H321" s="163">
        <v>23.333333333333336</v>
      </c>
      <c r="I321" s="163">
        <v>9.3333333333333357</v>
      </c>
      <c r="J321" s="163">
        <v>11</v>
      </c>
      <c r="K321" s="163">
        <v>11.412361673414306</v>
      </c>
      <c r="L321" s="163">
        <v>0.4123616734143063</v>
      </c>
      <c r="M321" s="163">
        <v>13</v>
      </c>
      <c r="N321" s="163">
        <v>21.31803868645974</v>
      </c>
      <c r="O321" s="163">
        <v>8.3180386864597402</v>
      </c>
      <c r="P321" s="163"/>
      <c r="Q321" s="163">
        <v>14</v>
      </c>
      <c r="R321" s="163">
        <v>0</v>
      </c>
      <c r="S321" s="163">
        <v>0</v>
      </c>
      <c r="T321" s="163">
        <v>0</v>
      </c>
      <c r="U321" s="163">
        <v>0</v>
      </c>
      <c r="V321" s="163">
        <v>0</v>
      </c>
      <c r="W321" s="163">
        <v>0</v>
      </c>
      <c r="X321" s="163">
        <v>0</v>
      </c>
      <c r="Y321" s="163">
        <v>14</v>
      </c>
      <c r="Z321" s="163">
        <v>14</v>
      </c>
      <c r="AA321" s="163">
        <v>0</v>
      </c>
      <c r="AB321" s="163">
        <v>0</v>
      </c>
      <c r="AC321" s="163">
        <v>10</v>
      </c>
      <c r="AD321" s="163">
        <v>4</v>
      </c>
      <c r="AE321" s="165">
        <v>0.67445762925509356</v>
      </c>
      <c r="AF321" s="166">
        <v>0.67445762925509356</v>
      </c>
    </row>
    <row r="322" spans="1:32">
      <c r="A322" s="161">
        <v>7</v>
      </c>
      <c r="B322" s="162">
        <v>0.66666666666666663</v>
      </c>
      <c r="C322" s="163">
        <v>16.405220626587617</v>
      </c>
      <c r="D322" s="163">
        <v>822.71141185211945</v>
      </c>
      <c r="E322" s="164">
        <v>0.84989999999999999</v>
      </c>
      <c r="F322" s="164">
        <v>0.84989999999999999</v>
      </c>
      <c r="G322" s="163">
        <v>14</v>
      </c>
      <c r="H322" s="163">
        <v>23.333333333333336</v>
      </c>
      <c r="I322" s="163">
        <v>9.3333333333333357</v>
      </c>
      <c r="J322" s="163">
        <v>11</v>
      </c>
      <c r="K322" s="163">
        <v>11.412361673414306</v>
      </c>
      <c r="L322" s="163">
        <v>0.4123616734143063</v>
      </c>
      <c r="M322" s="163">
        <v>13</v>
      </c>
      <c r="N322" s="163">
        <v>21.31803868645974</v>
      </c>
      <c r="O322" s="163">
        <v>8.3180386864597402</v>
      </c>
      <c r="P322" s="163"/>
      <c r="Q322" s="163">
        <v>14</v>
      </c>
      <c r="R322" s="163">
        <v>0</v>
      </c>
      <c r="S322" s="163">
        <v>0</v>
      </c>
      <c r="T322" s="163">
        <v>0</v>
      </c>
      <c r="U322" s="163">
        <v>0</v>
      </c>
      <c r="V322" s="163">
        <v>0</v>
      </c>
      <c r="W322" s="163">
        <v>0</v>
      </c>
      <c r="X322" s="163">
        <v>0</v>
      </c>
      <c r="Y322" s="163">
        <v>14</v>
      </c>
      <c r="Z322" s="163">
        <v>14</v>
      </c>
      <c r="AA322" s="163">
        <v>0</v>
      </c>
      <c r="AB322" s="163">
        <v>0</v>
      </c>
      <c r="AC322" s="163">
        <v>10</v>
      </c>
      <c r="AD322" s="163">
        <v>4</v>
      </c>
      <c r="AE322" s="165">
        <v>0.65702450113501942</v>
      </c>
      <c r="AF322" s="166">
        <v>0.65702450113501942</v>
      </c>
    </row>
    <row r="323" spans="1:32">
      <c r="A323" s="161">
        <v>7</v>
      </c>
      <c r="B323" s="162">
        <v>0.6875</v>
      </c>
      <c r="C323" s="163">
        <v>16.176949995065474</v>
      </c>
      <c r="D323" s="163">
        <v>771.35776818107308</v>
      </c>
      <c r="E323" s="164">
        <v>0.77190000000000003</v>
      </c>
      <c r="F323" s="164">
        <v>0.77190000000000003</v>
      </c>
      <c r="G323" s="163">
        <v>13</v>
      </c>
      <c r="H323" s="163">
        <v>22</v>
      </c>
      <c r="I323" s="163">
        <v>9</v>
      </c>
      <c r="J323" s="163">
        <v>10</v>
      </c>
      <c r="K323" s="163">
        <v>10.597192982456141</v>
      </c>
      <c r="L323" s="163">
        <v>0.59719298245614105</v>
      </c>
      <c r="M323" s="163">
        <v>12</v>
      </c>
      <c r="N323" s="163">
        <v>20.099865047233468</v>
      </c>
      <c r="O323" s="163">
        <v>8.0998650472334681</v>
      </c>
      <c r="P323" s="163"/>
      <c r="Q323" s="163">
        <v>14</v>
      </c>
      <c r="R323" s="163">
        <v>0</v>
      </c>
      <c r="S323" s="163">
        <v>0</v>
      </c>
      <c r="T323" s="163">
        <v>0</v>
      </c>
      <c r="U323" s="163">
        <v>0</v>
      </c>
      <c r="V323" s="163">
        <v>0</v>
      </c>
      <c r="W323" s="163">
        <v>0</v>
      </c>
      <c r="X323" s="163">
        <v>0</v>
      </c>
      <c r="Y323" s="163">
        <v>14</v>
      </c>
      <c r="Z323" s="163">
        <v>14</v>
      </c>
      <c r="AA323" s="163">
        <v>0</v>
      </c>
      <c r="AB323" s="163">
        <v>0</v>
      </c>
      <c r="AC323" s="163">
        <v>10</v>
      </c>
      <c r="AD323" s="163">
        <v>4</v>
      </c>
      <c r="AE323" s="165">
        <v>0.60744151343456432</v>
      </c>
      <c r="AF323" s="166">
        <v>0.65416778369876161</v>
      </c>
    </row>
    <row r="324" spans="1:32">
      <c r="A324" s="161">
        <v>7</v>
      </c>
      <c r="B324" s="162">
        <v>0.70833333333333337</v>
      </c>
      <c r="C324" s="163">
        <v>16.788369529963617</v>
      </c>
      <c r="D324" s="163">
        <v>787.28900840977474</v>
      </c>
      <c r="E324" s="164">
        <v>0.62990000000000002</v>
      </c>
      <c r="F324" s="164">
        <v>0.62990000000000002</v>
      </c>
      <c r="G324" s="163">
        <v>14</v>
      </c>
      <c r="H324" s="163">
        <v>20</v>
      </c>
      <c r="I324" s="163">
        <v>6</v>
      </c>
      <c r="J324" s="163">
        <v>11</v>
      </c>
      <c r="K324" s="163">
        <v>11.412361673414306</v>
      </c>
      <c r="L324" s="163">
        <v>0.4123616734143063</v>
      </c>
      <c r="M324" s="163">
        <v>13</v>
      </c>
      <c r="N324" s="163">
        <v>18.27260458839406</v>
      </c>
      <c r="O324" s="163">
        <v>5.27260458839406</v>
      </c>
      <c r="P324" s="163"/>
      <c r="Q324" s="163">
        <v>12</v>
      </c>
      <c r="R324" s="163">
        <v>0</v>
      </c>
      <c r="S324" s="163">
        <v>0</v>
      </c>
      <c r="T324" s="163">
        <v>0</v>
      </c>
      <c r="U324" s="163">
        <v>0</v>
      </c>
      <c r="V324" s="163">
        <v>0</v>
      </c>
      <c r="W324" s="163">
        <v>0</v>
      </c>
      <c r="X324" s="163">
        <v>0</v>
      </c>
      <c r="Y324" s="163">
        <v>12</v>
      </c>
      <c r="Z324" s="163">
        <v>12</v>
      </c>
      <c r="AA324" s="163">
        <v>0</v>
      </c>
      <c r="AB324" s="163">
        <v>0</v>
      </c>
      <c r="AC324" s="163">
        <v>10</v>
      </c>
      <c r="AD324" s="163">
        <v>2</v>
      </c>
      <c r="AE324" s="165">
        <v>0.75065687418035631</v>
      </c>
      <c r="AF324" s="166">
        <v>0.64342017786887684</v>
      </c>
    </row>
    <row r="325" spans="1:32">
      <c r="A325" s="161">
        <v>7</v>
      </c>
      <c r="B325" s="162">
        <v>0.72916666666666663</v>
      </c>
      <c r="C325" s="163">
        <v>14.379832497974251</v>
      </c>
      <c r="D325" s="163">
        <v>821.20014309794556</v>
      </c>
      <c r="E325" s="164">
        <v>0.91100000000000003</v>
      </c>
      <c r="F325" s="164">
        <v>0.91100000000000003</v>
      </c>
      <c r="G325" s="163">
        <v>13</v>
      </c>
      <c r="H325" s="163">
        <v>22.666666666666664</v>
      </c>
      <c r="I325" s="163">
        <v>9.6666666666666643</v>
      </c>
      <c r="J325" s="163">
        <v>10</v>
      </c>
      <c r="K325" s="163">
        <v>10.597192982456141</v>
      </c>
      <c r="L325" s="163">
        <v>0.59719298245614105</v>
      </c>
      <c r="M325" s="163">
        <v>12</v>
      </c>
      <c r="N325" s="163">
        <v>20.708951866846601</v>
      </c>
      <c r="O325" s="163">
        <v>8.7089518668466006</v>
      </c>
      <c r="P325" s="163"/>
      <c r="Q325" s="163">
        <v>12</v>
      </c>
      <c r="R325" s="163">
        <v>0</v>
      </c>
      <c r="S325" s="163">
        <v>0</v>
      </c>
      <c r="T325" s="163">
        <v>0</v>
      </c>
      <c r="U325" s="163">
        <v>0</v>
      </c>
      <c r="V325" s="163">
        <v>0</v>
      </c>
      <c r="W325" s="163">
        <v>0</v>
      </c>
      <c r="X325" s="163">
        <v>0</v>
      </c>
      <c r="Y325" s="163">
        <v>12</v>
      </c>
      <c r="Z325" s="163">
        <v>12</v>
      </c>
      <c r="AA325" s="163">
        <v>0</v>
      </c>
      <c r="AB325" s="163">
        <v>0</v>
      </c>
      <c r="AC325" s="163">
        <v>10</v>
      </c>
      <c r="AD325" s="163">
        <v>2</v>
      </c>
      <c r="AE325" s="165">
        <v>0.67065875989404045</v>
      </c>
      <c r="AF325" s="166">
        <v>0.61906962451757586</v>
      </c>
    </row>
    <row r="326" spans="1:32">
      <c r="A326" s="161">
        <v>7</v>
      </c>
      <c r="B326" s="162">
        <v>0.75</v>
      </c>
      <c r="C326" s="163">
        <v>15.070800602903805</v>
      </c>
      <c r="D326" s="163">
        <v>785.97037775463286</v>
      </c>
      <c r="E326" s="164">
        <v>0.98349999999999993</v>
      </c>
      <c r="F326" s="164">
        <v>0.98349999999999993</v>
      </c>
      <c r="G326" s="163">
        <v>13</v>
      </c>
      <c r="H326" s="163">
        <v>26.666666666666664</v>
      </c>
      <c r="I326" s="163">
        <v>13.666666666666664</v>
      </c>
      <c r="J326" s="163">
        <v>10</v>
      </c>
      <c r="K326" s="163">
        <v>10.597192982456141</v>
      </c>
      <c r="L326" s="163">
        <v>0.59719298245614105</v>
      </c>
      <c r="M326" s="163">
        <v>12</v>
      </c>
      <c r="N326" s="163">
        <v>24.363472784525413</v>
      </c>
      <c r="O326" s="163">
        <v>12.363472784525413</v>
      </c>
      <c r="P326" s="163"/>
      <c r="Q326" s="163">
        <v>16</v>
      </c>
      <c r="R326" s="163">
        <v>0</v>
      </c>
      <c r="S326" s="163">
        <v>0</v>
      </c>
      <c r="T326" s="163">
        <v>0</v>
      </c>
      <c r="U326" s="163">
        <v>0</v>
      </c>
      <c r="V326" s="163">
        <v>0</v>
      </c>
      <c r="W326" s="163">
        <v>0</v>
      </c>
      <c r="X326" s="163">
        <v>0</v>
      </c>
      <c r="Y326" s="163">
        <v>16</v>
      </c>
      <c r="Z326" s="163">
        <v>16</v>
      </c>
      <c r="AA326" s="163">
        <v>0</v>
      </c>
      <c r="AB326" s="163">
        <v>0</v>
      </c>
      <c r="AC326" s="163">
        <v>14</v>
      </c>
      <c r="AD326" s="163">
        <v>2</v>
      </c>
      <c r="AE326" s="165">
        <v>0.50454804010693899</v>
      </c>
      <c r="AF326" s="166">
        <v>0.62098220320854025</v>
      </c>
    </row>
    <row r="327" spans="1:32">
      <c r="A327" s="161">
        <v>7</v>
      </c>
      <c r="B327" s="162">
        <v>0.77083333333333337</v>
      </c>
      <c r="C327" s="163">
        <v>15.221077000033622</v>
      </c>
      <c r="D327" s="163">
        <v>765.17701094335894</v>
      </c>
      <c r="E327" s="164">
        <v>0.98550000000000004</v>
      </c>
      <c r="F327" s="164">
        <v>0.98550000000000004</v>
      </c>
      <c r="G327" s="163">
        <v>13</v>
      </c>
      <c r="H327" s="163">
        <v>26.666666666666664</v>
      </c>
      <c r="I327" s="163">
        <v>13.666666666666664</v>
      </c>
      <c r="J327" s="163">
        <v>10</v>
      </c>
      <c r="K327" s="163">
        <v>10.597192982456141</v>
      </c>
      <c r="L327" s="163">
        <v>0.59719298245614105</v>
      </c>
      <c r="M327" s="163">
        <v>12</v>
      </c>
      <c r="N327" s="163">
        <v>24.363472784525413</v>
      </c>
      <c r="O327" s="163">
        <v>12.363472784525413</v>
      </c>
      <c r="P327" s="163"/>
      <c r="Q327" s="163">
        <v>16</v>
      </c>
      <c r="R327" s="163">
        <v>0</v>
      </c>
      <c r="S327" s="163">
        <v>0</v>
      </c>
      <c r="T327" s="163">
        <v>0</v>
      </c>
      <c r="U327" s="163">
        <v>0</v>
      </c>
      <c r="V327" s="163">
        <v>0</v>
      </c>
      <c r="W327" s="163">
        <v>0</v>
      </c>
      <c r="X327" s="163">
        <v>0</v>
      </c>
      <c r="Y327" s="163">
        <v>16</v>
      </c>
      <c r="Z327" s="163">
        <v>16</v>
      </c>
      <c r="AA327" s="163">
        <v>0</v>
      </c>
      <c r="AB327" s="163">
        <v>0</v>
      </c>
      <c r="AC327" s="163">
        <v>14</v>
      </c>
      <c r="AD327" s="163">
        <v>2</v>
      </c>
      <c r="AE327" s="165">
        <v>0.49609781912025619</v>
      </c>
      <c r="AF327" s="166">
        <v>0.61058193122493065</v>
      </c>
    </row>
    <row r="328" spans="1:32">
      <c r="A328" s="161">
        <v>7</v>
      </c>
      <c r="B328" s="162">
        <v>0.79166666666666663</v>
      </c>
      <c r="C328" s="163">
        <v>14.065185459870499</v>
      </c>
      <c r="D328" s="163">
        <v>733.91562343709006</v>
      </c>
      <c r="E328" s="164">
        <v>0.96930000000000005</v>
      </c>
      <c r="F328" s="164">
        <v>0.96930000000000005</v>
      </c>
      <c r="G328" s="163">
        <v>12</v>
      </c>
      <c r="H328" s="163">
        <v>23.333333333333336</v>
      </c>
      <c r="I328" s="163">
        <v>11.333333333333336</v>
      </c>
      <c r="J328" s="163">
        <v>9</v>
      </c>
      <c r="K328" s="163">
        <v>9.7820242914979758</v>
      </c>
      <c r="L328" s="163">
        <v>0.78202429149797581</v>
      </c>
      <c r="M328" s="163">
        <v>11</v>
      </c>
      <c r="N328" s="163">
        <v>21.31803868645974</v>
      </c>
      <c r="O328" s="163">
        <v>10.31803868645974</v>
      </c>
      <c r="P328" s="163"/>
      <c r="Q328" s="163">
        <v>14</v>
      </c>
      <c r="R328" s="163">
        <v>0</v>
      </c>
      <c r="S328" s="163">
        <v>0</v>
      </c>
      <c r="T328" s="163">
        <v>0</v>
      </c>
      <c r="U328" s="163">
        <v>0</v>
      </c>
      <c r="V328" s="163">
        <v>0</v>
      </c>
      <c r="W328" s="163">
        <v>0</v>
      </c>
      <c r="X328" s="163">
        <v>0</v>
      </c>
      <c r="Y328" s="163">
        <v>14</v>
      </c>
      <c r="Z328" s="163">
        <v>14</v>
      </c>
      <c r="AA328" s="163">
        <v>0</v>
      </c>
      <c r="AB328" s="163">
        <v>0</v>
      </c>
      <c r="AC328" s="163">
        <v>12</v>
      </c>
      <c r="AD328" s="163">
        <v>2</v>
      </c>
      <c r="AE328" s="165">
        <v>0.50250867587178283</v>
      </c>
      <c r="AF328" s="166">
        <v>0.58626012185041332</v>
      </c>
    </row>
    <row r="329" spans="1:32">
      <c r="A329" s="161">
        <v>7</v>
      </c>
      <c r="B329" s="162">
        <v>0.8125</v>
      </c>
      <c r="C329" s="163">
        <v>12.422644532958611</v>
      </c>
      <c r="D329" s="163">
        <v>738.86396409499559</v>
      </c>
      <c r="E329" s="164">
        <v>0.9859</v>
      </c>
      <c r="F329" s="164">
        <v>0.9859</v>
      </c>
      <c r="G329" s="163">
        <v>10</v>
      </c>
      <c r="H329" s="163">
        <v>23.333333333333336</v>
      </c>
      <c r="I329" s="163">
        <v>13.333333333333336</v>
      </c>
      <c r="J329" s="163">
        <v>8</v>
      </c>
      <c r="K329" s="163">
        <v>8.1516869095816471</v>
      </c>
      <c r="L329" s="163">
        <v>0.1516869095816471</v>
      </c>
      <c r="M329" s="163">
        <v>9</v>
      </c>
      <c r="N329" s="163">
        <v>21.31803868645974</v>
      </c>
      <c r="O329" s="163">
        <v>12.31803868645974</v>
      </c>
      <c r="P329" s="163"/>
      <c r="Q329" s="163">
        <v>14</v>
      </c>
      <c r="R329" s="163">
        <v>0</v>
      </c>
      <c r="S329" s="163">
        <v>0</v>
      </c>
      <c r="T329" s="163">
        <v>0</v>
      </c>
      <c r="U329" s="163">
        <v>0</v>
      </c>
      <c r="V329" s="163">
        <v>0</v>
      </c>
      <c r="W329" s="163">
        <v>0</v>
      </c>
      <c r="X329" s="163">
        <v>0</v>
      </c>
      <c r="Y329" s="163">
        <v>14</v>
      </c>
      <c r="Z329" s="163">
        <v>14</v>
      </c>
      <c r="AA329" s="163">
        <v>0</v>
      </c>
      <c r="AB329" s="163">
        <v>0</v>
      </c>
      <c r="AC329" s="163">
        <v>12</v>
      </c>
      <c r="AD329" s="163">
        <v>2</v>
      </c>
      <c r="AE329" s="165">
        <v>0.44681784770022948</v>
      </c>
      <c r="AF329" s="166">
        <v>0.62554498678032133</v>
      </c>
    </row>
    <row r="330" spans="1:32">
      <c r="A330" s="161">
        <v>7</v>
      </c>
      <c r="B330" s="162">
        <v>0.83333333333333337</v>
      </c>
      <c r="C330" s="163">
        <v>11.759900869814608</v>
      </c>
      <c r="D330" s="163">
        <v>741.53222944734</v>
      </c>
      <c r="E330" s="164">
        <v>0.91009999999999991</v>
      </c>
      <c r="F330" s="164">
        <v>0.91009999999999991</v>
      </c>
      <c r="G330" s="163">
        <v>10</v>
      </c>
      <c r="H330" s="163">
        <v>20.666666666666668</v>
      </c>
      <c r="I330" s="163">
        <v>10.666666666666668</v>
      </c>
      <c r="J330" s="163">
        <v>8</v>
      </c>
      <c r="K330" s="163">
        <v>8.1516869095816471</v>
      </c>
      <c r="L330" s="163">
        <v>0.1516869095816471</v>
      </c>
      <c r="M330" s="163">
        <v>9</v>
      </c>
      <c r="N330" s="163">
        <v>18.881691408007196</v>
      </c>
      <c r="O330" s="163">
        <v>9.881691408007196</v>
      </c>
      <c r="P330" s="163"/>
      <c r="Q330" s="163">
        <v>14</v>
      </c>
      <c r="R330" s="163">
        <v>0</v>
      </c>
      <c r="S330" s="163">
        <v>0</v>
      </c>
      <c r="T330" s="163">
        <v>0</v>
      </c>
      <c r="U330" s="163">
        <v>0</v>
      </c>
      <c r="V330" s="163">
        <v>0</v>
      </c>
      <c r="W330" s="163">
        <v>0</v>
      </c>
      <c r="X330" s="163">
        <v>0</v>
      </c>
      <c r="Y330" s="163">
        <v>14</v>
      </c>
      <c r="Z330" s="163">
        <v>14</v>
      </c>
      <c r="AA330" s="163">
        <v>0</v>
      </c>
      <c r="AB330" s="163">
        <v>0</v>
      </c>
      <c r="AC330" s="163">
        <v>12</v>
      </c>
      <c r="AD330" s="163">
        <v>2</v>
      </c>
      <c r="AE330" s="165">
        <v>0.42450778665480104</v>
      </c>
      <c r="AF330" s="166">
        <v>0.59431090131672148</v>
      </c>
    </row>
    <row r="331" spans="1:32">
      <c r="A331" s="161">
        <v>7</v>
      </c>
      <c r="B331" s="162">
        <v>0.85416666666666663</v>
      </c>
      <c r="C331" s="163">
        <v>10.920177698965045</v>
      </c>
      <c r="D331" s="163">
        <v>680.56831138079144</v>
      </c>
      <c r="E331" s="164">
        <v>0.80399999999999994</v>
      </c>
      <c r="F331" s="164">
        <v>0.80399999999999994</v>
      </c>
      <c r="G331" s="163">
        <v>9</v>
      </c>
      <c r="H331" s="163">
        <v>15.333333333333332</v>
      </c>
      <c r="I331" s="163">
        <v>6.3333333333333321</v>
      </c>
      <c r="J331" s="163">
        <v>7</v>
      </c>
      <c r="K331" s="163">
        <v>7.3365182186234819</v>
      </c>
      <c r="L331" s="163">
        <v>0.33651821862348186</v>
      </c>
      <c r="M331" s="163">
        <v>8</v>
      </c>
      <c r="N331" s="163">
        <v>14.008996851102113</v>
      </c>
      <c r="O331" s="163">
        <v>6.008996851102113</v>
      </c>
      <c r="P331" s="163"/>
      <c r="Q331" s="163">
        <v>10</v>
      </c>
      <c r="R331" s="163">
        <v>0</v>
      </c>
      <c r="S331" s="163">
        <v>0</v>
      </c>
      <c r="T331" s="163">
        <v>0</v>
      </c>
      <c r="U331" s="163">
        <v>0</v>
      </c>
      <c r="V331" s="163">
        <v>0</v>
      </c>
      <c r="W331" s="163">
        <v>0</v>
      </c>
      <c r="X331" s="163">
        <v>0</v>
      </c>
      <c r="Y331" s="163">
        <v>10</v>
      </c>
      <c r="Z331" s="163">
        <v>10</v>
      </c>
      <c r="AA331" s="163">
        <v>0</v>
      </c>
      <c r="AB331" s="163">
        <v>0</v>
      </c>
      <c r="AC331" s="163">
        <v>8</v>
      </c>
      <c r="AD331" s="163">
        <v>2</v>
      </c>
      <c r="AE331" s="165">
        <v>0.5065023131611085</v>
      </c>
      <c r="AF331" s="166">
        <v>0.56278034795678722</v>
      </c>
    </row>
    <row r="332" spans="1:32">
      <c r="A332" s="161">
        <v>7</v>
      </c>
      <c r="B332" s="162">
        <v>0.875</v>
      </c>
      <c r="C332" s="163">
        <v>9.8661032629061758</v>
      </c>
      <c r="D332" s="163">
        <v>687.17939801212776</v>
      </c>
      <c r="E332" s="164">
        <v>0.80679999999999996</v>
      </c>
      <c r="F332" s="164">
        <v>0.80679999999999996</v>
      </c>
      <c r="G332" s="163">
        <v>9</v>
      </c>
      <c r="H332" s="163">
        <v>13.333333333333332</v>
      </c>
      <c r="I332" s="163">
        <v>4.3333333333333321</v>
      </c>
      <c r="J332" s="163">
        <v>7</v>
      </c>
      <c r="K332" s="163">
        <v>7.3365182186234819</v>
      </c>
      <c r="L332" s="163">
        <v>0.33651821862348186</v>
      </c>
      <c r="M332" s="163">
        <v>8</v>
      </c>
      <c r="N332" s="163">
        <v>12.181736392262707</v>
      </c>
      <c r="O332" s="163">
        <v>4.1817363922627067</v>
      </c>
      <c r="P332" s="163"/>
      <c r="Q332" s="163">
        <v>8</v>
      </c>
      <c r="R332" s="163">
        <v>0</v>
      </c>
      <c r="S332" s="163">
        <v>0</v>
      </c>
      <c r="T332" s="163">
        <v>0</v>
      </c>
      <c r="U332" s="163">
        <v>0</v>
      </c>
      <c r="V332" s="163">
        <v>0</v>
      </c>
      <c r="W332" s="163">
        <v>0</v>
      </c>
      <c r="X332" s="163">
        <v>0</v>
      </c>
      <c r="Y332" s="163">
        <v>8</v>
      </c>
      <c r="Z332" s="163">
        <v>8</v>
      </c>
      <c r="AA332" s="163">
        <v>0</v>
      </c>
      <c r="AB332" s="163">
        <v>0</v>
      </c>
      <c r="AC332" s="163">
        <v>6</v>
      </c>
      <c r="AD332" s="163">
        <v>2</v>
      </c>
      <c r="AE332" s="165">
        <v>0.57757156553151512</v>
      </c>
      <c r="AF332" s="166">
        <v>0.51339694713912454</v>
      </c>
    </row>
    <row r="333" spans="1:32">
      <c r="A333" s="161">
        <v>7</v>
      </c>
      <c r="B333" s="162">
        <v>0.89583333333333337</v>
      </c>
      <c r="C333" s="163">
        <v>8.2269921965306043</v>
      </c>
      <c r="D333" s="163">
        <v>688.94582183391867</v>
      </c>
      <c r="E333" s="164">
        <v>0.89939999999999998</v>
      </c>
      <c r="F333" s="164">
        <v>0.89939999999999998</v>
      </c>
      <c r="G333" s="163">
        <v>8</v>
      </c>
      <c r="H333" s="163">
        <v>13.333333333333332</v>
      </c>
      <c r="I333" s="163">
        <v>5.3333333333333321</v>
      </c>
      <c r="J333" s="163">
        <v>6</v>
      </c>
      <c r="K333" s="163">
        <v>6.5213495276653175</v>
      </c>
      <c r="L333" s="163">
        <v>0.5213495276653175</v>
      </c>
      <c r="M333" s="163">
        <v>7</v>
      </c>
      <c r="N333" s="163">
        <v>12.181736392262707</v>
      </c>
      <c r="O333" s="163">
        <v>5.1817363922627067</v>
      </c>
      <c r="P333" s="163"/>
      <c r="Q333" s="163">
        <v>8</v>
      </c>
      <c r="R333" s="163">
        <v>0</v>
      </c>
      <c r="S333" s="163">
        <v>0</v>
      </c>
      <c r="T333" s="163">
        <v>0</v>
      </c>
      <c r="U333" s="163">
        <v>0</v>
      </c>
      <c r="V333" s="163">
        <v>0</v>
      </c>
      <c r="W333" s="163">
        <v>0</v>
      </c>
      <c r="X333" s="163">
        <v>0</v>
      </c>
      <c r="Y333" s="163">
        <v>8</v>
      </c>
      <c r="Z333" s="163">
        <v>8</v>
      </c>
      <c r="AA333" s="163">
        <v>0</v>
      </c>
      <c r="AB333" s="163">
        <v>0</v>
      </c>
      <c r="AC333" s="163">
        <v>6</v>
      </c>
      <c r="AD333" s="163">
        <v>2</v>
      </c>
      <c r="AE333" s="165">
        <v>0.48285437750908577</v>
      </c>
      <c r="AF333" s="166">
        <v>0.48285437750908577</v>
      </c>
    </row>
    <row r="334" spans="1:32">
      <c r="A334" s="161">
        <v>7</v>
      </c>
      <c r="B334" s="162">
        <v>0.91666666666666663</v>
      </c>
      <c r="C334" s="163">
        <v>4.7393337598242962</v>
      </c>
      <c r="D334" s="163">
        <v>646.815586456083</v>
      </c>
      <c r="E334" s="164">
        <v>0.93873333333333342</v>
      </c>
      <c r="F334" s="164">
        <v>0.93873333333333342</v>
      </c>
      <c r="G334" s="163">
        <v>5</v>
      </c>
      <c r="H334" s="163">
        <v>12</v>
      </c>
      <c r="I334" s="163">
        <v>7</v>
      </c>
      <c r="J334" s="163">
        <v>4</v>
      </c>
      <c r="K334" s="163">
        <v>4.0758434547908236</v>
      </c>
      <c r="L334" s="163">
        <v>7.584345479082355E-2</v>
      </c>
      <c r="M334" s="163">
        <v>5</v>
      </c>
      <c r="N334" s="163">
        <v>10.963562753036436</v>
      </c>
      <c r="O334" s="163">
        <v>5.9635627530364363</v>
      </c>
      <c r="P334" s="163"/>
      <c r="Q334" s="163">
        <v>8</v>
      </c>
      <c r="R334" s="163">
        <v>0</v>
      </c>
      <c r="S334" s="163">
        <v>0</v>
      </c>
      <c r="T334" s="163">
        <v>0</v>
      </c>
      <c r="U334" s="163">
        <v>0</v>
      </c>
      <c r="V334" s="163">
        <v>0</v>
      </c>
      <c r="W334" s="163">
        <v>0</v>
      </c>
      <c r="X334" s="163">
        <v>0</v>
      </c>
      <c r="Y334" s="163">
        <v>8</v>
      </c>
      <c r="Z334" s="163">
        <v>8</v>
      </c>
      <c r="AA334" s="163">
        <v>0</v>
      </c>
      <c r="AB334" s="163">
        <v>0</v>
      </c>
      <c r="AC334" s="163">
        <v>6</v>
      </c>
      <c r="AD334" s="163">
        <v>2</v>
      </c>
      <c r="AE334" s="165">
        <v>0.26114865167667933</v>
      </c>
      <c r="AF334" s="166">
        <v>0.41783784268268698</v>
      </c>
    </row>
    <row r="335" spans="1:32">
      <c r="A335" s="161">
        <v>7</v>
      </c>
      <c r="B335" s="162">
        <v>0.9375</v>
      </c>
      <c r="C335" s="163">
        <v>3.7881750834581807</v>
      </c>
      <c r="D335" s="163">
        <v>644.01586773024246</v>
      </c>
      <c r="E335" s="164">
        <v>0.91403333333333325</v>
      </c>
      <c r="F335" s="164">
        <v>0.91403333333333325</v>
      </c>
      <c r="G335" s="163">
        <v>4</v>
      </c>
      <c r="H335" s="163">
        <v>9.3333333333333339</v>
      </c>
      <c r="I335" s="163">
        <v>5.3333333333333339</v>
      </c>
      <c r="J335" s="163">
        <v>3</v>
      </c>
      <c r="K335" s="163">
        <v>3.2606747638326588</v>
      </c>
      <c r="L335" s="163">
        <v>0.26067476383265875</v>
      </c>
      <c r="M335" s="163">
        <v>4</v>
      </c>
      <c r="N335" s="163">
        <v>8.5272154745838957</v>
      </c>
      <c r="O335" s="163">
        <v>4.5272154745838957</v>
      </c>
      <c r="P335" s="163"/>
      <c r="Q335" s="163">
        <v>6</v>
      </c>
      <c r="R335" s="163">
        <v>0</v>
      </c>
      <c r="S335" s="163">
        <v>0</v>
      </c>
      <c r="T335" s="163">
        <v>0</v>
      </c>
      <c r="U335" s="163">
        <v>0</v>
      </c>
      <c r="V335" s="163">
        <v>0</v>
      </c>
      <c r="W335" s="163">
        <v>0</v>
      </c>
      <c r="X335" s="163">
        <v>0</v>
      </c>
      <c r="Y335" s="163">
        <v>6</v>
      </c>
      <c r="Z335" s="163">
        <v>6</v>
      </c>
      <c r="AA335" s="163">
        <v>0</v>
      </c>
      <c r="AB335" s="163">
        <v>0</v>
      </c>
      <c r="AC335" s="163">
        <v>4</v>
      </c>
      <c r="AD335" s="163">
        <v>2</v>
      </c>
      <c r="AE335" s="165">
        <v>0.2771120203966389</v>
      </c>
      <c r="AF335" s="166">
        <v>0.41566803059495838</v>
      </c>
    </row>
    <row r="336" spans="1:32">
      <c r="A336" s="161">
        <v>7</v>
      </c>
      <c r="B336" s="162">
        <v>0.95833333333333337</v>
      </c>
      <c r="C336" s="163">
        <v>2.7843175258609025</v>
      </c>
      <c r="D336" s="163">
        <v>612.05893797965257</v>
      </c>
      <c r="E336" s="164">
        <v>0.92879999999999996</v>
      </c>
      <c r="F336" s="164">
        <v>0.92879999999999996</v>
      </c>
      <c r="G336" s="163">
        <v>4</v>
      </c>
      <c r="H336" s="163">
        <v>6.6666666666666661</v>
      </c>
      <c r="I336" s="163">
        <v>2.6666666666666661</v>
      </c>
      <c r="J336" s="163">
        <v>3</v>
      </c>
      <c r="K336" s="163">
        <v>3.2606747638326588</v>
      </c>
      <c r="L336" s="163">
        <v>0.26067476383265875</v>
      </c>
      <c r="M336" s="163">
        <v>4</v>
      </c>
      <c r="N336" s="163">
        <v>6.0908681961313533</v>
      </c>
      <c r="O336" s="163">
        <v>2.0908681961313533</v>
      </c>
      <c r="P336" s="163"/>
      <c r="Q336" s="163">
        <v>4</v>
      </c>
      <c r="R336" s="163">
        <v>0</v>
      </c>
      <c r="S336" s="163">
        <v>0</v>
      </c>
      <c r="T336" s="163">
        <v>0</v>
      </c>
      <c r="U336" s="163">
        <v>0</v>
      </c>
      <c r="V336" s="163">
        <v>0</v>
      </c>
      <c r="W336" s="163">
        <v>0</v>
      </c>
      <c r="X336" s="163">
        <v>0</v>
      </c>
      <c r="Y336" s="163">
        <v>4</v>
      </c>
      <c r="Z336" s="163">
        <v>4</v>
      </c>
      <c r="AA336" s="163">
        <v>0</v>
      </c>
      <c r="AB336" s="163">
        <v>0</v>
      </c>
      <c r="AC336" s="163">
        <v>4</v>
      </c>
      <c r="AD336" s="163">
        <v>0</v>
      </c>
      <c r="AE336" s="165">
        <v>0.29035681114213585</v>
      </c>
      <c r="AF336" s="166">
        <v>0.29035681114213585</v>
      </c>
    </row>
    <row r="337" spans="1:32">
      <c r="A337" s="161">
        <v>7</v>
      </c>
      <c r="B337" s="162">
        <v>0.97916666666666663</v>
      </c>
      <c r="C337" s="163">
        <v>2.0731609079478863</v>
      </c>
      <c r="D337" s="163">
        <v>611.94393048959523</v>
      </c>
      <c r="E337" s="164">
        <v>0.96620000000000006</v>
      </c>
      <c r="F337" s="164">
        <v>0.96620000000000006</v>
      </c>
      <c r="G337" s="163">
        <v>3</v>
      </c>
      <c r="H337" s="163">
        <v>6.6666666666666661</v>
      </c>
      <c r="I337" s="163">
        <v>3.6666666666666661</v>
      </c>
      <c r="J337" s="163">
        <v>2</v>
      </c>
      <c r="K337" s="163">
        <v>2.445506072874494</v>
      </c>
      <c r="L337" s="163">
        <v>0.44550607287449395</v>
      </c>
      <c r="M337" s="163">
        <v>3</v>
      </c>
      <c r="N337" s="163">
        <v>6.0908681961313533</v>
      </c>
      <c r="O337" s="163">
        <v>3.0908681961313533</v>
      </c>
      <c r="P337" s="163"/>
      <c r="Q337" s="163">
        <v>4</v>
      </c>
      <c r="R337" s="163">
        <v>0</v>
      </c>
      <c r="S337" s="163">
        <v>0</v>
      </c>
      <c r="T337" s="163">
        <v>0</v>
      </c>
      <c r="U337" s="163">
        <v>0</v>
      </c>
      <c r="V337" s="163">
        <v>0</v>
      </c>
      <c r="W337" s="163">
        <v>0</v>
      </c>
      <c r="X337" s="163">
        <v>0</v>
      </c>
      <c r="Y337" s="163">
        <v>4</v>
      </c>
      <c r="Z337" s="163">
        <v>4</v>
      </c>
      <c r="AA337" s="163">
        <v>0</v>
      </c>
      <c r="AB337" s="163">
        <v>0</v>
      </c>
      <c r="AC337" s="163">
        <v>4</v>
      </c>
      <c r="AD337" s="163">
        <v>0</v>
      </c>
      <c r="AE337" s="165">
        <v>0.21615468617773026</v>
      </c>
      <c r="AF337" s="166">
        <v>0.28820624823697366</v>
      </c>
    </row>
    <row r="338" spans="1:32">
      <c r="A338" s="161">
        <v>8</v>
      </c>
      <c r="B338" s="162">
        <v>0</v>
      </c>
      <c r="C338" s="163">
        <v>0.90784063123673875</v>
      </c>
      <c r="D338" s="163">
        <v>713.99906373097178</v>
      </c>
      <c r="E338" s="164">
        <v>0.69119999999999993</v>
      </c>
      <c r="F338" s="164">
        <v>0.69119999999999993</v>
      </c>
      <c r="G338" s="163">
        <v>3</v>
      </c>
      <c r="H338" s="163">
        <v>3.333333333333333</v>
      </c>
      <c r="I338" s="163">
        <v>0.33333333333333304</v>
      </c>
      <c r="J338" s="163">
        <v>2</v>
      </c>
      <c r="K338" s="163">
        <v>2.3242105263157895</v>
      </c>
      <c r="L338" s="163">
        <v>0.3242105263157895</v>
      </c>
      <c r="M338" s="163">
        <v>3</v>
      </c>
      <c r="N338" s="163">
        <v>2.9824561403508771</v>
      </c>
      <c r="O338" s="163">
        <v>-1.7543859649122862E-2</v>
      </c>
      <c r="P338" s="163"/>
      <c r="Q338" s="163">
        <v>2</v>
      </c>
      <c r="R338" s="163">
        <v>0</v>
      </c>
      <c r="S338" s="163">
        <v>0</v>
      </c>
      <c r="T338" s="163">
        <v>0</v>
      </c>
      <c r="U338" s="163">
        <v>0</v>
      </c>
      <c r="V338" s="163">
        <v>0</v>
      </c>
      <c r="W338" s="163">
        <v>0</v>
      </c>
      <c r="X338" s="163">
        <v>0</v>
      </c>
      <c r="Y338" s="163">
        <v>2</v>
      </c>
      <c r="Z338" s="163">
        <v>2</v>
      </c>
      <c r="AA338" s="163">
        <v>0</v>
      </c>
      <c r="AB338" s="163">
        <v>0</v>
      </c>
      <c r="AC338" s="163">
        <v>2</v>
      </c>
      <c r="AD338" s="163">
        <v>0</v>
      </c>
      <c r="AE338" s="165">
        <v>0.2324077191591061</v>
      </c>
      <c r="AF338" s="166">
        <v>0.15493847943940409</v>
      </c>
    </row>
    <row r="339" spans="1:32">
      <c r="A339" s="161">
        <v>8</v>
      </c>
      <c r="B339" s="162">
        <v>2.0833333333333332E-2</v>
      </c>
      <c r="C339" s="163">
        <v>0.63441272299623463</v>
      </c>
      <c r="D339" s="163">
        <v>648.94111249760704</v>
      </c>
      <c r="E339" s="164">
        <v>0.79679999999999984</v>
      </c>
      <c r="F339" s="164">
        <v>0.79679999999999984</v>
      </c>
      <c r="G339" s="163">
        <v>3</v>
      </c>
      <c r="H339" s="163">
        <v>3.333333333333333</v>
      </c>
      <c r="I339" s="163">
        <v>0.33333333333333304</v>
      </c>
      <c r="J339" s="163">
        <v>2</v>
      </c>
      <c r="K339" s="163">
        <v>2.3242105263157895</v>
      </c>
      <c r="L339" s="163">
        <v>0.3242105263157895</v>
      </c>
      <c r="M339" s="163">
        <v>3</v>
      </c>
      <c r="N339" s="163">
        <v>2.9824561403508771</v>
      </c>
      <c r="O339" s="163">
        <v>-1.7543859649122862E-2</v>
      </c>
      <c r="P339" s="163"/>
      <c r="Q339" s="163">
        <v>2</v>
      </c>
      <c r="R339" s="163">
        <v>0</v>
      </c>
      <c r="S339" s="163">
        <v>0</v>
      </c>
      <c r="T339" s="163">
        <v>0</v>
      </c>
      <c r="U339" s="163">
        <v>0</v>
      </c>
      <c r="V339" s="163">
        <v>0</v>
      </c>
      <c r="W339" s="163">
        <v>0</v>
      </c>
      <c r="X339" s="163">
        <v>0</v>
      </c>
      <c r="Y339" s="163">
        <v>2</v>
      </c>
      <c r="Z339" s="163">
        <v>2</v>
      </c>
      <c r="AA339" s="163">
        <v>0</v>
      </c>
      <c r="AB339" s="163">
        <v>0</v>
      </c>
      <c r="AC339" s="163">
        <v>2</v>
      </c>
      <c r="AD339" s="163">
        <v>0</v>
      </c>
      <c r="AE339" s="165">
        <v>0.14761159168614962</v>
      </c>
      <c r="AF339" s="166">
        <v>9.8407727790766411E-2</v>
      </c>
    </row>
    <row r="340" spans="1:32">
      <c r="A340" s="161">
        <v>8</v>
      </c>
      <c r="B340" s="162">
        <v>4.1666666666666664E-2</v>
      </c>
      <c r="C340" s="163">
        <v>0.70271790581034477</v>
      </c>
      <c r="D340" s="163">
        <v>679.20381206947923</v>
      </c>
      <c r="E340" s="164">
        <v>0.76659999999999995</v>
      </c>
      <c r="F340" s="164">
        <v>0.76659999999999995</v>
      </c>
      <c r="G340" s="163">
        <v>3</v>
      </c>
      <c r="H340" s="163">
        <v>3.333333333333333</v>
      </c>
      <c r="I340" s="163">
        <v>0.33333333333333304</v>
      </c>
      <c r="J340" s="163">
        <v>2</v>
      </c>
      <c r="K340" s="163">
        <v>2.3242105263157895</v>
      </c>
      <c r="L340" s="163">
        <v>0.3242105263157895</v>
      </c>
      <c r="M340" s="163">
        <v>3</v>
      </c>
      <c r="N340" s="163">
        <v>2.9824561403508771</v>
      </c>
      <c r="O340" s="163">
        <v>-1.7543859649122862E-2</v>
      </c>
      <c r="P340" s="163"/>
      <c r="Q340" s="163">
        <v>2</v>
      </c>
      <c r="R340" s="163">
        <v>0</v>
      </c>
      <c r="S340" s="163">
        <v>0</v>
      </c>
      <c r="T340" s="163">
        <v>0</v>
      </c>
      <c r="U340" s="163">
        <v>0</v>
      </c>
      <c r="V340" s="163">
        <v>0</v>
      </c>
      <c r="W340" s="163">
        <v>0</v>
      </c>
      <c r="X340" s="163">
        <v>0</v>
      </c>
      <c r="Y340" s="163">
        <v>2</v>
      </c>
      <c r="Z340" s="163">
        <v>2</v>
      </c>
      <c r="AA340" s="163">
        <v>0</v>
      </c>
      <c r="AB340" s="163">
        <v>0</v>
      </c>
      <c r="AC340" s="163">
        <v>2</v>
      </c>
      <c r="AD340" s="163">
        <v>0</v>
      </c>
      <c r="AE340" s="165">
        <v>0.17112932005362091</v>
      </c>
      <c r="AF340" s="166">
        <v>0.11408621336908062</v>
      </c>
    </row>
    <row r="341" spans="1:32">
      <c r="A341" s="161">
        <v>8</v>
      </c>
      <c r="B341" s="162">
        <v>6.25E-2</v>
      </c>
      <c r="C341" s="163">
        <v>0.50116780805089922</v>
      </c>
      <c r="D341" s="163">
        <v>675.42474353674027</v>
      </c>
      <c r="E341" s="164">
        <v>0.83069999999999988</v>
      </c>
      <c r="F341" s="164">
        <v>0.83069999999999988</v>
      </c>
      <c r="G341" s="163">
        <v>2</v>
      </c>
      <c r="H341" s="163">
        <v>3.333333333333333</v>
      </c>
      <c r="I341" s="163">
        <v>1.333333333333333</v>
      </c>
      <c r="J341" s="163">
        <v>1</v>
      </c>
      <c r="K341" s="163">
        <v>1.5494736842105263</v>
      </c>
      <c r="L341" s="163">
        <v>0.54947368421052634</v>
      </c>
      <c r="M341" s="163">
        <v>2</v>
      </c>
      <c r="N341" s="163">
        <v>2.9824561403508771</v>
      </c>
      <c r="O341" s="163">
        <v>0.98245614035087714</v>
      </c>
      <c r="P341" s="163"/>
      <c r="Q341" s="163">
        <v>2</v>
      </c>
      <c r="R341" s="163">
        <v>0</v>
      </c>
      <c r="S341" s="163">
        <v>0</v>
      </c>
      <c r="T341" s="163">
        <v>0</v>
      </c>
      <c r="U341" s="163">
        <v>0</v>
      </c>
      <c r="V341" s="163">
        <v>0</v>
      </c>
      <c r="W341" s="163">
        <v>0</v>
      </c>
      <c r="X341" s="163">
        <v>0</v>
      </c>
      <c r="Y341" s="163">
        <v>2</v>
      </c>
      <c r="Z341" s="163">
        <v>2</v>
      </c>
      <c r="AA341" s="163">
        <v>0</v>
      </c>
      <c r="AB341" s="163">
        <v>0</v>
      </c>
      <c r="AC341" s="163">
        <v>2</v>
      </c>
      <c r="AD341" s="163">
        <v>0</v>
      </c>
      <c r="AE341" s="165">
        <v>0.12136778431105313</v>
      </c>
      <c r="AF341" s="166">
        <v>0.12136778431105313</v>
      </c>
    </row>
    <row r="342" spans="1:32">
      <c r="A342" s="161">
        <v>8</v>
      </c>
      <c r="B342" s="162">
        <v>8.3333333333333329E-2</v>
      </c>
      <c r="C342" s="163">
        <v>0.38592390802737381</v>
      </c>
      <c r="D342" s="163">
        <v>673.54713770051796</v>
      </c>
      <c r="E342" s="164">
        <v>0.86819999999999997</v>
      </c>
      <c r="F342" s="164">
        <v>0.86819999999999997</v>
      </c>
      <c r="G342" s="163">
        <v>2</v>
      </c>
      <c r="H342" s="163">
        <v>3.333333333333333</v>
      </c>
      <c r="I342" s="163">
        <v>1.333333333333333</v>
      </c>
      <c r="J342" s="163">
        <v>1</v>
      </c>
      <c r="K342" s="163">
        <v>1.5494736842105263</v>
      </c>
      <c r="L342" s="163">
        <v>0.54947368421052634</v>
      </c>
      <c r="M342" s="163">
        <v>2</v>
      </c>
      <c r="N342" s="163">
        <v>2.9824561403508771</v>
      </c>
      <c r="O342" s="163">
        <v>0.98245614035087714</v>
      </c>
      <c r="P342" s="163"/>
      <c r="Q342" s="163">
        <v>2</v>
      </c>
      <c r="R342" s="163">
        <v>0</v>
      </c>
      <c r="S342" s="163">
        <v>0</v>
      </c>
      <c r="T342" s="163">
        <v>0</v>
      </c>
      <c r="U342" s="163">
        <v>0</v>
      </c>
      <c r="V342" s="163">
        <v>0</v>
      </c>
      <c r="W342" s="163">
        <v>0</v>
      </c>
      <c r="X342" s="163">
        <v>0</v>
      </c>
      <c r="Y342" s="163">
        <v>2</v>
      </c>
      <c r="Z342" s="163">
        <v>2</v>
      </c>
      <c r="AA342" s="163">
        <v>0</v>
      </c>
      <c r="AB342" s="163">
        <v>0</v>
      </c>
      <c r="AC342" s="163">
        <v>2</v>
      </c>
      <c r="AD342" s="163">
        <v>0</v>
      </c>
      <c r="AE342" s="165">
        <v>9.3199368372936964E-2</v>
      </c>
      <c r="AF342" s="166">
        <v>9.3199368372936964E-2</v>
      </c>
    </row>
    <row r="343" spans="1:32">
      <c r="A343" s="161">
        <v>8</v>
      </c>
      <c r="B343" s="162">
        <v>0.10416666666666667</v>
      </c>
      <c r="C343" s="163">
        <v>0.31981961698090722</v>
      </c>
      <c r="D343" s="163">
        <v>635.31629881659728</v>
      </c>
      <c r="E343" s="164">
        <v>0.89629999999999999</v>
      </c>
      <c r="F343" s="164">
        <v>0.89629999999999999</v>
      </c>
      <c r="G343" s="163">
        <v>2</v>
      </c>
      <c r="H343" s="163">
        <v>3.333333333333333</v>
      </c>
      <c r="I343" s="163">
        <v>1.333333333333333</v>
      </c>
      <c r="J343" s="163">
        <v>1</v>
      </c>
      <c r="K343" s="163">
        <v>1.5494736842105263</v>
      </c>
      <c r="L343" s="163">
        <v>0.54947368421052634</v>
      </c>
      <c r="M343" s="163">
        <v>2</v>
      </c>
      <c r="N343" s="163">
        <v>2.9824561403508771</v>
      </c>
      <c r="O343" s="163">
        <v>0.98245614035087714</v>
      </c>
      <c r="P343" s="163"/>
      <c r="Q343" s="163">
        <v>2</v>
      </c>
      <c r="R343" s="163">
        <v>0</v>
      </c>
      <c r="S343" s="163">
        <v>0</v>
      </c>
      <c r="T343" s="163">
        <v>0</v>
      </c>
      <c r="U343" s="163">
        <v>0</v>
      </c>
      <c r="V343" s="163">
        <v>0</v>
      </c>
      <c r="W343" s="163">
        <v>0</v>
      </c>
      <c r="X343" s="163">
        <v>0</v>
      </c>
      <c r="Y343" s="163">
        <v>2</v>
      </c>
      <c r="Z343" s="163">
        <v>2</v>
      </c>
      <c r="AA343" s="163">
        <v>0</v>
      </c>
      <c r="AB343" s="163">
        <v>0</v>
      </c>
      <c r="AC343" s="163">
        <v>2</v>
      </c>
      <c r="AD343" s="163">
        <v>0</v>
      </c>
      <c r="AE343" s="165">
        <v>7.2851481197837076E-2</v>
      </c>
      <c r="AF343" s="166">
        <v>7.2851481197837076E-2</v>
      </c>
    </row>
    <row r="344" spans="1:32">
      <c r="A344" s="161">
        <v>8</v>
      </c>
      <c r="B344" s="162">
        <v>0.125</v>
      </c>
      <c r="C344" s="163">
        <v>0.24291132402772769</v>
      </c>
      <c r="D344" s="163">
        <v>638.12119822009379</v>
      </c>
      <c r="E344" s="164">
        <v>0.92010000000000003</v>
      </c>
      <c r="F344" s="164">
        <v>0.92010000000000003</v>
      </c>
      <c r="G344" s="163">
        <v>2</v>
      </c>
      <c r="H344" s="163">
        <v>3.333333333333333</v>
      </c>
      <c r="I344" s="163">
        <v>1.333333333333333</v>
      </c>
      <c r="J344" s="163">
        <v>1</v>
      </c>
      <c r="K344" s="163">
        <v>1.5494736842105263</v>
      </c>
      <c r="L344" s="163">
        <v>0.54947368421052634</v>
      </c>
      <c r="M344" s="163">
        <v>2</v>
      </c>
      <c r="N344" s="163">
        <v>2.9824561403508771</v>
      </c>
      <c r="O344" s="163">
        <v>0.98245614035087714</v>
      </c>
      <c r="P344" s="163"/>
      <c r="Q344" s="163">
        <v>2</v>
      </c>
      <c r="R344" s="163">
        <v>0</v>
      </c>
      <c r="S344" s="163">
        <v>0</v>
      </c>
      <c r="T344" s="163">
        <v>0</v>
      </c>
      <c r="U344" s="163">
        <v>0</v>
      </c>
      <c r="V344" s="163">
        <v>0</v>
      </c>
      <c r="W344" s="163">
        <v>0</v>
      </c>
      <c r="X344" s="163">
        <v>0</v>
      </c>
      <c r="Y344" s="163">
        <v>2</v>
      </c>
      <c r="Z344" s="163">
        <v>2</v>
      </c>
      <c r="AA344" s="163">
        <v>0</v>
      </c>
      <c r="AB344" s="163">
        <v>0</v>
      </c>
      <c r="AC344" s="163">
        <v>2</v>
      </c>
      <c r="AD344" s="163">
        <v>0</v>
      </c>
      <c r="AE344" s="165">
        <v>5.5576887791482829E-2</v>
      </c>
      <c r="AF344" s="166">
        <v>5.5576887791482829E-2</v>
      </c>
    </row>
    <row r="345" spans="1:32">
      <c r="A345" s="161">
        <v>8</v>
      </c>
      <c r="B345" s="162">
        <v>0.14583333333333334</v>
      </c>
      <c r="C345" s="163">
        <v>0.19214127580939916</v>
      </c>
      <c r="D345" s="163">
        <v>666.93507509654319</v>
      </c>
      <c r="E345" s="164">
        <v>0.93359999999999987</v>
      </c>
      <c r="F345" s="164">
        <v>0.93359999999999987</v>
      </c>
      <c r="G345" s="163">
        <v>2</v>
      </c>
      <c r="H345" s="163">
        <v>3.333333333333333</v>
      </c>
      <c r="I345" s="163">
        <v>1.333333333333333</v>
      </c>
      <c r="J345" s="163">
        <v>1</v>
      </c>
      <c r="K345" s="163">
        <v>1.5494736842105263</v>
      </c>
      <c r="L345" s="163">
        <v>0.54947368421052634</v>
      </c>
      <c r="M345" s="163">
        <v>2</v>
      </c>
      <c r="N345" s="163">
        <v>2.9824561403508771</v>
      </c>
      <c r="O345" s="163">
        <v>0.98245614035087714</v>
      </c>
      <c r="P345" s="163"/>
      <c r="Q345" s="163">
        <v>2</v>
      </c>
      <c r="R345" s="163">
        <v>0</v>
      </c>
      <c r="S345" s="163">
        <v>0</v>
      </c>
      <c r="T345" s="163">
        <v>0</v>
      </c>
      <c r="U345" s="163">
        <v>0</v>
      </c>
      <c r="V345" s="163">
        <v>0</v>
      </c>
      <c r="W345" s="163">
        <v>0</v>
      </c>
      <c r="X345" s="163">
        <v>0</v>
      </c>
      <c r="Y345" s="163">
        <v>2</v>
      </c>
      <c r="Z345" s="163">
        <v>2</v>
      </c>
      <c r="AA345" s="163">
        <v>0</v>
      </c>
      <c r="AB345" s="163">
        <v>0</v>
      </c>
      <c r="AC345" s="163">
        <v>2</v>
      </c>
      <c r="AD345" s="163">
        <v>0</v>
      </c>
      <c r="AE345" s="165">
        <v>4.5945979921698701E-2</v>
      </c>
      <c r="AF345" s="166">
        <v>4.5945979921698701E-2</v>
      </c>
    </row>
    <row r="346" spans="1:32">
      <c r="A346" s="161">
        <v>8</v>
      </c>
      <c r="B346" s="162">
        <v>0.16666666666666666</v>
      </c>
      <c r="C346" s="163">
        <v>0.22675822252318592</v>
      </c>
      <c r="D346" s="163">
        <v>629.04493443591753</v>
      </c>
      <c r="E346" s="164">
        <v>0.9264</v>
      </c>
      <c r="F346" s="164">
        <v>0.9264</v>
      </c>
      <c r="G346" s="163">
        <v>2</v>
      </c>
      <c r="H346" s="163">
        <v>3.333333333333333</v>
      </c>
      <c r="I346" s="163">
        <v>1.333333333333333</v>
      </c>
      <c r="J346" s="163">
        <v>1</v>
      </c>
      <c r="K346" s="163">
        <v>1.5494736842105263</v>
      </c>
      <c r="L346" s="163">
        <v>0.54947368421052634</v>
      </c>
      <c r="M346" s="163">
        <v>2</v>
      </c>
      <c r="N346" s="163">
        <v>2.9824561403508771</v>
      </c>
      <c r="O346" s="163">
        <v>0.98245614035087714</v>
      </c>
      <c r="P346" s="163"/>
      <c r="Q346" s="163">
        <v>2</v>
      </c>
      <c r="R346" s="163">
        <v>0</v>
      </c>
      <c r="S346" s="163">
        <v>0</v>
      </c>
      <c r="T346" s="163">
        <v>0</v>
      </c>
      <c r="U346" s="163">
        <v>0</v>
      </c>
      <c r="V346" s="163">
        <v>0</v>
      </c>
      <c r="W346" s="163">
        <v>0</v>
      </c>
      <c r="X346" s="163">
        <v>0</v>
      </c>
      <c r="Y346" s="163">
        <v>2</v>
      </c>
      <c r="Z346" s="163">
        <v>2</v>
      </c>
      <c r="AA346" s="163">
        <v>0</v>
      </c>
      <c r="AB346" s="163">
        <v>0</v>
      </c>
      <c r="AC346" s="163">
        <v>2</v>
      </c>
      <c r="AD346" s="163">
        <v>0</v>
      </c>
      <c r="AE346" s="165">
        <v>5.1143212431652901E-2</v>
      </c>
      <c r="AF346" s="166">
        <v>5.1143212431652901E-2</v>
      </c>
    </row>
    <row r="347" spans="1:32">
      <c r="A347" s="161">
        <v>8</v>
      </c>
      <c r="B347" s="162">
        <v>0.1875</v>
      </c>
      <c r="C347" s="163">
        <v>0.3402531438991967</v>
      </c>
      <c r="D347" s="163">
        <v>612.83213902533782</v>
      </c>
      <c r="E347" s="164">
        <v>0.89380000000000004</v>
      </c>
      <c r="F347" s="164">
        <v>0.89380000000000004</v>
      </c>
      <c r="G347" s="163">
        <v>2</v>
      </c>
      <c r="H347" s="163">
        <v>3.333333333333333</v>
      </c>
      <c r="I347" s="163">
        <v>1.333333333333333</v>
      </c>
      <c r="J347" s="163">
        <v>1</v>
      </c>
      <c r="K347" s="163">
        <v>1.5494736842105263</v>
      </c>
      <c r="L347" s="163">
        <v>0.54947368421052634</v>
      </c>
      <c r="M347" s="163">
        <v>2</v>
      </c>
      <c r="N347" s="163">
        <v>2.9824561403508771</v>
      </c>
      <c r="O347" s="163">
        <v>0.98245614035087714</v>
      </c>
      <c r="P347" s="163"/>
      <c r="Q347" s="163">
        <v>2</v>
      </c>
      <c r="R347" s="163">
        <v>0</v>
      </c>
      <c r="S347" s="163">
        <v>0</v>
      </c>
      <c r="T347" s="163">
        <v>0</v>
      </c>
      <c r="U347" s="163">
        <v>0</v>
      </c>
      <c r="V347" s="163">
        <v>0</v>
      </c>
      <c r="W347" s="163">
        <v>0</v>
      </c>
      <c r="X347" s="163">
        <v>0</v>
      </c>
      <c r="Y347" s="163">
        <v>2</v>
      </c>
      <c r="Z347" s="163">
        <v>2</v>
      </c>
      <c r="AA347" s="163">
        <v>0</v>
      </c>
      <c r="AB347" s="163">
        <v>0</v>
      </c>
      <c r="AC347" s="163">
        <v>2</v>
      </c>
      <c r="AD347" s="163">
        <v>0</v>
      </c>
      <c r="AE347" s="165">
        <v>7.4763043058027154E-2</v>
      </c>
      <c r="AF347" s="166">
        <v>7.4763043058027154E-2</v>
      </c>
    </row>
    <row r="348" spans="1:32">
      <c r="A348" s="161">
        <v>8</v>
      </c>
      <c r="B348" s="162">
        <v>0.20833333333333334</v>
      </c>
      <c r="C348" s="163">
        <v>0.62464059454568188</v>
      </c>
      <c r="D348" s="163">
        <v>662.87248485064845</v>
      </c>
      <c r="E348" s="164">
        <v>0.79559999999999997</v>
      </c>
      <c r="F348" s="164">
        <v>0.79559999999999997</v>
      </c>
      <c r="G348" s="163">
        <v>3</v>
      </c>
      <c r="H348" s="163">
        <v>3.333333333333333</v>
      </c>
      <c r="I348" s="163">
        <v>0.33333333333333304</v>
      </c>
      <c r="J348" s="163">
        <v>2</v>
      </c>
      <c r="K348" s="163">
        <v>2.3242105263157895</v>
      </c>
      <c r="L348" s="163">
        <v>0.3242105263157895</v>
      </c>
      <c r="M348" s="163">
        <v>3</v>
      </c>
      <c r="N348" s="163">
        <v>2.9824561403508771</v>
      </c>
      <c r="O348" s="163">
        <v>-1.7543859649122862E-2</v>
      </c>
      <c r="P348" s="163"/>
      <c r="Q348" s="163">
        <v>2</v>
      </c>
      <c r="R348" s="163">
        <v>0</v>
      </c>
      <c r="S348" s="163">
        <v>0</v>
      </c>
      <c r="T348" s="163">
        <v>0</v>
      </c>
      <c r="U348" s="163">
        <v>0</v>
      </c>
      <c r="V348" s="163">
        <v>0</v>
      </c>
      <c r="W348" s="163">
        <v>0</v>
      </c>
      <c r="X348" s="163">
        <v>0</v>
      </c>
      <c r="Y348" s="163">
        <v>2</v>
      </c>
      <c r="Z348" s="163">
        <v>2</v>
      </c>
      <c r="AA348" s="163">
        <v>0</v>
      </c>
      <c r="AB348" s="163">
        <v>0</v>
      </c>
      <c r="AC348" s="163">
        <v>2</v>
      </c>
      <c r="AD348" s="163">
        <v>0</v>
      </c>
      <c r="AE348" s="165">
        <v>0.14845795965158076</v>
      </c>
      <c r="AF348" s="166">
        <v>9.8971973101053837E-2</v>
      </c>
    </row>
    <row r="349" spans="1:32">
      <c r="A349" s="161">
        <v>8</v>
      </c>
      <c r="B349" s="162">
        <v>0.22916666666666666</v>
      </c>
      <c r="C349" s="163">
        <v>1.0809619557284598</v>
      </c>
      <c r="D349" s="163">
        <v>684.48666365248107</v>
      </c>
      <c r="E349" s="164">
        <v>0.65290000000000004</v>
      </c>
      <c r="F349" s="164">
        <v>0.65290000000000004</v>
      </c>
      <c r="G349" s="163">
        <v>3</v>
      </c>
      <c r="H349" s="163">
        <v>3.333333333333333</v>
      </c>
      <c r="I349" s="163">
        <v>0.33333333333333304</v>
      </c>
      <c r="J349" s="163">
        <v>2</v>
      </c>
      <c r="K349" s="163">
        <v>2.3242105263157895</v>
      </c>
      <c r="L349" s="163">
        <v>0.3242105263157895</v>
      </c>
      <c r="M349" s="163">
        <v>3</v>
      </c>
      <c r="N349" s="163">
        <v>2.9824561403508771</v>
      </c>
      <c r="O349" s="163">
        <v>-1.7543859649122862E-2</v>
      </c>
      <c r="P349" s="163"/>
      <c r="Q349" s="163">
        <v>2</v>
      </c>
      <c r="R349" s="163">
        <v>0</v>
      </c>
      <c r="S349" s="163">
        <v>0</v>
      </c>
      <c r="T349" s="163">
        <v>0</v>
      </c>
      <c r="U349" s="163">
        <v>0</v>
      </c>
      <c r="V349" s="163">
        <v>0</v>
      </c>
      <c r="W349" s="163">
        <v>0</v>
      </c>
      <c r="X349" s="163">
        <v>0</v>
      </c>
      <c r="Y349" s="163">
        <v>2</v>
      </c>
      <c r="Z349" s="163">
        <v>2</v>
      </c>
      <c r="AA349" s="163">
        <v>0</v>
      </c>
      <c r="AB349" s="163">
        <v>0</v>
      </c>
      <c r="AC349" s="163">
        <v>2</v>
      </c>
      <c r="AD349" s="163">
        <v>0</v>
      </c>
      <c r="AE349" s="165">
        <v>0.2652886626212419</v>
      </c>
      <c r="AF349" s="166">
        <v>0.17685910841416128</v>
      </c>
    </row>
    <row r="350" spans="1:32">
      <c r="A350" s="161">
        <v>8</v>
      </c>
      <c r="B350" s="162">
        <v>0.25</v>
      </c>
      <c r="C350" s="163">
        <v>1.6309101154819161</v>
      </c>
      <c r="D350" s="163">
        <v>786.80030960759439</v>
      </c>
      <c r="E350" s="164">
        <v>0.443</v>
      </c>
      <c r="F350" s="164">
        <v>0.443</v>
      </c>
      <c r="G350" s="163">
        <v>3</v>
      </c>
      <c r="H350" s="163">
        <v>3.333333333333333</v>
      </c>
      <c r="I350" s="163">
        <v>0.33333333333333304</v>
      </c>
      <c r="J350" s="163">
        <v>2</v>
      </c>
      <c r="K350" s="163">
        <v>2.3242105263157895</v>
      </c>
      <c r="L350" s="163">
        <v>0.3242105263157895</v>
      </c>
      <c r="M350" s="163">
        <v>3</v>
      </c>
      <c r="N350" s="163">
        <v>2.9824561403508771</v>
      </c>
      <c r="O350" s="163">
        <v>-1.7543859649122862E-2</v>
      </c>
      <c r="P350" s="163"/>
      <c r="Q350" s="163">
        <v>2</v>
      </c>
      <c r="R350" s="163">
        <v>0</v>
      </c>
      <c r="S350" s="163">
        <v>0</v>
      </c>
      <c r="T350" s="163">
        <v>0</v>
      </c>
      <c r="U350" s="163">
        <v>0</v>
      </c>
      <c r="V350" s="163">
        <v>0</v>
      </c>
      <c r="W350" s="163">
        <v>0</v>
      </c>
      <c r="X350" s="163">
        <v>0</v>
      </c>
      <c r="Y350" s="163">
        <v>2</v>
      </c>
      <c r="Z350" s="163">
        <v>2</v>
      </c>
      <c r="AA350" s="163">
        <v>0</v>
      </c>
      <c r="AB350" s="163">
        <v>0</v>
      </c>
      <c r="AC350" s="163">
        <v>2</v>
      </c>
      <c r="AD350" s="163">
        <v>0</v>
      </c>
      <c r="AE350" s="165">
        <v>0.46008475038238322</v>
      </c>
      <c r="AF350" s="166">
        <v>0.3067231669215888</v>
      </c>
    </row>
    <row r="351" spans="1:32">
      <c r="A351" s="161">
        <v>8</v>
      </c>
      <c r="B351" s="162">
        <v>0.27083333333333331</v>
      </c>
      <c r="C351" s="163">
        <v>2.4157650549091403</v>
      </c>
      <c r="D351" s="163">
        <v>774.34507313966287</v>
      </c>
      <c r="E351" s="164">
        <v>0.2505</v>
      </c>
      <c r="F351" s="164">
        <v>0.2505</v>
      </c>
      <c r="G351" s="163">
        <v>4</v>
      </c>
      <c r="H351" s="163">
        <v>3.333333333333333</v>
      </c>
      <c r="I351" s="163">
        <v>-0.66666666666666696</v>
      </c>
      <c r="J351" s="163">
        <v>3</v>
      </c>
      <c r="K351" s="163">
        <v>3.0989473684210527</v>
      </c>
      <c r="L351" s="163">
        <v>9.8947368421052673E-2</v>
      </c>
      <c r="M351" s="163">
        <v>4</v>
      </c>
      <c r="N351" s="163">
        <v>2.9824561403508771</v>
      </c>
      <c r="O351" s="163">
        <v>-1.0175438596491229</v>
      </c>
      <c r="P351" s="163"/>
      <c r="Q351" s="163">
        <v>2</v>
      </c>
      <c r="R351" s="163">
        <v>0</v>
      </c>
      <c r="S351" s="163">
        <v>0</v>
      </c>
      <c r="T351" s="163">
        <v>0</v>
      </c>
      <c r="U351" s="163">
        <v>0</v>
      </c>
      <c r="V351" s="163">
        <v>0</v>
      </c>
      <c r="W351" s="163">
        <v>0</v>
      </c>
      <c r="X351" s="163">
        <v>0</v>
      </c>
      <c r="Y351" s="163">
        <v>2</v>
      </c>
      <c r="Z351" s="163">
        <v>2</v>
      </c>
      <c r="AA351" s="163">
        <v>0</v>
      </c>
      <c r="AB351" s="163">
        <v>0</v>
      </c>
      <c r="AC351" s="163">
        <v>2</v>
      </c>
      <c r="AD351" s="163">
        <v>0</v>
      </c>
      <c r="AE351" s="165">
        <v>0.67070651408713278</v>
      </c>
      <c r="AF351" s="166">
        <v>0.33535325704356639</v>
      </c>
    </row>
    <row r="352" spans="1:32">
      <c r="A352" s="161">
        <v>8</v>
      </c>
      <c r="B352" s="162">
        <v>0.29166666666666669</v>
      </c>
      <c r="C352" s="163">
        <v>3.3670862658685854</v>
      </c>
      <c r="D352" s="163">
        <v>784.54134365954951</v>
      </c>
      <c r="E352" s="164">
        <v>3.6799999999999999E-2</v>
      </c>
      <c r="F352" s="164">
        <v>3.6799999999999999E-2</v>
      </c>
      <c r="G352" s="163">
        <v>6</v>
      </c>
      <c r="H352" s="163">
        <v>3.333333333333333</v>
      </c>
      <c r="I352" s="163">
        <v>-2.666666666666667</v>
      </c>
      <c r="J352" s="163">
        <v>4</v>
      </c>
      <c r="K352" s="163">
        <v>4.648421052631579</v>
      </c>
      <c r="L352" s="163">
        <v>0.64842105263157901</v>
      </c>
      <c r="M352" s="163">
        <v>5</v>
      </c>
      <c r="N352" s="163">
        <v>2.9824561403508771</v>
      </c>
      <c r="O352" s="163">
        <v>-2.0175438596491229</v>
      </c>
      <c r="P352" s="163"/>
      <c r="Q352" s="163">
        <v>2</v>
      </c>
      <c r="R352" s="163">
        <v>0</v>
      </c>
      <c r="S352" s="163">
        <v>0</v>
      </c>
      <c r="T352" s="163">
        <v>0</v>
      </c>
      <c r="U352" s="163">
        <v>0</v>
      </c>
      <c r="V352" s="163">
        <v>0</v>
      </c>
      <c r="W352" s="163">
        <v>0</v>
      </c>
      <c r="X352" s="163">
        <v>0</v>
      </c>
      <c r="Y352" s="163">
        <v>2</v>
      </c>
      <c r="Z352" s="163">
        <v>2</v>
      </c>
      <c r="AA352" s="163">
        <v>0</v>
      </c>
      <c r="AB352" s="163">
        <v>0</v>
      </c>
      <c r="AC352" s="163">
        <v>2</v>
      </c>
      <c r="AD352" s="163">
        <v>0</v>
      </c>
      <c r="AE352" s="165">
        <v>0.94713823372586325</v>
      </c>
      <c r="AF352" s="166">
        <v>0.31571274457528775</v>
      </c>
    </row>
    <row r="353" spans="1:32">
      <c r="A353" s="161">
        <v>8</v>
      </c>
      <c r="B353" s="162">
        <v>0.3125</v>
      </c>
      <c r="C353" s="163">
        <v>4.2797016953158771</v>
      </c>
      <c r="D353" s="163">
        <v>794.3607949816834</v>
      </c>
      <c r="E353" s="164">
        <v>0.63049999999999995</v>
      </c>
      <c r="F353" s="164">
        <v>0.63049999999999995</v>
      </c>
      <c r="G353" s="163">
        <v>6</v>
      </c>
      <c r="H353" s="163">
        <v>6.6666666666666661</v>
      </c>
      <c r="I353" s="163">
        <v>0.66666666666666607</v>
      </c>
      <c r="J353" s="163">
        <v>4</v>
      </c>
      <c r="K353" s="163">
        <v>4.648421052631579</v>
      </c>
      <c r="L353" s="163">
        <v>0.64842105263157901</v>
      </c>
      <c r="M353" s="163">
        <v>5</v>
      </c>
      <c r="N353" s="163">
        <v>5.9649122807017543</v>
      </c>
      <c r="O353" s="163">
        <v>0.96491228070175428</v>
      </c>
      <c r="P353" s="163"/>
      <c r="Q353" s="163">
        <v>4</v>
      </c>
      <c r="R353" s="163">
        <v>0</v>
      </c>
      <c r="S353" s="163">
        <v>0</v>
      </c>
      <c r="T353" s="163">
        <v>0</v>
      </c>
      <c r="U353" s="163">
        <v>0</v>
      </c>
      <c r="V353" s="163">
        <v>0</v>
      </c>
      <c r="W353" s="163">
        <v>0</v>
      </c>
      <c r="X353" s="163">
        <v>0</v>
      </c>
      <c r="Y353" s="163">
        <v>4</v>
      </c>
      <c r="Z353" s="163">
        <v>4</v>
      </c>
      <c r="AA353" s="163">
        <v>0</v>
      </c>
      <c r="AB353" s="163">
        <v>0</v>
      </c>
      <c r="AC353" s="163">
        <v>4</v>
      </c>
      <c r="AD353" s="163">
        <v>0</v>
      </c>
      <c r="AE353" s="165">
        <v>0.60945914079989427</v>
      </c>
      <c r="AF353" s="166">
        <v>0.40630609386659616</v>
      </c>
    </row>
    <row r="354" spans="1:32">
      <c r="A354" s="161">
        <v>8</v>
      </c>
      <c r="B354" s="162">
        <v>0.33333333333333331</v>
      </c>
      <c r="C354" s="163">
        <v>5.1841867628914295</v>
      </c>
      <c r="D354" s="163">
        <v>796.32125509517925</v>
      </c>
      <c r="E354" s="164">
        <v>0.78989999999999994</v>
      </c>
      <c r="F354" s="164">
        <v>0.78989999999999994</v>
      </c>
      <c r="G354" s="163">
        <v>7</v>
      </c>
      <c r="H354" s="163">
        <v>10</v>
      </c>
      <c r="I354" s="163">
        <v>3</v>
      </c>
      <c r="J354" s="163">
        <v>5</v>
      </c>
      <c r="K354" s="163">
        <v>5.4231578947368426</v>
      </c>
      <c r="L354" s="163">
        <v>0.42315789473684262</v>
      </c>
      <c r="M354" s="163">
        <v>6</v>
      </c>
      <c r="N354" s="163">
        <v>8.9473684210526319</v>
      </c>
      <c r="O354" s="163">
        <v>2.9473684210526319</v>
      </c>
      <c r="P354" s="163"/>
      <c r="Q354" s="163">
        <v>6</v>
      </c>
      <c r="R354" s="163">
        <v>0</v>
      </c>
      <c r="S354" s="163">
        <v>0</v>
      </c>
      <c r="T354" s="163">
        <v>0</v>
      </c>
      <c r="U354" s="163">
        <v>0</v>
      </c>
      <c r="V354" s="163">
        <v>0</v>
      </c>
      <c r="W354" s="163">
        <v>0</v>
      </c>
      <c r="X354" s="163">
        <v>0</v>
      </c>
      <c r="Y354" s="163">
        <v>6</v>
      </c>
      <c r="Z354" s="163">
        <v>6</v>
      </c>
      <c r="AA354" s="163">
        <v>0</v>
      </c>
      <c r="AB354" s="163">
        <v>0</v>
      </c>
      <c r="AC354" s="163">
        <v>6</v>
      </c>
      <c r="AD354" s="163">
        <v>0</v>
      </c>
      <c r="AE354" s="165">
        <v>0.49339072617122604</v>
      </c>
      <c r="AF354" s="166">
        <v>0.42290633671819372</v>
      </c>
    </row>
    <row r="355" spans="1:32">
      <c r="A355" s="161">
        <v>8</v>
      </c>
      <c r="B355" s="162">
        <v>0.35416666666666669</v>
      </c>
      <c r="C355" s="163">
        <v>6.0847197303537044</v>
      </c>
      <c r="D355" s="163">
        <v>796.16935768230962</v>
      </c>
      <c r="E355" s="164">
        <v>0.68620000000000003</v>
      </c>
      <c r="F355" s="164">
        <v>0.68620000000000003</v>
      </c>
      <c r="G355" s="163">
        <v>7</v>
      </c>
      <c r="H355" s="163">
        <v>10</v>
      </c>
      <c r="I355" s="163">
        <v>3</v>
      </c>
      <c r="J355" s="163">
        <v>5</v>
      </c>
      <c r="K355" s="163">
        <v>5.4231578947368426</v>
      </c>
      <c r="L355" s="163">
        <v>0.42315789473684262</v>
      </c>
      <c r="M355" s="163">
        <v>6</v>
      </c>
      <c r="N355" s="163">
        <v>8.9473684210526319</v>
      </c>
      <c r="O355" s="163">
        <v>2.9473684210526319</v>
      </c>
      <c r="P355" s="163"/>
      <c r="Q355" s="163">
        <v>6</v>
      </c>
      <c r="R355" s="163">
        <v>0</v>
      </c>
      <c r="S355" s="163">
        <v>0</v>
      </c>
      <c r="T355" s="163">
        <v>0</v>
      </c>
      <c r="U355" s="163">
        <v>0</v>
      </c>
      <c r="V355" s="163">
        <v>0</v>
      </c>
      <c r="W355" s="163">
        <v>0</v>
      </c>
      <c r="X355" s="163">
        <v>0</v>
      </c>
      <c r="Y355" s="163">
        <v>6</v>
      </c>
      <c r="Z355" s="163">
        <v>6</v>
      </c>
      <c r="AA355" s="163">
        <v>0</v>
      </c>
      <c r="AB355" s="163">
        <v>0</v>
      </c>
      <c r="AC355" s="163">
        <v>6</v>
      </c>
      <c r="AD355" s="163">
        <v>0</v>
      </c>
      <c r="AE355" s="165">
        <v>0.57898601416854811</v>
      </c>
      <c r="AF355" s="166">
        <v>0.49627372643018414</v>
      </c>
    </row>
    <row r="356" spans="1:32">
      <c r="A356" s="161">
        <v>8</v>
      </c>
      <c r="B356" s="162">
        <v>0.375</v>
      </c>
      <c r="C356" s="163">
        <v>6.7166499937601127</v>
      </c>
      <c r="D356" s="163">
        <v>791.46834050847178</v>
      </c>
      <c r="E356" s="164">
        <v>0.60899999999999999</v>
      </c>
      <c r="F356" s="164">
        <v>0.60899999999999999</v>
      </c>
      <c r="G356" s="163">
        <v>8</v>
      </c>
      <c r="H356" s="163">
        <v>10</v>
      </c>
      <c r="I356" s="163">
        <v>2</v>
      </c>
      <c r="J356" s="163">
        <v>6</v>
      </c>
      <c r="K356" s="163">
        <v>6.1978947368421053</v>
      </c>
      <c r="L356" s="163">
        <v>0.19789473684210535</v>
      </c>
      <c r="M356" s="163">
        <v>7</v>
      </c>
      <c r="N356" s="163">
        <v>8.9473684210526319</v>
      </c>
      <c r="O356" s="163">
        <v>1.9473684210526319</v>
      </c>
      <c r="P356" s="163"/>
      <c r="Q356" s="163">
        <v>6</v>
      </c>
      <c r="R356" s="163">
        <v>0</v>
      </c>
      <c r="S356" s="163">
        <v>0</v>
      </c>
      <c r="T356" s="163">
        <v>0</v>
      </c>
      <c r="U356" s="163">
        <v>0</v>
      </c>
      <c r="V356" s="163">
        <v>0</v>
      </c>
      <c r="W356" s="163">
        <v>0</v>
      </c>
      <c r="X356" s="163">
        <v>0</v>
      </c>
      <c r="Y356" s="163">
        <v>6</v>
      </c>
      <c r="Z356" s="163">
        <v>6</v>
      </c>
      <c r="AA356" s="163">
        <v>0</v>
      </c>
      <c r="AB356" s="163">
        <v>0</v>
      </c>
      <c r="AC356" s="163">
        <v>6</v>
      </c>
      <c r="AD356" s="163">
        <v>0</v>
      </c>
      <c r="AE356" s="165">
        <v>0.6353430748189256</v>
      </c>
      <c r="AF356" s="166">
        <v>0.47650730611419423</v>
      </c>
    </row>
    <row r="357" spans="1:32">
      <c r="A357" s="161">
        <v>8</v>
      </c>
      <c r="B357" s="162">
        <v>0.39583333333333331</v>
      </c>
      <c r="C357" s="163">
        <v>7.2196471097792028</v>
      </c>
      <c r="D357" s="163">
        <v>865.10662114801096</v>
      </c>
      <c r="E357" s="164">
        <v>0.84419999999999995</v>
      </c>
      <c r="F357" s="164">
        <v>0.84419999999999995</v>
      </c>
      <c r="G357" s="163">
        <v>8</v>
      </c>
      <c r="H357" s="163">
        <v>13.333333333333332</v>
      </c>
      <c r="I357" s="163">
        <v>5.3333333333333321</v>
      </c>
      <c r="J357" s="163">
        <v>6</v>
      </c>
      <c r="K357" s="163">
        <v>6.1978947368421053</v>
      </c>
      <c r="L357" s="163">
        <v>0.19789473684210535</v>
      </c>
      <c r="M357" s="163">
        <v>7</v>
      </c>
      <c r="N357" s="163">
        <v>11.929824561403509</v>
      </c>
      <c r="O357" s="163">
        <v>4.9298245614035086</v>
      </c>
      <c r="P357" s="163"/>
      <c r="Q357" s="163">
        <v>8</v>
      </c>
      <c r="R357" s="163">
        <v>0</v>
      </c>
      <c r="S357" s="163">
        <v>0</v>
      </c>
      <c r="T357" s="163">
        <v>0</v>
      </c>
      <c r="U357" s="163">
        <v>0</v>
      </c>
      <c r="V357" s="163">
        <v>0</v>
      </c>
      <c r="W357" s="163">
        <v>0</v>
      </c>
      <c r="X357" s="163">
        <v>0</v>
      </c>
      <c r="Y357" s="163">
        <v>8</v>
      </c>
      <c r="Z357" s="163">
        <v>8</v>
      </c>
      <c r="AA357" s="163">
        <v>0</v>
      </c>
      <c r="AB357" s="163">
        <v>0</v>
      </c>
      <c r="AC357" s="163">
        <v>8</v>
      </c>
      <c r="AD357" s="163">
        <v>0</v>
      </c>
      <c r="AE357" s="165">
        <v>0.55984641938132029</v>
      </c>
      <c r="AF357" s="166">
        <v>0.55984641938132029</v>
      </c>
    </row>
    <row r="358" spans="1:32">
      <c r="A358" s="161">
        <v>8</v>
      </c>
      <c r="B358" s="162">
        <v>0.41666666666666669</v>
      </c>
      <c r="C358" s="163">
        <v>7.5805185240969468</v>
      </c>
      <c r="D358" s="163">
        <v>780.05907146088066</v>
      </c>
      <c r="E358" s="164">
        <v>0.874</v>
      </c>
      <c r="F358" s="164">
        <v>0.874</v>
      </c>
      <c r="G358" s="163">
        <v>8</v>
      </c>
      <c r="H358" s="163">
        <v>13.333333333333332</v>
      </c>
      <c r="I358" s="163">
        <v>5.3333333333333321</v>
      </c>
      <c r="J358" s="163">
        <v>6</v>
      </c>
      <c r="K358" s="163">
        <v>6.1978947368421053</v>
      </c>
      <c r="L358" s="163">
        <v>0.19789473684210535</v>
      </c>
      <c r="M358" s="163">
        <v>7</v>
      </c>
      <c r="N358" s="163">
        <v>11.929824561403509</v>
      </c>
      <c r="O358" s="163">
        <v>4.9298245614035086</v>
      </c>
      <c r="P358" s="163"/>
      <c r="Q358" s="163">
        <v>8</v>
      </c>
      <c r="R358" s="163">
        <v>0</v>
      </c>
      <c r="S358" s="163">
        <v>0</v>
      </c>
      <c r="T358" s="163">
        <v>0</v>
      </c>
      <c r="U358" s="163">
        <v>0</v>
      </c>
      <c r="V358" s="163">
        <v>0</v>
      </c>
      <c r="W358" s="163">
        <v>0</v>
      </c>
      <c r="X358" s="163">
        <v>0</v>
      </c>
      <c r="Y358" s="163">
        <v>8</v>
      </c>
      <c r="Z358" s="163">
        <v>8</v>
      </c>
      <c r="AA358" s="163">
        <v>0</v>
      </c>
      <c r="AB358" s="163">
        <v>0</v>
      </c>
      <c r="AC358" s="163">
        <v>8</v>
      </c>
      <c r="AD358" s="163">
        <v>0</v>
      </c>
      <c r="AE358" s="165">
        <v>0.5300412919916323</v>
      </c>
      <c r="AF358" s="166">
        <v>0.5300412919916323</v>
      </c>
    </row>
    <row r="359" spans="1:32">
      <c r="A359" s="161">
        <v>8</v>
      </c>
      <c r="B359" s="162">
        <v>0.4375</v>
      </c>
      <c r="C359" s="163">
        <v>7.8610652571786499</v>
      </c>
      <c r="D359" s="163">
        <v>772.96967064720263</v>
      </c>
      <c r="E359" s="164">
        <v>0.86050000000000004</v>
      </c>
      <c r="F359" s="164">
        <v>0.86050000000000004</v>
      </c>
      <c r="G359" s="163">
        <v>8</v>
      </c>
      <c r="H359" s="163">
        <v>13.333333333333332</v>
      </c>
      <c r="I359" s="163">
        <v>5.3333333333333321</v>
      </c>
      <c r="J359" s="163">
        <v>6</v>
      </c>
      <c r="K359" s="163">
        <v>6.1978947368421053</v>
      </c>
      <c r="L359" s="163">
        <v>0.19789473684210535</v>
      </c>
      <c r="M359" s="163">
        <v>7</v>
      </c>
      <c r="N359" s="163">
        <v>11.929824561403509</v>
      </c>
      <c r="O359" s="163">
        <v>4.9298245614035086</v>
      </c>
      <c r="P359" s="163"/>
      <c r="Q359" s="163">
        <v>8</v>
      </c>
      <c r="R359" s="163">
        <v>0</v>
      </c>
      <c r="S359" s="163">
        <v>0</v>
      </c>
      <c r="T359" s="163">
        <v>0</v>
      </c>
      <c r="U359" s="163">
        <v>0</v>
      </c>
      <c r="V359" s="163">
        <v>0</v>
      </c>
      <c r="W359" s="163">
        <v>0</v>
      </c>
      <c r="X359" s="163">
        <v>0</v>
      </c>
      <c r="Y359" s="163">
        <v>8</v>
      </c>
      <c r="Z359" s="163">
        <v>8</v>
      </c>
      <c r="AA359" s="163">
        <v>0</v>
      </c>
      <c r="AB359" s="163">
        <v>0</v>
      </c>
      <c r="AC359" s="163">
        <v>8</v>
      </c>
      <c r="AD359" s="163">
        <v>0</v>
      </c>
      <c r="AE359" s="165">
        <v>0.54466209726361259</v>
      </c>
      <c r="AF359" s="166">
        <v>0.54466209726361259</v>
      </c>
    </row>
    <row r="360" spans="1:32">
      <c r="A360" s="161">
        <v>8</v>
      </c>
      <c r="B360" s="162">
        <v>0.45833333333333331</v>
      </c>
      <c r="C360" s="163">
        <v>7.6869037354654344</v>
      </c>
      <c r="D360" s="163">
        <v>764.65167905584144</v>
      </c>
      <c r="E360" s="164">
        <v>0.87700000000000011</v>
      </c>
      <c r="F360" s="164">
        <v>0.87700000000000011</v>
      </c>
      <c r="G360" s="163">
        <v>8</v>
      </c>
      <c r="H360" s="163">
        <v>13.333333333333332</v>
      </c>
      <c r="I360" s="163">
        <v>5.3333333333333321</v>
      </c>
      <c r="J360" s="163">
        <v>6</v>
      </c>
      <c r="K360" s="163">
        <v>6.1978947368421053</v>
      </c>
      <c r="L360" s="163">
        <v>0.19789473684210535</v>
      </c>
      <c r="M360" s="163">
        <v>7</v>
      </c>
      <c r="N360" s="163">
        <v>11.929824561403509</v>
      </c>
      <c r="O360" s="163">
        <v>4.9298245614035086</v>
      </c>
      <c r="P360" s="163"/>
      <c r="Q360" s="163">
        <v>8</v>
      </c>
      <c r="R360" s="163">
        <v>0</v>
      </c>
      <c r="S360" s="163">
        <v>0</v>
      </c>
      <c r="T360" s="163">
        <v>0</v>
      </c>
      <c r="U360" s="163">
        <v>0</v>
      </c>
      <c r="V360" s="163">
        <v>0</v>
      </c>
      <c r="W360" s="163">
        <v>0</v>
      </c>
      <c r="X360" s="163">
        <v>0</v>
      </c>
      <c r="Y360" s="163">
        <v>8</v>
      </c>
      <c r="Z360" s="163">
        <v>8</v>
      </c>
      <c r="AA360" s="163">
        <v>0</v>
      </c>
      <c r="AB360" s="163">
        <v>0</v>
      </c>
      <c r="AC360" s="163">
        <v>8</v>
      </c>
      <c r="AD360" s="163">
        <v>0</v>
      </c>
      <c r="AE360" s="165">
        <v>0.52686383375425072</v>
      </c>
      <c r="AF360" s="166">
        <v>0.52686383375425072</v>
      </c>
    </row>
    <row r="361" spans="1:32">
      <c r="A361" s="161">
        <v>8</v>
      </c>
      <c r="B361" s="162">
        <v>0.47916666666666669</v>
      </c>
      <c r="C361" s="163">
        <v>6.9929361949810049</v>
      </c>
      <c r="D361" s="163">
        <v>791.27043845169942</v>
      </c>
      <c r="E361" s="164">
        <v>0.9022</v>
      </c>
      <c r="F361" s="164">
        <v>0.9022</v>
      </c>
      <c r="G361" s="163">
        <v>8</v>
      </c>
      <c r="H361" s="163">
        <v>13.333333333333332</v>
      </c>
      <c r="I361" s="163">
        <v>5.3333333333333321</v>
      </c>
      <c r="J361" s="163">
        <v>6</v>
      </c>
      <c r="K361" s="163">
        <v>6.1978947368421053</v>
      </c>
      <c r="L361" s="163">
        <v>0.19789473684210535</v>
      </c>
      <c r="M361" s="163">
        <v>7</v>
      </c>
      <c r="N361" s="163">
        <v>11.929824561403509</v>
      </c>
      <c r="O361" s="163">
        <v>4.9298245614035086</v>
      </c>
      <c r="P361" s="163"/>
      <c r="Q361" s="163">
        <v>8</v>
      </c>
      <c r="R361" s="163">
        <v>0</v>
      </c>
      <c r="S361" s="163">
        <v>0</v>
      </c>
      <c r="T361" s="163">
        <v>0</v>
      </c>
      <c r="U361" s="163">
        <v>0</v>
      </c>
      <c r="V361" s="163">
        <v>0</v>
      </c>
      <c r="W361" s="163">
        <v>0</v>
      </c>
      <c r="X361" s="163">
        <v>0</v>
      </c>
      <c r="Y361" s="163">
        <v>8</v>
      </c>
      <c r="Z361" s="163">
        <v>8</v>
      </c>
      <c r="AA361" s="163">
        <v>0</v>
      </c>
      <c r="AB361" s="163">
        <v>0</v>
      </c>
      <c r="AC361" s="163">
        <v>8</v>
      </c>
      <c r="AD361" s="163">
        <v>0</v>
      </c>
      <c r="AE361" s="165">
        <v>0.49598415842146071</v>
      </c>
      <c r="AF361" s="166">
        <v>0.49598415842146071</v>
      </c>
    </row>
    <row r="362" spans="1:32">
      <c r="A362" s="161">
        <v>8</v>
      </c>
      <c r="B362" s="162">
        <v>0.5</v>
      </c>
      <c r="C362" s="163">
        <v>6.2095709670968802</v>
      </c>
      <c r="D362" s="163">
        <v>736.63327949466861</v>
      </c>
      <c r="E362" s="164">
        <v>0.95499999999999996</v>
      </c>
      <c r="F362" s="164">
        <v>0.95499999999999996</v>
      </c>
      <c r="G362" s="163">
        <v>7</v>
      </c>
      <c r="H362" s="163">
        <v>13.333333333333332</v>
      </c>
      <c r="I362" s="163">
        <v>6.3333333333333321</v>
      </c>
      <c r="J362" s="163">
        <v>5</v>
      </c>
      <c r="K362" s="163">
        <v>5.4231578947368426</v>
      </c>
      <c r="L362" s="163">
        <v>0.42315789473684262</v>
      </c>
      <c r="M362" s="163">
        <v>6</v>
      </c>
      <c r="N362" s="163">
        <v>11.929824561403509</v>
      </c>
      <c r="O362" s="163">
        <v>5.9298245614035086</v>
      </c>
      <c r="P362" s="163"/>
      <c r="Q362" s="163">
        <v>8</v>
      </c>
      <c r="R362" s="163">
        <v>0</v>
      </c>
      <c r="S362" s="163">
        <v>0</v>
      </c>
      <c r="T362" s="163">
        <v>0</v>
      </c>
      <c r="U362" s="163">
        <v>0</v>
      </c>
      <c r="V362" s="163">
        <v>0</v>
      </c>
      <c r="W362" s="163">
        <v>0</v>
      </c>
      <c r="X362" s="163">
        <v>0</v>
      </c>
      <c r="Y362" s="163">
        <v>8</v>
      </c>
      <c r="Z362" s="163">
        <v>8</v>
      </c>
      <c r="AA362" s="163">
        <v>0</v>
      </c>
      <c r="AB362" s="163">
        <v>0</v>
      </c>
      <c r="AC362" s="163">
        <v>8</v>
      </c>
      <c r="AD362" s="163">
        <v>0</v>
      </c>
      <c r="AE362" s="165">
        <v>0.41001168048574155</v>
      </c>
      <c r="AF362" s="166">
        <v>0.46858477769799034</v>
      </c>
    </row>
    <row r="363" spans="1:32">
      <c r="A363" s="161">
        <v>8</v>
      </c>
      <c r="B363" s="162">
        <v>0.52083333333333337</v>
      </c>
      <c r="C363" s="163">
        <v>6.2661943219016827</v>
      </c>
      <c r="D363" s="163">
        <v>733.34312099131512</v>
      </c>
      <c r="E363" s="164">
        <v>0.8017333333333333</v>
      </c>
      <c r="F363" s="164">
        <v>0.8017333333333333</v>
      </c>
      <c r="G363" s="163">
        <v>7</v>
      </c>
      <c r="H363" s="163">
        <v>12</v>
      </c>
      <c r="I363" s="163">
        <v>5</v>
      </c>
      <c r="J363" s="163">
        <v>5</v>
      </c>
      <c r="K363" s="163">
        <v>5.4231578947368426</v>
      </c>
      <c r="L363" s="163">
        <v>0.42315789473684262</v>
      </c>
      <c r="M363" s="163">
        <v>6</v>
      </c>
      <c r="N363" s="163">
        <v>10.736842105263158</v>
      </c>
      <c r="O363" s="163">
        <v>4.7368421052631575</v>
      </c>
      <c r="P363" s="163"/>
      <c r="Q363" s="163">
        <v>8</v>
      </c>
      <c r="R363" s="163">
        <v>0</v>
      </c>
      <c r="S363" s="163">
        <v>0</v>
      </c>
      <c r="T363" s="163">
        <v>0</v>
      </c>
      <c r="U363" s="163">
        <v>0</v>
      </c>
      <c r="V363" s="163">
        <v>0</v>
      </c>
      <c r="W363" s="163">
        <v>0</v>
      </c>
      <c r="X363" s="163">
        <v>0</v>
      </c>
      <c r="Y363" s="163">
        <v>8</v>
      </c>
      <c r="Z363" s="163">
        <v>8</v>
      </c>
      <c r="AA363" s="163">
        <v>0</v>
      </c>
      <c r="AB363" s="163">
        <v>0</v>
      </c>
      <c r="AC363" s="163">
        <v>8</v>
      </c>
      <c r="AD363" s="163">
        <v>0</v>
      </c>
      <c r="AE363" s="165">
        <v>0.41190245468404341</v>
      </c>
      <c r="AF363" s="166">
        <v>0.4707456624960496</v>
      </c>
    </row>
    <row r="364" spans="1:32">
      <c r="A364" s="161">
        <v>8</v>
      </c>
      <c r="B364" s="162">
        <v>0.54166666666666663</v>
      </c>
      <c r="C364" s="163">
        <v>5.5579850321041757</v>
      </c>
      <c r="D364" s="163">
        <v>742.62829110502992</v>
      </c>
      <c r="E364" s="164">
        <v>0.79090000000000005</v>
      </c>
      <c r="F364" s="164">
        <v>0.79090000000000005</v>
      </c>
      <c r="G364" s="163">
        <v>7</v>
      </c>
      <c r="H364" s="163">
        <v>10</v>
      </c>
      <c r="I364" s="163">
        <v>3</v>
      </c>
      <c r="J364" s="163">
        <v>5</v>
      </c>
      <c r="K364" s="163">
        <v>5.4231578947368426</v>
      </c>
      <c r="L364" s="163">
        <v>0.42315789473684262</v>
      </c>
      <c r="M364" s="163">
        <v>6</v>
      </c>
      <c r="N364" s="163">
        <v>8.9473684210526319</v>
      </c>
      <c r="O364" s="163">
        <v>2.9473684210526319</v>
      </c>
      <c r="P364" s="163"/>
      <c r="Q364" s="163">
        <v>6</v>
      </c>
      <c r="R364" s="163">
        <v>0</v>
      </c>
      <c r="S364" s="163">
        <v>0</v>
      </c>
      <c r="T364" s="163">
        <v>0</v>
      </c>
      <c r="U364" s="163">
        <v>0</v>
      </c>
      <c r="V364" s="163">
        <v>0</v>
      </c>
      <c r="W364" s="163">
        <v>0</v>
      </c>
      <c r="X364" s="163">
        <v>0</v>
      </c>
      <c r="Y364" s="163">
        <v>6</v>
      </c>
      <c r="Z364" s="163">
        <v>6</v>
      </c>
      <c r="AA364" s="163">
        <v>0</v>
      </c>
      <c r="AB364" s="163">
        <v>0</v>
      </c>
      <c r="AC364" s="163">
        <v>6</v>
      </c>
      <c r="AD364" s="163">
        <v>0</v>
      </c>
      <c r="AE364" s="165">
        <v>0.49329975342943777</v>
      </c>
      <c r="AF364" s="166">
        <v>0.42282836008237523</v>
      </c>
    </row>
    <row r="365" spans="1:32">
      <c r="A365" s="161">
        <v>8</v>
      </c>
      <c r="B365" s="162">
        <v>0.5625</v>
      </c>
      <c r="C365" s="163">
        <v>5.0233880268399185</v>
      </c>
      <c r="D365" s="163">
        <v>751.80704775542767</v>
      </c>
      <c r="E365" s="164">
        <v>0.83449999999999991</v>
      </c>
      <c r="F365" s="164">
        <v>0.83449999999999991</v>
      </c>
      <c r="G365" s="163">
        <v>6</v>
      </c>
      <c r="H365" s="163">
        <v>10</v>
      </c>
      <c r="I365" s="163">
        <v>4</v>
      </c>
      <c r="J365" s="163">
        <v>4</v>
      </c>
      <c r="K365" s="163">
        <v>4.648421052631579</v>
      </c>
      <c r="L365" s="163">
        <v>0.64842105263157901</v>
      </c>
      <c r="M365" s="163">
        <v>5</v>
      </c>
      <c r="N365" s="163">
        <v>8.9473684210526319</v>
      </c>
      <c r="O365" s="163">
        <v>3.9473684210526319</v>
      </c>
      <c r="P365" s="163"/>
      <c r="Q365" s="163">
        <v>6</v>
      </c>
      <c r="R365" s="163">
        <v>0</v>
      </c>
      <c r="S365" s="163">
        <v>0</v>
      </c>
      <c r="T365" s="163">
        <v>0</v>
      </c>
      <c r="U365" s="163">
        <v>0</v>
      </c>
      <c r="V365" s="163">
        <v>0</v>
      </c>
      <c r="W365" s="163">
        <v>0</v>
      </c>
      <c r="X365" s="163">
        <v>0</v>
      </c>
      <c r="Y365" s="163">
        <v>6</v>
      </c>
      <c r="Z365" s="163">
        <v>6</v>
      </c>
      <c r="AA365" s="163">
        <v>0</v>
      </c>
      <c r="AB365" s="163">
        <v>0</v>
      </c>
      <c r="AC365" s="163">
        <v>6</v>
      </c>
      <c r="AD365" s="163">
        <v>0</v>
      </c>
      <c r="AE365" s="165">
        <v>0.45136216738112145</v>
      </c>
      <c r="AF365" s="166">
        <v>0.45136216738112145</v>
      </c>
    </row>
    <row r="366" spans="1:32">
      <c r="A366" s="161">
        <v>8</v>
      </c>
      <c r="B366" s="162">
        <v>0.58333333333333337</v>
      </c>
      <c r="C366" s="163">
        <v>5.3257394187511116</v>
      </c>
      <c r="D366" s="163">
        <v>764.35828444153572</v>
      </c>
      <c r="E366" s="164">
        <v>0.79789999999999994</v>
      </c>
      <c r="F366" s="164">
        <v>0.79789999999999994</v>
      </c>
      <c r="G366" s="163">
        <v>7</v>
      </c>
      <c r="H366" s="163">
        <v>10</v>
      </c>
      <c r="I366" s="163">
        <v>3</v>
      </c>
      <c r="J366" s="163">
        <v>5</v>
      </c>
      <c r="K366" s="163">
        <v>5.4231578947368426</v>
      </c>
      <c r="L366" s="163">
        <v>0.42315789473684262</v>
      </c>
      <c r="M366" s="163">
        <v>6</v>
      </c>
      <c r="N366" s="163">
        <v>8.9473684210526319</v>
      </c>
      <c r="O366" s="163">
        <v>2.9473684210526319</v>
      </c>
      <c r="P366" s="163"/>
      <c r="Q366" s="163">
        <v>6</v>
      </c>
      <c r="R366" s="163">
        <v>0</v>
      </c>
      <c r="S366" s="163">
        <v>0</v>
      </c>
      <c r="T366" s="163">
        <v>0</v>
      </c>
      <c r="U366" s="163">
        <v>0</v>
      </c>
      <c r="V366" s="163">
        <v>0</v>
      </c>
      <c r="W366" s="163">
        <v>0</v>
      </c>
      <c r="X366" s="163">
        <v>0</v>
      </c>
      <c r="Y366" s="163">
        <v>6</v>
      </c>
      <c r="Z366" s="163">
        <v>6</v>
      </c>
      <c r="AA366" s="163">
        <v>0</v>
      </c>
      <c r="AB366" s="163">
        <v>0</v>
      </c>
      <c r="AC366" s="163">
        <v>6</v>
      </c>
      <c r="AD366" s="163">
        <v>0</v>
      </c>
      <c r="AE366" s="165">
        <v>0.48651801444548837</v>
      </c>
      <c r="AF366" s="166">
        <v>0.41701544095327575</v>
      </c>
    </row>
    <row r="367" spans="1:32">
      <c r="A367" s="161">
        <v>8</v>
      </c>
      <c r="B367" s="162">
        <v>0.60416666666666663</v>
      </c>
      <c r="C367" s="163">
        <v>4.9003192281607948</v>
      </c>
      <c r="D367" s="163">
        <v>784.55146137332599</v>
      </c>
      <c r="E367" s="164">
        <v>0.82589999999999997</v>
      </c>
      <c r="F367" s="164">
        <v>0.82589999999999997</v>
      </c>
      <c r="G367" s="163">
        <v>6</v>
      </c>
      <c r="H367" s="163">
        <v>10</v>
      </c>
      <c r="I367" s="163">
        <v>4</v>
      </c>
      <c r="J367" s="163">
        <v>4</v>
      </c>
      <c r="K367" s="163">
        <v>4.648421052631579</v>
      </c>
      <c r="L367" s="163">
        <v>0.64842105263157901</v>
      </c>
      <c r="M367" s="163">
        <v>5</v>
      </c>
      <c r="N367" s="163">
        <v>8.9473684210526319</v>
      </c>
      <c r="O367" s="163">
        <v>3.9473684210526319</v>
      </c>
      <c r="P367" s="163"/>
      <c r="Q367" s="163">
        <v>6</v>
      </c>
      <c r="R367" s="163">
        <v>0</v>
      </c>
      <c r="S367" s="163">
        <v>0</v>
      </c>
      <c r="T367" s="163">
        <v>0</v>
      </c>
      <c r="U367" s="163">
        <v>0</v>
      </c>
      <c r="V367" s="163">
        <v>0</v>
      </c>
      <c r="W367" s="163">
        <v>0</v>
      </c>
      <c r="X367" s="163">
        <v>0</v>
      </c>
      <c r="Y367" s="163">
        <v>6</v>
      </c>
      <c r="Z367" s="163">
        <v>6</v>
      </c>
      <c r="AA367" s="163">
        <v>0</v>
      </c>
      <c r="AB367" s="163">
        <v>0</v>
      </c>
      <c r="AC367" s="163">
        <v>6</v>
      </c>
      <c r="AD367" s="163">
        <v>0</v>
      </c>
      <c r="AE367" s="165">
        <v>0.45948130297238482</v>
      </c>
      <c r="AF367" s="166">
        <v>0.45948130297238482</v>
      </c>
    </row>
    <row r="368" spans="1:32">
      <c r="A368" s="161">
        <v>8</v>
      </c>
      <c r="B368" s="162">
        <v>0.625</v>
      </c>
      <c r="C368" s="163">
        <v>4.7572081195616338</v>
      </c>
      <c r="D368" s="163">
        <v>792.40088024715567</v>
      </c>
      <c r="E368" s="164">
        <v>0.83479999999999999</v>
      </c>
      <c r="F368" s="164">
        <v>0.83479999999999999</v>
      </c>
      <c r="G368" s="163">
        <v>6</v>
      </c>
      <c r="H368" s="163">
        <v>10</v>
      </c>
      <c r="I368" s="163">
        <v>4</v>
      </c>
      <c r="J368" s="163">
        <v>4</v>
      </c>
      <c r="K368" s="163">
        <v>4.648421052631579</v>
      </c>
      <c r="L368" s="163">
        <v>0.64842105263157901</v>
      </c>
      <c r="M368" s="163">
        <v>5</v>
      </c>
      <c r="N368" s="163">
        <v>8.9473684210526319</v>
      </c>
      <c r="O368" s="163">
        <v>3.9473684210526319</v>
      </c>
      <c r="P368" s="163"/>
      <c r="Q368" s="163">
        <v>6</v>
      </c>
      <c r="R368" s="163">
        <v>0</v>
      </c>
      <c r="S368" s="163">
        <v>0</v>
      </c>
      <c r="T368" s="163">
        <v>0</v>
      </c>
      <c r="U368" s="163">
        <v>0</v>
      </c>
      <c r="V368" s="163">
        <v>0</v>
      </c>
      <c r="W368" s="163">
        <v>0</v>
      </c>
      <c r="X368" s="163">
        <v>0</v>
      </c>
      <c r="Y368" s="163">
        <v>6</v>
      </c>
      <c r="Z368" s="163">
        <v>6</v>
      </c>
      <c r="AA368" s="163">
        <v>0</v>
      </c>
      <c r="AB368" s="163">
        <v>0</v>
      </c>
      <c r="AC368" s="163">
        <v>6</v>
      </c>
      <c r="AD368" s="163">
        <v>0</v>
      </c>
      <c r="AE368" s="165">
        <v>0.45052524989766712</v>
      </c>
      <c r="AF368" s="166">
        <v>0.45052524989766712</v>
      </c>
    </row>
    <row r="369" spans="1:32">
      <c r="A369" s="161">
        <v>8</v>
      </c>
      <c r="B369" s="162">
        <v>0.64583333333333337</v>
      </c>
      <c r="C369" s="163">
        <v>4.5850371302128528</v>
      </c>
      <c r="D369" s="163">
        <v>791.11053917861864</v>
      </c>
      <c r="E369" s="164">
        <v>0.85110000000000008</v>
      </c>
      <c r="F369" s="164">
        <v>0.85110000000000008</v>
      </c>
      <c r="G369" s="163">
        <v>6</v>
      </c>
      <c r="H369" s="163">
        <v>10</v>
      </c>
      <c r="I369" s="163">
        <v>4</v>
      </c>
      <c r="J369" s="163">
        <v>4</v>
      </c>
      <c r="K369" s="163">
        <v>4.648421052631579</v>
      </c>
      <c r="L369" s="163">
        <v>0.64842105263157901</v>
      </c>
      <c r="M369" s="163">
        <v>5</v>
      </c>
      <c r="N369" s="163">
        <v>8.9473684210526319</v>
      </c>
      <c r="O369" s="163">
        <v>3.9473684210526319</v>
      </c>
      <c r="P369" s="163"/>
      <c r="Q369" s="163">
        <v>6</v>
      </c>
      <c r="R369" s="163">
        <v>0</v>
      </c>
      <c r="S369" s="163">
        <v>0</v>
      </c>
      <c r="T369" s="163">
        <v>0</v>
      </c>
      <c r="U369" s="163">
        <v>0</v>
      </c>
      <c r="V369" s="163">
        <v>0</v>
      </c>
      <c r="W369" s="163">
        <v>0</v>
      </c>
      <c r="X369" s="163">
        <v>0</v>
      </c>
      <c r="Y369" s="163">
        <v>6</v>
      </c>
      <c r="Z369" s="163">
        <v>6</v>
      </c>
      <c r="AA369" s="163">
        <v>0</v>
      </c>
      <c r="AB369" s="163">
        <v>0</v>
      </c>
      <c r="AC369" s="163">
        <v>6</v>
      </c>
      <c r="AD369" s="163">
        <v>0</v>
      </c>
      <c r="AE369" s="165">
        <v>0.43351293735215912</v>
      </c>
      <c r="AF369" s="166">
        <v>0.43351293735215912</v>
      </c>
    </row>
    <row r="370" spans="1:32">
      <c r="A370" s="161">
        <v>8</v>
      </c>
      <c r="B370" s="162">
        <v>0.66666666666666663</v>
      </c>
      <c r="C370" s="163">
        <v>4.4191344432657047</v>
      </c>
      <c r="D370" s="163">
        <v>788.19866148365645</v>
      </c>
      <c r="E370" s="164">
        <v>0.86680000000000001</v>
      </c>
      <c r="F370" s="164">
        <v>0.86680000000000001</v>
      </c>
      <c r="G370" s="163">
        <v>6</v>
      </c>
      <c r="H370" s="163">
        <v>10</v>
      </c>
      <c r="I370" s="163">
        <v>4</v>
      </c>
      <c r="J370" s="163">
        <v>4</v>
      </c>
      <c r="K370" s="163">
        <v>4.648421052631579</v>
      </c>
      <c r="L370" s="163">
        <v>0.64842105263157901</v>
      </c>
      <c r="M370" s="163">
        <v>5</v>
      </c>
      <c r="N370" s="163">
        <v>8.9473684210526319</v>
      </c>
      <c r="O370" s="163">
        <v>3.9473684210526319</v>
      </c>
      <c r="P370" s="163"/>
      <c r="Q370" s="163">
        <v>6</v>
      </c>
      <c r="R370" s="163">
        <v>0</v>
      </c>
      <c r="S370" s="163">
        <v>0</v>
      </c>
      <c r="T370" s="163">
        <v>0</v>
      </c>
      <c r="U370" s="163">
        <v>0</v>
      </c>
      <c r="V370" s="163">
        <v>0</v>
      </c>
      <c r="W370" s="163">
        <v>0</v>
      </c>
      <c r="X370" s="163">
        <v>0</v>
      </c>
      <c r="Y370" s="163">
        <v>6</v>
      </c>
      <c r="Z370" s="163">
        <v>6</v>
      </c>
      <c r="AA370" s="163">
        <v>0</v>
      </c>
      <c r="AB370" s="163">
        <v>0</v>
      </c>
      <c r="AC370" s="163">
        <v>6</v>
      </c>
      <c r="AD370" s="163">
        <v>0</v>
      </c>
      <c r="AE370" s="165">
        <v>0.4162890072015189</v>
      </c>
      <c r="AF370" s="166">
        <v>0.4162890072015189</v>
      </c>
    </row>
    <row r="371" spans="1:32">
      <c r="A371" s="161">
        <v>8</v>
      </c>
      <c r="B371" s="162">
        <v>0.6875</v>
      </c>
      <c r="C371" s="163">
        <v>4.2718741853542292</v>
      </c>
      <c r="D371" s="163">
        <v>783.11381190575867</v>
      </c>
      <c r="E371" s="164">
        <v>0.88109999999999999</v>
      </c>
      <c r="F371" s="164">
        <v>0.88109999999999999</v>
      </c>
      <c r="G371" s="163">
        <v>6</v>
      </c>
      <c r="H371" s="163">
        <v>10</v>
      </c>
      <c r="I371" s="163">
        <v>4</v>
      </c>
      <c r="J371" s="163">
        <v>4</v>
      </c>
      <c r="K371" s="163">
        <v>4.648421052631579</v>
      </c>
      <c r="L371" s="163">
        <v>0.64842105263157901</v>
      </c>
      <c r="M371" s="163">
        <v>5</v>
      </c>
      <c r="N371" s="163">
        <v>8.9473684210526319</v>
      </c>
      <c r="O371" s="163">
        <v>3.9473684210526319</v>
      </c>
      <c r="P371" s="163"/>
      <c r="Q371" s="163">
        <v>6</v>
      </c>
      <c r="R371" s="163">
        <v>0</v>
      </c>
      <c r="S371" s="163">
        <v>0</v>
      </c>
      <c r="T371" s="163">
        <v>0</v>
      </c>
      <c r="U371" s="163">
        <v>0</v>
      </c>
      <c r="V371" s="163">
        <v>0</v>
      </c>
      <c r="W371" s="163">
        <v>0</v>
      </c>
      <c r="X371" s="163">
        <v>0</v>
      </c>
      <c r="Y371" s="163">
        <v>6</v>
      </c>
      <c r="Z371" s="163">
        <v>6</v>
      </c>
      <c r="AA371" s="163">
        <v>0</v>
      </c>
      <c r="AB371" s="163">
        <v>0</v>
      </c>
      <c r="AC371" s="163">
        <v>6</v>
      </c>
      <c r="AD371" s="163">
        <v>0</v>
      </c>
      <c r="AE371" s="165">
        <v>0.39982078973062979</v>
      </c>
      <c r="AF371" s="166">
        <v>0.39982078973062979</v>
      </c>
    </row>
    <row r="372" spans="1:32">
      <c r="A372" s="161">
        <v>8</v>
      </c>
      <c r="B372" s="162">
        <v>0.70833333333333337</v>
      </c>
      <c r="C372" s="163">
        <v>4.1995398019916959</v>
      </c>
      <c r="D372" s="163">
        <v>764.4667333964544</v>
      </c>
      <c r="E372" s="164">
        <v>0.89429999999999998</v>
      </c>
      <c r="F372" s="164">
        <v>0.89429999999999998</v>
      </c>
      <c r="G372" s="163">
        <v>6</v>
      </c>
      <c r="H372" s="163">
        <v>10</v>
      </c>
      <c r="I372" s="163">
        <v>4</v>
      </c>
      <c r="J372" s="163">
        <v>4</v>
      </c>
      <c r="K372" s="163">
        <v>4.648421052631579</v>
      </c>
      <c r="L372" s="163">
        <v>0.64842105263157901</v>
      </c>
      <c r="M372" s="163">
        <v>5</v>
      </c>
      <c r="N372" s="163">
        <v>8.9473684210526319</v>
      </c>
      <c r="O372" s="163">
        <v>3.9473684210526319</v>
      </c>
      <c r="P372" s="163"/>
      <c r="Q372" s="163">
        <v>6</v>
      </c>
      <c r="R372" s="163">
        <v>0</v>
      </c>
      <c r="S372" s="163">
        <v>0</v>
      </c>
      <c r="T372" s="163">
        <v>0</v>
      </c>
      <c r="U372" s="163">
        <v>0</v>
      </c>
      <c r="V372" s="163">
        <v>0</v>
      </c>
      <c r="W372" s="163">
        <v>0</v>
      </c>
      <c r="X372" s="163">
        <v>0</v>
      </c>
      <c r="Y372" s="163">
        <v>6</v>
      </c>
      <c r="Z372" s="163">
        <v>6</v>
      </c>
      <c r="AA372" s="163">
        <v>0</v>
      </c>
      <c r="AB372" s="163">
        <v>0</v>
      </c>
      <c r="AC372" s="163">
        <v>6</v>
      </c>
      <c r="AD372" s="163">
        <v>0</v>
      </c>
      <c r="AE372" s="165">
        <v>0.38369163276055945</v>
      </c>
      <c r="AF372" s="166">
        <v>0.38369163276055945</v>
      </c>
    </row>
    <row r="373" spans="1:32">
      <c r="A373" s="161">
        <v>8</v>
      </c>
      <c r="B373" s="162">
        <v>0.72916666666666663</v>
      </c>
      <c r="C373" s="163">
        <v>3.9209231891038359</v>
      </c>
      <c r="D373" s="163">
        <v>747.2488557270791</v>
      </c>
      <c r="E373" s="164">
        <v>0.96889999999999998</v>
      </c>
      <c r="F373" s="164">
        <v>0.96889999999999998</v>
      </c>
      <c r="G373" s="163">
        <v>6</v>
      </c>
      <c r="H373" s="163">
        <v>11.333333333333332</v>
      </c>
      <c r="I373" s="163">
        <v>5.3333333333333321</v>
      </c>
      <c r="J373" s="163">
        <v>4</v>
      </c>
      <c r="K373" s="163">
        <v>4.648421052631579</v>
      </c>
      <c r="L373" s="163">
        <v>0.64842105263157901</v>
      </c>
      <c r="M373" s="163">
        <v>5</v>
      </c>
      <c r="N373" s="163">
        <v>10.140350877192981</v>
      </c>
      <c r="O373" s="163">
        <v>5.1403508771929811</v>
      </c>
      <c r="P373" s="163"/>
      <c r="Q373" s="163">
        <v>6</v>
      </c>
      <c r="R373" s="163">
        <v>0</v>
      </c>
      <c r="S373" s="163">
        <v>0</v>
      </c>
      <c r="T373" s="163">
        <v>0</v>
      </c>
      <c r="U373" s="163">
        <v>0</v>
      </c>
      <c r="V373" s="163">
        <v>0</v>
      </c>
      <c r="W373" s="163">
        <v>0</v>
      </c>
      <c r="X373" s="163">
        <v>0</v>
      </c>
      <c r="Y373" s="163">
        <v>6</v>
      </c>
      <c r="Z373" s="163">
        <v>6</v>
      </c>
      <c r="AA373" s="163">
        <v>0</v>
      </c>
      <c r="AB373" s="163">
        <v>0</v>
      </c>
      <c r="AC373" s="163">
        <v>6</v>
      </c>
      <c r="AD373" s="163">
        <v>0</v>
      </c>
      <c r="AE373" s="165">
        <v>0.35016733319859983</v>
      </c>
      <c r="AF373" s="166">
        <v>0.35016733319859983</v>
      </c>
    </row>
    <row r="374" spans="1:32">
      <c r="A374" s="161">
        <v>8</v>
      </c>
      <c r="B374" s="162">
        <v>0.75</v>
      </c>
      <c r="C374" s="163">
        <v>4.1368203874176661</v>
      </c>
      <c r="D374" s="163">
        <v>730.75222160749956</v>
      </c>
      <c r="E374" s="164">
        <v>0.9929</v>
      </c>
      <c r="F374" s="164">
        <v>0.9929</v>
      </c>
      <c r="G374" s="163">
        <v>6</v>
      </c>
      <c r="H374" s="163">
        <v>13.333333333333332</v>
      </c>
      <c r="I374" s="163">
        <v>7.3333333333333321</v>
      </c>
      <c r="J374" s="163">
        <v>4</v>
      </c>
      <c r="K374" s="163">
        <v>4.648421052631579</v>
      </c>
      <c r="L374" s="163">
        <v>0.64842105263157901</v>
      </c>
      <c r="M374" s="163">
        <v>5</v>
      </c>
      <c r="N374" s="163">
        <v>11.929824561403509</v>
      </c>
      <c r="O374" s="163">
        <v>6.9298245614035086</v>
      </c>
      <c r="P374" s="163"/>
      <c r="Q374" s="163">
        <v>8</v>
      </c>
      <c r="R374" s="163">
        <v>0</v>
      </c>
      <c r="S374" s="163">
        <v>0</v>
      </c>
      <c r="T374" s="163">
        <v>0</v>
      </c>
      <c r="U374" s="163">
        <v>0</v>
      </c>
      <c r="V374" s="163">
        <v>0</v>
      </c>
      <c r="W374" s="163">
        <v>0</v>
      </c>
      <c r="X374" s="163">
        <v>0</v>
      </c>
      <c r="Y374" s="163">
        <v>8</v>
      </c>
      <c r="Z374" s="163">
        <v>8</v>
      </c>
      <c r="AA374" s="163">
        <v>0</v>
      </c>
      <c r="AB374" s="163">
        <v>0</v>
      </c>
      <c r="AC374" s="163">
        <v>8</v>
      </c>
      <c r="AD374" s="163">
        <v>0</v>
      </c>
      <c r="AE374" s="165">
        <v>0.27096931178968747</v>
      </c>
      <c r="AF374" s="166">
        <v>0.36129241571958332</v>
      </c>
    </row>
    <row r="375" spans="1:32">
      <c r="A375" s="161">
        <v>8</v>
      </c>
      <c r="B375" s="162">
        <v>0.77083333333333337</v>
      </c>
      <c r="C375" s="163">
        <v>4.4105469121807417</v>
      </c>
      <c r="D375" s="163">
        <v>714.4117321651579</v>
      </c>
      <c r="E375" s="164">
        <v>0.99139999999999995</v>
      </c>
      <c r="F375" s="164">
        <v>0.99139999999999995</v>
      </c>
      <c r="G375" s="163">
        <v>6</v>
      </c>
      <c r="H375" s="163">
        <v>13.333333333333332</v>
      </c>
      <c r="I375" s="163">
        <v>7.3333333333333321</v>
      </c>
      <c r="J375" s="163">
        <v>4</v>
      </c>
      <c r="K375" s="163">
        <v>4.648421052631579</v>
      </c>
      <c r="L375" s="163">
        <v>0.64842105263157901</v>
      </c>
      <c r="M375" s="163">
        <v>5</v>
      </c>
      <c r="N375" s="163">
        <v>11.929824561403509</v>
      </c>
      <c r="O375" s="163">
        <v>6.9298245614035086</v>
      </c>
      <c r="P375" s="163"/>
      <c r="Q375" s="163">
        <v>8</v>
      </c>
      <c r="R375" s="163">
        <v>0</v>
      </c>
      <c r="S375" s="163">
        <v>0</v>
      </c>
      <c r="T375" s="163">
        <v>0</v>
      </c>
      <c r="U375" s="163">
        <v>0</v>
      </c>
      <c r="V375" s="163">
        <v>0</v>
      </c>
      <c r="W375" s="163">
        <v>0</v>
      </c>
      <c r="X375" s="163">
        <v>0</v>
      </c>
      <c r="Y375" s="163">
        <v>8</v>
      </c>
      <c r="Z375" s="163">
        <v>8</v>
      </c>
      <c r="AA375" s="163">
        <v>0</v>
      </c>
      <c r="AB375" s="163">
        <v>0</v>
      </c>
      <c r="AC375" s="163">
        <v>8</v>
      </c>
      <c r="AD375" s="163">
        <v>0</v>
      </c>
      <c r="AE375" s="165">
        <v>0.28243877720791771</v>
      </c>
      <c r="AF375" s="166">
        <v>0.37658503627722367</v>
      </c>
    </row>
    <row r="376" spans="1:32">
      <c r="A376" s="161">
        <v>8</v>
      </c>
      <c r="B376" s="162">
        <v>0.79166666666666663</v>
      </c>
      <c r="C376" s="163">
        <v>4.110951972997217</v>
      </c>
      <c r="D376" s="163">
        <v>703.3464001267871</v>
      </c>
      <c r="E376" s="164">
        <v>0.99429999999999996</v>
      </c>
      <c r="F376" s="164">
        <v>0.99429999999999996</v>
      </c>
      <c r="G376" s="163">
        <v>6</v>
      </c>
      <c r="H376" s="163">
        <v>13.333333333333332</v>
      </c>
      <c r="I376" s="163">
        <v>7.3333333333333321</v>
      </c>
      <c r="J376" s="163">
        <v>4</v>
      </c>
      <c r="K376" s="163">
        <v>4.648421052631579</v>
      </c>
      <c r="L376" s="163">
        <v>0.64842105263157901</v>
      </c>
      <c r="M376" s="163">
        <v>5</v>
      </c>
      <c r="N376" s="163">
        <v>11.929824561403509</v>
      </c>
      <c r="O376" s="163">
        <v>6.9298245614035086</v>
      </c>
      <c r="P376" s="163"/>
      <c r="Q376" s="163">
        <v>8</v>
      </c>
      <c r="R376" s="163">
        <v>0</v>
      </c>
      <c r="S376" s="163">
        <v>0</v>
      </c>
      <c r="T376" s="163">
        <v>0</v>
      </c>
      <c r="U376" s="163">
        <v>0</v>
      </c>
      <c r="V376" s="163">
        <v>0</v>
      </c>
      <c r="W376" s="163">
        <v>0</v>
      </c>
      <c r="X376" s="163">
        <v>0</v>
      </c>
      <c r="Y376" s="163">
        <v>8</v>
      </c>
      <c r="Z376" s="163">
        <v>8</v>
      </c>
      <c r="AA376" s="163">
        <v>0</v>
      </c>
      <c r="AB376" s="163">
        <v>0</v>
      </c>
      <c r="AC376" s="163">
        <v>8</v>
      </c>
      <c r="AD376" s="163">
        <v>0</v>
      </c>
      <c r="AE376" s="165">
        <v>0.25917611221850656</v>
      </c>
      <c r="AF376" s="166">
        <v>0.34556814962467541</v>
      </c>
    </row>
    <row r="377" spans="1:32">
      <c r="A377" s="161">
        <v>8</v>
      </c>
      <c r="B377" s="162">
        <v>0.8125</v>
      </c>
      <c r="C377" s="163">
        <v>3.8324808455894046</v>
      </c>
      <c r="D377" s="163">
        <v>699.93111216194814</v>
      </c>
      <c r="E377" s="164">
        <v>0.99609999999999987</v>
      </c>
      <c r="F377" s="164">
        <v>0.99609999999999987</v>
      </c>
      <c r="G377" s="163">
        <v>6</v>
      </c>
      <c r="H377" s="163">
        <v>13.333333333333332</v>
      </c>
      <c r="I377" s="163">
        <v>7.3333333333333321</v>
      </c>
      <c r="J377" s="163">
        <v>4</v>
      </c>
      <c r="K377" s="163">
        <v>4.648421052631579</v>
      </c>
      <c r="L377" s="163">
        <v>0.64842105263157901</v>
      </c>
      <c r="M377" s="163">
        <v>5</v>
      </c>
      <c r="N377" s="163">
        <v>11.929824561403509</v>
      </c>
      <c r="O377" s="163">
        <v>6.9298245614035086</v>
      </c>
      <c r="P377" s="163"/>
      <c r="Q377" s="163">
        <v>8</v>
      </c>
      <c r="R377" s="163">
        <v>0</v>
      </c>
      <c r="S377" s="163">
        <v>0</v>
      </c>
      <c r="T377" s="163">
        <v>0</v>
      </c>
      <c r="U377" s="163">
        <v>0</v>
      </c>
      <c r="V377" s="163">
        <v>0</v>
      </c>
      <c r="W377" s="163">
        <v>0</v>
      </c>
      <c r="X377" s="163">
        <v>0</v>
      </c>
      <c r="Y377" s="163">
        <v>8</v>
      </c>
      <c r="Z377" s="163">
        <v>8</v>
      </c>
      <c r="AA377" s="163">
        <v>0</v>
      </c>
      <c r="AB377" s="163">
        <v>0</v>
      </c>
      <c r="AC377" s="163">
        <v>8</v>
      </c>
      <c r="AD377" s="163">
        <v>0</v>
      </c>
      <c r="AE377" s="165">
        <v>0.24044657227158039</v>
      </c>
      <c r="AF377" s="166">
        <v>0.32059542969544053</v>
      </c>
    </row>
    <row r="378" spans="1:32">
      <c r="A378" s="161">
        <v>8</v>
      </c>
      <c r="B378" s="162">
        <v>0.83333333333333337</v>
      </c>
      <c r="C378" s="163">
        <v>3.6450967978144044</v>
      </c>
      <c r="D378" s="163">
        <v>692.63379340730944</v>
      </c>
      <c r="E378" s="164">
        <v>0.96466666666666667</v>
      </c>
      <c r="F378" s="164">
        <v>0.96466666666666667</v>
      </c>
      <c r="G378" s="163">
        <v>4</v>
      </c>
      <c r="H378" s="163">
        <v>12</v>
      </c>
      <c r="I378" s="163">
        <v>8</v>
      </c>
      <c r="J378" s="163">
        <v>3</v>
      </c>
      <c r="K378" s="163">
        <v>3.0989473684210527</v>
      </c>
      <c r="L378" s="163">
        <v>9.8947368421052673E-2</v>
      </c>
      <c r="M378" s="163">
        <v>4</v>
      </c>
      <c r="N378" s="163">
        <v>10.736842105263158</v>
      </c>
      <c r="O378" s="163">
        <v>6.7368421052631575</v>
      </c>
      <c r="P378" s="163"/>
      <c r="Q378" s="163">
        <v>8</v>
      </c>
      <c r="R378" s="163">
        <v>0</v>
      </c>
      <c r="S378" s="163">
        <v>0</v>
      </c>
      <c r="T378" s="163">
        <v>0</v>
      </c>
      <c r="U378" s="163">
        <v>0</v>
      </c>
      <c r="V378" s="163">
        <v>0</v>
      </c>
      <c r="W378" s="163">
        <v>0</v>
      </c>
      <c r="X378" s="163">
        <v>0</v>
      </c>
      <c r="Y378" s="163">
        <v>8</v>
      </c>
      <c r="Z378" s="163">
        <v>8</v>
      </c>
      <c r="AA378" s="163">
        <v>0</v>
      </c>
      <c r="AB378" s="163">
        <v>0</v>
      </c>
      <c r="AC378" s="163">
        <v>8</v>
      </c>
      <c r="AD378" s="163">
        <v>0</v>
      </c>
      <c r="AE378" s="165">
        <v>0.22630598593058157</v>
      </c>
      <c r="AF378" s="166">
        <v>0.45261197186116314</v>
      </c>
    </row>
    <row r="379" spans="1:32">
      <c r="A379" s="161">
        <v>8</v>
      </c>
      <c r="B379" s="162">
        <v>0.85416666666666663</v>
      </c>
      <c r="C379" s="163">
        <v>3.2690361037431526</v>
      </c>
      <c r="D379" s="163">
        <v>687.90446244376426</v>
      </c>
      <c r="E379" s="164">
        <v>0.89180000000000004</v>
      </c>
      <c r="F379" s="164">
        <v>0.89180000000000004</v>
      </c>
      <c r="G379" s="163">
        <v>4</v>
      </c>
      <c r="H379" s="163">
        <v>8.6666666666666661</v>
      </c>
      <c r="I379" s="163">
        <v>4.6666666666666661</v>
      </c>
      <c r="J379" s="163">
        <v>3</v>
      </c>
      <c r="K379" s="163">
        <v>3.0989473684210527</v>
      </c>
      <c r="L379" s="163">
        <v>9.8947368421052673E-2</v>
      </c>
      <c r="M379" s="163">
        <v>4</v>
      </c>
      <c r="N379" s="163">
        <v>7.7543859649122799</v>
      </c>
      <c r="O379" s="163">
        <v>3.7543859649122799</v>
      </c>
      <c r="P379" s="163"/>
      <c r="Q379" s="163">
        <v>6</v>
      </c>
      <c r="R379" s="163">
        <v>0</v>
      </c>
      <c r="S379" s="163">
        <v>0</v>
      </c>
      <c r="T379" s="163">
        <v>0</v>
      </c>
      <c r="U379" s="163">
        <v>0</v>
      </c>
      <c r="V379" s="163">
        <v>0</v>
      </c>
      <c r="W379" s="163">
        <v>0</v>
      </c>
      <c r="X379" s="163">
        <v>0</v>
      </c>
      <c r="Y379" s="163">
        <v>6</v>
      </c>
      <c r="Z379" s="163">
        <v>6</v>
      </c>
      <c r="AA379" s="163">
        <v>0</v>
      </c>
      <c r="AB379" s="163">
        <v>0</v>
      </c>
      <c r="AC379" s="163">
        <v>6</v>
      </c>
      <c r="AD379" s="163">
        <v>0</v>
      </c>
      <c r="AE379" s="165">
        <v>0.26876324696456777</v>
      </c>
      <c r="AF379" s="166">
        <v>0.40314487044685171</v>
      </c>
    </row>
    <row r="380" spans="1:32">
      <c r="A380" s="161">
        <v>8</v>
      </c>
      <c r="B380" s="162">
        <v>0.875</v>
      </c>
      <c r="C380" s="163">
        <v>2.7320282196089547</v>
      </c>
      <c r="D380" s="163">
        <v>689.61848043699558</v>
      </c>
      <c r="E380" s="164">
        <v>0.90569999999999995</v>
      </c>
      <c r="F380" s="164">
        <v>0.90569999999999995</v>
      </c>
      <c r="G380" s="163">
        <v>4</v>
      </c>
      <c r="H380" s="163">
        <v>6.6666666666666661</v>
      </c>
      <c r="I380" s="163">
        <v>2.6666666666666661</v>
      </c>
      <c r="J380" s="163">
        <v>3</v>
      </c>
      <c r="K380" s="163">
        <v>3.0989473684210527</v>
      </c>
      <c r="L380" s="163">
        <v>9.8947368421052673E-2</v>
      </c>
      <c r="M380" s="163">
        <v>4</v>
      </c>
      <c r="N380" s="163">
        <v>5.9649122807017543</v>
      </c>
      <c r="O380" s="163">
        <v>1.9649122807017543</v>
      </c>
      <c r="P380" s="163"/>
      <c r="Q380" s="163">
        <v>4</v>
      </c>
      <c r="R380" s="163">
        <v>0</v>
      </c>
      <c r="S380" s="163">
        <v>0</v>
      </c>
      <c r="T380" s="163">
        <v>0</v>
      </c>
      <c r="U380" s="163">
        <v>0</v>
      </c>
      <c r="V380" s="163">
        <v>0</v>
      </c>
      <c r="W380" s="163">
        <v>0</v>
      </c>
      <c r="X380" s="163">
        <v>0</v>
      </c>
      <c r="Y380" s="163">
        <v>4</v>
      </c>
      <c r="Z380" s="163">
        <v>4</v>
      </c>
      <c r="AA380" s="163">
        <v>0</v>
      </c>
      <c r="AB380" s="163">
        <v>0</v>
      </c>
      <c r="AC380" s="163">
        <v>4</v>
      </c>
      <c r="AD380" s="163">
        <v>0</v>
      </c>
      <c r="AE380" s="165">
        <v>0.33775933949498643</v>
      </c>
      <c r="AF380" s="166">
        <v>0.33775933949498643</v>
      </c>
    </row>
    <row r="381" spans="1:32">
      <c r="A381" s="161">
        <v>8</v>
      </c>
      <c r="B381" s="162">
        <v>0.89583333333333337</v>
      </c>
      <c r="C381" s="163">
        <v>2.3894479562540969</v>
      </c>
      <c r="D381" s="163">
        <v>678.81015298667501</v>
      </c>
      <c r="E381" s="164">
        <v>0.93500000000000005</v>
      </c>
      <c r="F381" s="164">
        <v>0.93500000000000005</v>
      </c>
      <c r="G381" s="163">
        <v>4</v>
      </c>
      <c r="H381" s="163">
        <v>6.6666666666666661</v>
      </c>
      <c r="I381" s="163">
        <v>2.6666666666666661</v>
      </c>
      <c r="J381" s="163">
        <v>3</v>
      </c>
      <c r="K381" s="163">
        <v>3.0989473684210527</v>
      </c>
      <c r="L381" s="163">
        <v>9.8947368421052673E-2</v>
      </c>
      <c r="M381" s="163">
        <v>4</v>
      </c>
      <c r="N381" s="163">
        <v>5.9649122807017543</v>
      </c>
      <c r="O381" s="163">
        <v>1.9649122807017543</v>
      </c>
      <c r="P381" s="163"/>
      <c r="Q381" s="163">
        <v>4</v>
      </c>
      <c r="R381" s="163">
        <v>0</v>
      </c>
      <c r="S381" s="163">
        <v>0</v>
      </c>
      <c r="T381" s="163">
        <v>0</v>
      </c>
      <c r="U381" s="163">
        <v>0</v>
      </c>
      <c r="V381" s="163">
        <v>0</v>
      </c>
      <c r="W381" s="163">
        <v>0</v>
      </c>
      <c r="X381" s="163">
        <v>0</v>
      </c>
      <c r="Y381" s="163">
        <v>4</v>
      </c>
      <c r="Z381" s="163">
        <v>4</v>
      </c>
      <c r="AA381" s="163">
        <v>0</v>
      </c>
      <c r="AB381" s="163">
        <v>0</v>
      </c>
      <c r="AC381" s="163">
        <v>4</v>
      </c>
      <c r="AD381" s="163">
        <v>0</v>
      </c>
      <c r="AE381" s="165">
        <v>0.29077642966893386</v>
      </c>
      <c r="AF381" s="166">
        <v>0.29077642966893386</v>
      </c>
    </row>
    <row r="382" spans="1:32">
      <c r="A382" s="161">
        <v>8</v>
      </c>
      <c r="B382" s="162">
        <v>0.91666666666666663</v>
      </c>
      <c r="C382" s="163">
        <v>2.0465102551526226</v>
      </c>
      <c r="D382" s="163">
        <v>672.63166155958288</v>
      </c>
      <c r="E382" s="164">
        <v>0.59393333333333331</v>
      </c>
      <c r="F382" s="164">
        <v>0.59393333333333331</v>
      </c>
      <c r="G382" s="163">
        <v>4</v>
      </c>
      <c r="H382" s="163">
        <v>5.333333333333333</v>
      </c>
      <c r="I382" s="163">
        <v>1.333333333333333</v>
      </c>
      <c r="J382" s="163">
        <v>3</v>
      </c>
      <c r="K382" s="163">
        <v>3.0989473684210527</v>
      </c>
      <c r="L382" s="163">
        <v>9.8947368421052673E-2</v>
      </c>
      <c r="M382" s="163">
        <v>4</v>
      </c>
      <c r="N382" s="163">
        <v>4.7719298245614032</v>
      </c>
      <c r="O382" s="163">
        <v>0.77192982456140324</v>
      </c>
      <c r="P382" s="163"/>
      <c r="Q382" s="163">
        <v>4</v>
      </c>
      <c r="R382" s="163">
        <v>0</v>
      </c>
      <c r="S382" s="163">
        <v>0</v>
      </c>
      <c r="T382" s="163">
        <v>0</v>
      </c>
      <c r="U382" s="163">
        <v>0</v>
      </c>
      <c r="V382" s="163">
        <v>0</v>
      </c>
      <c r="W382" s="163">
        <v>0</v>
      </c>
      <c r="X382" s="163">
        <v>0</v>
      </c>
      <c r="Y382" s="163">
        <v>4</v>
      </c>
      <c r="Z382" s="163">
        <v>4</v>
      </c>
      <c r="AA382" s="163">
        <v>0</v>
      </c>
      <c r="AB382" s="163">
        <v>0</v>
      </c>
      <c r="AC382" s="163">
        <v>4</v>
      </c>
      <c r="AD382" s="163">
        <v>0</v>
      </c>
      <c r="AE382" s="165">
        <v>0.24677691229920226</v>
      </c>
      <c r="AF382" s="166">
        <v>0.24677691229920226</v>
      </c>
    </row>
    <row r="383" spans="1:32">
      <c r="A383" s="161">
        <v>8</v>
      </c>
      <c r="B383" s="162">
        <v>0.9375</v>
      </c>
      <c r="C383" s="163">
        <v>1.7819721118916549</v>
      </c>
      <c r="D383" s="163">
        <v>660.2001262668615</v>
      </c>
      <c r="E383" s="164">
        <v>0.48359999999999997</v>
      </c>
      <c r="F383" s="164">
        <v>0.48359999999999997</v>
      </c>
      <c r="G383" s="163">
        <v>3</v>
      </c>
      <c r="H383" s="163">
        <v>3.333333333333333</v>
      </c>
      <c r="I383" s="163">
        <v>0.33333333333333304</v>
      </c>
      <c r="J383" s="163">
        <v>2</v>
      </c>
      <c r="K383" s="163">
        <v>2.3242105263157895</v>
      </c>
      <c r="L383" s="163">
        <v>0.3242105263157895</v>
      </c>
      <c r="M383" s="163">
        <v>3</v>
      </c>
      <c r="N383" s="163">
        <v>2.9824561403508771</v>
      </c>
      <c r="O383" s="163">
        <v>-1.7543859649122862E-2</v>
      </c>
      <c r="P383" s="163"/>
      <c r="Q383" s="163">
        <v>2</v>
      </c>
      <c r="R383" s="163">
        <v>0</v>
      </c>
      <c r="S383" s="163">
        <v>0</v>
      </c>
      <c r="T383" s="163">
        <v>0</v>
      </c>
      <c r="U383" s="163">
        <v>0</v>
      </c>
      <c r="V383" s="163">
        <v>0</v>
      </c>
      <c r="W383" s="163">
        <v>0</v>
      </c>
      <c r="X383" s="163">
        <v>0</v>
      </c>
      <c r="Y383" s="163">
        <v>2</v>
      </c>
      <c r="Z383" s="163">
        <v>2</v>
      </c>
      <c r="AA383" s="163">
        <v>0</v>
      </c>
      <c r="AB383" s="163">
        <v>0</v>
      </c>
      <c r="AC383" s="163">
        <v>2</v>
      </c>
      <c r="AD383" s="163">
        <v>0</v>
      </c>
      <c r="AE383" s="165">
        <v>0.421812840659402</v>
      </c>
      <c r="AF383" s="166">
        <v>0.28120856043960135</v>
      </c>
    </row>
    <row r="384" spans="1:32">
      <c r="A384" s="161">
        <v>8</v>
      </c>
      <c r="B384" s="162">
        <v>0.95833333333333337</v>
      </c>
      <c r="C384" s="163">
        <v>1.506847310059811</v>
      </c>
      <c r="D384" s="163">
        <v>649.55270329452253</v>
      </c>
      <c r="E384" s="164">
        <v>0.55800000000000005</v>
      </c>
      <c r="F384" s="164">
        <v>0.55800000000000005</v>
      </c>
      <c r="G384" s="163">
        <v>3</v>
      </c>
      <c r="H384" s="163">
        <v>3.333333333333333</v>
      </c>
      <c r="I384" s="163">
        <v>0.33333333333333304</v>
      </c>
      <c r="J384" s="163">
        <v>2</v>
      </c>
      <c r="K384" s="163">
        <v>2.3242105263157895</v>
      </c>
      <c r="L384" s="163">
        <v>0.3242105263157895</v>
      </c>
      <c r="M384" s="163">
        <v>3</v>
      </c>
      <c r="N384" s="163">
        <v>2.9824561403508771</v>
      </c>
      <c r="O384" s="163">
        <v>-1.7543859649122862E-2</v>
      </c>
      <c r="P384" s="163"/>
      <c r="Q384" s="163">
        <v>2</v>
      </c>
      <c r="R384" s="163">
        <v>0</v>
      </c>
      <c r="S384" s="163">
        <v>0</v>
      </c>
      <c r="T384" s="163">
        <v>0</v>
      </c>
      <c r="U384" s="163">
        <v>0</v>
      </c>
      <c r="V384" s="163">
        <v>0</v>
      </c>
      <c r="W384" s="163">
        <v>0</v>
      </c>
      <c r="X384" s="163">
        <v>0</v>
      </c>
      <c r="Y384" s="163">
        <v>2</v>
      </c>
      <c r="Z384" s="163">
        <v>2</v>
      </c>
      <c r="AA384" s="163">
        <v>0</v>
      </c>
      <c r="AB384" s="163">
        <v>0</v>
      </c>
      <c r="AC384" s="163">
        <v>2</v>
      </c>
      <c r="AD384" s="163">
        <v>0</v>
      </c>
      <c r="AE384" s="165">
        <v>0.35093520022507485</v>
      </c>
      <c r="AF384" s="166">
        <v>0.23395680015004988</v>
      </c>
    </row>
    <row r="385" spans="1:32">
      <c r="A385" s="161">
        <v>8</v>
      </c>
      <c r="B385" s="162">
        <v>0.97916666666666663</v>
      </c>
      <c r="C385" s="163">
        <v>1.1561696000528228</v>
      </c>
      <c r="D385" s="163">
        <v>584.47884297698226</v>
      </c>
      <c r="E385" s="164">
        <v>0.68169999999999986</v>
      </c>
      <c r="F385" s="164">
        <v>0.68169999999999986</v>
      </c>
      <c r="G385" s="163">
        <v>3</v>
      </c>
      <c r="H385" s="163">
        <v>3.333333333333333</v>
      </c>
      <c r="I385" s="163">
        <v>0.33333333333333304</v>
      </c>
      <c r="J385" s="163">
        <v>2</v>
      </c>
      <c r="K385" s="163">
        <v>2.3242105263157895</v>
      </c>
      <c r="L385" s="163">
        <v>0.3242105263157895</v>
      </c>
      <c r="M385" s="163">
        <v>3</v>
      </c>
      <c r="N385" s="163">
        <v>2.9824561403508771</v>
      </c>
      <c r="O385" s="163">
        <v>-1.7543859649122862E-2</v>
      </c>
      <c r="P385" s="163"/>
      <c r="Q385" s="163">
        <v>2</v>
      </c>
      <c r="R385" s="163">
        <v>0</v>
      </c>
      <c r="S385" s="163">
        <v>0</v>
      </c>
      <c r="T385" s="163">
        <v>0</v>
      </c>
      <c r="U385" s="163">
        <v>0</v>
      </c>
      <c r="V385" s="163">
        <v>0</v>
      </c>
      <c r="W385" s="163">
        <v>0</v>
      </c>
      <c r="X385" s="163">
        <v>0</v>
      </c>
      <c r="Y385" s="163">
        <v>2</v>
      </c>
      <c r="Z385" s="163">
        <v>2</v>
      </c>
      <c r="AA385" s="163">
        <v>0</v>
      </c>
      <c r="AB385" s="163">
        <v>0</v>
      </c>
      <c r="AC385" s="163">
        <v>2</v>
      </c>
      <c r="AD385" s="163">
        <v>0</v>
      </c>
      <c r="AE385" s="165">
        <v>0.24228896309549833</v>
      </c>
      <c r="AF385" s="166">
        <v>0.16152597539699889</v>
      </c>
    </row>
    <row r="386" spans="1:32">
      <c r="A386" s="161">
        <v>9</v>
      </c>
      <c r="B386" s="162">
        <v>0</v>
      </c>
      <c r="C386" s="163">
        <v>0.67226132888607903</v>
      </c>
      <c r="D386" s="163">
        <v>644.04574583407168</v>
      </c>
      <c r="E386" s="164">
        <v>0.78720000000000001</v>
      </c>
      <c r="F386" s="164">
        <v>0.78720000000000001</v>
      </c>
      <c r="G386" s="163">
        <v>3</v>
      </c>
      <c r="H386" s="163">
        <v>3.333333333333333</v>
      </c>
      <c r="I386" s="163">
        <v>0.33333333333333304</v>
      </c>
      <c r="J386" s="163">
        <v>2</v>
      </c>
      <c r="K386" s="163">
        <v>2.3242105263157895</v>
      </c>
      <c r="L386" s="163">
        <v>0.3242105263157895</v>
      </c>
      <c r="M386" s="163">
        <v>3</v>
      </c>
      <c r="N386" s="163">
        <v>2.9824561403508771</v>
      </c>
      <c r="O386" s="163">
        <v>-1.7543859649122862E-2</v>
      </c>
      <c r="P386" s="163"/>
      <c r="Q386" s="163">
        <v>2</v>
      </c>
      <c r="R386" s="163">
        <v>0</v>
      </c>
      <c r="S386" s="163">
        <v>0</v>
      </c>
      <c r="T386" s="163">
        <v>0</v>
      </c>
      <c r="U386" s="163">
        <v>0</v>
      </c>
      <c r="V386" s="163">
        <v>0</v>
      </c>
      <c r="W386" s="163">
        <v>0</v>
      </c>
      <c r="X386" s="163">
        <v>0</v>
      </c>
      <c r="Y386" s="163">
        <v>2</v>
      </c>
      <c r="Z386" s="163">
        <v>2</v>
      </c>
      <c r="AA386" s="163">
        <v>0</v>
      </c>
      <c r="AB386" s="163">
        <v>0</v>
      </c>
      <c r="AC386" s="163">
        <v>2</v>
      </c>
      <c r="AD386" s="163">
        <v>0</v>
      </c>
      <c r="AE386" s="165">
        <v>0.15523803461275174</v>
      </c>
      <c r="AF386" s="166">
        <v>0.10349202307516782</v>
      </c>
    </row>
    <row r="387" spans="1:32">
      <c r="A387" s="161">
        <v>9</v>
      </c>
      <c r="B387" s="162">
        <v>2.0833333333333332E-2</v>
      </c>
      <c r="C387" s="163">
        <v>0.42709461951379513</v>
      </c>
      <c r="D387" s="163">
        <v>643.88553894896461</v>
      </c>
      <c r="E387" s="164">
        <v>0.86129999999999995</v>
      </c>
      <c r="F387" s="164">
        <v>0.86129999999999995</v>
      </c>
      <c r="G387" s="163">
        <v>2</v>
      </c>
      <c r="H387" s="163">
        <v>3.333333333333333</v>
      </c>
      <c r="I387" s="163">
        <v>1.333333333333333</v>
      </c>
      <c r="J387" s="163">
        <v>1</v>
      </c>
      <c r="K387" s="163">
        <v>1.5494736842105263</v>
      </c>
      <c r="L387" s="163">
        <v>0.54947368421052634</v>
      </c>
      <c r="M387" s="163">
        <v>2</v>
      </c>
      <c r="N387" s="163">
        <v>2.9824561403508771</v>
      </c>
      <c r="O387" s="163">
        <v>0.98245614035087714</v>
      </c>
      <c r="P387" s="163"/>
      <c r="Q387" s="163">
        <v>2</v>
      </c>
      <c r="R387" s="163">
        <v>0</v>
      </c>
      <c r="S387" s="163">
        <v>0</v>
      </c>
      <c r="T387" s="163">
        <v>0</v>
      </c>
      <c r="U387" s="163">
        <v>0</v>
      </c>
      <c r="V387" s="163">
        <v>0</v>
      </c>
      <c r="W387" s="163">
        <v>0</v>
      </c>
      <c r="X387" s="163">
        <v>0</v>
      </c>
      <c r="Y387" s="163">
        <v>2</v>
      </c>
      <c r="Z387" s="163">
        <v>2</v>
      </c>
      <c r="AA387" s="163">
        <v>0</v>
      </c>
      <c r="AB387" s="163">
        <v>0</v>
      </c>
      <c r="AC387" s="163">
        <v>2</v>
      </c>
      <c r="AD387" s="163">
        <v>0</v>
      </c>
      <c r="AE387" s="165">
        <v>9.859980631206626E-2</v>
      </c>
      <c r="AF387" s="166">
        <v>9.859980631206626E-2</v>
      </c>
    </row>
    <row r="388" spans="1:32">
      <c r="A388" s="161">
        <v>9</v>
      </c>
      <c r="B388" s="162">
        <v>4.1666666666666664E-2</v>
      </c>
      <c r="C388" s="163">
        <v>0.58927838401615329</v>
      </c>
      <c r="D388" s="163">
        <v>601.69154230231254</v>
      </c>
      <c r="E388" s="164">
        <v>0.82399999999999995</v>
      </c>
      <c r="F388" s="164">
        <v>0.82399999999999995</v>
      </c>
      <c r="G388" s="163">
        <v>2</v>
      </c>
      <c r="H388" s="163">
        <v>3.333333333333333</v>
      </c>
      <c r="I388" s="163">
        <v>1.333333333333333</v>
      </c>
      <c r="J388" s="163">
        <v>1</v>
      </c>
      <c r="K388" s="163">
        <v>1.5494736842105263</v>
      </c>
      <c r="L388" s="163">
        <v>0.54947368421052634</v>
      </c>
      <c r="M388" s="163">
        <v>2</v>
      </c>
      <c r="N388" s="163">
        <v>2.9824561403508771</v>
      </c>
      <c r="O388" s="163">
        <v>0.98245614035087714</v>
      </c>
      <c r="P388" s="163"/>
      <c r="Q388" s="163">
        <v>2</v>
      </c>
      <c r="R388" s="163">
        <v>0</v>
      </c>
      <c r="S388" s="163">
        <v>0</v>
      </c>
      <c r="T388" s="163">
        <v>0</v>
      </c>
      <c r="U388" s="163">
        <v>0</v>
      </c>
      <c r="V388" s="163">
        <v>0</v>
      </c>
      <c r="W388" s="163">
        <v>0</v>
      </c>
      <c r="X388" s="163">
        <v>0</v>
      </c>
      <c r="Y388" s="163">
        <v>2</v>
      </c>
      <c r="Z388" s="163">
        <v>2</v>
      </c>
      <c r="AA388" s="163">
        <v>0</v>
      </c>
      <c r="AB388" s="163">
        <v>0</v>
      </c>
      <c r="AC388" s="163">
        <v>2</v>
      </c>
      <c r="AD388" s="163">
        <v>0</v>
      </c>
      <c r="AE388" s="165">
        <v>0.12712697340651005</v>
      </c>
      <c r="AF388" s="166">
        <v>0.12712697340651005</v>
      </c>
    </row>
    <row r="389" spans="1:32">
      <c r="A389" s="161">
        <v>9</v>
      </c>
      <c r="B389" s="162">
        <v>6.25E-2</v>
      </c>
      <c r="C389" s="163">
        <v>0.46078491847238934</v>
      </c>
      <c r="D389" s="163">
        <v>651.47393490558011</v>
      </c>
      <c r="E389" s="164">
        <v>0.84899999999999987</v>
      </c>
      <c r="F389" s="164">
        <v>0.84899999999999987</v>
      </c>
      <c r="G389" s="163">
        <v>2</v>
      </c>
      <c r="H389" s="163">
        <v>3.333333333333333</v>
      </c>
      <c r="I389" s="163">
        <v>1.333333333333333</v>
      </c>
      <c r="J389" s="163">
        <v>1</v>
      </c>
      <c r="K389" s="163">
        <v>1.5494736842105263</v>
      </c>
      <c r="L389" s="163">
        <v>0.54947368421052634</v>
      </c>
      <c r="M389" s="163">
        <v>2</v>
      </c>
      <c r="N389" s="163">
        <v>2.9824561403508771</v>
      </c>
      <c r="O389" s="163">
        <v>0.98245614035087714</v>
      </c>
      <c r="P389" s="163"/>
      <c r="Q389" s="163">
        <v>2</v>
      </c>
      <c r="R389" s="163">
        <v>0</v>
      </c>
      <c r="S389" s="163">
        <v>0</v>
      </c>
      <c r="T389" s="163">
        <v>0</v>
      </c>
      <c r="U389" s="163">
        <v>0</v>
      </c>
      <c r="V389" s="163">
        <v>0</v>
      </c>
      <c r="W389" s="163">
        <v>0</v>
      </c>
      <c r="X389" s="163">
        <v>0</v>
      </c>
      <c r="Y389" s="163">
        <v>2</v>
      </c>
      <c r="Z389" s="163">
        <v>2</v>
      </c>
      <c r="AA389" s="163">
        <v>0</v>
      </c>
      <c r="AB389" s="163">
        <v>0</v>
      </c>
      <c r="AC389" s="163">
        <v>2</v>
      </c>
      <c r="AD389" s="163">
        <v>0</v>
      </c>
      <c r="AE389" s="165">
        <v>0.10763130124669258</v>
      </c>
      <c r="AF389" s="166">
        <v>0.10763130124669258</v>
      </c>
    </row>
    <row r="390" spans="1:32">
      <c r="A390" s="161">
        <v>9</v>
      </c>
      <c r="B390" s="162">
        <v>8.3333333333333329E-2</v>
      </c>
      <c r="C390" s="163">
        <v>0.35307553683043946</v>
      </c>
      <c r="D390" s="163">
        <v>613.61998147306736</v>
      </c>
      <c r="E390" s="164">
        <v>0.88990000000000002</v>
      </c>
      <c r="F390" s="164">
        <v>0.88990000000000002</v>
      </c>
      <c r="G390" s="163">
        <v>2</v>
      </c>
      <c r="H390" s="163">
        <v>3.333333333333333</v>
      </c>
      <c r="I390" s="163">
        <v>1.333333333333333</v>
      </c>
      <c r="J390" s="163">
        <v>1</v>
      </c>
      <c r="K390" s="163">
        <v>1.5494736842105263</v>
      </c>
      <c r="L390" s="163">
        <v>0.54947368421052634</v>
      </c>
      <c r="M390" s="163">
        <v>2</v>
      </c>
      <c r="N390" s="163">
        <v>2.9824561403508771</v>
      </c>
      <c r="O390" s="163">
        <v>0.98245614035087714</v>
      </c>
      <c r="P390" s="163"/>
      <c r="Q390" s="163">
        <v>2</v>
      </c>
      <c r="R390" s="163">
        <v>0</v>
      </c>
      <c r="S390" s="163">
        <v>0</v>
      </c>
      <c r="T390" s="163">
        <v>0</v>
      </c>
      <c r="U390" s="163">
        <v>0</v>
      </c>
      <c r="V390" s="163">
        <v>0</v>
      </c>
      <c r="W390" s="163">
        <v>0</v>
      </c>
      <c r="X390" s="163">
        <v>0</v>
      </c>
      <c r="Y390" s="163">
        <v>2</v>
      </c>
      <c r="Z390" s="163">
        <v>2</v>
      </c>
      <c r="AA390" s="163">
        <v>0</v>
      </c>
      <c r="AB390" s="163">
        <v>0</v>
      </c>
      <c r="AC390" s="163">
        <v>2</v>
      </c>
      <c r="AD390" s="163">
        <v>0</v>
      </c>
      <c r="AE390" s="165">
        <v>7.7680213673785914E-2</v>
      </c>
      <c r="AF390" s="166">
        <v>7.7680213673785914E-2</v>
      </c>
    </row>
    <row r="391" spans="1:32">
      <c r="A391" s="161">
        <v>9</v>
      </c>
      <c r="B391" s="162">
        <v>0.10416666666666667</v>
      </c>
      <c r="C391" s="163">
        <v>0.25960424832143209</v>
      </c>
      <c r="D391" s="163">
        <v>645.83152262743579</v>
      </c>
      <c r="E391" s="164">
        <v>0.91379999999999983</v>
      </c>
      <c r="F391" s="164">
        <v>0.91379999999999983</v>
      </c>
      <c r="G391" s="163">
        <v>2</v>
      </c>
      <c r="H391" s="163">
        <v>3.333333333333333</v>
      </c>
      <c r="I391" s="163">
        <v>1.333333333333333</v>
      </c>
      <c r="J391" s="163">
        <v>1</v>
      </c>
      <c r="K391" s="163">
        <v>1.5494736842105263</v>
      </c>
      <c r="L391" s="163">
        <v>0.54947368421052634</v>
      </c>
      <c r="M391" s="163">
        <v>2</v>
      </c>
      <c r="N391" s="163">
        <v>2.9824561403508771</v>
      </c>
      <c r="O391" s="163">
        <v>0.98245614035087714</v>
      </c>
      <c r="P391" s="163"/>
      <c r="Q391" s="163">
        <v>2</v>
      </c>
      <c r="R391" s="163">
        <v>0</v>
      </c>
      <c r="S391" s="163">
        <v>0</v>
      </c>
      <c r="T391" s="163">
        <v>0</v>
      </c>
      <c r="U391" s="163">
        <v>0</v>
      </c>
      <c r="V391" s="163">
        <v>0</v>
      </c>
      <c r="W391" s="163">
        <v>0</v>
      </c>
      <c r="X391" s="163">
        <v>0</v>
      </c>
      <c r="Y391" s="163">
        <v>2</v>
      </c>
      <c r="Z391" s="163">
        <v>2</v>
      </c>
      <c r="AA391" s="163">
        <v>0</v>
      </c>
      <c r="AB391" s="163">
        <v>0</v>
      </c>
      <c r="AC391" s="163">
        <v>2</v>
      </c>
      <c r="AD391" s="163">
        <v>0</v>
      </c>
      <c r="AE391" s="165">
        <v>6.0113819680435665E-2</v>
      </c>
      <c r="AF391" s="166">
        <v>6.0113819680435665E-2</v>
      </c>
    </row>
    <row r="392" spans="1:32">
      <c r="A392" s="161">
        <v>9</v>
      </c>
      <c r="B392" s="162">
        <v>0.125</v>
      </c>
      <c r="C392" s="163">
        <v>0.22407284874851474</v>
      </c>
      <c r="D392" s="163">
        <v>581.49591308806453</v>
      </c>
      <c r="E392" s="164">
        <v>0.93289999999999995</v>
      </c>
      <c r="F392" s="164">
        <v>0.93289999999999995</v>
      </c>
      <c r="G392" s="163">
        <v>2</v>
      </c>
      <c r="H392" s="163">
        <v>3.333333333333333</v>
      </c>
      <c r="I392" s="163">
        <v>1.333333333333333</v>
      </c>
      <c r="J392" s="163">
        <v>1</v>
      </c>
      <c r="K392" s="163">
        <v>1.5494736842105263</v>
      </c>
      <c r="L392" s="163">
        <v>0.54947368421052634</v>
      </c>
      <c r="M392" s="163">
        <v>2</v>
      </c>
      <c r="N392" s="163">
        <v>2.9824561403508771</v>
      </c>
      <c r="O392" s="163">
        <v>0.98245614035087714</v>
      </c>
      <c r="P392" s="163"/>
      <c r="Q392" s="163">
        <v>2</v>
      </c>
      <c r="R392" s="163">
        <v>0</v>
      </c>
      <c r="S392" s="163">
        <v>0</v>
      </c>
      <c r="T392" s="163">
        <v>0</v>
      </c>
      <c r="U392" s="163">
        <v>0</v>
      </c>
      <c r="V392" s="163">
        <v>0</v>
      </c>
      <c r="W392" s="163">
        <v>0</v>
      </c>
      <c r="X392" s="163">
        <v>0</v>
      </c>
      <c r="Y392" s="163">
        <v>2</v>
      </c>
      <c r="Z392" s="163">
        <v>2</v>
      </c>
      <c r="AA392" s="163">
        <v>0</v>
      </c>
      <c r="AB392" s="163">
        <v>0</v>
      </c>
      <c r="AC392" s="163">
        <v>2</v>
      </c>
      <c r="AD392" s="163">
        <v>0</v>
      </c>
      <c r="AE392" s="165">
        <v>4.6717456782985459E-2</v>
      </c>
      <c r="AF392" s="166">
        <v>4.6717456782985459E-2</v>
      </c>
    </row>
    <row r="393" spans="1:32">
      <c r="A393" s="161">
        <v>9</v>
      </c>
      <c r="B393" s="162">
        <v>0.14583333333333334</v>
      </c>
      <c r="C393" s="163">
        <v>0.22463044021011372</v>
      </c>
      <c r="D393" s="163">
        <v>651.29542201206095</v>
      </c>
      <c r="E393" s="164">
        <v>0.92449999999999999</v>
      </c>
      <c r="F393" s="164">
        <v>0.92449999999999999</v>
      </c>
      <c r="G393" s="163">
        <v>2</v>
      </c>
      <c r="H393" s="163">
        <v>3.333333333333333</v>
      </c>
      <c r="I393" s="163">
        <v>1.333333333333333</v>
      </c>
      <c r="J393" s="163">
        <v>1</v>
      </c>
      <c r="K393" s="163">
        <v>1.5494736842105263</v>
      </c>
      <c r="L393" s="163">
        <v>0.54947368421052634</v>
      </c>
      <c r="M393" s="163">
        <v>2</v>
      </c>
      <c r="N393" s="163">
        <v>2.9824561403508771</v>
      </c>
      <c r="O393" s="163">
        <v>0.98245614035087714</v>
      </c>
      <c r="P393" s="163"/>
      <c r="Q393" s="163">
        <v>2</v>
      </c>
      <c r="R393" s="163">
        <v>0</v>
      </c>
      <c r="S393" s="163">
        <v>0</v>
      </c>
      <c r="T393" s="163">
        <v>0</v>
      </c>
      <c r="U393" s="163">
        <v>0</v>
      </c>
      <c r="V393" s="163">
        <v>0</v>
      </c>
      <c r="W393" s="163">
        <v>0</v>
      </c>
      <c r="X393" s="163">
        <v>0</v>
      </c>
      <c r="Y393" s="163">
        <v>2</v>
      </c>
      <c r="Z393" s="163">
        <v>2</v>
      </c>
      <c r="AA393" s="163">
        <v>0</v>
      </c>
      <c r="AB393" s="163">
        <v>0</v>
      </c>
      <c r="AC393" s="163">
        <v>2</v>
      </c>
      <c r="AD393" s="163">
        <v>0</v>
      </c>
      <c r="AE393" s="165">
        <v>5.2455366276317549E-2</v>
      </c>
      <c r="AF393" s="166">
        <v>5.2455366276317549E-2</v>
      </c>
    </row>
    <row r="394" spans="1:32">
      <c r="A394" s="161">
        <v>9</v>
      </c>
      <c r="B394" s="162">
        <v>0.16666666666666666</v>
      </c>
      <c r="C394" s="163">
        <v>0.19285977178218622</v>
      </c>
      <c r="D394" s="163">
        <v>679.54085238104949</v>
      </c>
      <c r="E394" s="164">
        <v>0.93200000000000005</v>
      </c>
      <c r="F394" s="164">
        <v>0.93200000000000005</v>
      </c>
      <c r="G394" s="163">
        <v>2</v>
      </c>
      <c r="H394" s="163">
        <v>3.333333333333333</v>
      </c>
      <c r="I394" s="163">
        <v>1.333333333333333</v>
      </c>
      <c r="J394" s="163">
        <v>1</v>
      </c>
      <c r="K394" s="163">
        <v>1.5494736842105263</v>
      </c>
      <c r="L394" s="163">
        <v>0.54947368421052634</v>
      </c>
      <c r="M394" s="163">
        <v>2</v>
      </c>
      <c r="N394" s="163">
        <v>2.9824561403508771</v>
      </c>
      <c r="O394" s="163">
        <v>0.98245614035087714</v>
      </c>
      <c r="P394" s="163"/>
      <c r="Q394" s="163">
        <v>2</v>
      </c>
      <c r="R394" s="163">
        <v>0</v>
      </c>
      <c r="S394" s="163">
        <v>0</v>
      </c>
      <c r="T394" s="163">
        <v>0</v>
      </c>
      <c r="U394" s="163">
        <v>0</v>
      </c>
      <c r="V394" s="163">
        <v>0</v>
      </c>
      <c r="W394" s="163">
        <v>0</v>
      </c>
      <c r="X394" s="163">
        <v>0</v>
      </c>
      <c r="Y394" s="163">
        <v>2</v>
      </c>
      <c r="Z394" s="163">
        <v>2</v>
      </c>
      <c r="AA394" s="163">
        <v>0</v>
      </c>
      <c r="AB394" s="163">
        <v>0</v>
      </c>
      <c r="AC394" s="163">
        <v>2</v>
      </c>
      <c r="AD394" s="163">
        <v>0</v>
      </c>
      <c r="AE394" s="165">
        <v>4.6989465965254155E-2</v>
      </c>
      <c r="AF394" s="166">
        <v>4.6989465965254155E-2</v>
      </c>
    </row>
    <row r="395" spans="1:32">
      <c r="A395" s="161">
        <v>9</v>
      </c>
      <c r="B395" s="162">
        <v>0.1875</v>
      </c>
      <c r="C395" s="163">
        <v>0.22732435735534412</v>
      </c>
      <c r="D395" s="163">
        <v>673.00980383001968</v>
      </c>
      <c r="E395" s="164">
        <v>0.92099999999999993</v>
      </c>
      <c r="F395" s="164">
        <v>0.92099999999999993</v>
      </c>
      <c r="G395" s="163">
        <v>2</v>
      </c>
      <c r="H395" s="163">
        <v>3.333333333333333</v>
      </c>
      <c r="I395" s="163">
        <v>1.333333333333333</v>
      </c>
      <c r="J395" s="163">
        <v>1</v>
      </c>
      <c r="K395" s="163">
        <v>1.5494736842105263</v>
      </c>
      <c r="L395" s="163">
        <v>0.54947368421052634</v>
      </c>
      <c r="M395" s="163">
        <v>2</v>
      </c>
      <c r="N395" s="163">
        <v>2.9824561403508771</v>
      </c>
      <c r="O395" s="163">
        <v>0.98245614035087714</v>
      </c>
      <c r="P395" s="163"/>
      <c r="Q395" s="163">
        <v>2</v>
      </c>
      <c r="R395" s="163">
        <v>0</v>
      </c>
      <c r="S395" s="163">
        <v>0</v>
      </c>
      <c r="T395" s="163">
        <v>0</v>
      </c>
      <c r="U395" s="163">
        <v>0</v>
      </c>
      <c r="V395" s="163">
        <v>0</v>
      </c>
      <c r="W395" s="163">
        <v>0</v>
      </c>
      <c r="X395" s="163">
        <v>0</v>
      </c>
      <c r="Y395" s="163">
        <v>2</v>
      </c>
      <c r="Z395" s="163">
        <v>2</v>
      </c>
      <c r="AA395" s="163">
        <v>0</v>
      </c>
      <c r="AB395" s="163">
        <v>0</v>
      </c>
      <c r="AC395" s="163">
        <v>2</v>
      </c>
      <c r="AD395" s="163">
        <v>0</v>
      </c>
      <c r="AE395" s="165">
        <v>5.4854296909733605E-2</v>
      </c>
      <c r="AF395" s="166">
        <v>5.4854296909733605E-2</v>
      </c>
    </row>
    <row r="396" spans="1:32">
      <c r="A396" s="161">
        <v>9</v>
      </c>
      <c r="B396" s="162">
        <v>0.20833333333333334</v>
      </c>
      <c r="C396" s="163">
        <v>0.31972883186459194</v>
      </c>
      <c r="D396" s="163">
        <v>630.48095798332281</v>
      </c>
      <c r="E396" s="164">
        <v>0.89710000000000001</v>
      </c>
      <c r="F396" s="164">
        <v>0.89710000000000001</v>
      </c>
      <c r="G396" s="163">
        <v>2</v>
      </c>
      <c r="H396" s="163">
        <v>3.333333333333333</v>
      </c>
      <c r="I396" s="163">
        <v>1.333333333333333</v>
      </c>
      <c r="J396" s="163">
        <v>1</v>
      </c>
      <c r="K396" s="163">
        <v>1.5494736842105263</v>
      </c>
      <c r="L396" s="163">
        <v>0.54947368421052634</v>
      </c>
      <c r="M396" s="163">
        <v>2</v>
      </c>
      <c r="N396" s="163">
        <v>2.9824561403508771</v>
      </c>
      <c r="O396" s="163">
        <v>0.98245614035087714</v>
      </c>
      <c r="P396" s="163"/>
      <c r="Q396" s="163">
        <v>2</v>
      </c>
      <c r="R396" s="163">
        <v>0</v>
      </c>
      <c r="S396" s="163">
        <v>0</v>
      </c>
      <c r="T396" s="163">
        <v>0</v>
      </c>
      <c r="U396" s="163">
        <v>0</v>
      </c>
      <c r="V396" s="163">
        <v>0</v>
      </c>
      <c r="W396" s="163">
        <v>0</v>
      </c>
      <c r="X396" s="163">
        <v>0</v>
      </c>
      <c r="Y396" s="163">
        <v>2</v>
      </c>
      <c r="Z396" s="163">
        <v>2</v>
      </c>
      <c r="AA396" s="163">
        <v>0</v>
      </c>
      <c r="AB396" s="163">
        <v>0</v>
      </c>
      <c r="AC396" s="163">
        <v>2</v>
      </c>
      <c r="AD396" s="163">
        <v>0</v>
      </c>
      <c r="AE396" s="165">
        <v>7.2276491998200784E-2</v>
      </c>
      <c r="AF396" s="166">
        <v>7.2276491998200784E-2</v>
      </c>
    </row>
    <row r="397" spans="1:32">
      <c r="A397" s="161">
        <v>9</v>
      </c>
      <c r="B397" s="162">
        <v>0.22916666666666666</v>
      </c>
      <c r="C397" s="163">
        <v>0.49282296482128485</v>
      </c>
      <c r="D397" s="163">
        <v>650.35369984242379</v>
      </c>
      <c r="E397" s="164">
        <v>0.83940000000000003</v>
      </c>
      <c r="F397" s="164">
        <v>0.83940000000000003</v>
      </c>
      <c r="G397" s="163">
        <v>2</v>
      </c>
      <c r="H397" s="163">
        <v>3.333333333333333</v>
      </c>
      <c r="I397" s="163">
        <v>1.333333333333333</v>
      </c>
      <c r="J397" s="163">
        <v>1</v>
      </c>
      <c r="K397" s="163">
        <v>1.5494736842105263</v>
      </c>
      <c r="L397" s="163">
        <v>0.54947368421052634</v>
      </c>
      <c r="M397" s="163">
        <v>2</v>
      </c>
      <c r="N397" s="163">
        <v>2.9824561403508771</v>
      </c>
      <c r="O397" s="163">
        <v>0.98245614035087714</v>
      </c>
      <c r="P397" s="163"/>
      <c r="Q397" s="163">
        <v>2</v>
      </c>
      <c r="R397" s="163">
        <v>0</v>
      </c>
      <c r="S397" s="163">
        <v>0</v>
      </c>
      <c r="T397" s="163">
        <v>0</v>
      </c>
      <c r="U397" s="163">
        <v>0</v>
      </c>
      <c r="V397" s="163">
        <v>0</v>
      </c>
      <c r="W397" s="163">
        <v>0</v>
      </c>
      <c r="X397" s="163">
        <v>0</v>
      </c>
      <c r="Y397" s="163">
        <v>2</v>
      </c>
      <c r="Z397" s="163">
        <v>2</v>
      </c>
      <c r="AA397" s="163">
        <v>0</v>
      </c>
      <c r="AB397" s="163">
        <v>0</v>
      </c>
      <c r="AC397" s="163">
        <v>2</v>
      </c>
      <c r="AD397" s="163">
        <v>0</v>
      </c>
      <c r="AE397" s="165">
        <v>0.11491688428890909</v>
      </c>
      <c r="AF397" s="166">
        <v>0.11491688428890909</v>
      </c>
    </row>
    <row r="398" spans="1:32">
      <c r="A398" s="161">
        <v>9</v>
      </c>
      <c r="B398" s="162">
        <v>0.25</v>
      </c>
      <c r="C398" s="163">
        <v>0.7436992254508874</v>
      </c>
      <c r="D398" s="163">
        <v>739.02423022678556</v>
      </c>
      <c r="E398" s="164">
        <v>0.73360000000000003</v>
      </c>
      <c r="F398" s="164">
        <v>0.73360000000000003</v>
      </c>
      <c r="G398" s="163">
        <v>3</v>
      </c>
      <c r="H398" s="163">
        <v>3.333333333333333</v>
      </c>
      <c r="I398" s="163">
        <v>0.33333333333333304</v>
      </c>
      <c r="J398" s="163">
        <v>2</v>
      </c>
      <c r="K398" s="163">
        <v>2.3242105263157895</v>
      </c>
      <c r="L398" s="163">
        <v>0.3242105263157895</v>
      </c>
      <c r="M398" s="163">
        <v>3</v>
      </c>
      <c r="N398" s="163">
        <v>2.9824561403508771</v>
      </c>
      <c r="O398" s="163">
        <v>-1.7543859649122862E-2</v>
      </c>
      <c r="P398" s="163"/>
      <c r="Q398" s="163">
        <v>2</v>
      </c>
      <c r="R398" s="163">
        <v>0</v>
      </c>
      <c r="S398" s="163">
        <v>0</v>
      </c>
      <c r="T398" s="163">
        <v>0</v>
      </c>
      <c r="U398" s="163">
        <v>0</v>
      </c>
      <c r="V398" s="163">
        <v>0</v>
      </c>
      <c r="W398" s="163">
        <v>0</v>
      </c>
      <c r="X398" s="163">
        <v>0</v>
      </c>
      <c r="Y398" s="163">
        <v>2</v>
      </c>
      <c r="Z398" s="163">
        <v>2</v>
      </c>
      <c r="AA398" s="163">
        <v>0</v>
      </c>
      <c r="AB398" s="163">
        <v>0</v>
      </c>
      <c r="AC398" s="163">
        <v>2</v>
      </c>
      <c r="AD398" s="163">
        <v>0</v>
      </c>
      <c r="AE398" s="165">
        <v>0.19706037146310529</v>
      </c>
      <c r="AF398" s="166">
        <v>0.13137358097540353</v>
      </c>
    </row>
    <row r="399" spans="1:32">
      <c r="A399" s="161">
        <v>9</v>
      </c>
      <c r="B399" s="162">
        <v>0.27083333333333331</v>
      </c>
      <c r="C399" s="163">
        <v>1.1373043470730848</v>
      </c>
      <c r="D399" s="163">
        <v>748.41834697296736</v>
      </c>
      <c r="E399" s="164">
        <v>0.60650000000000004</v>
      </c>
      <c r="F399" s="164">
        <v>0.60650000000000004</v>
      </c>
      <c r="G399" s="163">
        <v>3</v>
      </c>
      <c r="H399" s="163">
        <v>3.333333333333333</v>
      </c>
      <c r="I399" s="163">
        <v>0.33333333333333304</v>
      </c>
      <c r="J399" s="163">
        <v>2</v>
      </c>
      <c r="K399" s="163">
        <v>2.3242105263157895</v>
      </c>
      <c r="L399" s="163">
        <v>0.3242105263157895</v>
      </c>
      <c r="M399" s="163">
        <v>3</v>
      </c>
      <c r="N399" s="163">
        <v>2.9824561403508771</v>
      </c>
      <c r="O399" s="163">
        <v>-1.7543859649122862E-2</v>
      </c>
      <c r="P399" s="163"/>
      <c r="Q399" s="163">
        <v>2</v>
      </c>
      <c r="R399" s="163">
        <v>0</v>
      </c>
      <c r="S399" s="163">
        <v>0</v>
      </c>
      <c r="T399" s="163">
        <v>0</v>
      </c>
      <c r="U399" s="163">
        <v>0</v>
      </c>
      <c r="V399" s="163">
        <v>0</v>
      </c>
      <c r="W399" s="163">
        <v>0</v>
      </c>
      <c r="X399" s="163">
        <v>0</v>
      </c>
      <c r="Y399" s="163">
        <v>2</v>
      </c>
      <c r="Z399" s="163">
        <v>2</v>
      </c>
      <c r="AA399" s="163">
        <v>0</v>
      </c>
      <c r="AB399" s="163">
        <v>0</v>
      </c>
      <c r="AC399" s="163">
        <v>2</v>
      </c>
      <c r="AD399" s="163">
        <v>0</v>
      </c>
      <c r="AE399" s="165">
        <v>0.30518586483602339</v>
      </c>
      <c r="AF399" s="166">
        <v>0.20345724322401559</v>
      </c>
    </row>
    <row r="400" spans="1:32">
      <c r="A400" s="161">
        <v>9</v>
      </c>
      <c r="B400" s="162">
        <v>0.29166666666666669</v>
      </c>
      <c r="C400" s="163">
        <v>1.6535569440179758</v>
      </c>
      <c r="D400" s="163">
        <v>803.04887509978175</v>
      </c>
      <c r="E400" s="164">
        <v>0.42699999999999999</v>
      </c>
      <c r="F400" s="164">
        <v>0.42699999999999999</v>
      </c>
      <c r="G400" s="163">
        <v>3</v>
      </c>
      <c r="H400" s="163">
        <v>3.333333333333333</v>
      </c>
      <c r="I400" s="163">
        <v>0.33333333333333304</v>
      </c>
      <c r="J400" s="163">
        <v>2</v>
      </c>
      <c r="K400" s="163">
        <v>2.3242105263157895</v>
      </c>
      <c r="L400" s="163">
        <v>0.3242105263157895</v>
      </c>
      <c r="M400" s="163">
        <v>3</v>
      </c>
      <c r="N400" s="163">
        <v>2.9824561403508771</v>
      </c>
      <c r="O400" s="163">
        <v>-1.7543859649122862E-2</v>
      </c>
      <c r="P400" s="163"/>
      <c r="Q400" s="163">
        <v>2</v>
      </c>
      <c r="R400" s="163">
        <v>0</v>
      </c>
      <c r="S400" s="163">
        <v>0</v>
      </c>
      <c r="T400" s="163">
        <v>0</v>
      </c>
      <c r="U400" s="163">
        <v>0</v>
      </c>
      <c r="V400" s="163">
        <v>0</v>
      </c>
      <c r="W400" s="163">
        <v>0</v>
      </c>
      <c r="X400" s="163">
        <v>0</v>
      </c>
      <c r="Y400" s="163">
        <v>2</v>
      </c>
      <c r="Z400" s="163">
        <v>2</v>
      </c>
      <c r="AA400" s="163">
        <v>0</v>
      </c>
      <c r="AB400" s="163">
        <v>0</v>
      </c>
      <c r="AC400" s="163">
        <v>2</v>
      </c>
      <c r="AD400" s="163">
        <v>0</v>
      </c>
      <c r="AE400" s="165">
        <v>0.47610684315244367</v>
      </c>
      <c r="AF400" s="166">
        <v>0.3174045621016291</v>
      </c>
    </row>
    <row r="401" spans="1:32">
      <c r="A401" s="161">
        <v>9</v>
      </c>
      <c r="B401" s="162">
        <v>0.3125</v>
      </c>
      <c r="C401" s="163">
        <v>2.224696792354107</v>
      </c>
      <c r="D401" s="163">
        <v>805.37266690883826</v>
      </c>
      <c r="E401" s="164">
        <v>0.91590000000000005</v>
      </c>
      <c r="F401" s="164">
        <v>0.91590000000000005</v>
      </c>
      <c r="G401" s="163">
        <v>4</v>
      </c>
      <c r="H401" s="163">
        <v>6.6666666666666661</v>
      </c>
      <c r="I401" s="163">
        <v>2.6666666666666661</v>
      </c>
      <c r="J401" s="163">
        <v>3</v>
      </c>
      <c r="K401" s="163">
        <v>3.0989473684210527</v>
      </c>
      <c r="L401" s="163">
        <v>9.8947368421052673E-2</v>
      </c>
      <c r="M401" s="163">
        <v>4</v>
      </c>
      <c r="N401" s="163">
        <v>5.9649122807017543</v>
      </c>
      <c r="O401" s="163">
        <v>1.9649122807017543</v>
      </c>
      <c r="P401" s="163"/>
      <c r="Q401" s="163">
        <v>4</v>
      </c>
      <c r="R401" s="163">
        <v>0</v>
      </c>
      <c r="S401" s="163">
        <v>0</v>
      </c>
      <c r="T401" s="163">
        <v>0</v>
      </c>
      <c r="U401" s="163">
        <v>0</v>
      </c>
      <c r="V401" s="163">
        <v>0</v>
      </c>
      <c r="W401" s="163">
        <v>0</v>
      </c>
      <c r="X401" s="163">
        <v>0</v>
      </c>
      <c r="Y401" s="163">
        <v>4</v>
      </c>
      <c r="Z401" s="163">
        <v>4</v>
      </c>
      <c r="AA401" s="163">
        <v>0</v>
      </c>
      <c r="AB401" s="163">
        <v>0</v>
      </c>
      <c r="AC401" s="163">
        <v>4</v>
      </c>
      <c r="AD401" s="163">
        <v>0</v>
      </c>
      <c r="AE401" s="165">
        <v>0.32120404764599875</v>
      </c>
      <c r="AF401" s="166">
        <v>0.32120404764599875</v>
      </c>
    </row>
    <row r="402" spans="1:32">
      <c r="A402" s="161">
        <v>9</v>
      </c>
      <c r="B402" s="162">
        <v>0.33333333333333331</v>
      </c>
      <c r="C402" s="163">
        <v>2.9136082019447436</v>
      </c>
      <c r="D402" s="163">
        <v>790.15241285538752</v>
      </c>
      <c r="E402" s="164">
        <v>0.84629999999999994</v>
      </c>
      <c r="F402" s="164">
        <v>0.84629999999999994</v>
      </c>
      <c r="G402" s="163">
        <v>4</v>
      </c>
      <c r="H402" s="163">
        <v>6.6666666666666661</v>
      </c>
      <c r="I402" s="163">
        <v>2.6666666666666661</v>
      </c>
      <c r="J402" s="163">
        <v>3</v>
      </c>
      <c r="K402" s="163">
        <v>3.0989473684210527</v>
      </c>
      <c r="L402" s="163">
        <v>9.8947368421052673E-2</v>
      </c>
      <c r="M402" s="163">
        <v>4</v>
      </c>
      <c r="N402" s="163">
        <v>5.9649122807017543</v>
      </c>
      <c r="O402" s="163">
        <v>1.9649122807017543</v>
      </c>
      <c r="P402" s="163"/>
      <c r="Q402" s="163">
        <v>4</v>
      </c>
      <c r="R402" s="163">
        <v>0</v>
      </c>
      <c r="S402" s="163">
        <v>0</v>
      </c>
      <c r="T402" s="163">
        <v>0</v>
      </c>
      <c r="U402" s="163">
        <v>0</v>
      </c>
      <c r="V402" s="163">
        <v>0</v>
      </c>
      <c r="W402" s="163">
        <v>0</v>
      </c>
      <c r="X402" s="163">
        <v>0</v>
      </c>
      <c r="Y402" s="163">
        <v>4</v>
      </c>
      <c r="Z402" s="163">
        <v>4</v>
      </c>
      <c r="AA402" s="163">
        <v>0</v>
      </c>
      <c r="AB402" s="163">
        <v>0</v>
      </c>
      <c r="AC402" s="163">
        <v>4</v>
      </c>
      <c r="AD402" s="163">
        <v>0</v>
      </c>
      <c r="AE402" s="165">
        <v>0.41271981116730677</v>
      </c>
      <c r="AF402" s="166">
        <v>0.41271981116730677</v>
      </c>
    </row>
    <row r="403" spans="1:32">
      <c r="A403" s="161">
        <v>9</v>
      </c>
      <c r="B403" s="162">
        <v>0.35416666666666669</v>
      </c>
      <c r="C403" s="163">
        <v>3.5327372400186108</v>
      </c>
      <c r="D403" s="163">
        <v>772.6062125004172</v>
      </c>
      <c r="E403" s="164">
        <v>0.77260000000000006</v>
      </c>
      <c r="F403" s="164">
        <v>0.77260000000000006</v>
      </c>
      <c r="G403" s="163">
        <v>6</v>
      </c>
      <c r="H403" s="163">
        <v>6.6666666666666661</v>
      </c>
      <c r="I403" s="163">
        <v>0.66666666666666607</v>
      </c>
      <c r="J403" s="163">
        <v>4</v>
      </c>
      <c r="K403" s="163">
        <v>4.648421052631579</v>
      </c>
      <c r="L403" s="163">
        <v>0.64842105263157901</v>
      </c>
      <c r="M403" s="163">
        <v>5</v>
      </c>
      <c r="N403" s="163">
        <v>5.9649122807017543</v>
      </c>
      <c r="O403" s="163">
        <v>0.96491228070175428</v>
      </c>
      <c r="P403" s="163"/>
      <c r="Q403" s="163">
        <v>4</v>
      </c>
      <c r="R403" s="163">
        <v>0</v>
      </c>
      <c r="S403" s="163">
        <v>0</v>
      </c>
      <c r="T403" s="163">
        <v>0</v>
      </c>
      <c r="U403" s="163">
        <v>0</v>
      </c>
      <c r="V403" s="163">
        <v>0</v>
      </c>
      <c r="W403" s="163">
        <v>0</v>
      </c>
      <c r="X403" s="163">
        <v>0</v>
      </c>
      <c r="Y403" s="163">
        <v>4</v>
      </c>
      <c r="Z403" s="163">
        <v>4</v>
      </c>
      <c r="AA403" s="163">
        <v>0</v>
      </c>
      <c r="AB403" s="163">
        <v>0</v>
      </c>
      <c r="AC403" s="163">
        <v>4</v>
      </c>
      <c r="AD403" s="163">
        <v>0</v>
      </c>
      <c r="AE403" s="165">
        <v>0.48930857522483739</v>
      </c>
      <c r="AF403" s="166">
        <v>0.32620571681655824</v>
      </c>
    </row>
    <row r="404" spans="1:32">
      <c r="A404" s="161">
        <v>9</v>
      </c>
      <c r="B404" s="162">
        <v>0.375</v>
      </c>
      <c r="C404" s="163">
        <v>4.0732390431014496</v>
      </c>
      <c r="D404" s="163">
        <v>776.65933855997525</v>
      </c>
      <c r="E404" s="164">
        <v>0.89849999999999997</v>
      </c>
      <c r="F404" s="164">
        <v>0.89849999999999997</v>
      </c>
      <c r="G404" s="163">
        <v>6</v>
      </c>
      <c r="H404" s="163">
        <v>10</v>
      </c>
      <c r="I404" s="163">
        <v>4</v>
      </c>
      <c r="J404" s="163">
        <v>4</v>
      </c>
      <c r="K404" s="163">
        <v>4.648421052631579</v>
      </c>
      <c r="L404" s="163">
        <v>0.64842105263157901</v>
      </c>
      <c r="M404" s="163">
        <v>5</v>
      </c>
      <c r="N404" s="163">
        <v>8.9473684210526319</v>
      </c>
      <c r="O404" s="163">
        <v>3.9473684210526319</v>
      </c>
      <c r="P404" s="163"/>
      <c r="Q404" s="163">
        <v>6</v>
      </c>
      <c r="R404" s="163">
        <v>0</v>
      </c>
      <c r="S404" s="163">
        <v>0</v>
      </c>
      <c r="T404" s="163">
        <v>0</v>
      </c>
      <c r="U404" s="163">
        <v>0</v>
      </c>
      <c r="V404" s="163">
        <v>0</v>
      </c>
      <c r="W404" s="163">
        <v>0</v>
      </c>
      <c r="X404" s="163">
        <v>0</v>
      </c>
      <c r="Y404" s="163">
        <v>6</v>
      </c>
      <c r="Z404" s="163">
        <v>6</v>
      </c>
      <c r="AA404" s="163">
        <v>0</v>
      </c>
      <c r="AB404" s="163">
        <v>0</v>
      </c>
      <c r="AC404" s="163">
        <v>6</v>
      </c>
      <c r="AD404" s="163">
        <v>0</v>
      </c>
      <c r="AE404" s="165">
        <v>0.37808765901283797</v>
      </c>
      <c r="AF404" s="166">
        <v>0.37808765901283797</v>
      </c>
    </row>
    <row r="405" spans="1:32">
      <c r="A405" s="161">
        <v>9</v>
      </c>
      <c r="B405" s="162">
        <v>0.39583333333333331</v>
      </c>
      <c r="C405" s="163">
        <v>4.5521907282417482</v>
      </c>
      <c r="D405" s="163">
        <v>814.06928617875121</v>
      </c>
      <c r="E405" s="164">
        <v>0.84189999999999998</v>
      </c>
      <c r="F405" s="164">
        <v>0.84189999999999998</v>
      </c>
      <c r="G405" s="163">
        <v>6</v>
      </c>
      <c r="H405" s="163">
        <v>10</v>
      </c>
      <c r="I405" s="163">
        <v>4</v>
      </c>
      <c r="J405" s="163">
        <v>4</v>
      </c>
      <c r="K405" s="163">
        <v>4.648421052631579</v>
      </c>
      <c r="L405" s="163">
        <v>0.64842105263157901</v>
      </c>
      <c r="M405" s="163">
        <v>5</v>
      </c>
      <c r="N405" s="163">
        <v>8.9473684210526319</v>
      </c>
      <c r="O405" s="163">
        <v>3.9473684210526319</v>
      </c>
      <c r="P405" s="163"/>
      <c r="Q405" s="163">
        <v>6</v>
      </c>
      <c r="R405" s="163">
        <v>0</v>
      </c>
      <c r="S405" s="163">
        <v>0</v>
      </c>
      <c r="T405" s="163">
        <v>0</v>
      </c>
      <c r="U405" s="163">
        <v>0</v>
      </c>
      <c r="V405" s="163">
        <v>0</v>
      </c>
      <c r="W405" s="163">
        <v>0</v>
      </c>
      <c r="X405" s="163">
        <v>0</v>
      </c>
      <c r="Y405" s="163">
        <v>6</v>
      </c>
      <c r="Z405" s="163">
        <v>6</v>
      </c>
      <c r="AA405" s="163">
        <v>0</v>
      </c>
      <c r="AB405" s="163">
        <v>0</v>
      </c>
      <c r="AC405" s="163">
        <v>6</v>
      </c>
      <c r="AD405" s="163">
        <v>0</v>
      </c>
      <c r="AE405" s="165">
        <v>0.44289813856869281</v>
      </c>
      <c r="AF405" s="166">
        <v>0.44289813856869281</v>
      </c>
    </row>
    <row r="406" spans="1:32">
      <c r="A406" s="161">
        <v>9</v>
      </c>
      <c r="B406" s="162">
        <v>0.41666666666666669</v>
      </c>
      <c r="C406" s="163">
        <v>4.8638660396585394</v>
      </c>
      <c r="D406" s="163">
        <v>799.4633349060432</v>
      </c>
      <c r="E406" s="164">
        <v>0.82039999999999991</v>
      </c>
      <c r="F406" s="164">
        <v>0.82039999999999991</v>
      </c>
      <c r="G406" s="163">
        <v>7</v>
      </c>
      <c r="H406" s="163">
        <v>10</v>
      </c>
      <c r="I406" s="163">
        <v>3</v>
      </c>
      <c r="J406" s="163">
        <v>5</v>
      </c>
      <c r="K406" s="163">
        <v>5.4231578947368426</v>
      </c>
      <c r="L406" s="163">
        <v>0.42315789473684262</v>
      </c>
      <c r="M406" s="163">
        <v>6</v>
      </c>
      <c r="N406" s="163">
        <v>8.9473684210526319</v>
      </c>
      <c r="O406" s="163">
        <v>2.9473684210526319</v>
      </c>
      <c r="P406" s="163"/>
      <c r="Q406" s="163">
        <v>6</v>
      </c>
      <c r="R406" s="163">
        <v>0</v>
      </c>
      <c r="S406" s="163">
        <v>0</v>
      </c>
      <c r="T406" s="163">
        <v>0</v>
      </c>
      <c r="U406" s="163">
        <v>0</v>
      </c>
      <c r="V406" s="163">
        <v>0</v>
      </c>
      <c r="W406" s="163">
        <v>0</v>
      </c>
      <c r="X406" s="163">
        <v>0</v>
      </c>
      <c r="Y406" s="163">
        <v>6</v>
      </c>
      <c r="Z406" s="163">
        <v>6</v>
      </c>
      <c r="AA406" s="163">
        <v>0</v>
      </c>
      <c r="AB406" s="163">
        <v>0</v>
      </c>
      <c r="AC406" s="163">
        <v>6</v>
      </c>
      <c r="AD406" s="163">
        <v>0</v>
      </c>
      <c r="AE406" s="165">
        <v>0.46473158670133624</v>
      </c>
      <c r="AF406" s="166">
        <v>0.39834136002971676</v>
      </c>
    </row>
    <row r="407" spans="1:32">
      <c r="A407" s="161">
        <v>9</v>
      </c>
      <c r="B407" s="162">
        <v>0.4375</v>
      </c>
      <c r="C407" s="163">
        <v>5.0721758253437423</v>
      </c>
      <c r="D407" s="163">
        <v>763.53539100787316</v>
      </c>
      <c r="E407" s="164">
        <v>0.82290000000000008</v>
      </c>
      <c r="F407" s="164">
        <v>0.82290000000000008</v>
      </c>
      <c r="G407" s="163">
        <v>7</v>
      </c>
      <c r="H407" s="163">
        <v>10</v>
      </c>
      <c r="I407" s="163">
        <v>3</v>
      </c>
      <c r="J407" s="163">
        <v>5</v>
      </c>
      <c r="K407" s="163">
        <v>5.4231578947368426</v>
      </c>
      <c r="L407" s="163">
        <v>0.42315789473684262</v>
      </c>
      <c r="M407" s="163">
        <v>6</v>
      </c>
      <c r="N407" s="163">
        <v>8.9473684210526319</v>
      </c>
      <c r="O407" s="163">
        <v>2.9473684210526319</v>
      </c>
      <c r="P407" s="163"/>
      <c r="Q407" s="163">
        <v>6</v>
      </c>
      <c r="R407" s="163">
        <v>0</v>
      </c>
      <c r="S407" s="163">
        <v>0</v>
      </c>
      <c r="T407" s="163">
        <v>0</v>
      </c>
      <c r="U407" s="163">
        <v>0</v>
      </c>
      <c r="V407" s="163">
        <v>0</v>
      </c>
      <c r="W407" s="163">
        <v>0</v>
      </c>
      <c r="X407" s="163">
        <v>0</v>
      </c>
      <c r="Y407" s="163">
        <v>6</v>
      </c>
      <c r="Z407" s="163">
        <v>6</v>
      </c>
      <c r="AA407" s="163">
        <v>0</v>
      </c>
      <c r="AB407" s="163">
        <v>0</v>
      </c>
      <c r="AC407" s="163">
        <v>6</v>
      </c>
      <c r="AD407" s="163">
        <v>0</v>
      </c>
      <c r="AE407" s="165">
        <v>0.46285558379394243</v>
      </c>
      <c r="AF407" s="166">
        <v>0.39673335753766498</v>
      </c>
    </row>
    <row r="408" spans="1:32">
      <c r="A408" s="161">
        <v>9</v>
      </c>
      <c r="B408" s="162">
        <v>0.45833333333333331</v>
      </c>
      <c r="C408" s="163">
        <v>5.4156073229200148</v>
      </c>
      <c r="D408" s="163">
        <v>762.87013761675405</v>
      </c>
      <c r="E408" s="164">
        <v>0.79010000000000014</v>
      </c>
      <c r="F408" s="164">
        <v>0.79010000000000014</v>
      </c>
      <c r="G408" s="163">
        <v>7</v>
      </c>
      <c r="H408" s="163">
        <v>10</v>
      </c>
      <c r="I408" s="163">
        <v>3</v>
      </c>
      <c r="J408" s="163">
        <v>5</v>
      </c>
      <c r="K408" s="163">
        <v>5.4231578947368426</v>
      </c>
      <c r="L408" s="163">
        <v>0.42315789473684262</v>
      </c>
      <c r="M408" s="163">
        <v>6</v>
      </c>
      <c r="N408" s="163">
        <v>8.9473684210526319</v>
      </c>
      <c r="O408" s="163">
        <v>2.9473684210526319</v>
      </c>
      <c r="P408" s="163"/>
      <c r="Q408" s="163">
        <v>6</v>
      </c>
      <c r="R408" s="163">
        <v>0</v>
      </c>
      <c r="S408" s="163">
        <v>0</v>
      </c>
      <c r="T408" s="163">
        <v>0</v>
      </c>
      <c r="U408" s="163">
        <v>0</v>
      </c>
      <c r="V408" s="163">
        <v>0</v>
      </c>
      <c r="W408" s="163">
        <v>0</v>
      </c>
      <c r="X408" s="163">
        <v>0</v>
      </c>
      <c r="Y408" s="163">
        <v>6</v>
      </c>
      <c r="Z408" s="163">
        <v>6</v>
      </c>
      <c r="AA408" s="163">
        <v>0</v>
      </c>
      <c r="AB408" s="163">
        <v>0</v>
      </c>
      <c r="AC408" s="163">
        <v>6</v>
      </c>
      <c r="AD408" s="163">
        <v>0</v>
      </c>
      <c r="AE408" s="165">
        <v>0.49376444853670715</v>
      </c>
      <c r="AF408" s="166">
        <v>0.42322667017432042</v>
      </c>
    </row>
    <row r="409" spans="1:32">
      <c r="A409" s="161">
        <v>9</v>
      </c>
      <c r="B409" s="162">
        <v>0.47916666666666669</v>
      </c>
      <c r="C409" s="163">
        <v>5.1547881958455131</v>
      </c>
      <c r="D409" s="163">
        <v>749.24808008219964</v>
      </c>
      <c r="E409" s="164">
        <v>0.82430000000000003</v>
      </c>
      <c r="F409" s="164">
        <v>0.82430000000000003</v>
      </c>
      <c r="G409" s="163">
        <v>7</v>
      </c>
      <c r="H409" s="163">
        <v>10</v>
      </c>
      <c r="I409" s="163">
        <v>3</v>
      </c>
      <c r="J409" s="163">
        <v>5</v>
      </c>
      <c r="K409" s="163">
        <v>5.4231578947368426</v>
      </c>
      <c r="L409" s="163">
        <v>0.42315789473684262</v>
      </c>
      <c r="M409" s="163">
        <v>6</v>
      </c>
      <c r="N409" s="163">
        <v>8.9473684210526319</v>
      </c>
      <c r="O409" s="163">
        <v>2.9473684210526319</v>
      </c>
      <c r="P409" s="163"/>
      <c r="Q409" s="163">
        <v>6</v>
      </c>
      <c r="R409" s="163">
        <v>0</v>
      </c>
      <c r="S409" s="163">
        <v>0</v>
      </c>
      <c r="T409" s="163">
        <v>0</v>
      </c>
      <c r="U409" s="163">
        <v>0</v>
      </c>
      <c r="V409" s="163">
        <v>0</v>
      </c>
      <c r="W409" s="163">
        <v>0</v>
      </c>
      <c r="X409" s="163">
        <v>0</v>
      </c>
      <c r="Y409" s="163">
        <v>6</v>
      </c>
      <c r="Z409" s="163">
        <v>6</v>
      </c>
      <c r="AA409" s="163">
        <v>0</v>
      </c>
      <c r="AB409" s="163">
        <v>0</v>
      </c>
      <c r="AC409" s="163">
        <v>6</v>
      </c>
      <c r="AD409" s="163">
        <v>0</v>
      </c>
      <c r="AE409" s="165">
        <v>0.46159224046639175</v>
      </c>
      <c r="AF409" s="166">
        <v>0.39565049182833578</v>
      </c>
    </row>
    <row r="410" spans="1:32">
      <c r="A410" s="161">
        <v>9</v>
      </c>
      <c r="B410" s="162">
        <v>0.5</v>
      </c>
      <c r="C410" s="163">
        <v>4.9904448862003132</v>
      </c>
      <c r="D410" s="163">
        <v>745.29647426492716</v>
      </c>
      <c r="E410" s="164">
        <v>0.84130000000000005</v>
      </c>
      <c r="F410" s="164">
        <v>0.84130000000000005</v>
      </c>
      <c r="G410" s="163">
        <v>6</v>
      </c>
      <c r="H410" s="163">
        <v>10</v>
      </c>
      <c r="I410" s="163">
        <v>4</v>
      </c>
      <c r="J410" s="163">
        <v>4</v>
      </c>
      <c r="K410" s="163">
        <v>4.648421052631579</v>
      </c>
      <c r="L410" s="163">
        <v>0.64842105263157901</v>
      </c>
      <c r="M410" s="163">
        <v>5</v>
      </c>
      <c r="N410" s="163">
        <v>8.9473684210526319</v>
      </c>
      <c r="O410" s="163">
        <v>3.9473684210526319</v>
      </c>
      <c r="P410" s="163"/>
      <c r="Q410" s="163">
        <v>6</v>
      </c>
      <c r="R410" s="163">
        <v>0</v>
      </c>
      <c r="S410" s="163">
        <v>0</v>
      </c>
      <c r="T410" s="163">
        <v>0</v>
      </c>
      <c r="U410" s="163">
        <v>0</v>
      </c>
      <c r="V410" s="163">
        <v>0</v>
      </c>
      <c r="W410" s="163">
        <v>0</v>
      </c>
      <c r="X410" s="163">
        <v>0</v>
      </c>
      <c r="Y410" s="163">
        <v>6</v>
      </c>
      <c r="Z410" s="163">
        <v>6</v>
      </c>
      <c r="AA410" s="163">
        <v>0</v>
      </c>
      <c r="AB410" s="163">
        <v>0</v>
      </c>
      <c r="AC410" s="163">
        <v>6</v>
      </c>
      <c r="AD410" s="163">
        <v>0</v>
      </c>
      <c r="AE410" s="165">
        <v>0.44451903806406029</v>
      </c>
      <c r="AF410" s="166">
        <v>0.44451903806406029</v>
      </c>
    </row>
    <row r="411" spans="1:32">
      <c r="A411" s="161">
        <v>9</v>
      </c>
      <c r="B411" s="162">
        <v>0.52083333333333337</v>
      </c>
      <c r="C411" s="163">
        <v>4.4807941113473202</v>
      </c>
      <c r="D411" s="163">
        <v>754.58172282666442</v>
      </c>
      <c r="E411" s="164">
        <v>0.87780000000000002</v>
      </c>
      <c r="F411" s="164">
        <v>0.87780000000000002</v>
      </c>
      <c r="G411" s="163">
        <v>6</v>
      </c>
      <c r="H411" s="163">
        <v>10</v>
      </c>
      <c r="I411" s="163">
        <v>4</v>
      </c>
      <c r="J411" s="163">
        <v>4</v>
      </c>
      <c r="K411" s="163">
        <v>4.648421052631579</v>
      </c>
      <c r="L411" s="163">
        <v>0.64842105263157901</v>
      </c>
      <c r="M411" s="163">
        <v>5</v>
      </c>
      <c r="N411" s="163">
        <v>8.9473684210526319</v>
      </c>
      <c r="O411" s="163">
        <v>3.9473684210526319</v>
      </c>
      <c r="P411" s="163"/>
      <c r="Q411" s="163">
        <v>6</v>
      </c>
      <c r="R411" s="163">
        <v>0</v>
      </c>
      <c r="S411" s="163">
        <v>0</v>
      </c>
      <c r="T411" s="163">
        <v>0</v>
      </c>
      <c r="U411" s="163">
        <v>0</v>
      </c>
      <c r="V411" s="163">
        <v>0</v>
      </c>
      <c r="W411" s="163">
        <v>0</v>
      </c>
      <c r="X411" s="163">
        <v>0</v>
      </c>
      <c r="Y411" s="163">
        <v>6</v>
      </c>
      <c r="Z411" s="163">
        <v>6</v>
      </c>
      <c r="AA411" s="163">
        <v>0</v>
      </c>
      <c r="AB411" s="163">
        <v>0</v>
      </c>
      <c r="AC411" s="163">
        <v>6</v>
      </c>
      <c r="AD411" s="163">
        <v>0</v>
      </c>
      <c r="AE411" s="165">
        <v>0.40409484112865235</v>
      </c>
      <c r="AF411" s="166">
        <v>0.40409484112865235</v>
      </c>
    </row>
    <row r="412" spans="1:32">
      <c r="A412" s="161">
        <v>9</v>
      </c>
      <c r="B412" s="162">
        <v>0.54166666666666663</v>
      </c>
      <c r="C412" s="163">
        <v>4.3197230788972494</v>
      </c>
      <c r="D412" s="163">
        <v>753.44308871624628</v>
      </c>
      <c r="E412" s="164">
        <v>0.89019999999999999</v>
      </c>
      <c r="F412" s="164">
        <v>0.89019999999999999</v>
      </c>
      <c r="G412" s="163">
        <v>6</v>
      </c>
      <c r="H412" s="163">
        <v>10</v>
      </c>
      <c r="I412" s="163">
        <v>4</v>
      </c>
      <c r="J412" s="163">
        <v>4</v>
      </c>
      <c r="K412" s="163">
        <v>4.648421052631579</v>
      </c>
      <c r="L412" s="163">
        <v>0.64842105263157901</v>
      </c>
      <c r="M412" s="163">
        <v>5</v>
      </c>
      <c r="N412" s="163">
        <v>8.9473684210526319</v>
      </c>
      <c r="O412" s="163">
        <v>3.9473684210526319</v>
      </c>
      <c r="P412" s="163"/>
      <c r="Q412" s="163">
        <v>6</v>
      </c>
      <c r="R412" s="163">
        <v>0</v>
      </c>
      <c r="S412" s="163">
        <v>0</v>
      </c>
      <c r="T412" s="163">
        <v>0</v>
      </c>
      <c r="U412" s="163">
        <v>0</v>
      </c>
      <c r="V412" s="163">
        <v>0</v>
      </c>
      <c r="W412" s="163">
        <v>0</v>
      </c>
      <c r="X412" s="163">
        <v>0</v>
      </c>
      <c r="Y412" s="163">
        <v>6</v>
      </c>
      <c r="Z412" s="163">
        <v>6</v>
      </c>
      <c r="AA412" s="163">
        <v>0</v>
      </c>
      <c r="AB412" s="163">
        <v>0</v>
      </c>
      <c r="AC412" s="163">
        <v>6</v>
      </c>
      <c r="AD412" s="163">
        <v>0</v>
      </c>
      <c r="AE412" s="165">
        <v>0.38898100644311562</v>
      </c>
      <c r="AF412" s="166">
        <v>0.38898100644311562</v>
      </c>
    </row>
    <row r="413" spans="1:32">
      <c r="A413" s="161">
        <v>9</v>
      </c>
      <c r="B413" s="162">
        <v>0.5625</v>
      </c>
      <c r="C413" s="163">
        <v>4.1624616955219569</v>
      </c>
      <c r="D413" s="163">
        <v>755.19028398261287</v>
      </c>
      <c r="E413" s="164">
        <v>0.90049999999999997</v>
      </c>
      <c r="F413" s="164">
        <v>0.90049999999999997</v>
      </c>
      <c r="G413" s="163">
        <v>6</v>
      </c>
      <c r="H413" s="163">
        <v>10</v>
      </c>
      <c r="I413" s="163">
        <v>4</v>
      </c>
      <c r="J413" s="163">
        <v>4</v>
      </c>
      <c r="K413" s="163">
        <v>4.648421052631579</v>
      </c>
      <c r="L413" s="163">
        <v>0.64842105263157901</v>
      </c>
      <c r="M413" s="163">
        <v>5</v>
      </c>
      <c r="N413" s="163">
        <v>8.9473684210526319</v>
      </c>
      <c r="O413" s="163">
        <v>3.9473684210526319</v>
      </c>
      <c r="P413" s="163"/>
      <c r="Q413" s="163">
        <v>6</v>
      </c>
      <c r="R413" s="163">
        <v>0</v>
      </c>
      <c r="S413" s="163">
        <v>0</v>
      </c>
      <c r="T413" s="163">
        <v>0</v>
      </c>
      <c r="U413" s="163">
        <v>0</v>
      </c>
      <c r="V413" s="163">
        <v>0</v>
      </c>
      <c r="W413" s="163">
        <v>0</v>
      </c>
      <c r="X413" s="163">
        <v>0</v>
      </c>
      <c r="Y413" s="163">
        <v>6</v>
      </c>
      <c r="Z413" s="163">
        <v>6</v>
      </c>
      <c r="AA413" s="163">
        <v>0</v>
      </c>
      <c r="AB413" s="163">
        <v>0</v>
      </c>
      <c r="AC413" s="163">
        <v>6</v>
      </c>
      <c r="AD413" s="163">
        <v>0</v>
      </c>
      <c r="AE413" s="165">
        <v>0.37568917300882854</v>
      </c>
      <c r="AF413" s="166">
        <v>0.37568917300882854</v>
      </c>
    </row>
    <row r="414" spans="1:32">
      <c r="A414" s="161">
        <v>9</v>
      </c>
      <c r="B414" s="162">
        <v>0.58333333333333337</v>
      </c>
      <c r="C414" s="163">
        <v>3.5087352738660798</v>
      </c>
      <c r="D414" s="163">
        <v>764.48155619750423</v>
      </c>
      <c r="E414" s="164">
        <v>0.9375</v>
      </c>
      <c r="F414" s="164">
        <v>0.9375</v>
      </c>
      <c r="G414" s="163">
        <v>6</v>
      </c>
      <c r="H414" s="163">
        <v>10</v>
      </c>
      <c r="I414" s="163">
        <v>4</v>
      </c>
      <c r="J414" s="163">
        <v>4</v>
      </c>
      <c r="K414" s="163">
        <v>4.648421052631579</v>
      </c>
      <c r="L414" s="163">
        <v>0.64842105263157901</v>
      </c>
      <c r="M414" s="163">
        <v>5</v>
      </c>
      <c r="N414" s="163">
        <v>8.9473684210526319</v>
      </c>
      <c r="O414" s="163">
        <v>3.9473684210526319</v>
      </c>
      <c r="P414" s="163"/>
      <c r="Q414" s="163">
        <v>6</v>
      </c>
      <c r="R414" s="163">
        <v>0</v>
      </c>
      <c r="S414" s="163">
        <v>0</v>
      </c>
      <c r="T414" s="163">
        <v>0</v>
      </c>
      <c r="U414" s="163">
        <v>0</v>
      </c>
      <c r="V414" s="163">
        <v>0</v>
      </c>
      <c r="W414" s="163">
        <v>0</v>
      </c>
      <c r="X414" s="163">
        <v>0</v>
      </c>
      <c r="Y414" s="163">
        <v>6</v>
      </c>
      <c r="Z414" s="163">
        <v>6</v>
      </c>
      <c r="AA414" s="163">
        <v>0</v>
      </c>
      <c r="AB414" s="163">
        <v>0</v>
      </c>
      <c r="AC414" s="163">
        <v>6</v>
      </c>
      <c r="AD414" s="163">
        <v>0</v>
      </c>
      <c r="AE414" s="165">
        <v>0.32058238128116268</v>
      </c>
      <c r="AF414" s="166">
        <v>0.32058238128116268</v>
      </c>
    </row>
    <row r="415" spans="1:32">
      <c r="A415" s="161">
        <v>9</v>
      </c>
      <c r="B415" s="162">
        <v>0.60416666666666663</v>
      </c>
      <c r="C415" s="163">
        <v>3.2977396640879832</v>
      </c>
      <c r="D415" s="163">
        <v>765.14274713097939</v>
      </c>
      <c r="E415" s="164">
        <v>0.94810000000000005</v>
      </c>
      <c r="F415" s="164">
        <v>0.94810000000000005</v>
      </c>
      <c r="G415" s="163">
        <v>4</v>
      </c>
      <c r="H415" s="163">
        <v>10</v>
      </c>
      <c r="I415" s="163">
        <v>6</v>
      </c>
      <c r="J415" s="163">
        <v>3</v>
      </c>
      <c r="K415" s="163">
        <v>3.0989473684210527</v>
      </c>
      <c r="L415" s="163">
        <v>9.8947368421052673E-2</v>
      </c>
      <c r="M415" s="163">
        <v>4</v>
      </c>
      <c r="N415" s="163">
        <v>8.9473684210526319</v>
      </c>
      <c r="O415" s="163">
        <v>4.9473684210526319</v>
      </c>
      <c r="P415" s="163"/>
      <c r="Q415" s="163">
        <v>6</v>
      </c>
      <c r="R415" s="163">
        <v>0</v>
      </c>
      <c r="S415" s="163">
        <v>0</v>
      </c>
      <c r="T415" s="163">
        <v>0</v>
      </c>
      <c r="U415" s="163">
        <v>0</v>
      </c>
      <c r="V415" s="163">
        <v>0</v>
      </c>
      <c r="W415" s="163">
        <v>0</v>
      </c>
      <c r="X415" s="163">
        <v>0</v>
      </c>
      <c r="Y415" s="163">
        <v>6</v>
      </c>
      <c r="Z415" s="163">
        <v>6</v>
      </c>
      <c r="AA415" s="163">
        <v>0</v>
      </c>
      <c r="AB415" s="163">
        <v>0</v>
      </c>
      <c r="AC415" s="163">
        <v>6</v>
      </c>
      <c r="AD415" s="163">
        <v>0</v>
      </c>
      <c r="AE415" s="165">
        <v>0.30156495403179334</v>
      </c>
      <c r="AF415" s="166">
        <v>0.45234743104768999</v>
      </c>
    </row>
    <row r="416" spans="1:32">
      <c r="A416" s="161">
        <v>9</v>
      </c>
      <c r="B416" s="162">
        <v>0.625</v>
      </c>
      <c r="C416" s="163">
        <v>3.1079025832462044</v>
      </c>
      <c r="D416" s="163">
        <v>759.30224022140101</v>
      </c>
      <c r="E416" s="164">
        <v>0.91769999999999996</v>
      </c>
      <c r="F416" s="164">
        <v>0.91769999999999996</v>
      </c>
      <c r="G416" s="163">
        <v>4</v>
      </c>
      <c r="H416" s="163">
        <v>9.3333333333333339</v>
      </c>
      <c r="I416" s="163">
        <v>5.3333333333333339</v>
      </c>
      <c r="J416" s="163">
        <v>3</v>
      </c>
      <c r="K416" s="163">
        <v>3.0989473684210527</v>
      </c>
      <c r="L416" s="163">
        <v>9.8947368421052673E-2</v>
      </c>
      <c r="M416" s="163">
        <v>4</v>
      </c>
      <c r="N416" s="163">
        <v>8.3508771929824572</v>
      </c>
      <c r="O416" s="163">
        <v>4.3508771929824572</v>
      </c>
      <c r="P416" s="163"/>
      <c r="Q416" s="163">
        <v>6</v>
      </c>
      <c r="R416" s="163">
        <v>0</v>
      </c>
      <c r="S416" s="163">
        <v>0</v>
      </c>
      <c r="T416" s="163">
        <v>0</v>
      </c>
      <c r="U416" s="163">
        <v>0</v>
      </c>
      <c r="V416" s="163">
        <v>0</v>
      </c>
      <c r="W416" s="163">
        <v>0</v>
      </c>
      <c r="X416" s="163">
        <v>0</v>
      </c>
      <c r="Y416" s="163">
        <v>6</v>
      </c>
      <c r="Z416" s="163">
        <v>6</v>
      </c>
      <c r="AA416" s="163">
        <v>0</v>
      </c>
      <c r="AB416" s="163">
        <v>0</v>
      </c>
      <c r="AC416" s="163">
        <v>6</v>
      </c>
      <c r="AD416" s="163">
        <v>0</v>
      </c>
      <c r="AE416" s="165">
        <v>0.282035719121916</v>
      </c>
      <c r="AF416" s="166">
        <v>0.42305357868287397</v>
      </c>
    </row>
    <row r="417" spans="1:32">
      <c r="A417" s="161">
        <v>9</v>
      </c>
      <c r="B417" s="162">
        <v>0.64583333333333337</v>
      </c>
      <c r="C417" s="163">
        <v>3.2066976124873516</v>
      </c>
      <c r="D417" s="163">
        <v>760.35547184566099</v>
      </c>
      <c r="E417" s="164">
        <v>0.82459999999999989</v>
      </c>
      <c r="F417" s="164">
        <v>0.82459999999999989</v>
      </c>
      <c r="G417" s="163">
        <v>4</v>
      </c>
      <c r="H417" s="163">
        <v>6.6666666666666661</v>
      </c>
      <c r="I417" s="163">
        <v>2.6666666666666661</v>
      </c>
      <c r="J417" s="163">
        <v>3</v>
      </c>
      <c r="K417" s="163">
        <v>3.0989473684210527</v>
      </c>
      <c r="L417" s="163">
        <v>9.8947368421052673E-2</v>
      </c>
      <c r="M417" s="163">
        <v>4</v>
      </c>
      <c r="N417" s="163">
        <v>5.9649122807017543</v>
      </c>
      <c r="O417" s="163">
        <v>1.9649122807017543</v>
      </c>
      <c r="P417" s="163"/>
      <c r="Q417" s="163">
        <v>4</v>
      </c>
      <c r="R417" s="163">
        <v>0</v>
      </c>
      <c r="S417" s="163">
        <v>0</v>
      </c>
      <c r="T417" s="163">
        <v>0</v>
      </c>
      <c r="U417" s="163">
        <v>0</v>
      </c>
      <c r="V417" s="163">
        <v>0</v>
      </c>
      <c r="W417" s="163">
        <v>0</v>
      </c>
      <c r="X417" s="163">
        <v>0</v>
      </c>
      <c r="Y417" s="163">
        <v>4</v>
      </c>
      <c r="Z417" s="163">
        <v>4</v>
      </c>
      <c r="AA417" s="163">
        <v>0</v>
      </c>
      <c r="AB417" s="163">
        <v>0</v>
      </c>
      <c r="AC417" s="163">
        <v>4</v>
      </c>
      <c r="AD417" s="163">
        <v>0</v>
      </c>
      <c r="AE417" s="165">
        <v>0.43710721852330842</v>
      </c>
      <c r="AF417" s="166">
        <v>0.43710721852330842</v>
      </c>
    </row>
    <row r="418" spans="1:32">
      <c r="A418" s="161">
        <v>9</v>
      </c>
      <c r="B418" s="162">
        <v>0.66666666666666663</v>
      </c>
      <c r="C418" s="163">
        <v>3.1624583631581538</v>
      </c>
      <c r="D418" s="163">
        <v>764.61138825424962</v>
      </c>
      <c r="E418" s="164">
        <v>0.82789999999999997</v>
      </c>
      <c r="F418" s="164">
        <v>0.82789999999999997</v>
      </c>
      <c r="G418" s="163">
        <v>4</v>
      </c>
      <c r="H418" s="163">
        <v>6.6666666666666661</v>
      </c>
      <c r="I418" s="163">
        <v>2.6666666666666661</v>
      </c>
      <c r="J418" s="163">
        <v>3</v>
      </c>
      <c r="K418" s="163">
        <v>3.0989473684210527</v>
      </c>
      <c r="L418" s="163">
        <v>9.8947368421052673E-2</v>
      </c>
      <c r="M418" s="163">
        <v>4</v>
      </c>
      <c r="N418" s="163">
        <v>5.9649122807017543</v>
      </c>
      <c r="O418" s="163">
        <v>1.9649122807017543</v>
      </c>
      <c r="P418" s="163"/>
      <c r="Q418" s="163">
        <v>4</v>
      </c>
      <c r="R418" s="163">
        <v>0</v>
      </c>
      <c r="S418" s="163">
        <v>0</v>
      </c>
      <c r="T418" s="163">
        <v>0</v>
      </c>
      <c r="U418" s="163">
        <v>0</v>
      </c>
      <c r="V418" s="163">
        <v>0</v>
      </c>
      <c r="W418" s="163">
        <v>0</v>
      </c>
      <c r="X418" s="163">
        <v>0</v>
      </c>
      <c r="Y418" s="163">
        <v>4</v>
      </c>
      <c r="Z418" s="163">
        <v>4</v>
      </c>
      <c r="AA418" s="163">
        <v>0</v>
      </c>
      <c r="AB418" s="163">
        <v>0</v>
      </c>
      <c r="AC418" s="163">
        <v>4</v>
      </c>
      <c r="AD418" s="163">
        <v>0</v>
      </c>
      <c r="AE418" s="165">
        <v>0.43348979004058857</v>
      </c>
      <c r="AF418" s="166">
        <v>0.43348979004058857</v>
      </c>
    </row>
    <row r="419" spans="1:32">
      <c r="A419" s="161">
        <v>9</v>
      </c>
      <c r="B419" s="162">
        <v>0.6875</v>
      </c>
      <c r="C419" s="163">
        <v>3.3179607611599744</v>
      </c>
      <c r="D419" s="163">
        <v>766.95523480070688</v>
      </c>
      <c r="E419" s="164">
        <v>0.80629999999999991</v>
      </c>
      <c r="F419" s="164">
        <v>0.80629999999999991</v>
      </c>
      <c r="G419" s="163">
        <v>4</v>
      </c>
      <c r="H419" s="163">
        <v>6.6666666666666661</v>
      </c>
      <c r="I419" s="163">
        <v>2.6666666666666661</v>
      </c>
      <c r="J419" s="163">
        <v>3</v>
      </c>
      <c r="K419" s="163">
        <v>3.0989473684210527</v>
      </c>
      <c r="L419" s="163">
        <v>9.8947368421052673E-2</v>
      </c>
      <c r="M419" s="163">
        <v>4</v>
      </c>
      <c r="N419" s="163">
        <v>5.9649122807017543</v>
      </c>
      <c r="O419" s="163">
        <v>1.9649122807017543</v>
      </c>
      <c r="P419" s="163"/>
      <c r="Q419" s="163">
        <v>4</v>
      </c>
      <c r="R419" s="163">
        <v>0</v>
      </c>
      <c r="S419" s="163">
        <v>0</v>
      </c>
      <c r="T419" s="163">
        <v>0</v>
      </c>
      <c r="U419" s="163">
        <v>0</v>
      </c>
      <c r="V419" s="163">
        <v>0</v>
      </c>
      <c r="W419" s="163">
        <v>0</v>
      </c>
      <c r="X419" s="163">
        <v>0</v>
      </c>
      <c r="Y419" s="163">
        <v>4</v>
      </c>
      <c r="Z419" s="163">
        <v>4</v>
      </c>
      <c r="AA419" s="163">
        <v>0</v>
      </c>
      <c r="AB419" s="163">
        <v>0</v>
      </c>
      <c r="AC419" s="163">
        <v>4</v>
      </c>
      <c r="AD419" s="163">
        <v>0</v>
      </c>
      <c r="AE419" s="165">
        <v>0.45619923873475826</v>
      </c>
      <c r="AF419" s="166">
        <v>0.45619923873475826</v>
      </c>
    </row>
    <row r="420" spans="1:32">
      <c r="A420" s="161">
        <v>9</v>
      </c>
      <c r="B420" s="162">
        <v>0.70833333333333337</v>
      </c>
      <c r="C420" s="163">
        <v>3.2827421942167483</v>
      </c>
      <c r="D420" s="163">
        <v>760.14102473900743</v>
      </c>
      <c r="E420" s="164">
        <v>0.81490000000000007</v>
      </c>
      <c r="F420" s="164">
        <v>0.81490000000000007</v>
      </c>
      <c r="G420" s="163">
        <v>4</v>
      </c>
      <c r="H420" s="163">
        <v>6.6666666666666661</v>
      </c>
      <c r="I420" s="163">
        <v>2.6666666666666661</v>
      </c>
      <c r="J420" s="163">
        <v>3</v>
      </c>
      <c r="K420" s="163">
        <v>3.0989473684210527</v>
      </c>
      <c r="L420" s="163">
        <v>9.8947368421052673E-2</v>
      </c>
      <c r="M420" s="163">
        <v>4</v>
      </c>
      <c r="N420" s="163">
        <v>5.9649122807017543</v>
      </c>
      <c r="O420" s="163">
        <v>1.9649122807017543</v>
      </c>
      <c r="P420" s="163"/>
      <c r="Q420" s="163">
        <v>4</v>
      </c>
      <c r="R420" s="163">
        <v>0</v>
      </c>
      <c r="S420" s="163">
        <v>0</v>
      </c>
      <c r="T420" s="163">
        <v>0</v>
      </c>
      <c r="U420" s="163">
        <v>0</v>
      </c>
      <c r="V420" s="163">
        <v>0</v>
      </c>
      <c r="W420" s="163">
        <v>0</v>
      </c>
      <c r="X420" s="163">
        <v>0</v>
      </c>
      <c r="Y420" s="163">
        <v>4</v>
      </c>
      <c r="Z420" s="163">
        <v>4</v>
      </c>
      <c r="AA420" s="163">
        <v>0</v>
      </c>
      <c r="AB420" s="163">
        <v>0</v>
      </c>
      <c r="AC420" s="163">
        <v>4</v>
      </c>
      <c r="AD420" s="163">
        <v>0</v>
      </c>
      <c r="AE420" s="165">
        <v>0.44734670604857374</v>
      </c>
      <c r="AF420" s="166">
        <v>0.44734670604857374</v>
      </c>
    </row>
    <row r="421" spans="1:32">
      <c r="A421" s="161">
        <v>9</v>
      </c>
      <c r="B421" s="162">
        <v>0.72916666666666663</v>
      </c>
      <c r="C421" s="163">
        <v>3.329120770980849</v>
      </c>
      <c r="D421" s="163">
        <v>715.34347479849384</v>
      </c>
      <c r="E421" s="164">
        <v>0.91599999999999993</v>
      </c>
      <c r="F421" s="164">
        <v>0.91599999999999993</v>
      </c>
      <c r="G421" s="163">
        <v>4</v>
      </c>
      <c r="H421" s="163">
        <v>8</v>
      </c>
      <c r="I421" s="163">
        <v>4</v>
      </c>
      <c r="J421" s="163">
        <v>3</v>
      </c>
      <c r="K421" s="163">
        <v>3.0989473684210527</v>
      </c>
      <c r="L421" s="163">
        <v>9.8947368421052673E-2</v>
      </c>
      <c r="M421" s="163">
        <v>4</v>
      </c>
      <c r="N421" s="163">
        <v>7.1578947368421053</v>
      </c>
      <c r="O421" s="163">
        <v>3.1578947368421053</v>
      </c>
      <c r="P421" s="163"/>
      <c r="Q421" s="163">
        <v>4</v>
      </c>
      <c r="R421" s="163">
        <v>0</v>
      </c>
      <c r="S421" s="163">
        <v>0</v>
      </c>
      <c r="T421" s="163">
        <v>0</v>
      </c>
      <c r="U421" s="163">
        <v>0</v>
      </c>
      <c r="V421" s="163">
        <v>0</v>
      </c>
      <c r="W421" s="163">
        <v>0</v>
      </c>
      <c r="X421" s="163">
        <v>0</v>
      </c>
      <c r="Y421" s="163">
        <v>4</v>
      </c>
      <c r="Z421" s="163">
        <v>4</v>
      </c>
      <c r="AA421" s="163">
        <v>0</v>
      </c>
      <c r="AB421" s="163">
        <v>0</v>
      </c>
      <c r="AC421" s="163">
        <v>4</v>
      </c>
      <c r="AD421" s="163">
        <v>0</v>
      </c>
      <c r="AE421" s="165">
        <v>0.42693077810243379</v>
      </c>
      <c r="AF421" s="166">
        <v>0.42693077810243379</v>
      </c>
    </row>
    <row r="422" spans="1:32">
      <c r="A422" s="161">
        <v>9</v>
      </c>
      <c r="B422" s="162">
        <v>0.75</v>
      </c>
      <c r="C422" s="163">
        <v>3.6193185599264517</v>
      </c>
      <c r="D422" s="163">
        <v>749.35453753639479</v>
      </c>
      <c r="E422" s="164">
        <v>0.93549999999999989</v>
      </c>
      <c r="F422" s="164">
        <v>0.93549999999999989</v>
      </c>
      <c r="G422" s="163">
        <v>6</v>
      </c>
      <c r="H422" s="163">
        <v>10</v>
      </c>
      <c r="I422" s="163">
        <v>4</v>
      </c>
      <c r="J422" s="163">
        <v>4</v>
      </c>
      <c r="K422" s="163">
        <v>4.648421052631579</v>
      </c>
      <c r="L422" s="163">
        <v>0.64842105263157901</v>
      </c>
      <c r="M422" s="163">
        <v>5</v>
      </c>
      <c r="N422" s="163">
        <v>8.9473684210526319</v>
      </c>
      <c r="O422" s="163">
        <v>3.9473684210526319</v>
      </c>
      <c r="P422" s="163"/>
      <c r="Q422" s="163">
        <v>6</v>
      </c>
      <c r="R422" s="163">
        <v>0</v>
      </c>
      <c r="S422" s="163">
        <v>0</v>
      </c>
      <c r="T422" s="163">
        <v>0</v>
      </c>
      <c r="U422" s="163">
        <v>0</v>
      </c>
      <c r="V422" s="163">
        <v>0</v>
      </c>
      <c r="W422" s="163">
        <v>0</v>
      </c>
      <c r="X422" s="163">
        <v>0</v>
      </c>
      <c r="Y422" s="163">
        <v>6</v>
      </c>
      <c r="Z422" s="163">
        <v>6</v>
      </c>
      <c r="AA422" s="163">
        <v>0</v>
      </c>
      <c r="AB422" s="163">
        <v>0</v>
      </c>
      <c r="AC422" s="163">
        <v>6</v>
      </c>
      <c r="AD422" s="163">
        <v>0</v>
      </c>
      <c r="AE422" s="165">
        <v>0.32414265629869254</v>
      </c>
      <c r="AF422" s="166">
        <v>0.32414265629869254</v>
      </c>
    </row>
    <row r="423" spans="1:32">
      <c r="A423" s="161">
        <v>9</v>
      </c>
      <c r="B423" s="162">
        <v>0.77083333333333337</v>
      </c>
      <c r="C423" s="163">
        <v>3.7463273314109489</v>
      </c>
      <c r="D423" s="163">
        <v>744.2128223778227</v>
      </c>
      <c r="E423" s="164">
        <v>0.93</v>
      </c>
      <c r="F423" s="164">
        <v>0.93</v>
      </c>
      <c r="G423" s="163">
        <v>6</v>
      </c>
      <c r="H423" s="163">
        <v>10</v>
      </c>
      <c r="I423" s="163">
        <v>4</v>
      </c>
      <c r="J423" s="163">
        <v>4</v>
      </c>
      <c r="K423" s="163">
        <v>4.648421052631579</v>
      </c>
      <c r="L423" s="163">
        <v>0.64842105263157901</v>
      </c>
      <c r="M423" s="163">
        <v>5</v>
      </c>
      <c r="N423" s="163">
        <v>8.9473684210526319</v>
      </c>
      <c r="O423" s="163">
        <v>3.9473684210526319</v>
      </c>
      <c r="P423" s="163"/>
      <c r="Q423" s="163">
        <v>6</v>
      </c>
      <c r="R423" s="163">
        <v>0</v>
      </c>
      <c r="S423" s="163">
        <v>0</v>
      </c>
      <c r="T423" s="163">
        <v>0</v>
      </c>
      <c r="U423" s="163">
        <v>0</v>
      </c>
      <c r="V423" s="163">
        <v>0</v>
      </c>
      <c r="W423" s="163">
        <v>0</v>
      </c>
      <c r="X423" s="163">
        <v>0</v>
      </c>
      <c r="Y423" s="163">
        <v>6</v>
      </c>
      <c r="Z423" s="163">
        <v>6</v>
      </c>
      <c r="AA423" s="163">
        <v>0</v>
      </c>
      <c r="AB423" s="163">
        <v>0</v>
      </c>
      <c r="AC423" s="163">
        <v>6</v>
      </c>
      <c r="AD423" s="163">
        <v>0</v>
      </c>
      <c r="AE423" s="165">
        <v>0.33321527715095273</v>
      </c>
      <c r="AF423" s="166">
        <v>0.33321527715095273</v>
      </c>
    </row>
    <row r="424" spans="1:32">
      <c r="A424" s="161">
        <v>9</v>
      </c>
      <c r="B424" s="162">
        <v>0.79166666666666663</v>
      </c>
      <c r="C424" s="163">
        <v>3.5039680703511142</v>
      </c>
      <c r="D424" s="163">
        <v>730.56299463269079</v>
      </c>
      <c r="E424" s="164">
        <v>0.80410000000000004</v>
      </c>
      <c r="F424" s="164">
        <v>0.80410000000000004</v>
      </c>
      <c r="G424" s="163">
        <v>6</v>
      </c>
      <c r="H424" s="163">
        <v>6.6666666666666661</v>
      </c>
      <c r="I424" s="163">
        <v>0.66666666666666607</v>
      </c>
      <c r="J424" s="163">
        <v>4</v>
      </c>
      <c r="K424" s="163">
        <v>4.648421052631579</v>
      </c>
      <c r="L424" s="163">
        <v>0.64842105263157901</v>
      </c>
      <c r="M424" s="163">
        <v>5</v>
      </c>
      <c r="N424" s="163">
        <v>5.9649122807017543</v>
      </c>
      <c r="O424" s="163">
        <v>0.96491228070175428</v>
      </c>
      <c r="P424" s="163"/>
      <c r="Q424" s="163">
        <v>4</v>
      </c>
      <c r="R424" s="163">
        <v>0</v>
      </c>
      <c r="S424" s="163">
        <v>0</v>
      </c>
      <c r="T424" s="163">
        <v>0</v>
      </c>
      <c r="U424" s="163">
        <v>0</v>
      </c>
      <c r="V424" s="163">
        <v>0</v>
      </c>
      <c r="W424" s="163">
        <v>0</v>
      </c>
      <c r="X424" s="163">
        <v>0</v>
      </c>
      <c r="Y424" s="163">
        <v>4</v>
      </c>
      <c r="Z424" s="163">
        <v>4</v>
      </c>
      <c r="AA424" s="163">
        <v>0</v>
      </c>
      <c r="AB424" s="163">
        <v>0</v>
      </c>
      <c r="AC424" s="163">
        <v>4</v>
      </c>
      <c r="AD424" s="163">
        <v>0</v>
      </c>
      <c r="AE424" s="165">
        <v>0.45891378627800211</v>
      </c>
      <c r="AF424" s="166">
        <v>0.30594252418533474</v>
      </c>
    </row>
    <row r="425" spans="1:32">
      <c r="A425" s="161">
        <v>9</v>
      </c>
      <c r="B425" s="162">
        <v>0.8125</v>
      </c>
      <c r="C425" s="163">
        <v>3.5025882793679282</v>
      </c>
      <c r="D425" s="163">
        <v>729.18790757807346</v>
      </c>
      <c r="E425" s="164">
        <v>0.80510000000000004</v>
      </c>
      <c r="F425" s="164">
        <v>0.80510000000000004</v>
      </c>
      <c r="G425" s="163">
        <v>4</v>
      </c>
      <c r="H425" s="163">
        <v>6.6666666666666661</v>
      </c>
      <c r="I425" s="163">
        <v>2.6666666666666661</v>
      </c>
      <c r="J425" s="163">
        <v>3</v>
      </c>
      <c r="K425" s="163">
        <v>3.0989473684210527</v>
      </c>
      <c r="L425" s="163">
        <v>9.8947368421052673E-2</v>
      </c>
      <c r="M425" s="163">
        <v>4</v>
      </c>
      <c r="N425" s="163">
        <v>5.9649122807017543</v>
      </c>
      <c r="O425" s="163">
        <v>1.9649122807017543</v>
      </c>
      <c r="P425" s="163"/>
      <c r="Q425" s="163">
        <v>4</v>
      </c>
      <c r="R425" s="163">
        <v>0</v>
      </c>
      <c r="S425" s="163">
        <v>0</v>
      </c>
      <c r="T425" s="163">
        <v>0</v>
      </c>
      <c r="U425" s="163">
        <v>0</v>
      </c>
      <c r="V425" s="163">
        <v>0</v>
      </c>
      <c r="W425" s="163">
        <v>0</v>
      </c>
      <c r="X425" s="163">
        <v>0</v>
      </c>
      <c r="Y425" s="163">
        <v>4</v>
      </c>
      <c r="Z425" s="163">
        <v>4</v>
      </c>
      <c r="AA425" s="163">
        <v>0</v>
      </c>
      <c r="AB425" s="163">
        <v>0</v>
      </c>
      <c r="AC425" s="163">
        <v>4</v>
      </c>
      <c r="AD425" s="163">
        <v>0</v>
      </c>
      <c r="AE425" s="165">
        <v>0.45786963458876717</v>
      </c>
      <c r="AF425" s="166">
        <v>0.45786963458876717</v>
      </c>
    </row>
    <row r="426" spans="1:32">
      <c r="A426" s="161">
        <v>9</v>
      </c>
      <c r="B426" s="162">
        <v>0.83333333333333337</v>
      </c>
      <c r="C426" s="163">
        <v>3.3771273134334638</v>
      </c>
      <c r="D426" s="163">
        <v>740.45147298930135</v>
      </c>
      <c r="E426" s="164">
        <v>0.32030000000000003</v>
      </c>
      <c r="F426" s="164">
        <v>0.32030000000000003</v>
      </c>
      <c r="G426" s="163">
        <v>4</v>
      </c>
      <c r="H426" s="163">
        <v>5.333333333333333</v>
      </c>
      <c r="I426" s="163">
        <v>1.333333333333333</v>
      </c>
      <c r="J426" s="163">
        <v>3</v>
      </c>
      <c r="K426" s="163">
        <v>3.0989473684210527</v>
      </c>
      <c r="L426" s="163">
        <v>9.8947368421052673E-2</v>
      </c>
      <c r="M426" s="163">
        <v>4</v>
      </c>
      <c r="N426" s="163">
        <v>4.7719298245614032</v>
      </c>
      <c r="O426" s="163">
        <v>0.77192982456140324</v>
      </c>
      <c r="P426" s="163"/>
      <c r="Q426" s="163">
        <v>4</v>
      </c>
      <c r="R426" s="163">
        <v>0</v>
      </c>
      <c r="S426" s="163">
        <v>0</v>
      </c>
      <c r="T426" s="163">
        <v>0</v>
      </c>
      <c r="U426" s="163">
        <v>0</v>
      </c>
      <c r="V426" s="163">
        <v>0</v>
      </c>
      <c r="W426" s="163">
        <v>0</v>
      </c>
      <c r="X426" s="163">
        <v>0</v>
      </c>
      <c r="Y426" s="163">
        <v>4</v>
      </c>
      <c r="Z426" s="163">
        <v>4</v>
      </c>
      <c r="AA426" s="163">
        <v>0</v>
      </c>
      <c r="AB426" s="163">
        <v>0</v>
      </c>
      <c r="AC426" s="163">
        <v>4</v>
      </c>
      <c r="AD426" s="163">
        <v>0</v>
      </c>
      <c r="AE426" s="165">
        <v>0.44828822256548156</v>
      </c>
      <c r="AF426" s="166">
        <v>0.44828822256548156</v>
      </c>
    </row>
    <row r="427" spans="1:32">
      <c r="A427" s="161">
        <v>9</v>
      </c>
      <c r="B427" s="162">
        <v>0.85416666666666663</v>
      </c>
      <c r="C427" s="163">
        <v>3.166200210514357</v>
      </c>
      <c r="D427" s="163">
        <v>734.89923179739822</v>
      </c>
      <c r="E427" s="164">
        <v>0.1198</v>
      </c>
      <c r="F427" s="164">
        <v>0.1198</v>
      </c>
      <c r="G427" s="163">
        <v>4</v>
      </c>
      <c r="H427" s="163">
        <v>3.333333333333333</v>
      </c>
      <c r="I427" s="163">
        <v>-0.66666666666666696</v>
      </c>
      <c r="J427" s="163">
        <v>3</v>
      </c>
      <c r="K427" s="163">
        <v>3.0989473684210527</v>
      </c>
      <c r="L427" s="163">
        <v>9.8947368421052673E-2</v>
      </c>
      <c r="M427" s="163">
        <v>4</v>
      </c>
      <c r="N427" s="163">
        <v>2.9824561403508771</v>
      </c>
      <c r="O427" s="163">
        <v>-1.0175438596491229</v>
      </c>
      <c r="P427" s="163"/>
      <c r="Q427" s="163">
        <v>2</v>
      </c>
      <c r="R427" s="163">
        <v>0</v>
      </c>
      <c r="S427" s="163">
        <v>0</v>
      </c>
      <c r="T427" s="163">
        <v>0</v>
      </c>
      <c r="U427" s="163">
        <v>0</v>
      </c>
      <c r="V427" s="163">
        <v>0</v>
      </c>
      <c r="W427" s="163">
        <v>0</v>
      </c>
      <c r="X427" s="163">
        <v>0</v>
      </c>
      <c r="Y427" s="163">
        <v>2</v>
      </c>
      <c r="Z427" s="163">
        <v>2</v>
      </c>
      <c r="AA427" s="163">
        <v>0</v>
      </c>
      <c r="AB427" s="163">
        <v>0</v>
      </c>
      <c r="AC427" s="163">
        <v>2</v>
      </c>
      <c r="AD427" s="163">
        <v>0</v>
      </c>
      <c r="AE427" s="165">
        <v>0.83427543678388183</v>
      </c>
      <c r="AF427" s="166">
        <v>0.41713771839194091</v>
      </c>
    </row>
    <row r="428" spans="1:32">
      <c r="A428" s="161">
        <v>9</v>
      </c>
      <c r="B428" s="162">
        <v>0.875</v>
      </c>
      <c r="C428" s="163">
        <v>2.8288165322041277</v>
      </c>
      <c r="D428" s="163">
        <v>696.64571151865573</v>
      </c>
      <c r="E428" s="164">
        <v>0.22159999999999999</v>
      </c>
      <c r="F428" s="164">
        <v>0.22159999999999999</v>
      </c>
      <c r="G428" s="163">
        <v>4</v>
      </c>
      <c r="H428" s="163">
        <v>3.333333333333333</v>
      </c>
      <c r="I428" s="163">
        <v>-0.66666666666666696</v>
      </c>
      <c r="J428" s="163">
        <v>3</v>
      </c>
      <c r="K428" s="163">
        <v>3.0989473684210527</v>
      </c>
      <c r="L428" s="163">
        <v>9.8947368421052673E-2</v>
      </c>
      <c r="M428" s="163">
        <v>4</v>
      </c>
      <c r="N428" s="163">
        <v>2.9824561403508771</v>
      </c>
      <c r="O428" s="163">
        <v>-1.0175438596491229</v>
      </c>
      <c r="P428" s="163"/>
      <c r="Q428" s="163">
        <v>2</v>
      </c>
      <c r="R428" s="163">
        <v>0</v>
      </c>
      <c r="S428" s="163">
        <v>0</v>
      </c>
      <c r="T428" s="163">
        <v>0</v>
      </c>
      <c r="U428" s="163">
        <v>0</v>
      </c>
      <c r="V428" s="163">
        <v>0</v>
      </c>
      <c r="W428" s="163">
        <v>0</v>
      </c>
      <c r="X428" s="163">
        <v>0</v>
      </c>
      <c r="Y428" s="163">
        <v>2</v>
      </c>
      <c r="Z428" s="163">
        <v>2</v>
      </c>
      <c r="AA428" s="163">
        <v>0</v>
      </c>
      <c r="AB428" s="163">
        <v>0</v>
      </c>
      <c r="AC428" s="163">
        <v>2</v>
      </c>
      <c r="AD428" s="163">
        <v>0</v>
      </c>
      <c r="AE428" s="165">
        <v>0.70657788365844898</v>
      </c>
      <c r="AF428" s="166">
        <v>0.35328894182922449</v>
      </c>
    </row>
    <row r="429" spans="1:32">
      <c r="A429" s="161">
        <v>9</v>
      </c>
      <c r="B429" s="162">
        <v>0.89583333333333337</v>
      </c>
      <c r="C429" s="163">
        <v>2.5641173608169785</v>
      </c>
      <c r="D429" s="163">
        <v>737.554060535183</v>
      </c>
      <c r="E429" s="164">
        <v>0.24479999999999999</v>
      </c>
      <c r="F429" s="164">
        <v>0.24479999999999999</v>
      </c>
      <c r="G429" s="163">
        <v>4</v>
      </c>
      <c r="H429" s="163">
        <v>3.333333333333333</v>
      </c>
      <c r="I429" s="163">
        <v>-0.66666666666666696</v>
      </c>
      <c r="J429" s="163">
        <v>3</v>
      </c>
      <c r="K429" s="163">
        <v>3.0989473684210527</v>
      </c>
      <c r="L429" s="163">
        <v>9.8947368421052673E-2</v>
      </c>
      <c r="M429" s="163">
        <v>4</v>
      </c>
      <c r="N429" s="163">
        <v>2.9824561403508771</v>
      </c>
      <c r="O429" s="163">
        <v>-1.0175438596491229</v>
      </c>
      <c r="P429" s="163"/>
      <c r="Q429" s="163">
        <v>2</v>
      </c>
      <c r="R429" s="163">
        <v>0</v>
      </c>
      <c r="S429" s="163">
        <v>0</v>
      </c>
      <c r="T429" s="163">
        <v>0</v>
      </c>
      <c r="U429" s="163">
        <v>0</v>
      </c>
      <c r="V429" s="163">
        <v>0</v>
      </c>
      <c r="W429" s="163">
        <v>0</v>
      </c>
      <c r="X429" s="163">
        <v>0</v>
      </c>
      <c r="Y429" s="163">
        <v>2</v>
      </c>
      <c r="Z429" s="163">
        <v>2</v>
      </c>
      <c r="AA429" s="163">
        <v>0</v>
      </c>
      <c r="AB429" s="163">
        <v>0</v>
      </c>
      <c r="AC429" s="163">
        <v>2</v>
      </c>
      <c r="AD429" s="163">
        <v>0</v>
      </c>
      <c r="AE429" s="165">
        <v>0.67807080789604224</v>
      </c>
      <c r="AF429" s="166">
        <v>0.33903540394802112</v>
      </c>
    </row>
    <row r="430" spans="1:32">
      <c r="A430" s="161">
        <v>9</v>
      </c>
      <c r="B430" s="162">
        <v>0.91666666666666663</v>
      </c>
      <c r="C430" s="163">
        <v>2.2049284558445006</v>
      </c>
      <c r="D430" s="163">
        <v>741.49574237909349</v>
      </c>
      <c r="E430" s="164">
        <v>0.32479999999999998</v>
      </c>
      <c r="F430" s="164">
        <v>0.32479999999999998</v>
      </c>
      <c r="G430" s="163">
        <v>4</v>
      </c>
      <c r="H430" s="163">
        <v>3.333333333333333</v>
      </c>
      <c r="I430" s="163">
        <v>-0.66666666666666696</v>
      </c>
      <c r="J430" s="163">
        <v>3</v>
      </c>
      <c r="K430" s="163">
        <v>3.0989473684210527</v>
      </c>
      <c r="L430" s="163">
        <v>9.8947368421052673E-2</v>
      </c>
      <c r="M430" s="163">
        <v>4</v>
      </c>
      <c r="N430" s="163">
        <v>2.9824561403508771</v>
      </c>
      <c r="O430" s="163">
        <v>-1.0175438596491229</v>
      </c>
      <c r="P430" s="163"/>
      <c r="Q430" s="163">
        <v>2</v>
      </c>
      <c r="R430" s="163">
        <v>0</v>
      </c>
      <c r="S430" s="163">
        <v>0</v>
      </c>
      <c r="T430" s="163">
        <v>0</v>
      </c>
      <c r="U430" s="163">
        <v>0</v>
      </c>
      <c r="V430" s="163">
        <v>0</v>
      </c>
      <c r="W430" s="163">
        <v>0</v>
      </c>
      <c r="X430" s="163">
        <v>0</v>
      </c>
      <c r="Y430" s="163">
        <v>2</v>
      </c>
      <c r="Z430" s="163">
        <v>2</v>
      </c>
      <c r="AA430" s="163">
        <v>0</v>
      </c>
      <c r="AB430" s="163">
        <v>0</v>
      </c>
      <c r="AC430" s="163">
        <v>2</v>
      </c>
      <c r="AD430" s="163">
        <v>0</v>
      </c>
      <c r="AE430" s="165">
        <v>0.58620086395918092</v>
      </c>
      <c r="AF430" s="166">
        <v>0.29310043197959046</v>
      </c>
    </row>
    <row r="431" spans="1:32">
      <c r="A431" s="161">
        <v>9</v>
      </c>
      <c r="B431" s="162">
        <v>0.9375</v>
      </c>
      <c r="C431" s="163">
        <v>1.5909627746700961</v>
      </c>
      <c r="D431" s="163">
        <v>690.31480464880713</v>
      </c>
      <c r="E431" s="164">
        <v>0.51190000000000002</v>
      </c>
      <c r="F431" s="164">
        <v>0.51190000000000002</v>
      </c>
      <c r="G431" s="163">
        <v>3</v>
      </c>
      <c r="H431" s="163">
        <v>3.333333333333333</v>
      </c>
      <c r="I431" s="163">
        <v>0.33333333333333304</v>
      </c>
      <c r="J431" s="163">
        <v>2</v>
      </c>
      <c r="K431" s="163">
        <v>2.3242105263157895</v>
      </c>
      <c r="L431" s="163">
        <v>0.3242105263157895</v>
      </c>
      <c r="M431" s="163">
        <v>3</v>
      </c>
      <c r="N431" s="163">
        <v>2.9824561403508771</v>
      </c>
      <c r="O431" s="163">
        <v>-1.7543859649122862E-2</v>
      </c>
      <c r="P431" s="163"/>
      <c r="Q431" s="163">
        <v>2</v>
      </c>
      <c r="R431" s="163">
        <v>0</v>
      </c>
      <c r="S431" s="163">
        <v>0</v>
      </c>
      <c r="T431" s="163">
        <v>0</v>
      </c>
      <c r="U431" s="163">
        <v>0</v>
      </c>
      <c r="V431" s="163">
        <v>0</v>
      </c>
      <c r="W431" s="163">
        <v>0</v>
      </c>
      <c r="X431" s="163">
        <v>0</v>
      </c>
      <c r="Y431" s="163">
        <v>2</v>
      </c>
      <c r="Z431" s="163">
        <v>2</v>
      </c>
      <c r="AA431" s="163">
        <v>0</v>
      </c>
      <c r="AB431" s="163">
        <v>0</v>
      </c>
      <c r="AC431" s="163">
        <v>2</v>
      </c>
      <c r="AD431" s="163">
        <v>0</v>
      </c>
      <c r="AE431" s="165">
        <v>0.39377713585066271</v>
      </c>
      <c r="AF431" s="166">
        <v>0.26251809056710845</v>
      </c>
    </row>
    <row r="432" spans="1:32">
      <c r="A432" s="161">
        <v>9</v>
      </c>
      <c r="B432" s="162">
        <v>0.95833333333333337</v>
      </c>
      <c r="C432" s="163">
        <v>1.1156985123013969</v>
      </c>
      <c r="D432" s="163">
        <v>644.54344792892766</v>
      </c>
      <c r="E432" s="164">
        <v>0.66239999999999999</v>
      </c>
      <c r="F432" s="164">
        <v>0.66239999999999999</v>
      </c>
      <c r="G432" s="163">
        <v>3</v>
      </c>
      <c r="H432" s="163">
        <v>3.333333333333333</v>
      </c>
      <c r="I432" s="163">
        <v>0.33333333333333304</v>
      </c>
      <c r="J432" s="163">
        <v>2</v>
      </c>
      <c r="K432" s="163">
        <v>2.3242105263157895</v>
      </c>
      <c r="L432" s="163">
        <v>0.3242105263157895</v>
      </c>
      <c r="M432" s="163">
        <v>3</v>
      </c>
      <c r="N432" s="163">
        <v>2.9824561403508771</v>
      </c>
      <c r="O432" s="163">
        <v>-1.7543859649122862E-2</v>
      </c>
      <c r="P432" s="163"/>
      <c r="Q432" s="163">
        <v>2</v>
      </c>
      <c r="R432" s="163">
        <v>0</v>
      </c>
      <c r="S432" s="163">
        <v>0</v>
      </c>
      <c r="T432" s="163">
        <v>0</v>
      </c>
      <c r="U432" s="163">
        <v>0</v>
      </c>
      <c r="V432" s="163">
        <v>0</v>
      </c>
      <c r="W432" s="163">
        <v>0</v>
      </c>
      <c r="X432" s="163">
        <v>0</v>
      </c>
      <c r="Y432" s="163">
        <v>2</v>
      </c>
      <c r="Z432" s="163">
        <v>2</v>
      </c>
      <c r="AA432" s="163">
        <v>0</v>
      </c>
      <c r="AB432" s="163">
        <v>0</v>
      </c>
      <c r="AC432" s="163">
        <v>2</v>
      </c>
      <c r="AD432" s="163">
        <v>0</v>
      </c>
      <c r="AE432" s="165">
        <v>0.25783527991754285</v>
      </c>
      <c r="AF432" s="166">
        <v>0.17189018661169522</v>
      </c>
    </row>
    <row r="433" spans="1:32">
      <c r="A433" s="161">
        <v>9</v>
      </c>
      <c r="B433" s="162">
        <v>0.97916666666666663</v>
      </c>
      <c r="C433" s="163">
        <v>0.85607862249445321</v>
      </c>
      <c r="D433" s="163">
        <v>515.52134786780005</v>
      </c>
      <c r="E433" s="164">
        <v>0.78549999999999998</v>
      </c>
      <c r="F433" s="164">
        <v>0.78549999999999998</v>
      </c>
      <c r="G433" s="163">
        <v>3</v>
      </c>
      <c r="H433" s="163">
        <v>3.333333333333333</v>
      </c>
      <c r="I433" s="163">
        <v>0.33333333333333304</v>
      </c>
      <c r="J433" s="163">
        <v>2</v>
      </c>
      <c r="K433" s="163">
        <v>2.3242105263157895</v>
      </c>
      <c r="L433" s="163">
        <v>0.3242105263157895</v>
      </c>
      <c r="M433" s="163">
        <v>3</v>
      </c>
      <c r="N433" s="163">
        <v>2.9824561403508771</v>
      </c>
      <c r="O433" s="163">
        <v>-1.7543859649122862E-2</v>
      </c>
      <c r="P433" s="163"/>
      <c r="Q433" s="163">
        <v>2</v>
      </c>
      <c r="R433" s="163">
        <v>0</v>
      </c>
      <c r="S433" s="163">
        <v>0</v>
      </c>
      <c r="T433" s="163">
        <v>0</v>
      </c>
      <c r="U433" s="163">
        <v>0</v>
      </c>
      <c r="V433" s="163">
        <v>0</v>
      </c>
      <c r="W433" s="163">
        <v>0</v>
      </c>
      <c r="X433" s="163">
        <v>0</v>
      </c>
      <c r="Y433" s="163">
        <v>2</v>
      </c>
      <c r="Z433" s="163">
        <v>2</v>
      </c>
      <c r="AA433" s="163">
        <v>0</v>
      </c>
      <c r="AB433" s="163">
        <v>0</v>
      </c>
      <c r="AC433" s="163">
        <v>2</v>
      </c>
      <c r="AD433" s="163">
        <v>0</v>
      </c>
      <c r="AE433" s="165">
        <v>0.1582353808430301</v>
      </c>
      <c r="AF433" s="166">
        <v>0.10549025389535339</v>
      </c>
    </row>
    <row r="434" spans="1:32">
      <c r="A434" s="161">
        <v>10</v>
      </c>
      <c r="B434" s="162">
        <v>0</v>
      </c>
      <c r="C434" s="163">
        <v>1.355273258857558</v>
      </c>
      <c r="D434" s="163">
        <v>639.73218094965171</v>
      </c>
      <c r="E434" s="164">
        <v>0.98760000000000003</v>
      </c>
      <c r="F434" s="164">
        <v>0.98760000000000003</v>
      </c>
      <c r="G434" s="163">
        <v>3</v>
      </c>
      <c r="H434" s="163">
        <v>6.6666666666666661</v>
      </c>
      <c r="I434" s="163">
        <v>3.6666666666666661</v>
      </c>
      <c r="J434" s="163">
        <v>2</v>
      </c>
      <c r="K434" s="163">
        <v>2.445506072874494</v>
      </c>
      <c r="L434" s="163">
        <v>0.44550607287449395</v>
      </c>
      <c r="M434" s="163">
        <v>3</v>
      </c>
      <c r="N434" s="163">
        <v>6.0908681961313533</v>
      </c>
      <c r="O434" s="163">
        <v>3.0908681961313533</v>
      </c>
      <c r="P434" s="163"/>
      <c r="Q434" s="163">
        <v>4</v>
      </c>
      <c r="R434" s="163">
        <v>0</v>
      </c>
      <c r="S434" s="163">
        <v>0</v>
      </c>
      <c r="T434" s="163">
        <v>0</v>
      </c>
      <c r="U434" s="163">
        <v>0</v>
      </c>
      <c r="V434" s="163">
        <v>0</v>
      </c>
      <c r="W434" s="163">
        <v>0</v>
      </c>
      <c r="X434" s="163">
        <v>0</v>
      </c>
      <c r="Y434" s="163">
        <v>4</v>
      </c>
      <c r="Z434" s="163">
        <v>4</v>
      </c>
      <c r="AA434" s="163">
        <v>0</v>
      </c>
      <c r="AB434" s="163">
        <v>0</v>
      </c>
      <c r="AC434" s="163">
        <v>4</v>
      </c>
      <c r="AD434" s="163">
        <v>0</v>
      </c>
      <c r="AE434" s="165">
        <v>0.14772196630528522</v>
      </c>
      <c r="AF434" s="166">
        <v>0.19696262174038029</v>
      </c>
    </row>
    <row r="435" spans="1:32">
      <c r="A435" s="161">
        <v>10</v>
      </c>
      <c r="B435" s="162">
        <v>2.0833333333333332E-2</v>
      </c>
      <c r="C435" s="163">
        <v>0.94783740447640141</v>
      </c>
      <c r="D435" s="163">
        <v>639.60284313685281</v>
      </c>
      <c r="E435" s="164">
        <v>0.99529999999999996</v>
      </c>
      <c r="F435" s="164">
        <v>0.99529999999999996</v>
      </c>
      <c r="G435" s="163">
        <v>3</v>
      </c>
      <c r="H435" s="163">
        <v>6.6666666666666661</v>
      </c>
      <c r="I435" s="163">
        <v>3.6666666666666661</v>
      </c>
      <c r="J435" s="163">
        <v>2</v>
      </c>
      <c r="K435" s="163">
        <v>2.445506072874494</v>
      </c>
      <c r="L435" s="163">
        <v>0.44550607287449395</v>
      </c>
      <c r="M435" s="163">
        <v>3</v>
      </c>
      <c r="N435" s="163">
        <v>6.0908681961313533</v>
      </c>
      <c r="O435" s="163">
        <v>3.0908681961313533</v>
      </c>
      <c r="P435" s="163"/>
      <c r="Q435" s="163">
        <v>4</v>
      </c>
      <c r="R435" s="163">
        <v>0</v>
      </c>
      <c r="S435" s="163">
        <v>0</v>
      </c>
      <c r="T435" s="163">
        <v>0</v>
      </c>
      <c r="U435" s="163">
        <v>0</v>
      </c>
      <c r="V435" s="163">
        <v>0</v>
      </c>
      <c r="W435" s="163">
        <v>0</v>
      </c>
      <c r="X435" s="163">
        <v>0</v>
      </c>
      <c r="Y435" s="163">
        <v>4</v>
      </c>
      <c r="Z435" s="163">
        <v>4</v>
      </c>
      <c r="AA435" s="163">
        <v>0</v>
      </c>
      <c r="AB435" s="163">
        <v>0</v>
      </c>
      <c r="AC435" s="163">
        <v>4</v>
      </c>
      <c r="AD435" s="163">
        <v>0</v>
      </c>
      <c r="AE435" s="165">
        <v>0.10329141846803515</v>
      </c>
      <c r="AF435" s="166">
        <v>0.13772189129071352</v>
      </c>
    </row>
    <row r="436" spans="1:32">
      <c r="A436" s="161">
        <v>10</v>
      </c>
      <c r="B436" s="162">
        <v>4.1666666666666664E-2</v>
      </c>
      <c r="C436" s="163">
        <v>0.7216456609730999</v>
      </c>
      <c r="D436" s="163">
        <v>606.13726601335622</v>
      </c>
      <c r="E436" s="164">
        <v>0.99820000000000009</v>
      </c>
      <c r="F436" s="164">
        <v>0.99820000000000009</v>
      </c>
      <c r="G436" s="163">
        <v>3</v>
      </c>
      <c r="H436" s="163">
        <v>6.6666666666666661</v>
      </c>
      <c r="I436" s="163">
        <v>3.6666666666666661</v>
      </c>
      <c r="J436" s="163">
        <v>2</v>
      </c>
      <c r="K436" s="163">
        <v>2.445506072874494</v>
      </c>
      <c r="L436" s="163">
        <v>0.44550607287449395</v>
      </c>
      <c r="M436" s="163">
        <v>3</v>
      </c>
      <c r="N436" s="163">
        <v>6.0908681961313533</v>
      </c>
      <c r="O436" s="163">
        <v>3.0908681961313533</v>
      </c>
      <c r="P436" s="163"/>
      <c r="Q436" s="163">
        <v>4</v>
      </c>
      <c r="R436" s="163">
        <v>0</v>
      </c>
      <c r="S436" s="163">
        <v>0</v>
      </c>
      <c r="T436" s="163">
        <v>0</v>
      </c>
      <c r="U436" s="163">
        <v>0</v>
      </c>
      <c r="V436" s="163">
        <v>0</v>
      </c>
      <c r="W436" s="163">
        <v>0</v>
      </c>
      <c r="X436" s="163">
        <v>0</v>
      </c>
      <c r="Y436" s="163">
        <v>4</v>
      </c>
      <c r="Z436" s="163">
        <v>4</v>
      </c>
      <c r="AA436" s="163">
        <v>0</v>
      </c>
      <c r="AB436" s="163">
        <v>0</v>
      </c>
      <c r="AC436" s="163">
        <v>4</v>
      </c>
      <c r="AD436" s="163">
        <v>0</v>
      </c>
      <c r="AE436" s="165">
        <v>7.4527233991982536E-2</v>
      </c>
      <c r="AF436" s="166">
        <v>9.9369645322643377E-2</v>
      </c>
    </row>
    <row r="437" spans="1:32">
      <c r="A437" s="161">
        <v>10</v>
      </c>
      <c r="B437" s="162">
        <v>6.25E-2</v>
      </c>
      <c r="C437" s="163">
        <v>0.57182827509738143</v>
      </c>
      <c r="D437" s="163">
        <v>590.20091633581137</v>
      </c>
      <c r="E437" s="164">
        <v>0.99909999999999999</v>
      </c>
      <c r="F437" s="164">
        <v>0.99909999999999999</v>
      </c>
      <c r="G437" s="163">
        <v>2</v>
      </c>
      <c r="H437" s="163">
        <v>6.6666666666666661</v>
      </c>
      <c r="I437" s="163">
        <v>4.6666666666666661</v>
      </c>
      <c r="J437" s="163">
        <v>1</v>
      </c>
      <c r="K437" s="163">
        <v>1.6303373819163294</v>
      </c>
      <c r="L437" s="163">
        <v>0.63033738191632938</v>
      </c>
      <c r="M437" s="163">
        <v>2</v>
      </c>
      <c r="N437" s="163">
        <v>6.0908681961313533</v>
      </c>
      <c r="O437" s="163">
        <v>4.0908681961313533</v>
      </c>
      <c r="P437" s="163"/>
      <c r="Q437" s="163">
        <v>4</v>
      </c>
      <c r="R437" s="163">
        <v>0</v>
      </c>
      <c r="S437" s="163">
        <v>0</v>
      </c>
      <c r="T437" s="163">
        <v>0</v>
      </c>
      <c r="U437" s="163">
        <v>0</v>
      </c>
      <c r="V437" s="163">
        <v>0</v>
      </c>
      <c r="W437" s="163">
        <v>0</v>
      </c>
      <c r="X437" s="163">
        <v>0</v>
      </c>
      <c r="Y437" s="163">
        <v>4</v>
      </c>
      <c r="Z437" s="163">
        <v>4</v>
      </c>
      <c r="AA437" s="163">
        <v>0</v>
      </c>
      <c r="AB437" s="163">
        <v>0</v>
      </c>
      <c r="AC437" s="163">
        <v>4</v>
      </c>
      <c r="AD437" s="163">
        <v>0</v>
      </c>
      <c r="AE437" s="165">
        <v>5.7502339988144156E-2</v>
      </c>
      <c r="AF437" s="166">
        <v>0.11500467997628831</v>
      </c>
    </row>
    <row r="438" spans="1:32">
      <c r="A438" s="161">
        <v>10</v>
      </c>
      <c r="B438" s="162">
        <v>8.3333333333333329E-2</v>
      </c>
      <c r="C438" s="163">
        <v>0.46026240341389524</v>
      </c>
      <c r="D438" s="163">
        <v>607.67566499121017</v>
      </c>
      <c r="E438" s="164">
        <v>0.99949999999999994</v>
      </c>
      <c r="F438" s="164">
        <v>0.99949999999999994</v>
      </c>
      <c r="G438" s="163">
        <v>2</v>
      </c>
      <c r="H438" s="163">
        <v>6.6666666666666661</v>
      </c>
      <c r="I438" s="163">
        <v>4.6666666666666661</v>
      </c>
      <c r="J438" s="163">
        <v>1</v>
      </c>
      <c r="K438" s="163">
        <v>1.6303373819163294</v>
      </c>
      <c r="L438" s="163">
        <v>0.63033738191632938</v>
      </c>
      <c r="M438" s="163">
        <v>2</v>
      </c>
      <c r="N438" s="163">
        <v>6.0908681961313533</v>
      </c>
      <c r="O438" s="163">
        <v>4.0908681961313533</v>
      </c>
      <c r="P438" s="163"/>
      <c r="Q438" s="163">
        <v>4</v>
      </c>
      <c r="R438" s="163">
        <v>0</v>
      </c>
      <c r="S438" s="163">
        <v>0</v>
      </c>
      <c r="T438" s="163">
        <v>0</v>
      </c>
      <c r="U438" s="163">
        <v>0</v>
      </c>
      <c r="V438" s="163">
        <v>0</v>
      </c>
      <c r="W438" s="163">
        <v>0</v>
      </c>
      <c r="X438" s="163">
        <v>0</v>
      </c>
      <c r="Y438" s="163">
        <v>4</v>
      </c>
      <c r="Z438" s="163">
        <v>4</v>
      </c>
      <c r="AA438" s="163">
        <v>0</v>
      </c>
      <c r="AB438" s="163">
        <v>0</v>
      </c>
      <c r="AC438" s="163">
        <v>4</v>
      </c>
      <c r="AD438" s="163">
        <v>0</v>
      </c>
      <c r="AE438" s="165">
        <v>4.765378033053335E-2</v>
      </c>
      <c r="AF438" s="166">
        <v>9.5307560661066701E-2</v>
      </c>
    </row>
    <row r="439" spans="1:32">
      <c r="A439" s="161">
        <v>10</v>
      </c>
      <c r="B439" s="162">
        <v>0.10416666666666667</v>
      </c>
      <c r="C439" s="163">
        <v>0.36640712881146648</v>
      </c>
      <c r="D439" s="163">
        <v>578.30338625833986</v>
      </c>
      <c r="E439" s="164">
        <v>0.99970000000000014</v>
      </c>
      <c r="F439" s="164">
        <v>0.99970000000000014</v>
      </c>
      <c r="G439" s="163">
        <v>2</v>
      </c>
      <c r="H439" s="163">
        <v>6.6666666666666661</v>
      </c>
      <c r="I439" s="163">
        <v>4.6666666666666661</v>
      </c>
      <c r="J439" s="163">
        <v>1</v>
      </c>
      <c r="K439" s="163">
        <v>1.6303373819163294</v>
      </c>
      <c r="L439" s="163">
        <v>0.63033738191632938</v>
      </c>
      <c r="M439" s="163">
        <v>2</v>
      </c>
      <c r="N439" s="163">
        <v>6.0908681961313533</v>
      </c>
      <c r="O439" s="163">
        <v>4.0908681961313533</v>
      </c>
      <c r="P439" s="163"/>
      <c r="Q439" s="163">
        <v>4</v>
      </c>
      <c r="R439" s="163">
        <v>0</v>
      </c>
      <c r="S439" s="163">
        <v>0</v>
      </c>
      <c r="T439" s="163">
        <v>0</v>
      </c>
      <c r="U439" s="163">
        <v>0</v>
      </c>
      <c r="V439" s="163">
        <v>0</v>
      </c>
      <c r="W439" s="163">
        <v>0</v>
      </c>
      <c r="X439" s="163">
        <v>0</v>
      </c>
      <c r="Y439" s="163">
        <v>4</v>
      </c>
      <c r="Z439" s="163">
        <v>4</v>
      </c>
      <c r="AA439" s="163">
        <v>0</v>
      </c>
      <c r="AB439" s="163">
        <v>0</v>
      </c>
      <c r="AC439" s="163">
        <v>4</v>
      </c>
      <c r="AD439" s="163">
        <v>0</v>
      </c>
      <c r="AE439" s="165">
        <v>3.6102698348615216E-2</v>
      </c>
      <c r="AF439" s="166">
        <v>7.2205396697230431E-2</v>
      </c>
    </row>
    <row r="440" spans="1:32">
      <c r="A440" s="161">
        <v>10</v>
      </c>
      <c r="B440" s="162">
        <v>0.125</v>
      </c>
      <c r="C440" s="163">
        <v>0.33039113646186763</v>
      </c>
      <c r="D440" s="163">
        <v>578.2063464532938</v>
      </c>
      <c r="E440" s="164">
        <v>0.99980000000000002</v>
      </c>
      <c r="F440" s="164">
        <v>0.99980000000000002</v>
      </c>
      <c r="G440" s="163">
        <v>2</v>
      </c>
      <c r="H440" s="163">
        <v>6.6666666666666661</v>
      </c>
      <c r="I440" s="163">
        <v>4.6666666666666661</v>
      </c>
      <c r="J440" s="163">
        <v>1</v>
      </c>
      <c r="K440" s="163">
        <v>1.6303373819163294</v>
      </c>
      <c r="L440" s="163">
        <v>0.63033738191632938</v>
      </c>
      <c r="M440" s="163">
        <v>2</v>
      </c>
      <c r="N440" s="163">
        <v>6.0908681961313533</v>
      </c>
      <c r="O440" s="163">
        <v>4.0908681961313533</v>
      </c>
      <c r="P440" s="163"/>
      <c r="Q440" s="163">
        <v>4</v>
      </c>
      <c r="R440" s="163">
        <v>0</v>
      </c>
      <c r="S440" s="163">
        <v>0</v>
      </c>
      <c r="T440" s="163">
        <v>0</v>
      </c>
      <c r="U440" s="163">
        <v>0</v>
      </c>
      <c r="V440" s="163">
        <v>0</v>
      </c>
      <c r="W440" s="163">
        <v>0</v>
      </c>
      <c r="X440" s="163">
        <v>0</v>
      </c>
      <c r="Y440" s="163">
        <v>4</v>
      </c>
      <c r="Z440" s="163">
        <v>4</v>
      </c>
      <c r="AA440" s="163">
        <v>0</v>
      </c>
      <c r="AB440" s="163">
        <v>0</v>
      </c>
      <c r="AC440" s="163">
        <v>4</v>
      </c>
      <c r="AD440" s="163">
        <v>0</v>
      </c>
      <c r="AE440" s="165">
        <v>3.2548520671092096E-2</v>
      </c>
      <c r="AF440" s="166">
        <v>6.5097041342184192E-2</v>
      </c>
    </row>
    <row r="441" spans="1:32">
      <c r="A441" s="161">
        <v>10</v>
      </c>
      <c r="B441" s="162">
        <v>0.14583333333333334</v>
      </c>
      <c r="C441" s="163">
        <v>0.33287355272357833</v>
      </c>
      <c r="D441" s="163">
        <v>612.26621141004648</v>
      </c>
      <c r="E441" s="164">
        <v>0.99980000000000002</v>
      </c>
      <c r="F441" s="164">
        <v>0.99980000000000002</v>
      </c>
      <c r="G441" s="163">
        <v>2</v>
      </c>
      <c r="H441" s="163">
        <v>6.6666666666666661</v>
      </c>
      <c r="I441" s="163">
        <v>4.6666666666666661</v>
      </c>
      <c r="J441" s="163">
        <v>1</v>
      </c>
      <c r="K441" s="163">
        <v>1.6303373819163294</v>
      </c>
      <c r="L441" s="163">
        <v>0.63033738191632938</v>
      </c>
      <c r="M441" s="163">
        <v>2</v>
      </c>
      <c r="N441" s="163">
        <v>6.0908681961313533</v>
      </c>
      <c r="O441" s="163">
        <v>4.0908681961313533</v>
      </c>
      <c r="P441" s="163"/>
      <c r="Q441" s="163">
        <v>4</v>
      </c>
      <c r="R441" s="163">
        <v>0</v>
      </c>
      <c r="S441" s="163">
        <v>0</v>
      </c>
      <c r="T441" s="163">
        <v>0</v>
      </c>
      <c r="U441" s="163">
        <v>0</v>
      </c>
      <c r="V441" s="163">
        <v>0</v>
      </c>
      <c r="W441" s="163">
        <v>0</v>
      </c>
      <c r="X441" s="163">
        <v>0</v>
      </c>
      <c r="Y441" s="163">
        <v>4</v>
      </c>
      <c r="Z441" s="163">
        <v>4</v>
      </c>
      <c r="AA441" s="163">
        <v>0</v>
      </c>
      <c r="AB441" s="163">
        <v>0</v>
      </c>
      <c r="AC441" s="163">
        <v>4</v>
      </c>
      <c r="AD441" s="163">
        <v>0</v>
      </c>
      <c r="AE441" s="165">
        <v>3.4724787516936591E-2</v>
      </c>
      <c r="AF441" s="166">
        <v>6.9449575033873182E-2</v>
      </c>
    </row>
    <row r="442" spans="1:32">
      <c r="A442" s="161">
        <v>10</v>
      </c>
      <c r="B442" s="162">
        <v>0.16666666666666666</v>
      </c>
      <c r="C442" s="163">
        <v>0.37438184661209928</v>
      </c>
      <c r="D442" s="163">
        <v>612.26345772929187</v>
      </c>
      <c r="E442" s="164">
        <v>0.99970000000000014</v>
      </c>
      <c r="F442" s="164">
        <v>0.99970000000000014</v>
      </c>
      <c r="G442" s="163">
        <v>2</v>
      </c>
      <c r="H442" s="163">
        <v>6.6666666666666661</v>
      </c>
      <c r="I442" s="163">
        <v>4.6666666666666661</v>
      </c>
      <c r="J442" s="163">
        <v>1</v>
      </c>
      <c r="K442" s="163">
        <v>1.6303373819163294</v>
      </c>
      <c r="L442" s="163">
        <v>0.63033738191632938</v>
      </c>
      <c r="M442" s="163">
        <v>2</v>
      </c>
      <c r="N442" s="163">
        <v>6.0908681961313533</v>
      </c>
      <c r="O442" s="163">
        <v>4.0908681961313533</v>
      </c>
      <c r="P442" s="163"/>
      <c r="Q442" s="163">
        <v>4</v>
      </c>
      <c r="R442" s="163">
        <v>0</v>
      </c>
      <c r="S442" s="163">
        <v>0</v>
      </c>
      <c r="T442" s="163">
        <v>0</v>
      </c>
      <c r="U442" s="163">
        <v>0</v>
      </c>
      <c r="V442" s="163">
        <v>0</v>
      </c>
      <c r="W442" s="163">
        <v>0</v>
      </c>
      <c r="X442" s="163">
        <v>0</v>
      </c>
      <c r="Y442" s="163">
        <v>4</v>
      </c>
      <c r="Z442" s="163">
        <v>4</v>
      </c>
      <c r="AA442" s="163">
        <v>0</v>
      </c>
      <c r="AB442" s="163">
        <v>0</v>
      </c>
      <c r="AC442" s="163">
        <v>4</v>
      </c>
      <c r="AD442" s="163">
        <v>0</v>
      </c>
      <c r="AE442" s="165">
        <v>3.9054684573660209E-2</v>
      </c>
      <c r="AF442" s="166">
        <v>7.8109369147320418E-2</v>
      </c>
    </row>
    <row r="443" spans="1:32">
      <c r="A443" s="161">
        <v>10</v>
      </c>
      <c r="B443" s="162">
        <v>0.1875</v>
      </c>
      <c r="C443" s="163">
        <v>0.55195173069082981</v>
      </c>
      <c r="D443" s="163">
        <v>650.51640996238802</v>
      </c>
      <c r="E443" s="164">
        <v>0.99890000000000001</v>
      </c>
      <c r="F443" s="164">
        <v>0.99890000000000001</v>
      </c>
      <c r="G443" s="163">
        <v>2</v>
      </c>
      <c r="H443" s="163">
        <v>6.6666666666666661</v>
      </c>
      <c r="I443" s="163">
        <v>4.6666666666666661</v>
      </c>
      <c r="J443" s="163">
        <v>1</v>
      </c>
      <c r="K443" s="163">
        <v>1.6303373819163294</v>
      </c>
      <c r="L443" s="163">
        <v>0.63033738191632938</v>
      </c>
      <c r="M443" s="163">
        <v>2</v>
      </c>
      <c r="N443" s="163">
        <v>6.0908681961313533</v>
      </c>
      <c r="O443" s="163">
        <v>4.0908681961313533</v>
      </c>
      <c r="P443" s="163"/>
      <c r="Q443" s="163">
        <v>4</v>
      </c>
      <c r="R443" s="163">
        <v>0</v>
      </c>
      <c r="S443" s="163">
        <v>0</v>
      </c>
      <c r="T443" s="163">
        <v>0</v>
      </c>
      <c r="U443" s="163">
        <v>0</v>
      </c>
      <c r="V443" s="163">
        <v>0</v>
      </c>
      <c r="W443" s="163">
        <v>0</v>
      </c>
      <c r="X443" s="163">
        <v>0</v>
      </c>
      <c r="Y443" s="163">
        <v>4</v>
      </c>
      <c r="Z443" s="163">
        <v>4</v>
      </c>
      <c r="AA443" s="163">
        <v>0</v>
      </c>
      <c r="AB443" s="163">
        <v>0</v>
      </c>
      <c r="AC443" s="163">
        <v>4</v>
      </c>
      <c r="AD443" s="163">
        <v>0</v>
      </c>
      <c r="AE443" s="165">
        <v>6.1175759335348093E-2</v>
      </c>
      <c r="AF443" s="166">
        <v>0.12235151867069619</v>
      </c>
    </row>
    <row r="444" spans="1:32">
      <c r="A444" s="161">
        <v>10</v>
      </c>
      <c r="B444" s="162">
        <v>0.20833333333333334</v>
      </c>
      <c r="C444" s="163">
        <v>0.96800197678052213</v>
      </c>
      <c r="D444" s="163">
        <v>684.0439976855979</v>
      </c>
      <c r="E444" s="164">
        <v>0.99400000000000011</v>
      </c>
      <c r="F444" s="164">
        <v>0.99400000000000011</v>
      </c>
      <c r="G444" s="163">
        <v>3</v>
      </c>
      <c r="H444" s="163">
        <v>6.6666666666666661</v>
      </c>
      <c r="I444" s="163">
        <v>3.6666666666666661</v>
      </c>
      <c r="J444" s="163">
        <v>2</v>
      </c>
      <c r="K444" s="163">
        <v>2.445506072874494</v>
      </c>
      <c r="L444" s="163">
        <v>0.44550607287449395</v>
      </c>
      <c r="M444" s="163">
        <v>3</v>
      </c>
      <c r="N444" s="163">
        <v>6.0908681961313533</v>
      </c>
      <c r="O444" s="163">
        <v>3.0908681961313533</v>
      </c>
      <c r="P444" s="163"/>
      <c r="Q444" s="163">
        <v>4</v>
      </c>
      <c r="R444" s="163">
        <v>0</v>
      </c>
      <c r="S444" s="163">
        <v>0</v>
      </c>
      <c r="T444" s="163">
        <v>0</v>
      </c>
      <c r="U444" s="163">
        <v>0</v>
      </c>
      <c r="V444" s="163">
        <v>0</v>
      </c>
      <c r="W444" s="163">
        <v>0</v>
      </c>
      <c r="X444" s="163">
        <v>0</v>
      </c>
      <c r="Y444" s="163">
        <v>4</v>
      </c>
      <c r="Z444" s="163">
        <v>4</v>
      </c>
      <c r="AA444" s="163">
        <v>0</v>
      </c>
      <c r="AB444" s="163">
        <v>0</v>
      </c>
      <c r="AC444" s="163">
        <v>4</v>
      </c>
      <c r="AD444" s="163">
        <v>0</v>
      </c>
      <c r="AE444" s="165">
        <v>0.11281849274967572</v>
      </c>
      <c r="AF444" s="166">
        <v>0.15042465699956761</v>
      </c>
    </row>
    <row r="445" spans="1:32">
      <c r="A445" s="161">
        <v>10</v>
      </c>
      <c r="B445" s="162">
        <v>0.22916666666666666</v>
      </c>
      <c r="C445" s="163">
        <v>1.6195406623652162</v>
      </c>
      <c r="D445" s="163">
        <v>699.16000994510796</v>
      </c>
      <c r="E445" s="164">
        <v>0.97460000000000002</v>
      </c>
      <c r="F445" s="164">
        <v>0.97460000000000002</v>
      </c>
      <c r="G445" s="163">
        <v>3</v>
      </c>
      <c r="H445" s="163">
        <v>6.6666666666666661</v>
      </c>
      <c r="I445" s="163">
        <v>3.6666666666666661</v>
      </c>
      <c r="J445" s="163">
        <v>2</v>
      </c>
      <c r="K445" s="163">
        <v>2.445506072874494</v>
      </c>
      <c r="L445" s="163">
        <v>0.44550607287449395</v>
      </c>
      <c r="M445" s="163">
        <v>3</v>
      </c>
      <c r="N445" s="163">
        <v>6.0908681961313533</v>
      </c>
      <c r="O445" s="163">
        <v>3.0908681961313533</v>
      </c>
      <c r="P445" s="163"/>
      <c r="Q445" s="163">
        <v>4</v>
      </c>
      <c r="R445" s="163">
        <v>0</v>
      </c>
      <c r="S445" s="163">
        <v>0</v>
      </c>
      <c r="T445" s="163">
        <v>0</v>
      </c>
      <c r="U445" s="163">
        <v>0</v>
      </c>
      <c r="V445" s="163">
        <v>0</v>
      </c>
      <c r="W445" s="163">
        <v>0</v>
      </c>
      <c r="X445" s="163">
        <v>0</v>
      </c>
      <c r="Y445" s="163">
        <v>4</v>
      </c>
      <c r="Z445" s="163">
        <v>4</v>
      </c>
      <c r="AA445" s="163">
        <v>0</v>
      </c>
      <c r="AB445" s="163">
        <v>0</v>
      </c>
      <c r="AC445" s="163">
        <v>4</v>
      </c>
      <c r="AD445" s="163">
        <v>0</v>
      </c>
      <c r="AE445" s="165">
        <v>0.19292497337691866</v>
      </c>
      <c r="AF445" s="166">
        <v>0.25723329783589155</v>
      </c>
    </row>
    <row r="446" spans="1:32">
      <c r="A446" s="161">
        <v>10</v>
      </c>
      <c r="B446" s="162">
        <v>0.25</v>
      </c>
      <c r="C446" s="163">
        <v>2.4882309885268898</v>
      </c>
      <c r="D446" s="163">
        <v>706.47650594213837</v>
      </c>
      <c r="E446" s="164">
        <v>0.9224</v>
      </c>
      <c r="F446" s="164">
        <v>0.9224</v>
      </c>
      <c r="G446" s="163">
        <v>4</v>
      </c>
      <c r="H446" s="163">
        <v>6.6666666666666661</v>
      </c>
      <c r="I446" s="163">
        <v>2.6666666666666661</v>
      </c>
      <c r="J446" s="163">
        <v>3</v>
      </c>
      <c r="K446" s="163">
        <v>3.2606747638326588</v>
      </c>
      <c r="L446" s="163">
        <v>0.26067476383265875</v>
      </c>
      <c r="M446" s="163">
        <v>4</v>
      </c>
      <c r="N446" s="163">
        <v>6.0908681961313533</v>
      </c>
      <c r="O446" s="163">
        <v>2.0908681961313533</v>
      </c>
      <c r="P446" s="163"/>
      <c r="Q446" s="163">
        <v>4</v>
      </c>
      <c r="R446" s="163">
        <v>0</v>
      </c>
      <c r="S446" s="163">
        <v>0</v>
      </c>
      <c r="T446" s="163">
        <v>0</v>
      </c>
      <c r="U446" s="163">
        <v>0</v>
      </c>
      <c r="V446" s="163">
        <v>0</v>
      </c>
      <c r="W446" s="163">
        <v>0</v>
      </c>
      <c r="X446" s="163">
        <v>0</v>
      </c>
      <c r="Y446" s="163">
        <v>4</v>
      </c>
      <c r="Z446" s="163">
        <v>4</v>
      </c>
      <c r="AA446" s="163">
        <v>0</v>
      </c>
      <c r="AB446" s="163">
        <v>0</v>
      </c>
      <c r="AC446" s="163">
        <v>4</v>
      </c>
      <c r="AD446" s="163">
        <v>0</v>
      </c>
      <c r="AE446" s="165">
        <v>0.29950800270098232</v>
      </c>
      <c r="AF446" s="166">
        <v>0.29950800270098232</v>
      </c>
    </row>
    <row r="447" spans="1:32">
      <c r="A447" s="161">
        <v>10</v>
      </c>
      <c r="B447" s="162">
        <v>0.27083333333333331</v>
      </c>
      <c r="C447" s="163">
        <v>3.5964730805950058</v>
      </c>
      <c r="D447" s="163">
        <v>774.28120849894299</v>
      </c>
      <c r="E447" s="164">
        <v>0.77149999999999996</v>
      </c>
      <c r="F447" s="164">
        <v>0.77149999999999996</v>
      </c>
      <c r="G447" s="163">
        <v>5</v>
      </c>
      <c r="H447" s="163">
        <v>6.6666666666666661</v>
      </c>
      <c r="I447" s="163">
        <v>1.6666666666666661</v>
      </c>
      <c r="J447" s="163">
        <v>4</v>
      </c>
      <c r="K447" s="163">
        <v>4.0758434547908236</v>
      </c>
      <c r="L447" s="163">
        <v>7.584345479082355E-2</v>
      </c>
      <c r="M447" s="163">
        <v>5</v>
      </c>
      <c r="N447" s="163">
        <v>6.0908681961313533</v>
      </c>
      <c r="O447" s="163">
        <v>1.0908681961313533</v>
      </c>
      <c r="P447" s="163"/>
      <c r="Q447" s="163">
        <v>4</v>
      </c>
      <c r="R447" s="163">
        <v>0</v>
      </c>
      <c r="S447" s="163">
        <v>0</v>
      </c>
      <c r="T447" s="163">
        <v>0</v>
      </c>
      <c r="U447" s="163">
        <v>0</v>
      </c>
      <c r="V447" s="163">
        <v>0</v>
      </c>
      <c r="W447" s="163">
        <v>0</v>
      </c>
      <c r="X447" s="163">
        <v>0</v>
      </c>
      <c r="Y447" s="163">
        <v>4</v>
      </c>
      <c r="Z447" s="163">
        <v>4</v>
      </c>
      <c r="AA447" s="163">
        <v>0</v>
      </c>
      <c r="AB447" s="163">
        <v>0</v>
      </c>
      <c r="AC447" s="163">
        <v>4</v>
      </c>
      <c r="AD447" s="163">
        <v>0</v>
      </c>
      <c r="AE447" s="165">
        <v>0.4744555660115799</v>
      </c>
      <c r="AF447" s="166">
        <v>0.37956445280926393</v>
      </c>
    </row>
    <row r="448" spans="1:32">
      <c r="A448" s="161">
        <v>10</v>
      </c>
      <c r="B448" s="162">
        <v>0.29166666666666669</v>
      </c>
      <c r="C448" s="163">
        <v>9.4768714233724385</v>
      </c>
      <c r="D448" s="163">
        <v>810.01448293079125</v>
      </c>
      <c r="E448" s="164">
        <v>0.4874</v>
      </c>
      <c r="F448" s="164">
        <v>0.4874</v>
      </c>
      <c r="G448" s="163">
        <v>9</v>
      </c>
      <c r="H448" s="163">
        <v>11.666666666666668</v>
      </c>
      <c r="I448" s="163">
        <v>2.6666666666666679</v>
      </c>
      <c r="J448" s="163">
        <v>7</v>
      </c>
      <c r="K448" s="163">
        <v>7.3365182186234819</v>
      </c>
      <c r="L448" s="163">
        <v>0.33651821862348186</v>
      </c>
      <c r="M448" s="163">
        <v>8</v>
      </c>
      <c r="N448" s="163">
        <v>10.65901934322987</v>
      </c>
      <c r="O448" s="163">
        <v>2.6590193432298701</v>
      </c>
      <c r="P448" s="163"/>
      <c r="Q448" s="163">
        <v>7</v>
      </c>
      <c r="R448" s="163">
        <v>0</v>
      </c>
      <c r="S448" s="163">
        <v>0</v>
      </c>
      <c r="T448" s="163">
        <v>0</v>
      </c>
      <c r="U448" s="163">
        <v>0</v>
      </c>
      <c r="V448" s="163">
        <v>0</v>
      </c>
      <c r="W448" s="163">
        <v>0</v>
      </c>
      <c r="X448" s="163">
        <v>0</v>
      </c>
      <c r="Y448" s="163">
        <v>7</v>
      </c>
      <c r="Z448" s="163">
        <v>7</v>
      </c>
      <c r="AA448" s="163">
        <v>0</v>
      </c>
      <c r="AB448" s="163">
        <v>0</v>
      </c>
      <c r="AC448" s="163">
        <v>4</v>
      </c>
      <c r="AD448" s="163">
        <v>3</v>
      </c>
      <c r="AE448" s="165">
        <v>0.74737701347976815</v>
      </c>
      <c r="AF448" s="166">
        <v>0.58129323270648636</v>
      </c>
    </row>
    <row r="449" spans="1:32">
      <c r="A449" s="161">
        <v>10</v>
      </c>
      <c r="B449" s="162">
        <v>0.3125</v>
      </c>
      <c r="C449" s="163">
        <v>11.111574859232906</v>
      </c>
      <c r="D449" s="163">
        <v>780.52826120496991</v>
      </c>
      <c r="E449" s="164">
        <v>0.8881</v>
      </c>
      <c r="F449" s="164">
        <v>0.8881</v>
      </c>
      <c r="G449" s="163">
        <v>10</v>
      </c>
      <c r="H449" s="163">
        <v>18.333333333333332</v>
      </c>
      <c r="I449" s="163">
        <v>8.3333333333333321</v>
      </c>
      <c r="J449" s="163">
        <v>8</v>
      </c>
      <c r="K449" s="163">
        <v>8.1516869095816471</v>
      </c>
      <c r="L449" s="163">
        <v>0.1516869095816471</v>
      </c>
      <c r="M449" s="163">
        <v>9</v>
      </c>
      <c r="N449" s="163">
        <v>16.749887539361222</v>
      </c>
      <c r="O449" s="163">
        <v>7.7498875393612217</v>
      </c>
      <c r="P449" s="163"/>
      <c r="Q449" s="163">
        <v>11</v>
      </c>
      <c r="R449" s="163">
        <v>0</v>
      </c>
      <c r="S449" s="163">
        <v>0</v>
      </c>
      <c r="T449" s="163">
        <v>0</v>
      </c>
      <c r="U449" s="163">
        <v>0</v>
      </c>
      <c r="V449" s="163">
        <v>0</v>
      </c>
      <c r="W449" s="163">
        <v>0</v>
      </c>
      <c r="X449" s="163">
        <v>0</v>
      </c>
      <c r="Y449" s="163">
        <v>11</v>
      </c>
      <c r="Z449" s="163">
        <v>11</v>
      </c>
      <c r="AA449" s="163">
        <v>0</v>
      </c>
      <c r="AB449" s="163">
        <v>0</v>
      </c>
      <c r="AC449" s="163">
        <v>8</v>
      </c>
      <c r="AD449" s="163">
        <v>3</v>
      </c>
      <c r="AE449" s="165">
        <v>0.53734296555192562</v>
      </c>
      <c r="AF449" s="166">
        <v>0.5910772621071182</v>
      </c>
    </row>
    <row r="450" spans="1:32">
      <c r="A450" s="161">
        <v>10</v>
      </c>
      <c r="B450" s="162">
        <v>0.33333333333333331</v>
      </c>
      <c r="C450" s="163">
        <v>16.384338376078031</v>
      </c>
      <c r="D450" s="163">
        <v>822.85576663960694</v>
      </c>
      <c r="E450" s="164">
        <v>0.747</v>
      </c>
      <c r="F450" s="164">
        <v>0.747</v>
      </c>
      <c r="G450" s="163">
        <v>14</v>
      </c>
      <c r="H450" s="163">
        <v>21.666666666666664</v>
      </c>
      <c r="I450" s="163">
        <v>7.6666666666666643</v>
      </c>
      <c r="J450" s="163">
        <v>11</v>
      </c>
      <c r="K450" s="163">
        <v>11.412361673414306</v>
      </c>
      <c r="L450" s="163">
        <v>0.4123616734143063</v>
      </c>
      <c r="M450" s="163">
        <v>13</v>
      </c>
      <c r="N450" s="163">
        <v>19.795321637426898</v>
      </c>
      <c r="O450" s="163">
        <v>6.7953216374268983</v>
      </c>
      <c r="P450" s="163"/>
      <c r="Q450" s="163">
        <v>13</v>
      </c>
      <c r="R450" s="163">
        <v>0</v>
      </c>
      <c r="S450" s="163">
        <v>0</v>
      </c>
      <c r="T450" s="163">
        <v>0</v>
      </c>
      <c r="U450" s="163">
        <v>0</v>
      </c>
      <c r="V450" s="163">
        <v>0</v>
      </c>
      <c r="W450" s="163">
        <v>0</v>
      </c>
      <c r="X450" s="163">
        <v>0</v>
      </c>
      <c r="Y450" s="163">
        <v>13</v>
      </c>
      <c r="Z450" s="163">
        <v>13</v>
      </c>
      <c r="AA450" s="163">
        <v>0</v>
      </c>
      <c r="AB450" s="163">
        <v>0</v>
      </c>
      <c r="AC450" s="163">
        <v>10</v>
      </c>
      <c r="AD450" s="163">
        <v>3</v>
      </c>
      <c r="AE450" s="165">
        <v>0.70678817901485014</v>
      </c>
      <c r="AF450" s="166">
        <v>0.65630330908521795</v>
      </c>
    </row>
    <row r="451" spans="1:32">
      <c r="A451" s="161">
        <v>10</v>
      </c>
      <c r="B451" s="162">
        <v>0.35416666666666669</v>
      </c>
      <c r="C451" s="163">
        <v>18.926917603739092</v>
      </c>
      <c r="D451" s="163">
        <v>911.83534776819863</v>
      </c>
      <c r="E451" s="164">
        <v>0.66949999999999987</v>
      </c>
      <c r="F451" s="164">
        <v>0.66949999999999987</v>
      </c>
      <c r="G451" s="163">
        <v>18</v>
      </c>
      <c r="H451" s="163">
        <v>25</v>
      </c>
      <c r="I451" s="163">
        <v>7</v>
      </c>
      <c r="J451" s="163">
        <v>14</v>
      </c>
      <c r="K451" s="163">
        <v>14.673036437246964</v>
      </c>
      <c r="L451" s="163">
        <v>0.67303643724696371</v>
      </c>
      <c r="M451" s="163">
        <v>16</v>
      </c>
      <c r="N451" s="163">
        <v>22.840755735492575</v>
      </c>
      <c r="O451" s="163">
        <v>6.840755735492575</v>
      </c>
      <c r="P451" s="163"/>
      <c r="Q451" s="163">
        <v>15</v>
      </c>
      <c r="R451" s="163">
        <v>0</v>
      </c>
      <c r="S451" s="163">
        <v>0</v>
      </c>
      <c r="T451" s="163">
        <v>0</v>
      </c>
      <c r="U451" s="163">
        <v>0</v>
      </c>
      <c r="V451" s="163">
        <v>0</v>
      </c>
      <c r="W451" s="163">
        <v>0</v>
      </c>
      <c r="X451" s="163">
        <v>0</v>
      </c>
      <c r="Y451" s="163">
        <v>15</v>
      </c>
      <c r="Z451" s="163">
        <v>15</v>
      </c>
      <c r="AA451" s="163">
        <v>0</v>
      </c>
      <c r="AB451" s="163">
        <v>0</v>
      </c>
      <c r="AC451" s="163">
        <v>10</v>
      </c>
      <c r="AD451" s="163">
        <v>5</v>
      </c>
      <c r="AE451" s="165">
        <v>0.78412456613620374</v>
      </c>
      <c r="AF451" s="166">
        <v>0.65343713844683649</v>
      </c>
    </row>
    <row r="452" spans="1:32">
      <c r="A452" s="161">
        <v>10</v>
      </c>
      <c r="B452" s="162">
        <v>0.375</v>
      </c>
      <c r="C452" s="163">
        <v>22.624846558926507</v>
      </c>
      <c r="D452" s="163">
        <v>878.0334586020366</v>
      </c>
      <c r="E452" s="164">
        <v>0.62419999999999998</v>
      </c>
      <c r="F452" s="164">
        <v>0.62419999999999998</v>
      </c>
      <c r="G452" s="163">
        <v>19</v>
      </c>
      <c r="H452" s="163">
        <v>28.333333333333336</v>
      </c>
      <c r="I452" s="163">
        <v>9.3333333333333357</v>
      </c>
      <c r="J452" s="163">
        <v>15</v>
      </c>
      <c r="K452" s="163">
        <v>15.488205128205129</v>
      </c>
      <c r="L452" s="163">
        <v>0.48820512820512896</v>
      </c>
      <c r="M452" s="163">
        <v>17</v>
      </c>
      <c r="N452" s="163">
        <v>25.886189833558255</v>
      </c>
      <c r="O452" s="163">
        <v>8.8861898335582552</v>
      </c>
      <c r="P452" s="163"/>
      <c r="Q452" s="163">
        <v>17</v>
      </c>
      <c r="R452" s="163">
        <v>0</v>
      </c>
      <c r="S452" s="163">
        <v>0</v>
      </c>
      <c r="T452" s="163">
        <v>0</v>
      </c>
      <c r="U452" s="163">
        <v>0</v>
      </c>
      <c r="V452" s="163">
        <v>0</v>
      </c>
      <c r="W452" s="163">
        <v>0</v>
      </c>
      <c r="X452" s="163">
        <v>0</v>
      </c>
      <c r="Y452" s="163">
        <v>17</v>
      </c>
      <c r="Z452" s="163">
        <v>17</v>
      </c>
      <c r="AA452" s="163">
        <v>0</v>
      </c>
      <c r="AB452" s="163">
        <v>0</v>
      </c>
      <c r="AC452" s="163">
        <v>12</v>
      </c>
      <c r="AD452" s="163">
        <v>5</v>
      </c>
      <c r="AE452" s="165">
        <v>0.79639365393851869</v>
      </c>
      <c r="AF452" s="166">
        <v>0.7125627429976219</v>
      </c>
    </row>
    <row r="453" spans="1:32">
      <c r="A453" s="161">
        <v>10</v>
      </c>
      <c r="B453" s="162">
        <v>0.39583333333333331</v>
      </c>
      <c r="C453" s="163">
        <v>25.30787333335104</v>
      </c>
      <c r="D453" s="163">
        <v>895.72612817904235</v>
      </c>
      <c r="E453" s="164">
        <v>0.64249999999999996</v>
      </c>
      <c r="F453" s="164">
        <v>0.64249999999999996</v>
      </c>
      <c r="G453" s="163">
        <v>21</v>
      </c>
      <c r="H453" s="163">
        <v>31.666666666666664</v>
      </c>
      <c r="I453" s="163">
        <v>10.666666666666664</v>
      </c>
      <c r="J453" s="163">
        <v>17</v>
      </c>
      <c r="K453" s="163">
        <v>17.118542510121458</v>
      </c>
      <c r="L453" s="163">
        <v>0.11854251012145767</v>
      </c>
      <c r="M453" s="163">
        <v>19</v>
      </c>
      <c r="N453" s="163">
        <v>28.931623931623928</v>
      </c>
      <c r="O453" s="163">
        <v>9.9316239316239283</v>
      </c>
      <c r="P453" s="163"/>
      <c r="Q453" s="163">
        <v>19</v>
      </c>
      <c r="R453" s="163">
        <v>0</v>
      </c>
      <c r="S453" s="163">
        <v>0</v>
      </c>
      <c r="T453" s="163">
        <v>0</v>
      </c>
      <c r="U453" s="163">
        <v>0</v>
      </c>
      <c r="V453" s="163">
        <v>0</v>
      </c>
      <c r="W453" s="163">
        <v>0</v>
      </c>
      <c r="X453" s="163">
        <v>0</v>
      </c>
      <c r="Y453" s="163">
        <v>19</v>
      </c>
      <c r="Z453" s="163">
        <v>19</v>
      </c>
      <c r="AA453" s="163">
        <v>0</v>
      </c>
      <c r="AB453" s="163">
        <v>0</v>
      </c>
      <c r="AC453" s="163">
        <v>14</v>
      </c>
      <c r="AD453" s="163">
        <v>5</v>
      </c>
      <c r="AE453" s="165">
        <v>0.81312496996133266</v>
      </c>
      <c r="AF453" s="166">
        <v>0.73568449663168201</v>
      </c>
    </row>
    <row r="454" spans="1:32">
      <c r="A454" s="161">
        <v>10</v>
      </c>
      <c r="B454" s="162">
        <v>0.41666666666666669</v>
      </c>
      <c r="C454" s="163">
        <v>26.436496880958252</v>
      </c>
      <c r="D454" s="163">
        <v>906.89359948209449</v>
      </c>
      <c r="E454" s="164">
        <v>0.51659999999999995</v>
      </c>
      <c r="F454" s="164">
        <v>0.51659999999999995</v>
      </c>
      <c r="G454" s="163">
        <v>23</v>
      </c>
      <c r="H454" s="163">
        <v>31.666666666666664</v>
      </c>
      <c r="I454" s="163">
        <v>8.6666666666666643</v>
      </c>
      <c r="J454" s="163">
        <v>18</v>
      </c>
      <c r="K454" s="163">
        <v>18.748879892037788</v>
      </c>
      <c r="L454" s="163">
        <v>0.74887989203778815</v>
      </c>
      <c r="M454" s="163">
        <v>21</v>
      </c>
      <c r="N454" s="163">
        <v>28.931623931623928</v>
      </c>
      <c r="O454" s="163">
        <v>7.9316239316239283</v>
      </c>
      <c r="P454" s="163"/>
      <c r="Q454" s="163">
        <v>19</v>
      </c>
      <c r="R454" s="163">
        <v>0</v>
      </c>
      <c r="S454" s="163">
        <v>0</v>
      </c>
      <c r="T454" s="163">
        <v>0</v>
      </c>
      <c r="U454" s="163">
        <v>0</v>
      </c>
      <c r="V454" s="163">
        <v>0</v>
      </c>
      <c r="W454" s="163">
        <v>0</v>
      </c>
      <c r="X454" s="163">
        <v>0</v>
      </c>
      <c r="Y454" s="163">
        <v>19</v>
      </c>
      <c r="Z454" s="163">
        <v>19</v>
      </c>
      <c r="AA454" s="163">
        <v>0</v>
      </c>
      <c r="AB454" s="163">
        <v>0</v>
      </c>
      <c r="AC454" s="163">
        <v>14</v>
      </c>
      <c r="AD454" s="163">
        <v>5</v>
      </c>
      <c r="AE454" s="165">
        <v>0.8599766229137753</v>
      </c>
      <c r="AF454" s="166">
        <v>0.71041547110268399</v>
      </c>
    </row>
    <row r="455" spans="1:32">
      <c r="A455" s="161">
        <v>10</v>
      </c>
      <c r="B455" s="162">
        <v>0.4375</v>
      </c>
      <c r="C455" s="163">
        <v>26.375865107768888</v>
      </c>
      <c r="D455" s="163">
        <v>862.05877745997691</v>
      </c>
      <c r="E455" s="164">
        <v>0.63729999999999998</v>
      </c>
      <c r="F455" s="164">
        <v>0.63729999999999998</v>
      </c>
      <c r="G455" s="163">
        <v>21</v>
      </c>
      <c r="H455" s="163">
        <v>31.666666666666664</v>
      </c>
      <c r="I455" s="163">
        <v>10.666666666666664</v>
      </c>
      <c r="J455" s="163">
        <v>17</v>
      </c>
      <c r="K455" s="163">
        <v>17.118542510121458</v>
      </c>
      <c r="L455" s="163">
        <v>0.11854251012145767</v>
      </c>
      <c r="M455" s="163">
        <v>19</v>
      </c>
      <c r="N455" s="163">
        <v>28.931623931623928</v>
      </c>
      <c r="O455" s="163">
        <v>9.9316239316239283</v>
      </c>
      <c r="P455" s="163"/>
      <c r="Q455" s="163">
        <v>19</v>
      </c>
      <c r="R455" s="163">
        <v>0</v>
      </c>
      <c r="S455" s="163">
        <v>0</v>
      </c>
      <c r="T455" s="163">
        <v>0</v>
      </c>
      <c r="U455" s="163">
        <v>0</v>
      </c>
      <c r="V455" s="163">
        <v>0</v>
      </c>
      <c r="W455" s="163">
        <v>0</v>
      </c>
      <c r="X455" s="163">
        <v>0</v>
      </c>
      <c r="Y455" s="163">
        <v>19</v>
      </c>
      <c r="Z455" s="163">
        <v>19</v>
      </c>
      <c r="AA455" s="163">
        <v>0</v>
      </c>
      <c r="AB455" s="163">
        <v>0</v>
      </c>
      <c r="AC455" s="163">
        <v>14</v>
      </c>
      <c r="AD455" s="163">
        <v>5</v>
      </c>
      <c r="AE455" s="165">
        <v>0.8155864357224758</v>
      </c>
      <c r="AF455" s="166">
        <v>0.73791153708224011</v>
      </c>
    </row>
    <row r="456" spans="1:32">
      <c r="A456" s="161">
        <v>10</v>
      </c>
      <c r="B456" s="162">
        <v>0.45833333333333331</v>
      </c>
      <c r="C456" s="163">
        <v>29.120309920749783</v>
      </c>
      <c r="D456" s="163">
        <v>853.66781176347604</v>
      </c>
      <c r="E456" s="164">
        <v>0.41949999999999998</v>
      </c>
      <c r="F456" s="164">
        <v>0.41949999999999998</v>
      </c>
      <c r="G456" s="163">
        <v>23</v>
      </c>
      <c r="H456" s="163">
        <v>31.666666666666664</v>
      </c>
      <c r="I456" s="163">
        <v>8.6666666666666643</v>
      </c>
      <c r="J456" s="163">
        <v>18</v>
      </c>
      <c r="K456" s="163">
        <v>18.748879892037788</v>
      </c>
      <c r="L456" s="163">
        <v>0.74887989203778815</v>
      </c>
      <c r="M456" s="163">
        <v>21</v>
      </c>
      <c r="N456" s="163">
        <v>28.931623931623928</v>
      </c>
      <c r="O456" s="163">
        <v>7.9316239316239283</v>
      </c>
      <c r="P456" s="163"/>
      <c r="Q456" s="163">
        <v>19</v>
      </c>
      <c r="R456" s="163">
        <v>0</v>
      </c>
      <c r="S456" s="163">
        <v>0</v>
      </c>
      <c r="T456" s="163">
        <v>0</v>
      </c>
      <c r="U456" s="163">
        <v>0</v>
      </c>
      <c r="V456" s="163">
        <v>0</v>
      </c>
      <c r="W456" s="163">
        <v>0</v>
      </c>
      <c r="X456" s="163">
        <v>0</v>
      </c>
      <c r="Y456" s="163">
        <v>19</v>
      </c>
      <c r="Z456" s="163">
        <v>19</v>
      </c>
      <c r="AA456" s="163">
        <v>0</v>
      </c>
      <c r="AB456" s="163">
        <v>0</v>
      </c>
      <c r="AC456" s="163">
        <v>14</v>
      </c>
      <c r="AD456" s="163">
        <v>5</v>
      </c>
      <c r="AE456" s="165">
        <v>0.89168467381566674</v>
      </c>
      <c r="AF456" s="166">
        <v>0.73660907836946388</v>
      </c>
    </row>
    <row r="457" spans="1:32">
      <c r="A457" s="161">
        <v>10</v>
      </c>
      <c r="B457" s="162">
        <v>0.47916666666666669</v>
      </c>
      <c r="C457" s="163">
        <v>26.978532791597317</v>
      </c>
      <c r="D457" s="163">
        <v>821.90016234563052</v>
      </c>
      <c r="E457" s="164">
        <v>0.68600000000000005</v>
      </c>
      <c r="F457" s="164">
        <v>0.68600000000000005</v>
      </c>
      <c r="G457" s="163">
        <v>21</v>
      </c>
      <c r="H457" s="163">
        <v>31.666666666666664</v>
      </c>
      <c r="I457" s="163">
        <v>10.666666666666664</v>
      </c>
      <c r="J457" s="163">
        <v>17</v>
      </c>
      <c r="K457" s="163">
        <v>17.118542510121458</v>
      </c>
      <c r="L457" s="163">
        <v>0.11854251012145767</v>
      </c>
      <c r="M457" s="163">
        <v>19</v>
      </c>
      <c r="N457" s="163">
        <v>28.931623931623928</v>
      </c>
      <c r="O457" s="163">
        <v>9.9316239316239283</v>
      </c>
      <c r="P457" s="163"/>
      <c r="Q457" s="163">
        <v>19</v>
      </c>
      <c r="R457" s="163">
        <v>0</v>
      </c>
      <c r="S457" s="163">
        <v>0</v>
      </c>
      <c r="T457" s="163">
        <v>0</v>
      </c>
      <c r="U457" s="163">
        <v>0</v>
      </c>
      <c r="V457" s="163">
        <v>0</v>
      </c>
      <c r="W457" s="163">
        <v>0</v>
      </c>
      <c r="X457" s="163">
        <v>0</v>
      </c>
      <c r="Y457" s="163">
        <v>19</v>
      </c>
      <c r="Z457" s="163">
        <v>19</v>
      </c>
      <c r="AA457" s="163">
        <v>0</v>
      </c>
      <c r="AB457" s="163">
        <v>0</v>
      </c>
      <c r="AC457" s="163">
        <v>14</v>
      </c>
      <c r="AD457" s="163">
        <v>5</v>
      </c>
      <c r="AE457" s="165">
        <v>0.79536009275431463</v>
      </c>
      <c r="AF457" s="166">
        <v>0.71961151249199906</v>
      </c>
    </row>
    <row r="458" spans="1:32">
      <c r="A458" s="161">
        <v>10</v>
      </c>
      <c r="B458" s="162">
        <v>0.5</v>
      </c>
      <c r="C458" s="163">
        <v>27.049952248326971</v>
      </c>
      <c r="D458" s="163">
        <v>873.59487779402866</v>
      </c>
      <c r="E458" s="164">
        <v>0.55279999999999996</v>
      </c>
      <c r="F458" s="164">
        <v>0.55279999999999996</v>
      </c>
      <c r="G458" s="163">
        <v>23</v>
      </c>
      <c r="H458" s="163">
        <v>31.666666666666664</v>
      </c>
      <c r="I458" s="163">
        <v>8.6666666666666643</v>
      </c>
      <c r="J458" s="163">
        <v>18</v>
      </c>
      <c r="K458" s="163">
        <v>18.748879892037788</v>
      </c>
      <c r="L458" s="163">
        <v>0.74887989203778815</v>
      </c>
      <c r="M458" s="163">
        <v>21</v>
      </c>
      <c r="N458" s="163">
        <v>28.931623931623928</v>
      </c>
      <c r="O458" s="163">
        <v>7.9316239316239283</v>
      </c>
      <c r="P458" s="163"/>
      <c r="Q458" s="163">
        <v>19</v>
      </c>
      <c r="R458" s="163">
        <v>0</v>
      </c>
      <c r="S458" s="163">
        <v>0</v>
      </c>
      <c r="T458" s="163">
        <v>0</v>
      </c>
      <c r="U458" s="163">
        <v>0</v>
      </c>
      <c r="V458" s="163">
        <v>0</v>
      </c>
      <c r="W458" s="163">
        <v>0</v>
      </c>
      <c r="X458" s="163">
        <v>0</v>
      </c>
      <c r="Y458" s="163">
        <v>19</v>
      </c>
      <c r="Z458" s="163">
        <v>19</v>
      </c>
      <c r="AA458" s="163">
        <v>0</v>
      </c>
      <c r="AB458" s="163">
        <v>0</v>
      </c>
      <c r="AC458" s="163">
        <v>14</v>
      </c>
      <c r="AD458" s="163">
        <v>5</v>
      </c>
      <c r="AE458" s="165">
        <v>0.84762349202384391</v>
      </c>
      <c r="AF458" s="166">
        <v>0.7002107108023059</v>
      </c>
    </row>
    <row r="459" spans="1:32">
      <c r="A459" s="161">
        <v>10</v>
      </c>
      <c r="B459" s="162">
        <v>0.52083333333333337</v>
      </c>
      <c r="C459" s="163">
        <v>24.433565725558999</v>
      </c>
      <c r="D459" s="163">
        <v>822.68050282518789</v>
      </c>
      <c r="E459" s="164">
        <v>0.6777333333333333</v>
      </c>
      <c r="F459" s="164">
        <v>0.6777333333333333</v>
      </c>
      <c r="G459" s="163">
        <v>19</v>
      </c>
      <c r="H459" s="163">
        <v>30.333333333333336</v>
      </c>
      <c r="I459" s="163">
        <v>11.333333333333336</v>
      </c>
      <c r="J459" s="163">
        <v>15</v>
      </c>
      <c r="K459" s="163">
        <v>15.488205128205129</v>
      </c>
      <c r="L459" s="163">
        <v>0.48820512820512896</v>
      </c>
      <c r="M459" s="163">
        <v>17</v>
      </c>
      <c r="N459" s="163">
        <v>27.713450292397663</v>
      </c>
      <c r="O459" s="163">
        <v>10.713450292397663</v>
      </c>
      <c r="P459" s="163"/>
      <c r="Q459" s="163">
        <v>19</v>
      </c>
      <c r="R459" s="163">
        <v>0</v>
      </c>
      <c r="S459" s="163">
        <v>0</v>
      </c>
      <c r="T459" s="163">
        <v>0</v>
      </c>
      <c r="U459" s="163">
        <v>0</v>
      </c>
      <c r="V459" s="163">
        <v>0</v>
      </c>
      <c r="W459" s="163">
        <v>0</v>
      </c>
      <c r="X459" s="163">
        <v>0</v>
      </c>
      <c r="Y459" s="163">
        <v>19</v>
      </c>
      <c r="Z459" s="163">
        <v>19</v>
      </c>
      <c r="AA459" s="163">
        <v>0</v>
      </c>
      <c r="AB459" s="163">
        <v>0</v>
      </c>
      <c r="AC459" s="163">
        <v>14</v>
      </c>
      <c r="AD459" s="163">
        <v>5</v>
      </c>
      <c r="AE459" s="165">
        <v>0.72101526328250043</v>
      </c>
      <c r="AF459" s="166">
        <v>0.72101526328250043</v>
      </c>
    </row>
    <row r="460" spans="1:32">
      <c r="A460" s="161">
        <v>10</v>
      </c>
      <c r="B460" s="162">
        <v>0.54166666666666663</v>
      </c>
      <c r="C460" s="163">
        <v>24.340850768409513</v>
      </c>
      <c r="D460" s="163">
        <v>818.39304790803078</v>
      </c>
      <c r="E460" s="164">
        <v>0.621</v>
      </c>
      <c r="F460" s="164">
        <v>0.621</v>
      </c>
      <c r="G460" s="163">
        <v>19</v>
      </c>
      <c r="H460" s="163">
        <v>28.333333333333336</v>
      </c>
      <c r="I460" s="163">
        <v>9.3333333333333357</v>
      </c>
      <c r="J460" s="163">
        <v>15</v>
      </c>
      <c r="K460" s="163">
        <v>15.488205128205129</v>
      </c>
      <c r="L460" s="163">
        <v>0.48820512820512896</v>
      </c>
      <c r="M460" s="163">
        <v>17</v>
      </c>
      <c r="N460" s="163">
        <v>25.886189833558255</v>
      </c>
      <c r="O460" s="163">
        <v>8.8861898335582552</v>
      </c>
      <c r="P460" s="163"/>
      <c r="Q460" s="163">
        <v>17</v>
      </c>
      <c r="R460" s="163">
        <v>0</v>
      </c>
      <c r="S460" s="163">
        <v>0</v>
      </c>
      <c r="T460" s="163">
        <v>0</v>
      </c>
      <c r="U460" s="163">
        <v>0</v>
      </c>
      <c r="V460" s="163">
        <v>0</v>
      </c>
      <c r="W460" s="163">
        <v>0</v>
      </c>
      <c r="X460" s="163">
        <v>0</v>
      </c>
      <c r="Y460" s="163">
        <v>17</v>
      </c>
      <c r="Z460" s="163">
        <v>17</v>
      </c>
      <c r="AA460" s="163">
        <v>0</v>
      </c>
      <c r="AB460" s="163">
        <v>0</v>
      </c>
      <c r="AC460" s="163">
        <v>12</v>
      </c>
      <c r="AD460" s="163">
        <v>5</v>
      </c>
      <c r="AE460" s="165">
        <v>0.79859901063414818</v>
      </c>
      <c r="AF460" s="166">
        <v>0.71453595688318516</v>
      </c>
    </row>
    <row r="461" spans="1:32">
      <c r="A461" s="161">
        <v>10</v>
      </c>
      <c r="B461" s="162">
        <v>0.5625</v>
      </c>
      <c r="C461" s="163">
        <v>22.453845319681808</v>
      </c>
      <c r="D461" s="163">
        <v>792.18927481338631</v>
      </c>
      <c r="E461" s="164">
        <v>0.78839999999999988</v>
      </c>
      <c r="F461" s="164">
        <v>0.78839999999999988</v>
      </c>
      <c r="G461" s="163">
        <v>18</v>
      </c>
      <c r="H461" s="163">
        <v>28.333333333333336</v>
      </c>
      <c r="I461" s="163">
        <v>10.333333333333336</v>
      </c>
      <c r="J461" s="163">
        <v>14</v>
      </c>
      <c r="K461" s="163">
        <v>14.673036437246964</v>
      </c>
      <c r="L461" s="163">
        <v>0.67303643724696371</v>
      </c>
      <c r="M461" s="163">
        <v>16</v>
      </c>
      <c r="N461" s="163">
        <v>25.886189833558255</v>
      </c>
      <c r="O461" s="163">
        <v>9.8861898335582552</v>
      </c>
      <c r="P461" s="163"/>
      <c r="Q461" s="163">
        <v>17</v>
      </c>
      <c r="R461" s="163">
        <v>0</v>
      </c>
      <c r="S461" s="163">
        <v>0</v>
      </c>
      <c r="T461" s="163">
        <v>0</v>
      </c>
      <c r="U461" s="163">
        <v>0</v>
      </c>
      <c r="V461" s="163">
        <v>0</v>
      </c>
      <c r="W461" s="163">
        <v>0</v>
      </c>
      <c r="X461" s="163">
        <v>0</v>
      </c>
      <c r="Y461" s="163">
        <v>17</v>
      </c>
      <c r="Z461" s="163">
        <v>17</v>
      </c>
      <c r="AA461" s="163">
        <v>0</v>
      </c>
      <c r="AB461" s="163">
        <v>0</v>
      </c>
      <c r="AC461" s="163">
        <v>12</v>
      </c>
      <c r="AD461" s="163">
        <v>5</v>
      </c>
      <c r="AE461" s="165">
        <v>0.71310054356563801</v>
      </c>
      <c r="AF461" s="166">
        <v>0.67348384670088035</v>
      </c>
    </row>
    <row r="462" spans="1:32">
      <c r="A462" s="161">
        <v>10</v>
      </c>
      <c r="B462" s="162">
        <v>0.58333333333333337</v>
      </c>
      <c r="C462" s="163">
        <v>23.582089508900765</v>
      </c>
      <c r="D462" s="163">
        <v>817.37988761164797</v>
      </c>
      <c r="E462" s="164">
        <v>0.67759999999999998</v>
      </c>
      <c r="F462" s="164">
        <v>0.67759999999999998</v>
      </c>
      <c r="G462" s="163">
        <v>19</v>
      </c>
      <c r="H462" s="163">
        <v>28.333333333333336</v>
      </c>
      <c r="I462" s="163">
        <v>9.3333333333333357</v>
      </c>
      <c r="J462" s="163">
        <v>15</v>
      </c>
      <c r="K462" s="163">
        <v>15.488205128205129</v>
      </c>
      <c r="L462" s="163">
        <v>0.48820512820512896</v>
      </c>
      <c r="M462" s="163">
        <v>17</v>
      </c>
      <c r="N462" s="163">
        <v>25.886189833558255</v>
      </c>
      <c r="O462" s="163">
        <v>8.8861898335582552</v>
      </c>
      <c r="P462" s="163"/>
      <c r="Q462" s="163">
        <v>17</v>
      </c>
      <c r="R462" s="163">
        <v>0</v>
      </c>
      <c r="S462" s="163">
        <v>0</v>
      </c>
      <c r="T462" s="163">
        <v>0</v>
      </c>
      <c r="U462" s="163">
        <v>0</v>
      </c>
      <c r="V462" s="163">
        <v>0</v>
      </c>
      <c r="W462" s="163">
        <v>0</v>
      </c>
      <c r="X462" s="163">
        <v>0</v>
      </c>
      <c r="Y462" s="163">
        <v>17</v>
      </c>
      <c r="Z462" s="163">
        <v>17</v>
      </c>
      <c r="AA462" s="163">
        <v>0</v>
      </c>
      <c r="AB462" s="163">
        <v>0</v>
      </c>
      <c r="AC462" s="163">
        <v>12</v>
      </c>
      <c r="AD462" s="163">
        <v>5</v>
      </c>
      <c r="AE462" s="165">
        <v>0.77274697447172414</v>
      </c>
      <c r="AF462" s="166">
        <v>0.69140518768522685</v>
      </c>
    </row>
    <row r="463" spans="1:32">
      <c r="A463" s="161">
        <v>10</v>
      </c>
      <c r="B463" s="162">
        <v>0.60416666666666663</v>
      </c>
      <c r="C463" s="163">
        <v>22.334336758448064</v>
      </c>
      <c r="D463" s="163">
        <v>800.44368604637839</v>
      </c>
      <c r="E463" s="164">
        <v>0.8738999999999999</v>
      </c>
      <c r="F463" s="164">
        <v>0.8738999999999999</v>
      </c>
      <c r="G463" s="163">
        <v>18</v>
      </c>
      <c r="H463" s="163">
        <v>29.666666666666664</v>
      </c>
      <c r="I463" s="163">
        <v>11.666666666666664</v>
      </c>
      <c r="J463" s="163">
        <v>14</v>
      </c>
      <c r="K463" s="163">
        <v>14.673036437246964</v>
      </c>
      <c r="L463" s="163">
        <v>0.67303643724696371</v>
      </c>
      <c r="M463" s="163">
        <v>16</v>
      </c>
      <c r="N463" s="163">
        <v>27.104363472784524</v>
      </c>
      <c r="O463" s="163">
        <v>11.104363472784524</v>
      </c>
      <c r="P463" s="163"/>
      <c r="Q463" s="163">
        <v>17</v>
      </c>
      <c r="R463" s="163">
        <v>0</v>
      </c>
      <c r="S463" s="163">
        <v>0</v>
      </c>
      <c r="T463" s="163">
        <v>0</v>
      </c>
      <c r="U463" s="163">
        <v>0</v>
      </c>
      <c r="V463" s="163">
        <v>0</v>
      </c>
      <c r="W463" s="163">
        <v>0</v>
      </c>
      <c r="X463" s="163">
        <v>0</v>
      </c>
      <c r="Y463" s="163">
        <v>17</v>
      </c>
      <c r="Z463" s="163">
        <v>17</v>
      </c>
      <c r="AA463" s="163">
        <v>0</v>
      </c>
      <c r="AB463" s="163">
        <v>0</v>
      </c>
      <c r="AC463" s="163">
        <v>12</v>
      </c>
      <c r="AD463" s="163">
        <v>5</v>
      </c>
      <c r="AE463" s="165">
        <v>0.71669590988687981</v>
      </c>
      <c r="AF463" s="166">
        <v>0.67687947044871977</v>
      </c>
    </row>
    <row r="464" spans="1:32">
      <c r="A464" s="161">
        <v>10</v>
      </c>
      <c r="B464" s="162">
        <v>0.625</v>
      </c>
      <c r="C464" s="163">
        <v>22.664130447170518</v>
      </c>
      <c r="D464" s="163">
        <v>831.27258518392421</v>
      </c>
      <c r="E464" s="164">
        <v>0.61086666666666667</v>
      </c>
      <c r="F464" s="164">
        <v>0.61086666666666667</v>
      </c>
      <c r="G464" s="163">
        <v>19</v>
      </c>
      <c r="H464" s="163">
        <v>29</v>
      </c>
      <c r="I464" s="163">
        <v>10</v>
      </c>
      <c r="J464" s="163">
        <v>15</v>
      </c>
      <c r="K464" s="163">
        <v>15.488205128205129</v>
      </c>
      <c r="L464" s="163">
        <v>0.48820512820512896</v>
      </c>
      <c r="M464" s="163">
        <v>17</v>
      </c>
      <c r="N464" s="163">
        <v>26.495276653171388</v>
      </c>
      <c r="O464" s="163">
        <v>9.4952766531713877</v>
      </c>
      <c r="P464" s="163"/>
      <c r="Q464" s="163">
        <v>19</v>
      </c>
      <c r="R464" s="163">
        <v>0</v>
      </c>
      <c r="S464" s="163">
        <v>0</v>
      </c>
      <c r="T464" s="163">
        <v>0</v>
      </c>
      <c r="U464" s="163">
        <v>0</v>
      </c>
      <c r="V464" s="163">
        <v>0</v>
      </c>
      <c r="W464" s="163">
        <v>0</v>
      </c>
      <c r="X464" s="163">
        <v>0</v>
      </c>
      <c r="Y464" s="163">
        <v>19</v>
      </c>
      <c r="Z464" s="163">
        <v>19</v>
      </c>
      <c r="AA464" s="163">
        <v>0</v>
      </c>
      <c r="AB464" s="163">
        <v>0</v>
      </c>
      <c r="AC464" s="163">
        <v>12</v>
      </c>
      <c r="AD464" s="163">
        <v>7</v>
      </c>
      <c r="AE464" s="165">
        <v>0.67578558263510846</v>
      </c>
      <c r="AF464" s="166">
        <v>0.67578558263510846</v>
      </c>
    </row>
    <row r="465" spans="1:32">
      <c r="A465" s="161">
        <v>10</v>
      </c>
      <c r="B465" s="162">
        <v>0.64583333333333337</v>
      </c>
      <c r="C465" s="163">
        <v>21.318689768290625</v>
      </c>
      <c r="D465" s="163">
        <v>835.83310416003826</v>
      </c>
      <c r="E465" s="164">
        <v>0.43330000000000002</v>
      </c>
      <c r="F465" s="164">
        <v>0.43330000000000002</v>
      </c>
      <c r="G465" s="163">
        <v>18</v>
      </c>
      <c r="H465" s="163">
        <v>23.333333333333336</v>
      </c>
      <c r="I465" s="163">
        <v>5.3333333333333357</v>
      </c>
      <c r="J465" s="163">
        <v>14</v>
      </c>
      <c r="K465" s="163">
        <v>14.673036437246964</v>
      </c>
      <c r="L465" s="163">
        <v>0.67303643724696371</v>
      </c>
      <c r="M465" s="163">
        <v>16</v>
      </c>
      <c r="N465" s="163">
        <v>21.31803868645974</v>
      </c>
      <c r="O465" s="163">
        <v>5.3180386864597402</v>
      </c>
      <c r="P465" s="163"/>
      <c r="Q465" s="163">
        <v>14</v>
      </c>
      <c r="R465" s="163">
        <v>0</v>
      </c>
      <c r="S465" s="163">
        <v>0</v>
      </c>
      <c r="T465" s="163">
        <v>0</v>
      </c>
      <c r="U465" s="163">
        <v>0</v>
      </c>
      <c r="V465" s="163">
        <v>0</v>
      </c>
      <c r="W465" s="163">
        <v>0</v>
      </c>
      <c r="X465" s="163">
        <v>0</v>
      </c>
      <c r="Y465" s="163">
        <v>14</v>
      </c>
      <c r="Z465" s="163">
        <v>14</v>
      </c>
      <c r="AA465" s="163">
        <v>0</v>
      </c>
      <c r="AB465" s="163">
        <v>0</v>
      </c>
      <c r="AC465" s="163">
        <v>10</v>
      </c>
      <c r="AD465" s="163">
        <v>4</v>
      </c>
      <c r="AE465" s="165">
        <v>0.86742522205184169</v>
      </c>
      <c r="AF465" s="166">
        <v>0.67466406159587688</v>
      </c>
    </row>
    <row r="466" spans="1:32">
      <c r="A466" s="161">
        <v>10</v>
      </c>
      <c r="B466" s="162">
        <v>0.66666666666666663</v>
      </c>
      <c r="C466" s="163">
        <v>21.176579515727596</v>
      </c>
      <c r="D466" s="163">
        <v>833.54589294759114</v>
      </c>
      <c r="E466" s="164">
        <v>0.4556</v>
      </c>
      <c r="F466" s="164">
        <v>0.4556</v>
      </c>
      <c r="G466" s="163">
        <v>18</v>
      </c>
      <c r="H466" s="163">
        <v>23.333333333333336</v>
      </c>
      <c r="I466" s="163">
        <v>5.3333333333333357</v>
      </c>
      <c r="J466" s="163">
        <v>14</v>
      </c>
      <c r="K466" s="163">
        <v>14.673036437246964</v>
      </c>
      <c r="L466" s="163">
        <v>0.67303643724696371</v>
      </c>
      <c r="M466" s="163">
        <v>16</v>
      </c>
      <c r="N466" s="163">
        <v>21.31803868645974</v>
      </c>
      <c r="O466" s="163">
        <v>5.3180386864597402</v>
      </c>
      <c r="P466" s="163"/>
      <c r="Q466" s="163">
        <v>14</v>
      </c>
      <c r="R466" s="163">
        <v>0</v>
      </c>
      <c r="S466" s="163">
        <v>0</v>
      </c>
      <c r="T466" s="163">
        <v>0</v>
      </c>
      <c r="U466" s="163">
        <v>0</v>
      </c>
      <c r="V466" s="163">
        <v>0</v>
      </c>
      <c r="W466" s="163">
        <v>0</v>
      </c>
      <c r="X466" s="163">
        <v>0</v>
      </c>
      <c r="Y466" s="163">
        <v>14</v>
      </c>
      <c r="Z466" s="163">
        <v>14</v>
      </c>
      <c r="AA466" s="163">
        <v>0</v>
      </c>
      <c r="AB466" s="163">
        <v>0</v>
      </c>
      <c r="AC466" s="163">
        <v>10</v>
      </c>
      <c r="AD466" s="163">
        <v>4</v>
      </c>
      <c r="AE466" s="165">
        <v>0.85928513246071059</v>
      </c>
      <c r="AF466" s="166">
        <v>0.66833288080277486</v>
      </c>
    </row>
    <row r="467" spans="1:32">
      <c r="A467" s="161">
        <v>10</v>
      </c>
      <c r="B467" s="162">
        <v>0.6875</v>
      </c>
      <c r="C467" s="163">
        <v>20.022850055865469</v>
      </c>
      <c r="D467" s="163">
        <v>868.18876113764372</v>
      </c>
      <c r="E467" s="164">
        <v>0.18873333333333334</v>
      </c>
      <c r="F467" s="164">
        <v>0.18873333333333334</v>
      </c>
      <c r="G467" s="163">
        <v>18</v>
      </c>
      <c r="H467" s="163">
        <v>22</v>
      </c>
      <c r="I467" s="163">
        <v>4</v>
      </c>
      <c r="J467" s="163">
        <v>14</v>
      </c>
      <c r="K467" s="163">
        <v>14.673036437246964</v>
      </c>
      <c r="L467" s="163">
        <v>0.67303643724696371</v>
      </c>
      <c r="M467" s="163">
        <v>16</v>
      </c>
      <c r="N467" s="163">
        <v>20.099865047233468</v>
      </c>
      <c r="O467" s="163">
        <v>4.0998650472334681</v>
      </c>
      <c r="P467" s="163"/>
      <c r="Q467" s="163">
        <v>14</v>
      </c>
      <c r="R467" s="163">
        <v>0</v>
      </c>
      <c r="S467" s="163">
        <v>0</v>
      </c>
      <c r="T467" s="163">
        <v>0</v>
      </c>
      <c r="U467" s="163">
        <v>0</v>
      </c>
      <c r="V467" s="163">
        <v>0</v>
      </c>
      <c r="W467" s="163">
        <v>0</v>
      </c>
      <c r="X467" s="163">
        <v>0</v>
      </c>
      <c r="Y467" s="163">
        <v>14</v>
      </c>
      <c r="Z467" s="163">
        <v>14</v>
      </c>
      <c r="AA467" s="163">
        <v>0</v>
      </c>
      <c r="AB467" s="163">
        <v>0</v>
      </c>
      <c r="AC467" s="163">
        <v>10</v>
      </c>
      <c r="AD467" s="163">
        <v>4</v>
      </c>
      <c r="AE467" s="165">
        <v>0.84623702505477416</v>
      </c>
      <c r="AF467" s="166">
        <v>0.6581843528203799</v>
      </c>
    </row>
    <row r="468" spans="1:32">
      <c r="A468" s="161">
        <v>10</v>
      </c>
      <c r="B468" s="162">
        <v>0.70833333333333337</v>
      </c>
      <c r="C468" s="163">
        <v>20.021085937874325</v>
      </c>
      <c r="D468" s="163">
        <v>841.77351591655656</v>
      </c>
      <c r="E468" s="164">
        <v>0.1268</v>
      </c>
      <c r="F468" s="164">
        <v>0.1268</v>
      </c>
      <c r="G468" s="163">
        <v>16</v>
      </c>
      <c r="H468" s="163">
        <v>20</v>
      </c>
      <c r="I468" s="163">
        <v>4</v>
      </c>
      <c r="J468" s="163">
        <v>13</v>
      </c>
      <c r="K468" s="163">
        <v>13.042699055330635</v>
      </c>
      <c r="L468" s="163">
        <v>4.2699055330635005E-2</v>
      </c>
      <c r="M468" s="163">
        <v>15</v>
      </c>
      <c r="N468" s="163">
        <v>18.27260458839406</v>
      </c>
      <c r="O468" s="163">
        <v>3.27260458839406</v>
      </c>
      <c r="P468" s="163"/>
      <c r="Q468" s="163">
        <v>12</v>
      </c>
      <c r="R468" s="163">
        <v>0</v>
      </c>
      <c r="S468" s="163">
        <v>0</v>
      </c>
      <c r="T468" s="163">
        <v>0</v>
      </c>
      <c r="U468" s="163">
        <v>0</v>
      </c>
      <c r="V468" s="163">
        <v>0</v>
      </c>
      <c r="W468" s="163">
        <v>0</v>
      </c>
      <c r="X468" s="163">
        <v>0</v>
      </c>
      <c r="Y468" s="163">
        <v>12</v>
      </c>
      <c r="Z468" s="163">
        <v>12</v>
      </c>
      <c r="AA468" s="163">
        <v>0</v>
      </c>
      <c r="AB468" s="163">
        <v>0</v>
      </c>
      <c r="AC468" s="163">
        <v>10</v>
      </c>
      <c r="AD468" s="163">
        <v>2</v>
      </c>
      <c r="AE468" s="165">
        <v>0.95715361838868829</v>
      </c>
      <c r="AF468" s="166">
        <v>0.71786521379151624</v>
      </c>
    </row>
    <row r="469" spans="1:32">
      <c r="A469" s="161">
        <v>10</v>
      </c>
      <c r="B469" s="162">
        <v>0.72916666666666663</v>
      </c>
      <c r="C469" s="163">
        <v>19.878033135037104</v>
      </c>
      <c r="D469" s="163">
        <v>825.85529686311952</v>
      </c>
      <c r="E469" s="164">
        <v>0.62986666666666657</v>
      </c>
      <c r="F469" s="164">
        <v>0.62986666666666657</v>
      </c>
      <c r="G469" s="163">
        <v>16</v>
      </c>
      <c r="H469" s="163">
        <v>22.666666666666664</v>
      </c>
      <c r="I469" s="163">
        <v>6.6666666666666643</v>
      </c>
      <c r="J469" s="163">
        <v>13</v>
      </c>
      <c r="K469" s="163">
        <v>13.042699055330635</v>
      </c>
      <c r="L469" s="163">
        <v>4.2699055330635005E-2</v>
      </c>
      <c r="M469" s="163">
        <v>15</v>
      </c>
      <c r="N469" s="163">
        <v>20.708951866846601</v>
      </c>
      <c r="O469" s="163">
        <v>5.7089518668466006</v>
      </c>
      <c r="P469" s="163"/>
      <c r="Q469" s="163">
        <v>12</v>
      </c>
      <c r="R469" s="163">
        <v>0</v>
      </c>
      <c r="S469" s="163">
        <v>0</v>
      </c>
      <c r="T469" s="163">
        <v>0</v>
      </c>
      <c r="U469" s="163">
        <v>0</v>
      </c>
      <c r="V469" s="163">
        <v>0</v>
      </c>
      <c r="W469" s="163">
        <v>0</v>
      </c>
      <c r="X469" s="163">
        <v>0</v>
      </c>
      <c r="Y469" s="163">
        <v>12</v>
      </c>
      <c r="Z469" s="163">
        <v>12</v>
      </c>
      <c r="AA469" s="163">
        <v>0</v>
      </c>
      <c r="AB469" s="163">
        <v>0</v>
      </c>
      <c r="AC469" s="163">
        <v>10</v>
      </c>
      <c r="AD469" s="163">
        <v>2</v>
      </c>
      <c r="AE469" s="165">
        <v>0.93234388498930709</v>
      </c>
      <c r="AF469" s="166">
        <v>0.69925791374198032</v>
      </c>
    </row>
    <row r="470" spans="1:32">
      <c r="A470" s="161">
        <v>10</v>
      </c>
      <c r="B470" s="162">
        <v>0.75</v>
      </c>
      <c r="C470" s="163">
        <v>19.152141169530786</v>
      </c>
      <c r="D470" s="163">
        <v>829.95180968485022</v>
      </c>
      <c r="E470" s="164">
        <v>0.87360000000000004</v>
      </c>
      <c r="F470" s="164">
        <v>0.87360000000000004</v>
      </c>
      <c r="G470" s="163">
        <v>16</v>
      </c>
      <c r="H470" s="163">
        <v>26.666666666666664</v>
      </c>
      <c r="I470" s="163">
        <v>10.666666666666664</v>
      </c>
      <c r="J470" s="163">
        <v>13</v>
      </c>
      <c r="K470" s="163">
        <v>13.042699055330635</v>
      </c>
      <c r="L470" s="163">
        <v>4.2699055330635005E-2</v>
      </c>
      <c r="M470" s="163">
        <v>15</v>
      </c>
      <c r="N470" s="163">
        <v>24.363472784525413</v>
      </c>
      <c r="O470" s="163">
        <v>9.3634727845254133</v>
      </c>
      <c r="P470" s="163"/>
      <c r="Q470" s="163">
        <v>16</v>
      </c>
      <c r="R470" s="163">
        <v>0</v>
      </c>
      <c r="S470" s="163">
        <v>0</v>
      </c>
      <c r="T470" s="163">
        <v>0</v>
      </c>
      <c r="U470" s="163">
        <v>0</v>
      </c>
      <c r="V470" s="163">
        <v>0</v>
      </c>
      <c r="W470" s="163">
        <v>0</v>
      </c>
      <c r="X470" s="163">
        <v>0</v>
      </c>
      <c r="Y470" s="163">
        <v>16</v>
      </c>
      <c r="Z470" s="163">
        <v>16</v>
      </c>
      <c r="AA470" s="163">
        <v>0</v>
      </c>
      <c r="AB470" s="163">
        <v>0</v>
      </c>
      <c r="AC470" s="163">
        <v>14</v>
      </c>
      <c r="AD470" s="163">
        <v>2</v>
      </c>
      <c r="AE470" s="165">
        <v>0.6770647937703792</v>
      </c>
      <c r="AF470" s="166">
        <v>0.6770647937703792</v>
      </c>
    </row>
    <row r="471" spans="1:32">
      <c r="A471" s="161">
        <v>10</v>
      </c>
      <c r="B471" s="162">
        <v>0.77083333333333337</v>
      </c>
      <c r="C471" s="163">
        <v>18.619395245503096</v>
      </c>
      <c r="D471" s="163">
        <v>779.01573508132765</v>
      </c>
      <c r="E471" s="164">
        <v>0.93020000000000003</v>
      </c>
      <c r="F471" s="164">
        <v>0.93020000000000003</v>
      </c>
      <c r="G471" s="163">
        <v>15</v>
      </c>
      <c r="H471" s="163">
        <v>26.666666666666664</v>
      </c>
      <c r="I471" s="163">
        <v>11.666666666666664</v>
      </c>
      <c r="J471" s="163">
        <v>12</v>
      </c>
      <c r="K471" s="163">
        <v>12.22753036437247</v>
      </c>
      <c r="L471" s="163">
        <v>0.22753036437246976</v>
      </c>
      <c r="M471" s="163">
        <v>14</v>
      </c>
      <c r="N471" s="163">
        <v>24.363472784525413</v>
      </c>
      <c r="O471" s="163">
        <v>10.363472784525413</v>
      </c>
      <c r="P471" s="163"/>
      <c r="Q471" s="163">
        <v>16</v>
      </c>
      <c r="R471" s="163">
        <v>0</v>
      </c>
      <c r="S471" s="163">
        <v>0</v>
      </c>
      <c r="T471" s="163">
        <v>0</v>
      </c>
      <c r="U471" s="163">
        <v>0</v>
      </c>
      <c r="V471" s="163">
        <v>0</v>
      </c>
      <c r="W471" s="163">
        <v>0</v>
      </c>
      <c r="X471" s="163">
        <v>0</v>
      </c>
      <c r="Y471" s="163">
        <v>16</v>
      </c>
      <c r="Z471" s="163">
        <v>16</v>
      </c>
      <c r="AA471" s="163">
        <v>0</v>
      </c>
      <c r="AB471" s="163">
        <v>0</v>
      </c>
      <c r="AC471" s="163">
        <v>14</v>
      </c>
      <c r="AD471" s="163">
        <v>2</v>
      </c>
      <c r="AE471" s="165">
        <v>0.61783402569650925</v>
      </c>
      <c r="AF471" s="166">
        <v>0.6590229607429432</v>
      </c>
    </row>
    <row r="472" spans="1:32">
      <c r="A472" s="161">
        <v>10</v>
      </c>
      <c r="B472" s="162">
        <v>0.79166666666666663</v>
      </c>
      <c r="C472" s="163">
        <v>16.552035517469353</v>
      </c>
      <c r="D472" s="163">
        <v>775.20730641767545</v>
      </c>
      <c r="E472" s="164">
        <v>0.88660000000000005</v>
      </c>
      <c r="F472" s="164">
        <v>0.88660000000000005</v>
      </c>
      <c r="G472" s="163">
        <v>14</v>
      </c>
      <c r="H472" s="163">
        <v>23.333333333333336</v>
      </c>
      <c r="I472" s="163">
        <v>9.3333333333333357</v>
      </c>
      <c r="J472" s="163">
        <v>11</v>
      </c>
      <c r="K472" s="163">
        <v>11.412361673414306</v>
      </c>
      <c r="L472" s="163">
        <v>0.4123616734143063</v>
      </c>
      <c r="M472" s="163">
        <v>13</v>
      </c>
      <c r="N472" s="163">
        <v>21.31803868645974</v>
      </c>
      <c r="O472" s="163">
        <v>8.3180386864597402</v>
      </c>
      <c r="P472" s="163"/>
      <c r="Q472" s="163">
        <v>14</v>
      </c>
      <c r="R472" s="163">
        <v>0</v>
      </c>
      <c r="S472" s="163">
        <v>0</v>
      </c>
      <c r="T472" s="163">
        <v>0</v>
      </c>
      <c r="U472" s="163">
        <v>0</v>
      </c>
      <c r="V472" s="163">
        <v>0</v>
      </c>
      <c r="W472" s="163">
        <v>0</v>
      </c>
      <c r="X472" s="163">
        <v>0</v>
      </c>
      <c r="Y472" s="163">
        <v>14</v>
      </c>
      <c r="Z472" s="163">
        <v>14</v>
      </c>
      <c r="AA472" s="163">
        <v>0</v>
      </c>
      <c r="AB472" s="163">
        <v>0</v>
      </c>
      <c r="AC472" s="163">
        <v>12</v>
      </c>
      <c r="AD472" s="163">
        <v>2</v>
      </c>
      <c r="AE472" s="165">
        <v>0.62462769351034308</v>
      </c>
      <c r="AF472" s="166">
        <v>0.62462769351034308</v>
      </c>
    </row>
    <row r="473" spans="1:32">
      <c r="A473" s="161">
        <v>10</v>
      </c>
      <c r="B473" s="162">
        <v>0.8125</v>
      </c>
      <c r="C473" s="163">
        <v>15.016775473144563</v>
      </c>
      <c r="D473" s="163">
        <v>782.76097609391934</v>
      </c>
      <c r="E473" s="164">
        <v>0.93120000000000003</v>
      </c>
      <c r="F473" s="164">
        <v>0.93120000000000003</v>
      </c>
      <c r="G473" s="163">
        <v>13</v>
      </c>
      <c r="H473" s="163">
        <v>23.333333333333336</v>
      </c>
      <c r="I473" s="163">
        <v>10.333333333333336</v>
      </c>
      <c r="J473" s="163">
        <v>10</v>
      </c>
      <c r="K473" s="163">
        <v>10.597192982456141</v>
      </c>
      <c r="L473" s="163">
        <v>0.59719298245614105</v>
      </c>
      <c r="M473" s="163">
        <v>12</v>
      </c>
      <c r="N473" s="163">
        <v>21.31803868645974</v>
      </c>
      <c r="O473" s="163">
        <v>9.3180386864597402</v>
      </c>
      <c r="P473" s="163"/>
      <c r="Q473" s="163">
        <v>14</v>
      </c>
      <c r="R473" s="163">
        <v>0</v>
      </c>
      <c r="S473" s="163">
        <v>0</v>
      </c>
      <c r="T473" s="163">
        <v>0</v>
      </c>
      <c r="U473" s="163">
        <v>0</v>
      </c>
      <c r="V473" s="163">
        <v>0</v>
      </c>
      <c r="W473" s="163">
        <v>0</v>
      </c>
      <c r="X473" s="163">
        <v>0</v>
      </c>
      <c r="Y473" s="163">
        <v>14</v>
      </c>
      <c r="Z473" s="163">
        <v>14</v>
      </c>
      <c r="AA473" s="163">
        <v>0</v>
      </c>
      <c r="AB473" s="163">
        <v>0</v>
      </c>
      <c r="AC473" s="163">
        <v>12</v>
      </c>
      <c r="AD473" s="163">
        <v>2</v>
      </c>
      <c r="AE473" s="165">
        <v>0.57221313380855432</v>
      </c>
      <c r="AF473" s="166">
        <v>0.61622952871690462</v>
      </c>
    </row>
    <row r="474" spans="1:32">
      <c r="A474" s="161">
        <v>10</v>
      </c>
      <c r="B474" s="162">
        <v>0.83333333333333337</v>
      </c>
      <c r="C474" s="163">
        <v>15.410864657194736</v>
      </c>
      <c r="D474" s="163">
        <v>760.27902015799361</v>
      </c>
      <c r="E474" s="164">
        <v>0.6787333333333333</v>
      </c>
      <c r="F474" s="164">
        <v>0.6787333333333333</v>
      </c>
      <c r="G474" s="163">
        <v>13</v>
      </c>
      <c r="H474" s="163">
        <v>20.666666666666668</v>
      </c>
      <c r="I474" s="163">
        <v>7.6666666666666679</v>
      </c>
      <c r="J474" s="163">
        <v>10</v>
      </c>
      <c r="K474" s="163">
        <v>10.597192982456141</v>
      </c>
      <c r="L474" s="163">
        <v>0.59719298245614105</v>
      </c>
      <c r="M474" s="163">
        <v>12</v>
      </c>
      <c r="N474" s="163">
        <v>18.881691408007196</v>
      </c>
      <c r="O474" s="163">
        <v>6.881691408007196</v>
      </c>
      <c r="P474" s="163"/>
      <c r="Q474" s="163">
        <v>14</v>
      </c>
      <c r="R474" s="163">
        <v>0</v>
      </c>
      <c r="S474" s="163">
        <v>0</v>
      </c>
      <c r="T474" s="163">
        <v>0</v>
      </c>
      <c r="U474" s="163">
        <v>0</v>
      </c>
      <c r="V474" s="163">
        <v>0</v>
      </c>
      <c r="W474" s="163">
        <v>0</v>
      </c>
      <c r="X474" s="163">
        <v>0</v>
      </c>
      <c r="Y474" s="163">
        <v>14</v>
      </c>
      <c r="Z474" s="163">
        <v>14</v>
      </c>
      <c r="AA474" s="163">
        <v>0</v>
      </c>
      <c r="AB474" s="163">
        <v>0</v>
      </c>
      <c r="AC474" s="163">
        <v>12</v>
      </c>
      <c r="AD474" s="163">
        <v>2</v>
      </c>
      <c r="AE474" s="165">
        <v>0.57036383570777971</v>
      </c>
      <c r="AF474" s="166">
        <v>0.61423797691607041</v>
      </c>
    </row>
    <row r="475" spans="1:32">
      <c r="A475" s="161">
        <v>10</v>
      </c>
      <c r="B475" s="162">
        <v>0.85416666666666663</v>
      </c>
      <c r="C475" s="163">
        <v>14.563780085473326</v>
      </c>
      <c r="D475" s="163">
        <v>753.89671673835664</v>
      </c>
      <c r="E475" s="164">
        <v>0.32216666666666666</v>
      </c>
      <c r="F475" s="164">
        <v>0.32216666666666666</v>
      </c>
      <c r="G475" s="163">
        <v>12</v>
      </c>
      <c r="H475" s="163">
        <v>15.333333333333332</v>
      </c>
      <c r="I475" s="163">
        <v>3.3333333333333321</v>
      </c>
      <c r="J475" s="163">
        <v>9</v>
      </c>
      <c r="K475" s="163">
        <v>9.7820242914979758</v>
      </c>
      <c r="L475" s="163">
        <v>0.78202429149797581</v>
      </c>
      <c r="M475" s="163">
        <v>11</v>
      </c>
      <c r="N475" s="163">
        <v>14.008996851102113</v>
      </c>
      <c r="O475" s="163">
        <v>3.008996851102113</v>
      </c>
      <c r="P475" s="163"/>
      <c r="Q475" s="163">
        <v>10</v>
      </c>
      <c r="R475" s="163">
        <v>0</v>
      </c>
      <c r="S475" s="163">
        <v>0</v>
      </c>
      <c r="T475" s="163">
        <v>0</v>
      </c>
      <c r="U475" s="163">
        <v>0</v>
      </c>
      <c r="V475" s="163">
        <v>0</v>
      </c>
      <c r="W475" s="163">
        <v>0</v>
      </c>
      <c r="X475" s="163">
        <v>0</v>
      </c>
      <c r="Y475" s="163">
        <v>10</v>
      </c>
      <c r="Z475" s="163">
        <v>10</v>
      </c>
      <c r="AA475" s="163">
        <v>0</v>
      </c>
      <c r="AB475" s="163">
        <v>0</v>
      </c>
      <c r="AC475" s="163">
        <v>8</v>
      </c>
      <c r="AD475" s="163">
        <v>2</v>
      </c>
      <c r="AE475" s="165">
        <v>0.74828315438967552</v>
      </c>
      <c r="AF475" s="166">
        <v>0.62356929532472949</v>
      </c>
    </row>
    <row r="476" spans="1:32">
      <c r="A476" s="161">
        <v>10</v>
      </c>
      <c r="B476" s="162">
        <v>0.875</v>
      </c>
      <c r="C476" s="163">
        <v>12.86166930250608</v>
      </c>
      <c r="D476" s="163">
        <v>749.83874130273193</v>
      </c>
      <c r="E476" s="164">
        <v>0.40820000000000006</v>
      </c>
      <c r="F476" s="164">
        <v>0.40820000000000006</v>
      </c>
      <c r="G476" s="163">
        <v>12</v>
      </c>
      <c r="H476" s="163">
        <v>13.333333333333332</v>
      </c>
      <c r="I476" s="163">
        <v>1.3333333333333321</v>
      </c>
      <c r="J476" s="163">
        <v>9</v>
      </c>
      <c r="K476" s="163">
        <v>9.7820242914979758</v>
      </c>
      <c r="L476" s="163">
        <v>0.78202429149797581</v>
      </c>
      <c r="M476" s="163">
        <v>11</v>
      </c>
      <c r="N476" s="163">
        <v>12.181736392262707</v>
      </c>
      <c r="O476" s="163">
        <v>1.1817363922627067</v>
      </c>
      <c r="P476" s="163"/>
      <c r="Q476" s="163">
        <v>8</v>
      </c>
      <c r="R476" s="163">
        <v>0</v>
      </c>
      <c r="S476" s="163">
        <v>0</v>
      </c>
      <c r="T476" s="163">
        <v>0</v>
      </c>
      <c r="U476" s="163">
        <v>0</v>
      </c>
      <c r="V476" s="163">
        <v>0</v>
      </c>
      <c r="W476" s="163">
        <v>0</v>
      </c>
      <c r="X476" s="163">
        <v>0</v>
      </c>
      <c r="Y476" s="163">
        <v>8</v>
      </c>
      <c r="Z476" s="163">
        <v>8</v>
      </c>
      <c r="AA476" s="163">
        <v>0</v>
      </c>
      <c r="AB476" s="163">
        <v>0</v>
      </c>
      <c r="AC476" s="163">
        <v>6</v>
      </c>
      <c r="AD476" s="163">
        <v>2</v>
      </c>
      <c r="AE476" s="165">
        <v>0.82159016319568268</v>
      </c>
      <c r="AF476" s="166">
        <v>0.54772677546378834</v>
      </c>
    </row>
    <row r="477" spans="1:32">
      <c r="A477" s="161">
        <v>10</v>
      </c>
      <c r="B477" s="162">
        <v>0.89583333333333337</v>
      </c>
      <c r="C477" s="163">
        <v>10.653963508063239</v>
      </c>
      <c r="D477" s="163">
        <v>716.5765382606105</v>
      </c>
      <c r="E477" s="164">
        <v>0.7107</v>
      </c>
      <c r="F477" s="164">
        <v>0.7107</v>
      </c>
      <c r="G477" s="163">
        <v>9</v>
      </c>
      <c r="H477" s="163">
        <v>13.333333333333332</v>
      </c>
      <c r="I477" s="163">
        <v>4.3333333333333321</v>
      </c>
      <c r="J477" s="163">
        <v>7</v>
      </c>
      <c r="K477" s="163">
        <v>7.3365182186234819</v>
      </c>
      <c r="L477" s="163">
        <v>0.33651821862348186</v>
      </c>
      <c r="M477" s="163">
        <v>8</v>
      </c>
      <c r="N477" s="163">
        <v>12.181736392262707</v>
      </c>
      <c r="O477" s="163">
        <v>4.1817363922627067</v>
      </c>
      <c r="P477" s="163"/>
      <c r="Q477" s="163">
        <v>8</v>
      </c>
      <c r="R477" s="163">
        <v>0</v>
      </c>
      <c r="S477" s="163">
        <v>0</v>
      </c>
      <c r="T477" s="163">
        <v>0</v>
      </c>
      <c r="U477" s="163">
        <v>0</v>
      </c>
      <c r="V477" s="163">
        <v>0</v>
      </c>
      <c r="W477" s="163">
        <v>0</v>
      </c>
      <c r="X477" s="163">
        <v>0</v>
      </c>
      <c r="Y477" s="163">
        <v>8</v>
      </c>
      <c r="Z477" s="163">
        <v>8</v>
      </c>
      <c r="AA477" s="163">
        <v>0</v>
      </c>
      <c r="AB477" s="163">
        <v>0</v>
      </c>
      <c r="AC477" s="163">
        <v>6</v>
      </c>
      <c r="AD477" s="163">
        <v>2</v>
      </c>
      <c r="AE477" s="165">
        <v>0.65037495153212055</v>
      </c>
      <c r="AF477" s="166">
        <v>0.5781110680285515</v>
      </c>
    </row>
    <row r="478" spans="1:32">
      <c r="A478" s="161">
        <v>10</v>
      </c>
      <c r="B478" s="162">
        <v>0.91666666666666663</v>
      </c>
      <c r="C478" s="163">
        <v>5.2053414019036071</v>
      </c>
      <c r="D478" s="163">
        <v>676.49444125891762</v>
      </c>
      <c r="E478" s="164">
        <v>0.9083</v>
      </c>
      <c r="F478" s="164">
        <v>0.9083</v>
      </c>
      <c r="G478" s="163">
        <v>5</v>
      </c>
      <c r="H478" s="163">
        <v>12</v>
      </c>
      <c r="I478" s="163">
        <v>7</v>
      </c>
      <c r="J478" s="163">
        <v>4</v>
      </c>
      <c r="K478" s="163">
        <v>4.0758434547908236</v>
      </c>
      <c r="L478" s="163">
        <v>7.584345479082355E-2</v>
      </c>
      <c r="M478" s="163">
        <v>5</v>
      </c>
      <c r="N478" s="163">
        <v>10.963562753036436</v>
      </c>
      <c r="O478" s="163">
        <v>5.9635627530364363</v>
      </c>
      <c r="P478" s="163"/>
      <c r="Q478" s="163">
        <v>8</v>
      </c>
      <c r="R478" s="163">
        <v>0</v>
      </c>
      <c r="S478" s="163">
        <v>0</v>
      </c>
      <c r="T478" s="163">
        <v>0</v>
      </c>
      <c r="U478" s="163">
        <v>0</v>
      </c>
      <c r="V478" s="163">
        <v>0</v>
      </c>
      <c r="W478" s="163">
        <v>0</v>
      </c>
      <c r="X478" s="163">
        <v>0</v>
      </c>
      <c r="Y478" s="163">
        <v>8</v>
      </c>
      <c r="Z478" s="163">
        <v>8</v>
      </c>
      <c r="AA478" s="163">
        <v>0</v>
      </c>
      <c r="AB478" s="163">
        <v>0</v>
      </c>
      <c r="AC478" s="163">
        <v>6</v>
      </c>
      <c r="AD478" s="163">
        <v>2</v>
      </c>
      <c r="AE478" s="165">
        <v>0.2999877137140976</v>
      </c>
      <c r="AF478" s="166">
        <v>0.47998034194255612</v>
      </c>
    </row>
    <row r="479" spans="1:32">
      <c r="A479" s="161">
        <v>10</v>
      </c>
      <c r="B479" s="162">
        <v>0.9375</v>
      </c>
      <c r="C479" s="163">
        <v>4.1572048626928506</v>
      </c>
      <c r="D479" s="163">
        <v>673.56947232191169</v>
      </c>
      <c r="E479" s="164">
        <v>0.87796666666666656</v>
      </c>
      <c r="F479" s="164">
        <v>0.87796666666666656</v>
      </c>
      <c r="G479" s="163">
        <v>5</v>
      </c>
      <c r="H479" s="163">
        <v>9.3333333333333339</v>
      </c>
      <c r="I479" s="163">
        <v>4.3333333333333339</v>
      </c>
      <c r="J479" s="163">
        <v>4</v>
      </c>
      <c r="K479" s="163">
        <v>4.0758434547908236</v>
      </c>
      <c r="L479" s="163">
        <v>7.584345479082355E-2</v>
      </c>
      <c r="M479" s="163">
        <v>5</v>
      </c>
      <c r="N479" s="163">
        <v>8.5272154745838957</v>
      </c>
      <c r="O479" s="163">
        <v>3.5272154745838957</v>
      </c>
      <c r="P479" s="163"/>
      <c r="Q479" s="163">
        <v>6</v>
      </c>
      <c r="R479" s="163">
        <v>0</v>
      </c>
      <c r="S479" s="163">
        <v>0</v>
      </c>
      <c r="T479" s="163">
        <v>0</v>
      </c>
      <c r="U479" s="163">
        <v>0</v>
      </c>
      <c r="V479" s="163">
        <v>0</v>
      </c>
      <c r="W479" s="163">
        <v>0</v>
      </c>
      <c r="X479" s="163">
        <v>0</v>
      </c>
      <c r="Y479" s="163">
        <v>6</v>
      </c>
      <c r="Z479" s="163">
        <v>6</v>
      </c>
      <c r="AA479" s="163">
        <v>0</v>
      </c>
      <c r="AB479" s="163">
        <v>0</v>
      </c>
      <c r="AC479" s="163">
        <v>4</v>
      </c>
      <c r="AD479" s="163">
        <v>2</v>
      </c>
      <c r="AE479" s="165">
        <v>0.31806257889811967</v>
      </c>
      <c r="AF479" s="166">
        <v>0.38167509467774363</v>
      </c>
    </row>
    <row r="480" spans="1:32">
      <c r="A480" s="161">
        <v>10</v>
      </c>
      <c r="B480" s="162">
        <v>0.95833333333333337</v>
      </c>
      <c r="C480" s="163">
        <v>3.0534465235897748</v>
      </c>
      <c r="D480" s="163">
        <v>640.13566718559923</v>
      </c>
      <c r="E480" s="164">
        <v>0.9002</v>
      </c>
      <c r="F480" s="164">
        <v>0.9002</v>
      </c>
      <c r="G480" s="163">
        <v>4</v>
      </c>
      <c r="H480" s="163">
        <v>6.6666666666666661</v>
      </c>
      <c r="I480" s="163">
        <v>2.6666666666666661</v>
      </c>
      <c r="J480" s="163">
        <v>3</v>
      </c>
      <c r="K480" s="163">
        <v>3.2606747638326588</v>
      </c>
      <c r="L480" s="163">
        <v>0.26067476383265875</v>
      </c>
      <c r="M480" s="163">
        <v>4</v>
      </c>
      <c r="N480" s="163">
        <v>6.0908681961313533</v>
      </c>
      <c r="O480" s="163">
        <v>2.0908681961313533</v>
      </c>
      <c r="P480" s="163"/>
      <c r="Q480" s="163">
        <v>4</v>
      </c>
      <c r="R480" s="163">
        <v>0</v>
      </c>
      <c r="S480" s="163">
        <v>0</v>
      </c>
      <c r="T480" s="163">
        <v>0</v>
      </c>
      <c r="U480" s="163">
        <v>0</v>
      </c>
      <c r="V480" s="163">
        <v>0</v>
      </c>
      <c r="W480" s="163">
        <v>0</v>
      </c>
      <c r="X480" s="163">
        <v>0</v>
      </c>
      <c r="Y480" s="163">
        <v>4</v>
      </c>
      <c r="Z480" s="163">
        <v>4</v>
      </c>
      <c r="AA480" s="163">
        <v>0</v>
      </c>
      <c r="AB480" s="163">
        <v>0</v>
      </c>
      <c r="AC480" s="163">
        <v>4</v>
      </c>
      <c r="AD480" s="163">
        <v>0</v>
      </c>
      <c r="AE480" s="165">
        <v>0.33302923289823605</v>
      </c>
      <c r="AF480" s="166">
        <v>0.33302923289823605</v>
      </c>
    </row>
    <row r="481" spans="1:32">
      <c r="A481" s="161">
        <v>10</v>
      </c>
      <c r="B481" s="162">
        <v>0.97916666666666663</v>
      </c>
      <c r="C481" s="163">
        <v>2.2742907966202064</v>
      </c>
      <c r="D481" s="163">
        <v>640.02023803366524</v>
      </c>
      <c r="E481" s="164">
        <v>0.95179999999999998</v>
      </c>
      <c r="F481" s="164">
        <v>0.95179999999999998</v>
      </c>
      <c r="G481" s="163">
        <v>4</v>
      </c>
      <c r="H481" s="163">
        <v>6.6666666666666661</v>
      </c>
      <c r="I481" s="163">
        <v>2.6666666666666661</v>
      </c>
      <c r="J481" s="163">
        <v>3</v>
      </c>
      <c r="K481" s="163">
        <v>3.2606747638326588</v>
      </c>
      <c r="L481" s="163">
        <v>0.26067476383265875</v>
      </c>
      <c r="M481" s="163">
        <v>4</v>
      </c>
      <c r="N481" s="163">
        <v>6.0908681961313533</v>
      </c>
      <c r="O481" s="163">
        <v>2.0908681961313533</v>
      </c>
      <c r="P481" s="163"/>
      <c r="Q481" s="163">
        <v>4</v>
      </c>
      <c r="R481" s="163">
        <v>0</v>
      </c>
      <c r="S481" s="163">
        <v>0</v>
      </c>
      <c r="T481" s="163">
        <v>0</v>
      </c>
      <c r="U481" s="163">
        <v>0</v>
      </c>
      <c r="V481" s="163">
        <v>0</v>
      </c>
      <c r="W481" s="163">
        <v>0</v>
      </c>
      <c r="X481" s="163">
        <v>0</v>
      </c>
      <c r="Y481" s="163">
        <v>4</v>
      </c>
      <c r="Z481" s="163">
        <v>4</v>
      </c>
      <c r="AA481" s="163">
        <v>0</v>
      </c>
      <c r="AB481" s="163">
        <v>0</v>
      </c>
      <c r="AC481" s="163">
        <v>4</v>
      </c>
      <c r="AD481" s="163">
        <v>0</v>
      </c>
      <c r="AE481" s="165">
        <v>0.248004587059375</v>
      </c>
      <c r="AF481" s="166">
        <v>0.248004587059375</v>
      </c>
    </row>
    <row r="482" spans="1:32">
      <c r="A482" s="161">
        <v>11</v>
      </c>
      <c r="B482" s="162">
        <v>0</v>
      </c>
      <c r="C482" s="163">
        <v>1.3417328263755957</v>
      </c>
      <c r="D482" s="163">
        <v>641.8736725710163</v>
      </c>
      <c r="E482" s="164">
        <v>0.98780000000000001</v>
      </c>
      <c r="F482" s="164">
        <v>0.98780000000000001</v>
      </c>
      <c r="G482" s="163">
        <v>3</v>
      </c>
      <c r="H482" s="163">
        <v>6.6666666666666661</v>
      </c>
      <c r="I482" s="163">
        <v>3.6666666666666661</v>
      </c>
      <c r="J482" s="163">
        <v>2</v>
      </c>
      <c r="K482" s="163">
        <v>2.445506072874494</v>
      </c>
      <c r="L482" s="163">
        <v>0.44550607287449395</v>
      </c>
      <c r="M482" s="163">
        <v>3</v>
      </c>
      <c r="N482" s="163">
        <v>6.0908681961313533</v>
      </c>
      <c r="O482" s="163">
        <v>3.0908681961313533</v>
      </c>
      <c r="P482" s="163"/>
      <c r="Q482" s="163">
        <v>4</v>
      </c>
      <c r="R482" s="163">
        <v>0</v>
      </c>
      <c r="S482" s="163">
        <v>0</v>
      </c>
      <c r="T482" s="163">
        <v>0</v>
      </c>
      <c r="U482" s="163">
        <v>0</v>
      </c>
      <c r="V482" s="163">
        <v>0</v>
      </c>
      <c r="W482" s="163">
        <v>0</v>
      </c>
      <c r="X482" s="163">
        <v>0</v>
      </c>
      <c r="Y482" s="163">
        <v>4</v>
      </c>
      <c r="Z482" s="163">
        <v>4</v>
      </c>
      <c r="AA482" s="163">
        <v>0</v>
      </c>
      <c r="AB482" s="163">
        <v>0</v>
      </c>
      <c r="AC482" s="163">
        <v>4</v>
      </c>
      <c r="AD482" s="163">
        <v>0</v>
      </c>
      <c r="AE482" s="165">
        <v>0.14673564339563189</v>
      </c>
      <c r="AF482" s="166">
        <v>0.19564752452750916</v>
      </c>
    </row>
    <row r="483" spans="1:32">
      <c r="A483" s="161">
        <v>11</v>
      </c>
      <c r="B483" s="162">
        <v>2.0833333333333332E-2</v>
      </c>
      <c r="C483" s="163">
        <v>0.93859163901683296</v>
      </c>
      <c r="D483" s="163">
        <v>641.7377916141786</v>
      </c>
      <c r="E483" s="164">
        <v>0.99539999999999995</v>
      </c>
      <c r="F483" s="164">
        <v>0.99539999999999995</v>
      </c>
      <c r="G483" s="163">
        <v>3</v>
      </c>
      <c r="H483" s="163">
        <v>6.6666666666666661</v>
      </c>
      <c r="I483" s="163">
        <v>3.6666666666666661</v>
      </c>
      <c r="J483" s="163">
        <v>2</v>
      </c>
      <c r="K483" s="163">
        <v>2.445506072874494</v>
      </c>
      <c r="L483" s="163">
        <v>0.44550607287449395</v>
      </c>
      <c r="M483" s="163">
        <v>3</v>
      </c>
      <c r="N483" s="163">
        <v>6.0908681961313533</v>
      </c>
      <c r="O483" s="163">
        <v>3.0908681961313533</v>
      </c>
      <c r="P483" s="163"/>
      <c r="Q483" s="163">
        <v>4</v>
      </c>
      <c r="R483" s="163">
        <v>0</v>
      </c>
      <c r="S483" s="163">
        <v>0</v>
      </c>
      <c r="T483" s="163">
        <v>0</v>
      </c>
      <c r="U483" s="163">
        <v>0</v>
      </c>
      <c r="V483" s="163">
        <v>0</v>
      </c>
      <c r="W483" s="163">
        <v>0</v>
      </c>
      <c r="X483" s="163">
        <v>0</v>
      </c>
      <c r="Y483" s="163">
        <v>4</v>
      </c>
      <c r="Z483" s="163">
        <v>4</v>
      </c>
      <c r="AA483" s="163">
        <v>0</v>
      </c>
      <c r="AB483" s="163">
        <v>0</v>
      </c>
      <c r="AC483" s="163">
        <v>4</v>
      </c>
      <c r="AD483" s="163">
        <v>0</v>
      </c>
      <c r="AE483" s="165">
        <v>0.10262526918443458</v>
      </c>
      <c r="AF483" s="166">
        <v>0.13683369224591277</v>
      </c>
    </row>
    <row r="484" spans="1:32">
      <c r="A484" s="161">
        <v>11</v>
      </c>
      <c r="B484" s="162">
        <v>4.1666666666666664E-2</v>
      </c>
      <c r="C484" s="163">
        <v>0.71433108367367659</v>
      </c>
      <c r="D484" s="163">
        <v>608.16988231628125</v>
      </c>
      <c r="E484" s="164">
        <v>0.99820000000000009</v>
      </c>
      <c r="F484" s="164">
        <v>0.99820000000000009</v>
      </c>
      <c r="G484" s="163">
        <v>3</v>
      </c>
      <c r="H484" s="163">
        <v>6.6666666666666661</v>
      </c>
      <c r="I484" s="163">
        <v>3.6666666666666661</v>
      </c>
      <c r="J484" s="163">
        <v>2</v>
      </c>
      <c r="K484" s="163">
        <v>2.445506072874494</v>
      </c>
      <c r="L484" s="163">
        <v>0.44550607287449395</v>
      </c>
      <c r="M484" s="163">
        <v>3</v>
      </c>
      <c r="N484" s="163">
        <v>6.0908681961313533</v>
      </c>
      <c r="O484" s="163">
        <v>3.0908681961313533</v>
      </c>
      <c r="P484" s="163"/>
      <c r="Q484" s="163">
        <v>4</v>
      </c>
      <c r="R484" s="163">
        <v>0</v>
      </c>
      <c r="S484" s="163">
        <v>0</v>
      </c>
      <c r="T484" s="163">
        <v>0</v>
      </c>
      <c r="U484" s="163">
        <v>0</v>
      </c>
      <c r="V484" s="163">
        <v>0</v>
      </c>
      <c r="W484" s="163">
        <v>0</v>
      </c>
      <c r="X484" s="163">
        <v>0</v>
      </c>
      <c r="Y484" s="163">
        <v>4</v>
      </c>
      <c r="Z484" s="163">
        <v>4</v>
      </c>
      <c r="AA484" s="163">
        <v>0</v>
      </c>
      <c r="AB484" s="163">
        <v>0</v>
      </c>
      <c r="AC484" s="163">
        <v>4</v>
      </c>
      <c r="AD484" s="163">
        <v>0</v>
      </c>
      <c r="AE484" s="165">
        <v>7.4019214248982085E-2</v>
      </c>
      <c r="AF484" s="166">
        <v>9.8692285665309437E-2</v>
      </c>
    </row>
    <row r="485" spans="1:32">
      <c r="A485" s="161">
        <v>11</v>
      </c>
      <c r="B485" s="162">
        <v>6.25E-2</v>
      </c>
      <c r="C485" s="163">
        <v>0.56594750645713821</v>
      </c>
      <c r="D485" s="163">
        <v>592.18444548347713</v>
      </c>
      <c r="E485" s="164">
        <v>0.99919999999999998</v>
      </c>
      <c r="F485" s="164">
        <v>0.99919999999999998</v>
      </c>
      <c r="G485" s="163">
        <v>2</v>
      </c>
      <c r="H485" s="163">
        <v>6.6666666666666661</v>
      </c>
      <c r="I485" s="163">
        <v>4.6666666666666661</v>
      </c>
      <c r="J485" s="163">
        <v>1</v>
      </c>
      <c r="K485" s="163">
        <v>1.6303373819163294</v>
      </c>
      <c r="L485" s="163">
        <v>0.63033738191632938</v>
      </c>
      <c r="M485" s="163">
        <v>2</v>
      </c>
      <c r="N485" s="163">
        <v>6.0908681961313533</v>
      </c>
      <c r="O485" s="163">
        <v>4.0908681961313533</v>
      </c>
      <c r="P485" s="163"/>
      <c r="Q485" s="163">
        <v>4</v>
      </c>
      <c r="R485" s="163">
        <v>0</v>
      </c>
      <c r="S485" s="163">
        <v>0</v>
      </c>
      <c r="T485" s="163">
        <v>0</v>
      </c>
      <c r="U485" s="163">
        <v>0</v>
      </c>
      <c r="V485" s="163">
        <v>0</v>
      </c>
      <c r="W485" s="163">
        <v>0</v>
      </c>
      <c r="X485" s="163">
        <v>0</v>
      </c>
      <c r="Y485" s="163">
        <v>4</v>
      </c>
      <c r="Z485" s="163">
        <v>4</v>
      </c>
      <c r="AA485" s="163">
        <v>0</v>
      </c>
      <c r="AB485" s="163">
        <v>0</v>
      </c>
      <c r="AC485" s="163">
        <v>4</v>
      </c>
      <c r="AD485" s="163">
        <v>0</v>
      </c>
      <c r="AE485" s="165">
        <v>5.7102241877032847E-2</v>
      </c>
      <c r="AF485" s="166">
        <v>0.11420448375406569</v>
      </c>
    </row>
    <row r="486" spans="1:32">
      <c r="A486" s="161">
        <v>11</v>
      </c>
      <c r="B486" s="162">
        <v>8.3333333333333329E-2</v>
      </c>
      <c r="C486" s="163">
        <v>0.45530217942045581</v>
      </c>
      <c r="D486" s="163">
        <v>609.70209806227592</v>
      </c>
      <c r="E486" s="164">
        <v>0.99949999999999994</v>
      </c>
      <c r="F486" s="164">
        <v>0.99949999999999994</v>
      </c>
      <c r="G486" s="163">
        <v>2</v>
      </c>
      <c r="H486" s="163">
        <v>6.6666666666666661</v>
      </c>
      <c r="I486" s="163">
        <v>4.6666666666666661</v>
      </c>
      <c r="J486" s="163">
        <v>1</v>
      </c>
      <c r="K486" s="163">
        <v>1.6303373819163294</v>
      </c>
      <c r="L486" s="163">
        <v>0.63033738191632938</v>
      </c>
      <c r="M486" s="163">
        <v>2</v>
      </c>
      <c r="N486" s="163">
        <v>6.0908681961313533</v>
      </c>
      <c r="O486" s="163">
        <v>4.0908681961313533</v>
      </c>
      <c r="P486" s="163"/>
      <c r="Q486" s="163">
        <v>4</v>
      </c>
      <c r="R486" s="163">
        <v>0</v>
      </c>
      <c r="S486" s="163">
        <v>0</v>
      </c>
      <c r="T486" s="163">
        <v>0</v>
      </c>
      <c r="U486" s="163">
        <v>0</v>
      </c>
      <c r="V486" s="163">
        <v>0</v>
      </c>
      <c r="W486" s="163">
        <v>0</v>
      </c>
      <c r="X486" s="163">
        <v>0</v>
      </c>
      <c r="Y486" s="163">
        <v>4</v>
      </c>
      <c r="Z486" s="163">
        <v>4</v>
      </c>
      <c r="AA486" s="163">
        <v>0</v>
      </c>
      <c r="AB486" s="163">
        <v>0</v>
      </c>
      <c r="AC486" s="163">
        <v>4</v>
      </c>
      <c r="AD486" s="163">
        <v>0</v>
      </c>
      <c r="AE486" s="165">
        <v>4.7297417823536622E-2</v>
      </c>
      <c r="AF486" s="166">
        <v>9.4594835647073244E-2</v>
      </c>
    </row>
    <row r="487" spans="1:32">
      <c r="A487" s="161">
        <v>11</v>
      </c>
      <c r="B487" s="162">
        <v>0.10416666666666667</v>
      </c>
      <c r="C487" s="163">
        <v>0.36202071160719496</v>
      </c>
      <c r="D487" s="163">
        <v>580.18075487586827</v>
      </c>
      <c r="E487" s="164">
        <v>0.99980000000000002</v>
      </c>
      <c r="F487" s="164">
        <v>0.99980000000000002</v>
      </c>
      <c r="G487" s="163">
        <v>2</v>
      </c>
      <c r="H487" s="163">
        <v>6.6666666666666661</v>
      </c>
      <c r="I487" s="163">
        <v>4.6666666666666661</v>
      </c>
      <c r="J487" s="163">
        <v>1</v>
      </c>
      <c r="K487" s="163">
        <v>1.6303373819163294</v>
      </c>
      <c r="L487" s="163">
        <v>0.63033738191632938</v>
      </c>
      <c r="M487" s="163">
        <v>2</v>
      </c>
      <c r="N487" s="163">
        <v>6.0908681961313533</v>
      </c>
      <c r="O487" s="163">
        <v>4.0908681961313533</v>
      </c>
      <c r="P487" s="163"/>
      <c r="Q487" s="163">
        <v>4</v>
      </c>
      <c r="R487" s="163">
        <v>0</v>
      </c>
      <c r="S487" s="163">
        <v>0</v>
      </c>
      <c r="T487" s="163">
        <v>0</v>
      </c>
      <c r="U487" s="163">
        <v>0</v>
      </c>
      <c r="V487" s="163">
        <v>0</v>
      </c>
      <c r="W487" s="163">
        <v>0</v>
      </c>
      <c r="X487" s="163">
        <v>0</v>
      </c>
      <c r="Y487" s="163">
        <v>4</v>
      </c>
      <c r="Z487" s="163">
        <v>4</v>
      </c>
      <c r="AA487" s="163">
        <v>0</v>
      </c>
      <c r="AB487" s="163">
        <v>0</v>
      </c>
      <c r="AC487" s="163">
        <v>4</v>
      </c>
      <c r="AD487" s="163">
        <v>0</v>
      </c>
      <c r="AE487" s="165">
        <v>3.5786295944817019E-2</v>
      </c>
      <c r="AF487" s="166">
        <v>7.1572591889634038E-2</v>
      </c>
    </row>
    <row r="488" spans="1:32">
      <c r="A488" s="161">
        <v>11</v>
      </c>
      <c r="B488" s="162">
        <v>0.125</v>
      </c>
      <c r="C488" s="163">
        <v>0.32648861158702613</v>
      </c>
      <c r="D488" s="163">
        <v>580.07898943862688</v>
      </c>
      <c r="E488" s="164">
        <v>0.99980000000000002</v>
      </c>
      <c r="F488" s="164">
        <v>0.99980000000000002</v>
      </c>
      <c r="G488" s="163">
        <v>2</v>
      </c>
      <c r="H488" s="163">
        <v>6.6666666666666661</v>
      </c>
      <c r="I488" s="163">
        <v>4.6666666666666661</v>
      </c>
      <c r="J488" s="163">
        <v>1</v>
      </c>
      <c r="K488" s="163">
        <v>1.6303373819163294</v>
      </c>
      <c r="L488" s="163">
        <v>0.63033738191632938</v>
      </c>
      <c r="M488" s="163">
        <v>2</v>
      </c>
      <c r="N488" s="163">
        <v>6.0908681961313533</v>
      </c>
      <c r="O488" s="163">
        <v>4.0908681961313533</v>
      </c>
      <c r="P488" s="163"/>
      <c r="Q488" s="163">
        <v>4</v>
      </c>
      <c r="R488" s="163">
        <v>0</v>
      </c>
      <c r="S488" s="163">
        <v>0</v>
      </c>
      <c r="T488" s="163">
        <v>0</v>
      </c>
      <c r="U488" s="163">
        <v>0</v>
      </c>
      <c r="V488" s="163">
        <v>0</v>
      </c>
      <c r="W488" s="163">
        <v>0</v>
      </c>
      <c r="X488" s="163">
        <v>0</v>
      </c>
      <c r="Y488" s="163">
        <v>4</v>
      </c>
      <c r="Z488" s="163">
        <v>4</v>
      </c>
      <c r="AA488" s="163">
        <v>0</v>
      </c>
      <c r="AB488" s="163">
        <v>0</v>
      </c>
      <c r="AC488" s="163">
        <v>4</v>
      </c>
      <c r="AD488" s="163">
        <v>0</v>
      </c>
      <c r="AE488" s="165">
        <v>3.2268233075443228E-2</v>
      </c>
      <c r="AF488" s="166">
        <v>6.4536466150886457E-2</v>
      </c>
    </row>
    <row r="489" spans="1:32">
      <c r="A489" s="161">
        <v>11</v>
      </c>
      <c r="B489" s="162">
        <v>0.14583333333333334</v>
      </c>
      <c r="C489" s="163">
        <v>0.32891702888153496</v>
      </c>
      <c r="D489" s="163">
        <v>614.25132973613597</v>
      </c>
      <c r="E489" s="164">
        <v>0.99980000000000002</v>
      </c>
      <c r="F489" s="164">
        <v>0.99980000000000002</v>
      </c>
      <c r="G489" s="163">
        <v>2</v>
      </c>
      <c r="H489" s="163">
        <v>6.6666666666666661</v>
      </c>
      <c r="I489" s="163">
        <v>4.6666666666666661</v>
      </c>
      <c r="J489" s="163">
        <v>1</v>
      </c>
      <c r="K489" s="163">
        <v>1.6303373819163294</v>
      </c>
      <c r="L489" s="163">
        <v>0.63033738191632938</v>
      </c>
      <c r="M489" s="163">
        <v>2</v>
      </c>
      <c r="N489" s="163">
        <v>6.0908681961313533</v>
      </c>
      <c r="O489" s="163">
        <v>4.0908681961313533</v>
      </c>
      <c r="P489" s="163"/>
      <c r="Q489" s="163">
        <v>4</v>
      </c>
      <c r="R489" s="163">
        <v>0</v>
      </c>
      <c r="S489" s="163">
        <v>0</v>
      </c>
      <c r="T489" s="163">
        <v>0</v>
      </c>
      <c r="U489" s="163">
        <v>0</v>
      </c>
      <c r="V489" s="163">
        <v>0</v>
      </c>
      <c r="W489" s="163">
        <v>0</v>
      </c>
      <c r="X489" s="163">
        <v>0</v>
      </c>
      <c r="Y489" s="163">
        <v>4</v>
      </c>
      <c r="Z489" s="163">
        <v>4</v>
      </c>
      <c r="AA489" s="163">
        <v>0</v>
      </c>
      <c r="AB489" s="163">
        <v>0</v>
      </c>
      <c r="AC489" s="163">
        <v>4</v>
      </c>
      <c r="AD489" s="163">
        <v>0</v>
      </c>
      <c r="AE489" s="165">
        <v>3.4423298004371571E-2</v>
      </c>
      <c r="AF489" s="166">
        <v>6.8846596008743141E-2</v>
      </c>
    </row>
    <row r="490" spans="1:32">
      <c r="A490" s="161">
        <v>11</v>
      </c>
      <c r="B490" s="162">
        <v>0.16666666666666666</v>
      </c>
      <c r="C490" s="163">
        <v>0.37026486262610092</v>
      </c>
      <c r="D490" s="163">
        <v>614.2103114911888</v>
      </c>
      <c r="E490" s="164">
        <v>0.99970000000000014</v>
      </c>
      <c r="F490" s="164">
        <v>0.99970000000000014</v>
      </c>
      <c r="G490" s="163">
        <v>2</v>
      </c>
      <c r="H490" s="163">
        <v>6.6666666666666661</v>
      </c>
      <c r="I490" s="163">
        <v>4.6666666666666661</v>
      </c>
      <c r="J490" s="163">
        <v>1</v>
      </c>
      <c r="K490" s="163">
        <v>1.6303373819163294</v>
      </c>
      <c r="L490" s="163">
        <v>0.63033738191632938</v>
      </c>
      <c r="M490" s="163">
        <v>2</v>
      </c>
      <c r="N490" s="163">
        <v>6.0908681961313533</v>
      </c>
      <c r="O490" s="163">
        <v>4.0908681961313533</v>
      </c>
      <c r="P490" s="163"/>
      <c r="Q490" s="163">
        <v>4</v>
      </c>
      <c r="R490" s="163">
        <v>0</v>
      </c>
      <c r="S490" s="163">
        <v>0</v>
      </c>
      <c r="T490" s="163">
        <v>0</v>
      </c>
      <c r="U490" s="163">
        <v>0</v>
      </c>
      <c r="V490" s="163">
        <v>0</v>
      </c>
      <c r="W490" s="163">
        <v>0</v>
      </c>
      <c r="X490" s="163">
        <v>0</v>
      </c>
      <c r="Y490" s="163">
        <v>4</v>
      </c>
      <c r="Z490" s="163">
        <v>4</v>
      </c>
      <c r="AA490" s="163">
        <v>0</v>
      </c>
      <c r="AB490" s="163">
        <v>0</v>
      </c>
      <c r="AC490" s="163">
        <v>4</v>
      </c>
      <c r="AD490" s="163">
        <v>0</v>
      </c>
      <c r="AE490" s="165">
        <v>3.8748029008931151E-2</v>
      </c>
      <c r="AF490" s="166">
        <v>7.7496058017862302E-2</v>
      </c>
    </row>
    <row r="491" spans="1:32">
      <c r="A491" s="161">
        <v>11</v>
      </c>
      <c r="B491" s="162">
        <v>0.1875</v>
      </c>
      <c r="C491" s="163">
        <v>0.54625727050302486</v>
      </c>
      <c r="D491" s="163">
        <v>652.55603460554346</v>
      </c>
      <c r="E491" s="164">
        <v>0.999</v>
      </c>
      <c r="F491" s="164">
        <v>0.999</v>
      </c>
      <c r="G491" s="163">
        <v>2</v>
      </c>
      <c r="H491" s="163">
        <v>6.6666666666666661</v>
      </c>
      <c r="I491" s="163">
        <v>4.6666666666666661</v>
      </c>
      <c r="J491" s="163">
        <v>1</v>
      </c>
      <c r="K491" s="163">
        <v>1.6303373819163294</v>
      </c>
      <c r="L491" s="163">
        <v>0.63033738191632938</v>
      </c>
      <c r="M491" s="163">
        <v>2</v>
      </c>
      <c r="N491" s="163">
        <v>6.0908681961313533</v>
      </c>
      <c r="O491" s="163">
        <v>4.0908681961313533</v>
      </c>
      <c r="P491" s="163"/>
      <c r="Q491" s="163">
        <v>4</v>
      </c>
      <c r="R491" s="163">
        <v>0</v>
      </c>
      <c r="S491" s="163">
        <v>0</v>
      </c>
      <c r="T491" s="163">
        <v>0</v>
      </c>
      <c r="U491" s="163">
        <v>0</v>
      </c>
      <c r="V491" s="163">
        <v>0</v>
      </c>
      <c r="W491" s="163">
        <v>0</v>
      </c>
      <c r="X491" s="163">
        <v>0</v>
      </c>
      <c r="Y491" s="163">
        <v>4</v>
      </c>
      <c r="Z491" s="163">
        <v>4</v>
      </c>
      <c r="AA491" s="163">
        <v>0</v>
      </c>
      <c r="AB491" s="163">
        <v>0</v>
      </c>
      <c r="AC491" s="163">
        <v>4</v>
      </c>
      <c r="AD491" s="163">
        <v>0</v>
      </c>
      <c r="AE491" s="165">
        <v>6.0734443044289071E-2</v>
      </c>
      <c r="AF491" s="166">
        <v>0.12146888608857814</v>
      </c>
    </row>
    <row r="492" spans="1:32">
      <c r="A492" s="161">
        <v>11</v>
      </c>
      <c r="B492" s="162">
        <v>0.20833333333333334</v>
      </c>
      <c r="C492" s="163">
        <v>0.95794956298147471</v>
      </c>
      <c r="D492" s="163">
        <v>686.25406305632237</v>
      </c>
      <c r="E492" s="164">
        <v>0.99419999999999986</v>
      </c>
      <c r="F492" s="164">
        <v>0.99419999999999986</v>
      </c>
      <c r="G492" s="163">
        <v>3</v>
      </c>
      <c r="H492" s="163">
        <v>6.6666666666666661</v>
      </c>
      <c r="I492" s="163">
        <v>3.6666666666666661</v>
      </c>
      <c r="J492" s="163">
        <v>2</v>
      </c>
      <c r="K492" s="163">
        <v>2.445506072874494</v>
      </c>
      <c r="L492" s="163">
        <v>0.44550607287449395</v>
      </c>
      <c r="M492" s="163">
        <v>3</v>
      </c>
      <c r="N492" s="163">
        <v>6.0908681961313533</v>
      </c>
      <c r="O492" s="163">
        <v>3.0908681961313533</v>
      </c>
      <c r="P492" s="163"/>
      <c r="Q492" s="163">
        <v>4</v>
      </c>
      <c r="R492" s="163">
        <v>0</v>
      </c>
      <c r="S492" s="163">
        <v>0</v>
      </c>
      <c r="T492" s="163">
        <v>0</v>
      </c>
      <c r="U492" s="163">
        <v>0</v>
      </c>
      <c r="V492" s="163">
        <v>0</v>
      </c>
      <c r="W492" s="163">
        <v>0</v>
      </c>
      <c r="X492" s="163">
        <v>0</v>
      </c>
      <c r="Y492" s="163">
        <v>4</v>
      </c>
      <c r="Z492" s="163">
        <v>4</v>
      </c>
      <c r="AA492" s="163">
        <v>0</v>
      </c>
      <c r="AB492" s="163">
        <v>0</v>
      </c>
      <c r="AC492" s="163">
        <v>4</v>
      </c>
      <c r="AD492" s="163">
        <v>0</v>
      </c>
      <c r="AE492" s="165">
        <v>0.11200762408833932</v>
      </c>
      <c r="AF492" s="166">
        <v>0.14934349878445241</v>
      </c>
    </row>
    <row r="493" spans="1:32">
      <c r="A493" s="161">
        <v>11</v>
      </c>
      <c r="B493" s="162">
        <v>0.22916666666666666</v>
      </c>
      <c r="C493" s="163">
        <v>1.6022287515599545</v>
      </c>
      <c r="D493" s="163">
        <v>701.43754530131514</v>
      </c>
      <c r="E493" s="164">
        <v>0.97509999999999997</v>
      </c>
      <c r="F493" s="164">
        <v>0.97509999999999997</v>
      </c>
      <c r="G493" s="163">
        <v>3</v>
      </c>
      <c r="H493" s="163">
        <v>6.6666666666666661</v>
      </c>
      <c r="I493" s="163">
        <v>3.6666666666666661</v>
      </c>
      <c r="J493" s="163">
        <v>2</v>
      </c>
      <c r="K493" s="163">
        <v>2.445506072874494</v>
      </c>
      <c r="L493" s="163">
        <v>0.44550607287449395</v>
      </c>
      <c r="M493" s="163">
        <v>3</v>
      </c>
      <c r="N493" s="163">
        <v>6.0908681961313533</v>
      </c>
      <c r="O493" s="163">
        <v>3.0908681961313533</v>
      </c>
      <c r="P493" s="163"/>
      <c r="Q493" s="163">
        <v>4</v>
      </c>
      <c r="R493" s="163">
        <v>0</v>
      </c>
      <c r="S493" s="163">
        <v>0</v>
      </c>
      <c r="T493" s="163">
        <v>0</v>
      </c>
      <c r="U493" s="163">
        <v>0</v>
      </c>
      <c r="V493" s="163">
        <v>0</v>
      </c>
      <c r="W493" s="163">
        <v>0</v>
      </c>
      <c r="X493" s="163">
        <v>0</v>
      </c>
      <c r="Y493" s="163">
        <v>4</v>
      </c>
      <c r="Z493" s="163">
        <v>4</v>
      </c>
      <c r="AA493" s="163">
        <v>0</v>
      </c>
      <c r="AB493" s="163">
        <v>0</v>
      </c>
      <c r="AC493" s="163">
        <v>4</v>
      </c>
      <c r="AD493" s="163">
        <v>0</v>
      </c>
      <c r="AE493" s="165">
        <v>0.19148446323838592</v>
      </c>
      <c r="AF493" s="166">
        <v>0.25531261765118118</v>
      </c>
    </row>
    <row r="494" spans="1:32">
      <c r="A494" s="161">
        <v>11</v>
      </c>
      <c r="B494" s="162">
        <v>0.25</v>
      </c>
      <c r="C494" s="163">
        <v>2.4616297688605577</v>
      </c>
      <c r="D494" s="163">
        <v>708.83037982924509</v>
      </c>
      <c r="E494" s="164">
        <v>0.92369999999999985</v>
      </c>
      <c r="F494" s="164">
        <v>0.92369999999999985</v>
      </c>
      <c r="G494" s="163">
        <v>4</v>
      </c>
      <c r="H494" s="163">
        <v>6.6666666666666661</v>
      </c>
      <c r="I494" s="163">
        <v>2.6666666666666661</v>
      </c>
      <c r="J494" s="163">
        <v>3</v>
      </c>
      <c r="K494" s="163">
        <v>3.2606747638326588</v>
      </c>
      <c r="L494" s="163">
        <v>0.26067476383265875</v>
      </c>
      <c r="M494" s="163">
        <v>4</v>
      </c>
      <c r="N494" s="163">
        <v>6.0908681961313533</v>
      </c>
      <c r="O494" s="163">
        <v>2.0908681961313533</v>
      </c>
      <c r="P494" s="163"/>
      <c r="Q494" s="163">
        <v>4</v>
      </c>
      <c r="R494" s="163">
        <v>0</v>
      </c>
      <c r="S494" s="163">
        <v>0</v>
      </c>
      <c r="T494" s="163">
        <v>0</v>
      </c>
      <c r="U494" s="163">
        <v>0</v>
      </c>
      <c r="V494" s="163">
        <v>0</v>
      </c>
      <c r="W494" s="163">
        <v>0</v>
      </c>
      <c r="X494" s="163">
        <v>0</v>
      </c>
      <c r="Y494" s="163">
        <v>4</v>
      </c>
      <c r="Z494" s="163">
        <v>4</v>
      </c>
      <c r="AA494" s="163">
        <v>0</v>
      </c>
      <c r="AB494" s="163">
        <v>0</v>
      </c>
      <c r="AC494" s="163">
        <v>4</v>
      </c>
      <c r="AD494" s="163">
        <v>0</v>
      </c>
      <c r="AE494" s="165">
        <v>0.2972932650175763</v>
      </c>
      <c r="AF494" s="166">
        <v>0.2972932650175763</v>
      </c>
    </row>
    <row r="495" spans="1:32">
      <c r="A495" s="161">
        <v>11</v>
      </c>
      <c r="B495" s="162">
        <v>0.27083333333333331</v>
      </c>
      <c r="C495" s="163">
        <v>3.5588999363011373</v>
      </c>
      <c r="D495" s="163">
        <v>776.87353115996461</v>
      </c>
      <c r="E495" s="164">
        <v>0.77510000000000001</v>
      </c>
      <c r="F495" s="164">
        <v>0.77510000000000001</v>
      </c>
      <c r="G495" s="163">
        <v>5</v>
      </c>
      <c r="H495" s="163">
        <v>6.6666666666666661</v>
      </c>
      <c r="I495" s="163">
        <v>1.6666666666666661</v>
      </c>
      <c r="J495" s="163">
        <v>4</v>
      </c>
      <c r="K495" s="163">
        <v>4.0758434547908236</v>
      </c>
      <c r="L495" s="163">
        <v>7.584345479082355E-2</v>
      </c>
      <c r="M495" s="163">
        <v>5</v>
      </c>
      <c r="N495" s="163">
        <v>6.0908681961313533</v>
      </c>
      <c r="O495" s="163">
        <v>1.0908681961313533</v>
      </c>
      <c r="P495" s="163"/>
      <c r="Q495" s="163">
        <v>4</v>
      </c>
      <c r="R495" s="163">
        <v>0</v>
      </c>
      <c r="S495" s="163">
        <v>0</v>
      </c>
      <c r="T495" s="163">
        <v>0</v>
      </c>
      <c r="U495" s="163">
        <v>0</v>
      </c>
      <c r="V495" s="163">
        <v>0</v>
      </c>
      <c r="W495" s="163">
        <v>0</v>
      </c>
      <c r="X495" s="163">
        <v>0</v>
      </c>
      <c r="Y495" s="163">
        <v>4</v>
      </c>
      <c r="Z495" s="163">
        <v>4</v>
      </c>
      <c r="AA495" s="163">
        <v>0</v>
      </c>
      <c r="AB495" s="163">
        <v>0</v>
      </c>
      <c r="AC495" s="163">
        <v>4</v>
      </c>
      <c r="AD495" s="163">
        <v>0</v>
      </c>
      <c r="AE495" s="165">
        <v>0.47107072424710544</v>
      </c>
      <c r="AF495" s="166">
        <v>0.37685657939768435</v>
      </c>
    </row>
    <row r="496" spans="1:32">
      <c r="A496" s="161">
        <v>11</v>
      </c>
      <c r="B496" s="162">
        <v>0.29166666666666669</v>
      </c>
      <c r="C496" s="163">
        <v>8.473058805497903</v>
      </c>
      <c r="D496" s="163">
        <v>758.41551620518953</v>
      </c>
      <c r="E496" s="164">
        <v>0.68059999999999998</v>
      </c>
      <c r="F496" s="164">
        <v>0.68059999999999998</v>
      </c>
      <c r="G496" s="163">
        <v>8</v>
      </c>
      <c r="H496" s="163">
        <v>11.666666666666668</v>
      </c>
      <c r="I496" s="163">
        <v>3.6666666666666679</v>
      </c>
      <c r="J496" s="163">
        <v>6</v>
      </c>
      <c r="K496" s="163">
        <v>6.5213495276653175</v>
      </c>
      <c r="L496" s="163">
        <v>0.5213495276653175</v>
      </c>
      <c r="M496" s="163">
        <v>7</v>
      </c>
      <c r="N496" s="163">
        <v>10.65901934322987</v>
      </c>
      <c r="O496" s="163">
        <v>3.6590193432298701</v>
      </c>
      <c r="P496" s="163"/>
      <c r="Q496" s="163">
        <v>7</v>
      </c>
      <c r="R496" s="163">
        <v>0</v>
      </c>
      <c r="S496" s="163">
        <v>0</v>
      </c>
      <c r="T496" s="163">
        <v>0</v>
      </c>
      <c r="U496" s="163">
        <v>0</v>
      </c>
      <c r="V496" s="163">
        <v>0</v>
      </c>
      <c r="W496" s="163">
        <v>0</v>
      </c>
      <c r="X496" s="163">
        <v>0</v>
      </c>
      <c r="Y496" s="163">
        <v>7</v>
      </c>
      <c r="Z496" s="163">
        <v>7</v>
      </c>
      <c r="AA496" s="163">
        <v>0</v>
      </c>
      <c r="AB496" s="163">
        <v>0</v>
      </c>
      <c r="AC496" s="163">
        <v>4</v>
      </c>
      <c r="AD496" s="163">
        <v>3</v>
      </c>
      <c r="AE496" s="165">
        <v>0.6256470397532522</v>
      </c>
      <c r="AF496" s="166">
        <v>0.54744115978409569</v>
      </c>
    </row>
    <row r="497" spans="1:32">
      <c r="A497" s="161">
        <v>11</v>
      </c>
      <c r="B497" s="162">
        <v>0.3125</v>
      </c>
      <c r="C497" s="163">
        <v>10.328549543547501</v>
      </c>
      <c r="D497" s="163">
        <v>805.57924664732116</v>
      </c>
      <c r="E497" s="164">
        <v>0.90649999999999997</v>
      </c>
      <c r="F497" s="164">
        <v>0.90649999999999997</v>
      </c>
      <c r="G497" s="163">
        <v>10</v>
      </c>
      <c r="H497" s="163">
        <v>18.333333333333332</v>
      </c>
      <c r="I497" s="163">
        <v>8.3333333333333321</v>
      </c>
      <c r="J497" s="163">
        <v>8</v>
      </c>
      <c r="K497" s="163">
        <v>8.1516869095816471</v>
      </c>
      <c r="L497" s="163">
        <v>0.1516869095816471</v>
      </c>
      <c r="M497" s="163">
        <v>9</v>
      </c>
      <c r="N497" s="163">
        <v>16.749887539361222</v>
      </c>
      <c r="O497" s="163">
        <v>7.7498875393612217</v>
      </c>
      <c r="P497" s="163"/>
      <c r="Q497" s="163">
        <v>11</v>
      </c>
      <c r="R497" s="163">
        <v>0</v>
      </c>
      <c r="S497" s="163">
        <v>0</v>
      </c>
      <c r="T497" s="163">
        <v>0</v>
      </c>
      <c r="U497" s="163">
        <v>0</v>
      </c>
      <c r="V497" s="163">
        <v>0</v>
      </c>
      <c r="W497" s="163">
        <v>0</v>
      </c>
      <c r="X497" s="163">
        <v>0</v>
      </c>
      <c r="Y497" s="163">
        <v>11</v>
      </c>
      <c r="Z497" s="163">
        <v>11</v>
      </c>
      <c r="AA497" s="163">
        <v>0</v>
      </c>
      <c r="AB497" s="163">
        <v>0</v>
      </c>
      <c r="AC497" s="163">
        <v>8</v>
      </c>
      <c r="AD497" s="163">
        <v>3</v>
      </c>
      <c r="AE497" s="165">
        <v>0.51550742540175964</v>
      </c>
      <c r="AF497" s="166">
        <v>0.56705816794193564</v>
      </c>
    </row>
    <row r="498" spans="1:32">
      <c r="A498" s="161">
        <v>11</v>
      </c>
      <c r="B498" s="162">
        <v>0.33333333333333331</v>
      </c>
      <c r="C498" s="163">
        <v>14.827194469031049</v>
      </c>
      <c r="D498" s="163">
        <v>812.40972079511835</v>
      </c>
      <c r="E498" s="164">
        <v>0.85219999999999996</v>
      </c>
      <c r="F498" s="164">
        <v>0.85219999999999996</v>
      </c>
      <c r="G498" s="163">
        <v>13</v>
      </c>
      <c r="H498" s="163">
        <v>21.666666666666664</v>
      </c>
      <c r="I498" s="163">
        <v>8.6666666666666643</v>
      </c>
      <c r="J498" s="163">
        <v>10</v>
      </c>
      <c r="K498" s="163">
        <v>10.597192982456141</v>
      </c>
      <c r="L498" s="163">
        <v>0.59719298245614105</v>
      </c>
      <c r="M498" s="163">
        <v>12</v>
      </c>
      <c r="N498" s="163">
        <v>19.795321637426898</v>
      </c>
      <c r="O498" s="163">
        <v>7.7953216374268983</v>
      </c>
      <c r="P498" s="163"/>
      <c r="Q498" s="163">
        <v>13</v>
      </c>
      <c r="R498" s="163">
        <v>0</v>
      </c>
      <c r="S498" s="163">
        <v>0</v>
      </c>
      <c r="T498" s="163">
        <v>0</v>
      </c>
      <c r="U498" s="163">
        <v>0</v>
      </c>
      <c r="V498" s="163">
        <v>0</v>
      </c>
      <c r="W498" s="163">
        <v>0</v>
      </c>
      <c r="X498" s="163">
        <v>0</v>
      </c>
      <c r="Y498" s="163">
        <v>13</v>
      </c>
      <c r="Z498" s="163">
        <v>13</v>
      </c>
      <c r="AA498" s="163">
        <v>0</v>
      </c>
      <c r="AB498" s="163">
        <v>0</v>
      </c>
      <c r="AC498" s="163">
        <v>10</v>
      </c>
      <c r="AD498" s="163">
        <v>3</v>
      </c>
      <c r="AE498" s="165">
        <v>0.63149620736057299</v>
      </c>
      <c r="AF498" s="166">
        <v>0.63149620736057299</v>
      </c>
    </row>
    <row r="499" spans="1:32">
      <c r="A499" s="161">
        <v>11</v>
      </c>
      <c r="B499" s="162">
        <v>0.35416666666666669</v>
      </c>
      <c r="C499" s="163">
        <v>17.660873102955101</v>
      </c>
      <c r="D499" s="163">
        <v>865.38634309030112</v>
      </c>
      <c r="E499" s="164">
        <v>0.82740000000000002</v>
      </c>
      <c r="F499" s="164">
        <v>0.82740000000000002</v>
      </c>
      <c r="G499" s="163">
        <v>15</v>
      </c>
      <c r="H499" s="163">
        <v>25</v>
      </c>
      <c r="I499" s="163">
        <v>10</v>
      </c>
      <c r="J499" s="163">
        <v>12</v>
      </c>
      <c r="K499" s="163">
        <v>12.22753036437247</v>
      </c>
      <c r="L499" s="163">
        <v>0.22753036437246976</v>
      </c>
      <c r="M499" s="163">
        <v>14</v>
      </c>
      <c r="N499" s="163">
        <v>22.840755735492575</v>
      </c>
      <c r="O499" s="163">
        <v>8.840755735492575</v>
      </c>
      <c r="P499" s="163"/>
      <c r="Q499" s="163">
        <v>15</v>
      </c>
      <c r="R499" s="163">
        <v>0</v>
      </c>
      <c r="S499" s="163">
        <v>0</v>
      </c>
      <c r="T499" s="163">
        <v>0</v>
      </c>
      <c r="U499" s="163">
        <v>0</v>
      </c>
      <c r="V499" s="163">
        <v>0</v>
      </c>
      <c r="W499" s="163">
        <v>0</v>
      </c>
      <c r="X499" s="163">
        <v>0</v>
      </c>
      <c r="Y499" s="163">
        <v>15</v>
      </c>
      <c r="Z499" s="163">
        <v>15</v>
      </c>
      <c r="AA499" s="163">
        <v>0</v>
      </c>
      <c r="AB499" s="163">
        <v>0</v>
      </c>
      <c r="AC499" s="163">
        <v>10</v>
      </c>
      <c r="AD499" s="163">
        <v>5</v>
      </c>
      <c r="AE499" s="165">
        <v>0.6944019826530986</v>
      </c>
      <c r="AF499" s="166">
        <v>0.6944019826530986</v>
      </c>
    </row>
    <row r="500" spans="1:32">
      <c r="A500" s="161">
        <v>11</v>
      </c>
      <c r="B500" s="162">
        <v>0.375</v>
      </c>
      <c r="C500" s="163">
        <v>20.420843667961613</v>
      </c>
      <c r="D500" s="163">
        <v>857.90592428005539</v>
      </c>
      <c r="E500" s="164">
        <v>0.80369999999999997</v>
      </c>
      <c r="F500" s="164">
        <v>0.80369999999999997</v>
      </c>
      <c r="G500" s="163">
        <v>18</v>
      </c>
      <c r="H500" s="163">
        <v>28.333333333333336</v>
      </c>
      <c r="I500" s="163">
        <v>10.333333333333336</v>
      </c>
      <c r="J500" s="163">
        <v>14</v>
      </c>
      <c r="K500" s="163">
        <v>14.673036437246964</v>
      </c>
      <c r="L500" s="163">
        <v>0.67303643724696371</v>
      </c>
      <c r="M500" s="163">
        <v>16</v>
      </c>
      <c r="N500" s="163">
        <v>25.886189833558255</v>
      </c>
      <c r="O500" s="163">
        <v>9.8861898335582552</v>
      </c>
      <c r="P500" s="163"/>
      <c r="Q500" s="163">
        <v>17</v>
      </c>
      <c r="R500" s="163">
        <v>0</v>
      </c>
      <c r="S500" s="163">
        <v>0</v>
      </c>
      <c r="T500" s="163">
        <v>0</v>
      </c>
      <c r="U500" s="163">
        <v>0</v>
      </c>
      <c r="V500" s="163">
        <v>0</v>
      </c>
      <c r="W500" s="163">
        <v>0</v>
      </c>
      <c r="X500" s="163">
        <v>0</v>
      </c>
      <c r="Y500" s="163">
        <v>17</v>
      </c>
      <c r="Z500" s="163">
        <v>17</v>
      </c>
      <c r="AA500" s="163">
        <v>0</v>
      </c>
      <c r="AB500" s="163">
        <v>0</v>
      </c>
      <c r="AC500" s="163">
        <v>12</v>
      </c>
      <c r="AD500" s="163">
        <v>5</v>
      </c>
      <c r="AE500" s="165">
        <v>0.70233519175146464</v>
      </c>
      <c r="AF500" s="166">
        <v>0.66331656998749433</v>
      </c>
    </row>
    <row r="501" spans="1:32">
      <c r="A501" s="161">
        <v>11</v>
      </c>
      <c r="B501" s="162">
        <v>0.39583333333333331</v>
      </c>
      <c r="C501" s="163">
        <v>21.448243990374941</v>
      </c>
      <c r="D501" s="163">
        <v>901.84736106989351</v>
      </c>
      <c r="E501" s="164">
        <v>0.86170000000000002</v>
      </c>
      <c r="F501" s="164">
        <v>0.86170000000000002</v>
      </c>
      <c r="G501" s="163">
        <v>19</v>
      </c>
      <c r="H501" s="163">
        <v>31.666666666666664</v>
      </c>
      <c r="I501" s="163">
        <v>12.666666666666664</v>
      </c>
      <c r="J501" s="163">
        <v>15</v>
      </c>
      <c r="K501" s="163">
        <v>15.488205128205129</v>
      </c>
      <c r="L501" s="163">
        <v>0.48820512820512896</v>
      </c>
      <c r="M501" s="163">
        <v>17</v>
      </c>
      <c r="N501" s="163">
        <v>28.931623931623928</v>
      </c>
      <c r="O501" s="163">
        <v>11.931623931623928</v>
      </c>
      <c r="P501" s="163"/>
      <c r="Q501" s="163">
        <v>19</v>
      </c>
      <c r="R501" s="163">
        <v>0</v>
      </c>
      <c r="S501" s="163">
        <v>0</v>
      </c>
      <c r="T501" s="163">
        <v>0</v>
      </c>
      <c r="U501" s="163">
        <v>0</v>
      </c>
      <c r="V501" s="163">
        <v>0</v>
      </c>
      <c r="W501" s="163">
        <v>0</v>
      </c>
      <c r="X501" s="163">
        <v>0</v>
      </c>
      <c r="Y501" s="163">
        <v>19</v>
      </c>
      <c r="Z501" s="163">
        <v>19</v>
      </c>
      <c r="AA501" s="163">
        <v>0</v>
      </c>
      <c r="AB501" s="163">
        <v>0</v>
      </c>
      <c r="AC501" s="163">
        <v>14</v>
      </c>
      <c r="AD501" s="163">
        <v>5</v>
      </c>
      <c r="AE501" s="165">
        <v>0.69382697931135051</v>
      </c>
      <c r="AF501" s="166">
        <v>0.69382697931135051</v>
      </c>
    </row>
    <row r="502" spans="1:32">
      <c r="A502" s="161">
        <v>11</v>
      </c>
      <c r="B502" s="162">
        <v>0.41666666666666669</v>
      </c>
      <c r="C502" s="163">
        <v>23.589145159241127</v>
      </c>
      <c r="D502" s="163">
        <v>923.48964594512609</v>
      </c>
      <c r="E502" s="164">
        <v>0.71369999999999989</v>
      </c>
      <c r="F502" s="164">
        <v>0.71369999999999989</v>
      </c>
      <c r="G502" s="163">
        <v>20</v>
      </c>
      <c r="H502" s="163">
        <v>31.666666666666664</v>
      </c>
      <c r="I502" s="163">
        <v>11.666666666666664</v>
      </c>
      <c r="J502" s="163">
        <v>16</v>
      </c>
      <c r="K502" s="163">
        <v>16.303373819163294</v>
      </c>
      <c r="L502" s="163">
        <v>0.3033738191632942</v>
      </c>
      <c r="M502" s="163">
        <v>18</v>
      </c>
      <c r="N502" s="163">
        <v>28.931623931623928</v>
      </c>
      <c r="O502" s="163">
        <v>10.931623931623928</v>
      </c>
      <c r="P502" s="163"/>
      <c r="Q502" s="163">
        <v>19</v>
      </c>
      <c r="R502" s="163">
        <v>0</v>
      </c>
      <c r="S502" s="163">
        <v>0</v>
      </c>
      <c r="T502" s="163">
        <v>0</v>
      </c>
      <c r="U502" s="163">
        <v>0</v>
      </c>
      <c r="V502" s="163">
        <v>0</v>
      </c>
      <c r="W502" s="163">
        <v>0</v>
      </c>
      <c r="X502" s="163">
        <v>0</v>
      </c>
      <c r="Y502" s="163">
        <v>19</v>
      </c>
      <c r="Z502" s="163">
        <v>19</v>
      </c>
      <c r="AA502" s="163">
        <v>0</v>
      </c>
      <c r="AB502" s="163">
        <v>0</v>
      </c>
      <c r="AC502" s="163">
        <v>14</v>
      </c>
      <c r="AD502" s="163">
        <v>5</v>
      </c>
      <c r="AE502" s="165">
        <v>0.78139501535859934</v>
      </c>
      <c r="AF502" s="166">
        <v>0.7423252645906695</v>
      </c>
    </row>
    <row r="503" spans="1:32">
      <c r="A503" s="161">
        <v>11</v>
      </c>
      <c r="B503" s="162">
        <v>0.4375</v>
      </c>
      <c r="C503" s="163">
        <v>23.479569500839784</v>
      </c>
      <c r="D503" s="163">
        <v>878.19119314854368</v>
      </c>
      <c r="E503" s="164">
        <v>0.79400000000000004</v>
      </c>
      <c r="F503" s="164">
        <v>0.79400000000000004</v>
      </c>
      <c r="G503" s="163">
        <v>20</v>
      </c>
      <c r="H503" s="163">
        <v>31.666666666666664</v>
      </c>
      <c r="I503" s="163">
        <v>11.666666666666664</v>
      </c>
      <c r="J503" s="163">
        <v>16</v>
      </c>
      <c r="K503" s="163">
        <v>16.303373819163294</v>
      </c>
      <c r="L503" s="163">
        <v>0.3033738191632942</v>
      </c>
      <c r="M503" s="163">
        <v>18</v>
      </c>
      <c r="N503" s="163">
        <v>28.931623931623928</v>
      </c>
      <c r="O503" s="163">
        <v>10.931623931623928</v>
      </c>
      <c r="P503" s="163"/>
      <c r="Q503" s="163">
        <v>19</v>
      </c>
      <c r="R503" s="163">
        <v>0</v>
      </c>
      <c r="S503" s="163">
        <v>0</v>
      </c>
      <c r="T503" s="163">
        <v>0</v>
      </c>
      <c r="U503" s="163">
        <v>0</v>
      </c>
      <c r="V503" s="163">
        <v>0</v>
      </c>
      <c r="W503" s="163">
        <v>0</v>
      </c>
      <c r="X503" s="163">
        <v>0</v>
      </c>
      <c r="Y503" s="163">
        <v>19</v>
      </c>
      <c r="Z503" s="163">
        <v>19</v>
      </c>
      <c r="AA503" s="163">
        <v>0</v>
      </c>
      <c r="AB503" s="163">
        <v>0</v>
      </c>
      <c r="AC503" s="163">
        <v>14</v>
      </c>
      <c r="AD503" s="163">
        <v>5</v>
      </c>
      <c r="AE503" s="165">
        <v>0.73961482961734415</v>
      </c>
      <c r="AF503" s="166">
        <v>0.7026340881364771</v>
      </c>
    </row>
    <row r="504" spans="1:32">
      <c r="A504" s="161">
        <v>11</v>
      </c>
      <c r="B504" s="162">
        <v>0.45833333333333331</v>
      </c>
      <c r="C504" s="163">
        <v>25.789532583872713</v>
      </c>
      <c r="D504" s="163">
        <v>849.39533004713314</v>
      </c>
      <c r="E504" s="164">
        <v>0.70630000000000004</v>
      </c>
      <c r="F504" s="164">
        <v>0.70630000000000004</v>
      </c>
      <c r="G504" s="163">
        <v>21</v>
      </c>
      <c r="H504" s="163">
        <v>31.666666666666664</v>
      </c>
      <c r="I504" s="163">
        <v>10.666666666666664</v>
      </c>
      <c r="J504" s="163">
        <v>17</v>
      </c>
      <c r="K504" s="163">
        <v>17.118542510121458</v>
      </c>
      <c r="L504" s="163">
        <v>0.11854251012145767</v>
      </c>
      <c r="M504" s="163">
        <v>19</v>
      </c>
      <c r="N504" s="163">
        <v>28.931623931623928</v>
      </c>
      <c r="O504" s="163">
        <v>9.9316239316239283</v>
      </c>
      <c r="P504" s="163"/>
      <c r="Q504" s="163">
        <v>19</v>
      </c>
      <c r="R504" s="163">
        <v>0</v>
      </c>
      <c r="S504" s="163">
        <v>0</v>
      </c>
      <c r="T504" s="163">
        <v>0</v>
      </c>
      <c r="U504" s="163">
        <v>0</v>
      </c>
      <c r="V504" s="163">
        <v>0</v>
      </c>
      <c r="W504" s="163">
        <v>0</v>
      </c>
      <c r="X504" s="163">
        <v>0</v>
      </c>
      <c r="Y504" s="163">
        <v>19</v>
      </c>
      <c r="Z504" s="163">
        <v>19</v>
      </c>
      <c r="AA504" s="163">
        <v>0</v>
      </c>
      <c r="AB504" s="163">
        <v>0</v>
      </c>
      <c r="AC504" s="163">
        <v>14</v>
      </c>
      <c r="AD504" s="163">
        <v>5</v>
      </c>
      <c r="AE504" s="165">
        <v>0.78574159280543809</v>
      </c>
      <c r="AF504" s="166">
        <v>0.71090906015730115</v>
      </c>
    </row>
    <row r="505" spans="1:32">
      <c r="A505" s="161">
        <v>11</v>
      </c>
      <c r="B505" s="162">
        <v>0.47916666666666669</v>
      </c>
      <c r="C505" s="163">
        <v>23.419511795768358</v>
      </c>
      <c r="D505" s="163">
        <v>803.31323451840444</v>
      </c>
      <c r="E505" s="164">
        <v>0.88629999999999998</v>
      </c>
      <c r="F505" s="164">
        <v>0.88629999999999998</v>
      </c>
      <c r="G505" s="163">
        <v>19</v>
      </c>
      <c r="H505" s="163">
        <v>31.666666666666664</v>
      </c>
      <c r="I505" s="163">
        <v>12.666666666666664</v>
      </c>
      <c r="J505" s="163">
        <v>15</v>
      </c>
      <c r="K505" s="163">
        <v>15.488205128205129</v>
      </c>
      <c r="L505" s="163">
        <v>0.48820512820512896</v>
      </c>
      <c r="M505" s="163">
        <v>17</v>
      </c>
      <c r="N505" s="163">
        <v>28.931623931623928</v>
      </c>
      <c r="O505" s="163">
        <v>11.931623931623928</v>
      </c>
      <c r="P505" s="163"/>
      <c r="Q505" s="163">
        <v>19</v>
      </c>
      <c r="R505" s="163">
        <v>0</v>
      </c>
      <c r="S505" s="163">
        <v>0</v>
      </c>
      <c r="T505" s="163">
        <v>0</v>
      </c>
      <c r="U505" s="163">
        <v>0</v>
      </c>
      <c r="V505" s="163">
        <v>0</v>
      </c>
      <c r="W505" s="163">
        <v>0</v>
      </c>
      <c r="X505" s="163">
        <v>0</v>
      </c>
      <c r="Y505" s="163">
        <v>19</v>
      </c>
      <c r="Z505" s="163">
        <v>19</v>
      </c>
      <c r="AA505" s="163">
        <v>0</v>
      </c>
      <c r="AB505" s="163">
        <v>0</v>
      </c>
      <c r="AC505" s="163">
        <v>14</v>
      </c>
      <c r="AD505" s="163">
        <v>5</v>
      </c>
      <c r="AE505" s="165">
        <v>0.67482189101579326</v>
      </c>
      <c r="AF505" s="166">
        <v>0.67482189101579326</v>
      </c>
    </row>
    <row r="506" spans="1:32">
      <c r="A506" s="161">
        <v>11</v>
      </c>
      <c r="B506" s="162">
        <v>0.5</v>
      </c>
      <c r="C506" s="163">
        <v>24.270710868346075</v>
      </c>
      <c r="D506" s="163">
        <v>827.26319157883415</v>
      </c>
      <c r="E506" s="164">
        <v>0.82630000000000015</v>
      </c>
      <c r="F506" s="164">
        <v>0.82630000000000015</v>
      </c>
      <c r="G506" s="163">
        <v>19</v>
      </c>
      <c r="H506" s="163">
        <v>31.666666666666664</v>
      </c>
      <c r="I506" s="163">
        <v>12.666666666666664</v>
      </c>
      <c r="J506" s="163">
        <v>15</v>
      </c>
      <c r="K506" s="163">
        <v>15.488205128205129</v>
      </c>
      <c r="L506" s="163">
        <v>0.48820512820512896</v>
      </c>
      <c r="M506" s="163">
        <v>17</v>
      </c>
      <c r="N506" s="163">
        <v>28.931623931623928</v>
      </c>
      <c r="O506" s="163">
        <v>11.931623931623928</v>
      </c>
      <c r="P506" s="163"/>
      <c r="Q506" s="163">
        <v>19</v>
      </c>
      <c r="R506" s="163">
        <v>0</v>
      </c>
      <c r="S506" s="163">
        <v>0</v>
      </c>
      <c r="T506" s="163">
        <v>0</v>
      </c>
      <c r="U506" s="163">
        <v>0</v>
      </c>
      <c r="V506" s="163">
        <v>0</v>
      </c>
      <c r="W506" s="163">
        <v>0</v>
      </c>
      <c r="X506" s="163">
        <v>0</v>
      </c>
      <c r="Y506" s="163">
        <v>19</v>
      </c>
      <c r="Z506" s="163">
        <v>19</v>
      </c>
      <c r="AA506" s="163">
        <v>0</v>
      </c>
      <c r="AB506" s="163">
        <v>0</v>
      </c>
      <c r="AC506" s="163">
        <v>14</v>
      </c>
      <c r="AD506" s="163">
        <v>5</v>
      </c>
      <c r="AE506" s="165">
        <v>0.72019914396633755</v>
      </c>
      <c r="AF506" s="166">
        <v>0.72019914396633755</v>
      </c>
    </row>
    <row r="507" spans="1:32">
      <c r="A507" s="161">
        <v>11</v>
      </c>
      <c r="B507" s="162">
        <v>0.52083333333333337</v>
      </c>
      <c r="C507" s="163">
        <v>22.187179556202889</v>
      </c>
      <c r="D507" s="163">
        <v>828.74504901583271</v>
      </c>
      <c r="E507" s="164">
        <v>0.79836666666666678</v>
      </c>
      <c r="F507" s="164">
        <v>0.79836666666666678</v>
      </c>
      <c r="G507" s="163">
        <v>18</v>
      </c>
      <c r="H507" s="163">
        <v>30.333333333333336</v>
      </c>
      <c r="I507" s="163">
        <v>12.333333333333336</v>
      </c>
      <c r="J507" s="163">
        <v>14</v>
      </c>
      <c r="K507" s="163">
        <v>14.673036437246964</v>
      </c>
      <c r="L507" s="163">
        <v>0.67303643724696371</v>
      </c>
      <c r="M507" s="163">
        <v>16</v>
      </c>
      <c r="N507" s="163">
        <v>27.713450292397663</v>
      </c>
      <c r="O507" s="163">
        <v>11.713450292397663</v>
      </c>
      <c r="P507" s="163"/>
      <c r="Q507" s="163">
        <v>19</v>
      </c>
      <c r="R507" s="163">
        <v>0</v>
      </c>
      <c r="S507" s="163">
        <v>0</v>
      </c>
      <c r="T507" s="163">
        <v>0</v>
      </c>
      <c r="U507" s="163">
        <v>0</v>
      </c>
      <c r="V507" s="163">
        <v>0</v>
      </c>
      <c r="W507" s="163">
        <v>0</v>
      </c>
      <c r="X507" s="163">
        <v>0</v>
      </c>
      <c r="Y507" s="163">
        <v>19</v>
      </c>
      <c r="Z507" s="163">
        <v>19</v>
      </c>
      <c r="AA507" s="163">
        <v>0</v>
      </c>
      <c r="AB507" s="163">
        <v>0</v>
      </c>
      <c r="AC507" s="163">
        <v>14</v>
      </c>
      <c r="AD507" s="163">
        <v>5</v>
      </c>
      <c r="AE507" s="165">
        <v>0.65955261714116542</v>
      </c>
      <c r="AF507" s="166">
        <v>0.69619442920456354</v>
      </c>
    </row>
    <row r="508" spans="1:32">
      <c r="A508" s="161">
        <v>11</v>
      </c>
      <c r="B508" s="162">
        <v>0.54166666666666663</v>
      </c>
      <c r="C508" s="163">
        <v>22.421548014671963</v>
      </c>
      <c r="D508" s="163">
        <v>787.65975624016778</v>
      </c>
      <c r="E508" s="164">
        <v>0.79660000000000009</v>
      </c>
      <c r="F508" s="164">
        <v>0.79660000000000009</v>
      </c>
      <c r="G508" s="163">
        <v>18</v>
      </c>
      <c r="H508" s="163">
        <v>28.333333333333336</v>
      </c>
      <c r="I508" s="163">
        <v>10.333333333333336</v>
      </c>
      <c r="J508" s="163">
        <v>14</v>
      </c>
      <c r="K508" s="163">
        <v>14.673036437246964</v>
      </c>
      <c r="L508" s="163">
        <v>0.67303643724696371</v>
      </c>
      <c r="M508" s="163">
        <v>16</v>
      </c>
      <c r="N508" s="163">
        <v>25.886189833558255</v>
      </c>
      <c r="O508" s="163">
        <v>9.8861898335582552</v>
      </c>
      <c r="P508" s="163"/>
      <c r="Q508" s="163">
        <v>17</v>
      </c>
      <c r="R508" s="163">
        <v>0</v>
      </c>
      <c r="S508" s="163">
        <v>0</v>
      </c>
      <c r="T508" s="163">
        <v>0</v>
      </c>
      <c r="U508" s="163">
        <v>0</v>
      </c>
      <c r="V508" s="163">
        <v>0</v>
      </c>
      <c r="W508" s="163">
        <v>0</v>
      </c>
      <c r="X508" s="163">
        <v>0</v>
      </c>
      <c r="Y508" s="163">
        <v>17</v>
      </c>
      <c r="Z508" s="163">
        <v>17</v>
      </c>
      <c r="AA508" s="163">
        <v>0</v>
      </c>
      <c r="AB508" s="163">
        <v>0</v>
      </c>
      <c r="AC508" s="163">
        <v>12</v>
      </c>
      <c r="AD508" s="163">
        <v>5</v>
      </c>
      <c r="AE508" s="165">
        <v>0.70800338307189792</v>
      </c>
      <c r="AF508" s="166">
        <v>0.66866986179012577</v>
      </c>
    </row>
    <row r="509" spans="1:32">
      <c r="A509" s="161">
        <v>11</v>
      </c>
      <c r="B509" s="162">
        <v>0.5625</v>
      </c>
      <c r="C509" s="163">
        <v>20.56439353823259</v>
      </c>
      <c r="D509" s="163">
        <v>781.37613018291643</v>
      </c>
      <c r="E509" s="164">
        <v>0.88139999999999985</v>
      </c>
      <c r="F509" s="164">
        <v>0.88139999999999985</v>
      </c>
      <c r="G509" s="163">
        <v>16</v>
      </c>
      <c r="H509" s="163">
        <v>28.333333333333336</v>
      </c>
      <c r="I509" s="163">
        <v>12.333333333333336</v>
      </c>
      <c r="J509" s="163">
        <v>13</v>
      </c>
      <c r="K509" s="163">
        <v>13.042699055330635</v>
      </c>
      <c r="L509" s="163">
        <v>4.2699055330635005E-2</v>
      </c>
      <c r="M509" s="163">
        <v>15</v>
      </c>
      <c r="N509" s="163">
        <v>25.886189833558255</v>
      </c>
      <c r="O509" s="163">
        <v>10.886189833558255</v>
      </c>
      <c r="P509" s="163"/>
      <c r="Q509" s="163">
        <v>17</v>
      </c>
      <c r="R509" s="163">
        <v>0</v>
      </c>
      <c r="S509" s="163">
        <v>0</v>
      </c>
      <c r="T509" s="163">
        <v>0</v>
      </c>
      <c r="U509" s="163">
        <v>0</v>
      </c>
      <c r="V509" s="163">
        <v>0</v>
      </c>
      <c r="W509" s="163">
        <v>0</v>
      </c>
      <c r="X509" s="163">
        <v>0</v>
      </c>
      <c r="Y509" s="163">
        <v>17</v>
      </c>
      <c r="Z509" s="163">
        <v>17</v>
      </c>
      <c r="AA509" s="163">
        <v>0</v>
      </c>
      <c r="AB509" s="163">
        <v>0</v>
      </c>
      <c r="AC509" s="163">
        <v>12</v>
      </c>
      <c r="AD509" s="163">
        <v>5</v>
      </c>
      <c r="AE509" s="165">
        <v>0.64417983971459825</v>
      </c>
      <c r="AF509" s="166">
        <v>0.6844410796967606</v>
      </c>
    </row>
    <row r="510" spans="1:32">
      <c r="A510" s="161">
        <v>11</v>
      </c>
      <c r="B510" s="162">
        <v>0.58333333333333337</v>
      </c>
      <c r="C510" s="163">
        <v>22.125977002099024</v>
      </c>
      <c r="D510" s="163">
        <v>813.51572357723194</v>
      </c>
      <c r="E510" s="164">
        <v>0.77389999999999992</v>
      </c>
      <c r="F510" s="164">
        <v>0.77389999999999992</v>
      </c>
      <c r="G510" s="163">
        <v>18</v>
      </c>
      <c r="H510" s="163">
        <v>28.333333333333336</v>
      </c>
      <c r="I510" s="163">
        <v>10.333333333333336</v>
      </c>
      <c r="J510" s="163">
        <v>14</v>
      </c>
      <c r="K510" s="163">
        <v>14.673036437246964</v>
      </c>
      <c r="L510" s="163">
        <v>0.67303643724696371</v>
      </c>
      <c r="M510" s="163">
        <v>16</v>
      </c>
      <c r="N510" s="163">
        <v>25.886189833558255</v>
      </c>
      <c r="O510" s="163">
        <v>9.8861898335582552</v>
      </c>
      <c r="P510" s="163"/>
      <c r="Q510" s="163">
        <v>17</v>
      </c>
      <c r="R510" s="163">
        <v>0</v>
      </c>
      <c r="S510" s="163">
        <v>0</v>
      </c>
      <c r="T510" s="163">
        <v>0</v>
      </c>
      <c r="U510" s="163">
        <v>0</v>
      </c>
      <c r="V510" s="163">
        <v>0</v>
      </c>
      <c r="W510" s="163">
        <v>0</v>
      </c>
      <c r="X510" s="163">
        <v>0</v>
      </c>
      <c r="Y510" s="163">
        <v>17</v>
      </c>
      <c r="Z510" s="163">
        <v>17</v>
      </c>
      <c r="AA510" s="163">
        <v>0</v>
      </c>
      <c r="AB510" s="163">
        <v>0</v>
      </c>
      <c r="AC510" s="163">
        <v>12</v>
      </c>
      <c r="AD510" s="163">
        <v>5</v>
      </c>
      <c r="AE510" s="165">
        <v>0.72160492830412437</v>
      </c>
      <c r="AF510" s="166">
        <v>0.68151576562056182</v>
      </c>
    </row>
    <row r="511" spans="1:32">
      <c r="A511" s="161">
        <v>11</v>
      </c>
      <c r="B511" s="162">
        <v>0.60416666666666663</v>
      </c>
      <c r="C511" s="163">
        <v>20.267001732579111</v>
      </c>
      <c r="D511" s="163">
        <v>778.46894084427618</v>
      </c>
      <c r="E511" s="164">
        <v>0.94333333333333336</v>
      </c>
      <c r="F511" s="164">
        <v>0.94333333333333336</v>
      </c>
      <c r="G511" s="163">
        <v>16</v>
      </c>
      <c r="H511" s="163">
        <v>29.666666666666664</v>
      </c>
      <c r="I511" s="163">
        <v>13.666666666666664</v>
      </c>
      <c r="J511" s="163">
        <v>13</v>
      </c>
      <c r="K511" s="163">
        <v>13.042699055330635</v>
      </c>
      <c r="L511" s="163">
        <v>4.2699055330635005E-2</v>
      </c>
      <c r="M511" s="163">
        <v>15</v>
      </c>
      <c r="N511" s="163">
        <v>27.104363472784524</v>
      </c>
      <c r="O511" s="163">
        <v>12.104363472784524</v>
      </c>
      <c r="P511" s="163"/>
      <c r="Q511" s="163">
        <v>17</v>
      </c>
      <c r="R511" s="163">
        <v>0</v>
      </c>
      <c r="S511" s="163">
        <v>0</v>
      </c>
      <c r="T511" s="163">
        <v>0</v>
      </c>
      <c r="U511" s="163">
        <v>0</v>
      </c>
      <c r="V511" s="163">
        <v>0</v>
      </c>
      <c r="W511" s="163">
        <v>0</v>
      </c>
      <c r="X511" s="163">
        <v>0</v>
      </c>
      <c r="Y511" s="163">
        <v>17</v>
      </c>
      <c r="Z511" s="163">
        <v>17</v>
      </c>
      <c r="AA511" s="163">
        <v>0</v>
      </c>
      <c r="AB511" s="163">
        <v>0</v>
      </c>
      <c r="AC511" s="163">
        <v>12</v>
      </c>
      <c r="AD511" s="163">
        <v>5</v>
      </c>
      <c r="AE511" s="165">
        <v>0.63250196213046894</v>
      </c>
      <c r="AF511" s="166">
        <v>0.67203333476362326</v>
      </c>
    </row>
    <row r="512" spans="1:32">
      <c r="A512" s="161">
        <v>11</v>
      </c>
      <c r="B512" s="162">
        <v>0.625</v>
      </c>
      <c r="C512" s="163">
        <v>20.75379374615531</v>
      </c>
      <c r="D512" s="163">
        <v>817.61657736578491</v>
      </c>
      <c r="E512" s="164">
        <v>0.76643333333333319</v>
      </c>
      <c r="F512" s="164">
        <v>0.76643333333333319</v>
      </c>
      <c r="G512" s="163">
        <v>16</v>
      </c>
      <c r="H512" s="163">
        <v>29</v>
      </c>
      <c r="I512" s="163">
        <v>13</v>
      </c>
      <c r="J512" s="163">
        <v>13</v>
      </c>
      <c r="K512" s="163">
        <v>13.042699055330635</v>
      </c>
      <c r="L512" s="163">
        <v>4.2699055330635005E-2</v>
      </c>
      <c r="M512" s="163">
        <v>15</v>
      </c>
      <c r="N512" s="163">
        <v>26.495276653171388</v>
      </c>
      <c r="O512" s="163">
        <v>11.495276653171388</v>
      </c>
      <c r="P512" s="163"/>
      <c r="Q512" s="163">
        <v>19</v>
      </c>
      <c r="R512" s="163">
        <v>0</v>
      </c>
      <c r="S512" s="163">
        <v>0</v>
      </c>
      <c r="T512" s="163">
        <v>0</v>
      </c>
      <c r="U512" s="163">
        <v>0</v>
      </c>
      <c r="V512" s="163">
        <v>0</v>
      </c>
      <c r="W512" s="163">
        <v>0</v>
      </c>
      <c r="X512" s="163">
        <v>0</v>
      </c>
      <c r="Y512" s="163">
        <v>19</v>
      </c>
      <c r="Z512" s="163">
        <v>19</v>
      </c>
      <c r="AA512" s="163">
        <v>0</v>
      </c>
      <c r="AB512" s="163">
        <v>0</v>
      </c>
      <c r="AC512" s="163">
        <v>12</v>
      </c>
      <c r="AD512" s="163">
        <v>7</v>
      </c>
      <c r="AE512" s="165">
        <v>0.60865835466506124</v>
      </c>
      <c r="AF512" s="166">
        <v>0.72278179616476024</v>
      </c>
    </row>
    <row r="513" spans="1:32">
      <c r="A513" s="161">
        <v>11</v>
      </c>
      <c r="B513" s="162">
        <v>0.64583333333333337</v>
      </c>
      <c r="C513" s="163">
        <v>19.289705401897933</v>
      </c>
      <c r="D513" s="163">
        <v>824.97360484416936</v>
      </c>
      <c r="E513" s="164">
        <v>0.65790000000000004</v>
      </c>
      <c r="F513" s="164">
        <v>0.65790000000000004</v>
      </c>
      <c r="G513" s="163">
        <v>16</v>
      </c>
      <c r="H513" s="163">
        <v>23.333333333333336</v>
      </c>
      <c r="I513" s="163">
        <v>7.3333333333333357</v>
      </c>
      <c r="J513" s="163">
        <v>13</v>
      </c>
      <c r="K513" s="163">
        <v>13.042699055330635</v>
      </c>
      <c r="L513" s="163">
        <v>4.2699055330635005E-2</v>
      </c>
      <c r="M513" s="163">
        <v>15</v>
      </c>
      <c r="N513" s="163">
        <v>21.31803868645974</v>
      </c>
      <c r="O513" s="163">
        <v>6.3180386864597402</v>
      </c>
      <c r="P513" s="163"/>
      <c r="Q513" s="163">
        <v>14</v>
      </c>
      <c r="R513" s="163">
        <v>0</v>
      </c>
      <c r="S513" s="163">
        <v>0</v>
      </c>
      <c r="T513" s="163">
        <v>0</v>
      </c>
      <c r="U513" s="163">
        <v>0</v>
      </c>
      <c r="V513" s="163">
        <v>0</v>
      </c>
      <c r="W513" s="163">
        <v>0</v>
      </c>
      <c r="X513" s="163">
        <v>0</v>
      </c>
      <c r="Y513" s="163">
        <v>14</v>
      </c>
      <c r="Z513" s="163">
        <v>14</v>
      </c>
      <c r="AA513" s="163">
        <v>0</v>
      </c>
      <c r="AB513" s="163">
        <v>0</v>
      </c>
      <c r="AC513" s="163">
        <v>10</v>
      </c>
      <c r="AD513" s="163">
        <v>4</v>
      </c>
      <c r="AE513" s="165">
        <v>0.77467156799791881</v>
      </c>
      <c r="AF513" s="166">
        <v>0.67783762199817899</v>
      </c>
    </row>
    <row r="514" spans="1:32">
      <c r="A514" s="161">
        <v>11</v>
      </c>
      <c r="B514" s="162">
        <v>0.66666666666666663</v>
      </c>
      <c r="C514" s="163">
        <v>18.096916220295668</v>
      </c>
      <c r="D514" s="163">
        <v>833.30813584238626</v>
      </c>
      <c r="E514" s="164">
        <v>0.73529999999999995</v>
      </c>
      <c r="F514" s="164">
        <v>0.73529999999999995</v>
      </c>
      <c r="G514" s="163">
        <v>15</v>
      </c>
      <c r="H514" s="163">
        <v>23.333333333333336</v>
      </c>
      <c r="I514" s="163">
        <v>8.3333333333333357</v>
      </c>
      <c r="J514" s="163">
        <v>12</v>
      </c>
      <c r="K514" s="163">
        <v>12.22753036437247</v>
      </c>
      <c r="L514" s="163">
        <v>0.22753036437246976</v>
      </c>
      <c r="M514" s="163">
        <v>14</v>
      </c>
      <c r="N514" s="163">
        <v>21.31803868645974</v>
      </c>
      <c r="O514" s="163">
        <v>7.3180386864597402</v>
      </c>
      <c r="P514" s="163"/>
      <c r="Q514" s="163">
        <v>14</v>
      </c>
      <c r="R514" s="163">
        <v>0</v>
      </c>
      <c r="S514" s="163">
        <v>0</v>
      </c>
      <c r="T514" s="163">
        <v>0</v>
      </c>
      <c r="U514" s="163">
        <v>0</v>
      </c>
      <c r="V514" s="163">
        <v>0</v>
      </c>
      <c r="W514" s="163">
        <v>0</v>
      </c>
      <c r="X514" s="163">
        <v>0</v>
      </c>
      <c r="Y514" s="163">
        <v>14</v>
      </c>
      <c r="Z514" s="163">
        <v>14</v>
      </c>
      <c r="AA514" s="163">
        <v>0</v>
      </c>
      <c r="AB514" s="163">
        <v>0</v>
      </c>
      <c r="AC514" s="163">
        <v>10</v>
      </c>
      <c r="AD514" s="163">
        <v>4</v>
      </c>
      <c r="AE514" s="165">
        <v>0.73411173444984623</v>
      </c>
      <c r="AF514" s="166">
        <v>0.68517095215318979</v>
      </c>
    </row>
    <row r="515" spans="1:32">
      <c r="A515" s="161">
        <v>11</v>
      </c>
      <c r="B515" s="162">
        <v>0.6875</v>
      </c>
      <c r="C515" s="163">
        <v>18.259363517957308</v>
      </c>
      <c r="D515" s="163">
        <v>847.51914494703487</v>
      </c>
      <c r="E515" s="164">
        <v>0.4597666666666666</v>
      </c>
      <c r="F515" s="164">
        <v>0.4597666666666666</v>
      </c>
      <c r="G515" s="163">
        <v>15</v>
      </c>
      <c r="H515" s="163">
        <v>22</v>
      </c>
      <c r="I515" s="163">
        <v>7</v>
      </c>
      <c r="J515" s="163">
        <v>12</v>
      </c>
      <c r="K515" s="163">
        <v>12.22753036437247</v>
      </c>
      <c r="L515" s="163">
        <v>0.22753036437246976</v>
      </c>
      <c r="M515" s="163">
        <v>14</v>
      </c>
      <c r="N515" s="163">
        <v>20.099865047233468</v>
      </c>
      <c r="O515" s="163">
        <v>6.0998650472334681</v>
      </c>
      <c r="P515" s="163"/>
      <c r="Q515" s="163">
        <v>14</v>
      </c>
      <c r="R515" s="163">
        <v>0</v>
      </c>
      <c r="S515" s="163">
        <v>0</v>
      </c>
      <c r="T515" s="163">
        <v>0</v>
      </c>
      <c r="U515" s="163">
        <v>0</v>
      </c>
      <c r="V515" s="163">
        <v>0</v>
      </c>
      <c r="W515" s="163">
        <v>0</v>
      </c>
      <c r="X515" s="163">
        <v>0</v>
      </c>
      <c r="Y515" s="163">
        <v>14</v>
      </c>
      <c r="Z515" s="163">
        <v>14</v>
      </c>
      <c r="AA515" s="163">
        <v>0</v>
      </c>
      <c r="AB515" s="163">
        <v>0</v>
      </c>
      <c r="AC515" s="163">
        <v>10</v>
      </c>
      <c r="AD515" s="163">
        <v>4</v>
      </c>
      <c r="AE515" s="165">
        <v>0.75333322267683633</v>
      </c>
      <c r="AF515" s="166">
        <v>0.70311100783171387</v>
      </c>
    </row>
    <row r="516" spans="1:32">
      <c r="A516" s="161">
        <v>11</v>
      </c>
      <c r="B516" s="162">
        <v>0.70833333333333337</v>
      </c>
      <c r="C516" s="163">
        <v>18.267245338087584</v>
      </c>
      <c r="D516" s="163">
        <v>806.43981112896131</v>
      </c>
      <c r="E516" s="164">
        <v>0.44469999999999993</v>
      </c>
      <c r="F516" s="164">
        <v>0.44469999999999993</v>
      </c>
      <c r="G516" s="163">
        <v>15</v>
      </c>
      <c r="H516" s="163">
        <v>20</v>
      </c>
      <c r="I516" s="163">
        <v>5</v>
      </c>
      <c r="J516" s="163">
        <v>12</v>
      </c>
      <c r="K516" s="163">
        <v>12.22753036437247</v>
      </c>
      <c r="L516" s="163">
        <v>0.22753036437246976</v>
      </c>
      <c r="M516" s="163">
        <v>14</v>
      </c>
      <c r="N516" s="163">
        <v>18.27260458839406</v>
      </c>
      <c r="O516" s="163">
        <v>4.27260458839406</v>
      </c>
      <c r="P516" s="163"/>
      <c r="Q516" s="163">
        <v>12</v>
      </c>
      <c r="R516" s="163">
        <v>0</v>
      </c>
      <c r="S516" s="163">
        <v>0</v>
      </c>
      <c r="T516" s="163">
        <v>0</v>
      </c>
      <c r="U516" s="163">
        <v>0</v>
      </c>
      <c r="V516" s="163">
        <v>0</v>
      </c>
      <c r="W516" s="163">
        <v>0</v>
      </c>
      <c r="X516" s="163">
        <v>0</v>
      </c>
      <c r="Y516" s="163">
        <v>12</v>
      </c>
      <c r="Z516" s="163">
        <v>12</v>
      </c>
      <c r="AA516" s="163">
        <v>0</v>
      </c>
      <c r="AB516" s="163">
        <v>0</v>
      </c>
      <c r="AC516" s="163">
        <v>10</v>
      </c>
      <c r="AD516" s="163">
        <v>2</v>
      </c>
      <c r="AE516" s="165">
        <v>0.83664992946396022</v>
      </c>
      <c r="AF516" s="166">
        <v>0.6693199435711682</v>
      </c>
    </row>
    <row r="517" spans="1:32">
      <c r="A517" s="161">
        <v>11</v>
      </c>
      <c r="B517" s="162">
        <v>0.72916666666666663</v>
      </c>
      <c r="C517" s="163">
        <v>17.084956612918003</v>
      </c>
      <c r="D517" s="163">
        <v>861.51270215792556</v>
      </c>
      <c r="E517" s="164">
        <v>0.76323333333333332</v>
      </c>
      <c r="F517" s="164">
        <v>0.76323333333333332</v>
      </c>
      <c r="G517" s="163">
        <v>15</v>
      </c>
      <c r="H517" s="163">
        <v>22.666666666666664</v>
      </c>
      <c r="I517" s="163">
        <v>7.6666666666666643</v>
      </c>
      <c r="J517" s="163">
        <v>12</v>
      </c>
      <c r="K517" s="163">
        <v>12.22753036437247</v>
      </c>
      <c r="L517" s="163">
        <v>0.22753036437246976</v>
      </c>
      <c r="M517" s="163">
        <v>14</v>
      </c>
      <c r="N517" s="163">
        <v>20.708951866846601</v>
      </c>
      <c r="O517" s="163">
        <v>6.7089518668466006</v>
      </c>
      <c r="P517" s="163"/>
      <c r="Q517" s="163">
        <v>12</v>
      </c>
      <c r="R517" s="163">
        <v>0</v>
      </c>
      <c r="S517" s="163">
        <v>0</v>
      </c>
      <c r="T517" s="163">
        <v>0</v>
      </c>
      <c r="U517" s="163">
        <v>0</v>
      </c>
      <c r="V517" s="163">
        <v>0</v>
      </c>
      <c r="W517" s="163">
        <v>0</v>
      </c>
      <c r="X517" s="163">
        <v>0</v>
      </c>
      <c r="Y517" s="163">
        <v>12</v>
      </c>
      <c r="Z517" s="163">
        <v>12</v>
      </c>
      <c r="AA517" s="163">
        <v>0</v>
      </c>
      <c r="AB517" s="163">
        <v>0</v>
      </c>
      <c r="AC517" s="163">
        <v>10</v>
      </c>
      <c r="AD517" s="163">
        <v>2</v>
      </c>
      <c r="AE517" s="165">
        <v>0.83593849171319112</v>
      </c>
      <c r="AF517" s="166">
        <v>0.66875079337055288</v>
      </c>
    </row>
    <row r="518" spans="1:32">
      <c r="A518" s="161">
        <v>11</v>
      </c>
      <c r="B518" s="162">
        <v>0.75</v>
      </c>
      <c r="C518" s="163">
        <v>17.014588150251811</v>
      </c>
      <c r="D518" s="163">
        <v>806.76421006074361</v>
      </c>
      <c r="E518" s="164">
        <v>0.9517000000000001</v>
      </c>
      <c r="F518" s="164">
        <v>0.9517000000000001</v>
      </c>
      <c r="G518" s="163">
        <v>14</v>
      </c>
      <c r="H518" s="163">
        <v>26.666666666666664</v>
      </c>
      <c r="I518" s="163">
        <v>12.666666666666664</v>
      </c>
      <c r="J518" s="163">
        <v>11</v>
      </c>
      <c r="K518" s="163">
        <v>11.412361673414306</v>
      </c>
      <c r="L518" s="163">
        <v>0.4123616734143063</v>
      </c>
      <c r="M518" s="163">
        <v>13</v>
      </c>
      <c r="N518" s="163">
        <v>24.363472784525413</v>
      </c>
      <c r="O518" s="163">
        <v>11.363472784525413</v>
      </c>
      <c r="P518" s="163"/>
      <c r="Q518" s="163">
        <v>16</v>
      </c>
      <c r="R518" s="163">
        <v>0</v>
      </c>
      <c r="S518" s="163">
        <v>0</v>
      </c>
      <c r="T518" s="163">
        <v>0</v>
      </c>
      <c r="U518" s="163">
        <v>0</v>
      </c>
      <c r="V518" s="163">
        <v>0</v>
      </c>
      <c r="W518" s="163">
        <v>0</v>
      </c>
      <c r="X518" s="163">
        <v>0</v>
      </c>
      <c r="Y518" s="163">
        <v>16</v>
      </c>
      <c r="Z518" s="163">
        <v>16</v>
      </c>
      <c r="AA518" s="163">
        <v>0</v>
      </c>
      <c r="AB518" s="163">
        <v>0</v>
      </c>
      <c r="AC518" s="163">
        <v>14</v>
      </c>
      <c r="AD518" s="163">
        <v>2</v>
      </c>
      <c r="AE518" s="165">
        <v>0.5846932580746339</v>
      </c>
      <c r="AF518" s="166">
        <v>0.66822086637101019</v>
      </c>
    </row>
    <row r="519" spans="1:32">
      <c r="A519" s="161">
        <v>11</v>
      </c>
      <c r="B519" s="162">
        <v>0.77083333333333337</v>
      </c>
      <c r="C519" s="163">
        <v>16.494110390741223</v>
      </c>
      <c r="D519" s="163">
        <v>808.50077313064719</v>
      </c>
      <c r="E519" s="164">
        <v>0.96050000000000002</v>
      </c>
      <c r="F519" s="164">
        <v>0.96050000000000002</v>
      </c>
      <c r="G519" s="163">
        <v>14</v>
      </c>
      <c r="H519" s="163">
        <v>26.666666666666664</v>
      </c>
      <c r="I519" s="163">
        <v>12.666666666666664</v>
      </c>
      <c r="J519" s="163">
        <v>11</v>
      </c>
      <c r="K519" s="163">
        <v>11.412361673414306</v>
      </c>
      <c r="L519" s="163">
        <v>0.4123616734143063</v>
      </c>
      <c r="M519" s="163">
        <v>13</v>
      </c>
      <c r="N519" s="163">
        <v>24.363472784525413</v>
      </c>
      <c r="O519" s="163">
        <v>11.363472784525413</v>
      </c>
      <c r="P519" s="163"/>
      <c r="Q519" s="163">
        <v>16</v>
      </c>
      <c r="R519" s="163">
        <v>0</v>
      </c>
      <c r="S519" s="163">
        <v>0</v>
      </c>
      <c r="T519" s="163">
        <v>0</v>
      </c>
      <c r="U519" s="163">
        <v>0</v>
      </c>
      <c r="V519" s="163">
        <v>0</v>
      </c>
      <c r="W519" s="163">
        <v>0</v>
      </c>
      <c r="X519" s="163">
        <v>0</v>
      </c>
      <c r="Y519" s="163">
        <v>16</v>
      </c>
      <c r="Z519" s="163">
        <v>16</v>
      </c>
      <c r="AA519" s="163">
        <v>0</v>
      </c>
      <c r="AB519" s="163">
        <v>0</v>
      </c>
      <c r="AC519" s="163">
        <v>14</v>
      </c>
      <c r="AD519" s="163">
        <v>2</v>
      </c>
      <c r="AE519" s="165">
        <v>0.56802749468596869</v>
      </c>
      <c r="AF519" s="166">
        <v>0.64917427964110708</v>
      </c>
    </row>
    <row r="520" spans="1:32">
      <c r="A520" s="161">
        <v>11</v>
      </c>
      <c r="B520" s="162">
        <v>0.79166666666666663</v>
      </c>
      <c r="C520" s="163">
        <v>16.639210693572696</v>
      </c>
      <c r="D520" s="163">
        <v>781.121476977464</v>
      </c>
      <c r="E520" s="164">
        <v>0.87829999999999997</v>
      </c>
      <c r="F520" s="164">
        <v>0.87829999999999997</v>
      </c>
      <c r="G520" s="163">
        <v>14</v>
      </c>
      <c r="H520" s="163">
        <v>23.333333333333336</v>
      </c>
      <c r="I520" s="163">
        <v>9.3333333333333357</v>
      </c>
      <c r="J520" s="163">
        <v>11</v>
      </c>
      <c r="K520" s="163">
        <v>11.412361673414306</v>
      </c>
      <c r="L520" s="163">
        <v>0.4123616734143063</v>
      </c>
      <c r="M520" s="163">
        <v>13</v>
      </c>
      <c r="N520" s="163">
        <v>21.31803868645974</v>
      </c>
      <c r="O520" s="163">
        <v>8.3180386864597402</v>
      </c>
      <c r="P520" s="163"/>
      <c r="Q520" s="163">
        <v>14</v>
      </c>
      <c r="R520" s="163">
        <v>0</v>
      </c>
      <c r="S520" s="163">
        <v>0</v>
      </c>
      <c r="T520" s="163">
        <v>0</v>
      </c>
      <c r="U520" s="163">
        <v>0</v>
      </c>
      <c r="V520" s="163">
        <v>0</v>
      </c>
      <c r="W520" s="163">
        <v>0</v>
      </c>
      <c r="X520" s="163">
        <v>0</v>
      </c>
      <c r="Y520" s="163">
        <v>14</v>
      </c>
      <c r="Z520" s="163">
        <v>14</v>
      </c>
      <c r="AA520" s="163">
        <v>0</v>
      </c>
      <c r="AB520" s="163">
        <v>0</v>
      </c>
      <c r="AC520" s="163">
        <v>12</v>
      </c>
      <c r="AD520" s="163">
        <v>2</v>
      </c>
      <c r="AE520" s="165">
        <v>0.63270791623654132</v>
      </c>
      <c r="AF520" s="166">
        <v>0.63270791623654132</v>
      </c>
    </row>
    <row r="521" spans="1:32">
      <c r="A521" s="161">
        <v>11</v>
      </c>
      <c r="B521" s="162">
        <v>0.8125</v>
      </c>
      <c r="C521" s="163">
        <v>14.220307508539321</v>
      </c>
      <c r="D521" s="163">
        <v>778.48437946798401</v>
      </c>
      <c r="E521" s="164">
        <v>0.95199999999999996</v>
      </c>
      <c r="F521" s="164">
        <v>0.95199999999999996</v>
      </c>
      <c r="G521" s="163">
        <v>13</v>
      </c>
      <c r="H521" s="163">
        <v>23.333333333333336</v>
      </c>
      <c r="I521" s="163">
        <v>10.333333333333336</v>
      </c>
      <c r="J521" s="163">
        <v>10</v>
      </c>
      <c r="K521" s="163">
        <v>10.597192982456141</v>
      </c>
      <c r="L521" s="163">
        <v>0.59719298245614105</v>
      </c>
      <c r="M521" s="163">
        <v>12</v>
      </c>
      <c r="N521" s="163">
        <v>21.31803868645974</v>
      </c>
      <c r="O521" s="163">
        <v>9.3180386864597402</v>
      </c>
      <c r="P521" s="163"/>
      <c r="Q521" s="163">
        <v>14</v>
      </c>
      <c r="R521" s="163">
        <v>0</v>
      </c>
      <c r="S521" s="163">
        <v>0</v>
      </c>
      <c r="T521" s="163">
        <v>0</v>
      </c>
      <c r="U521" s="163">
        <v>0</v>
      </c>
      <c r="V521" s="163">
        <v>0</v>
      </c>
      <c r="W521" s="163">
        <v>0</v>
      </c>
      <c r="X521" s="163">
        <v>0</v>
      </c>
      <c r="Y521" s="163">
        <v>14</v>
      </c>
      <c r="Z521" s="163">
        <v>14</v>
      </c>
      <c r="AA521" s="163">
        <v>0</v>
      </c>
      <c r="AB521" s="163">
        <v>0</v>
      </c>
      <c r="AC521" s="163">
        <v>12</v>
      </c>
      <c r="AD521" s="163">
        <v>2</v>
      </c>
      <c r="AE521" s="165">
        <v>0.53890331980091966</v>
      </c>
      <c r="AF521" s="166">
        <v>0.58035742132406742</v>
      </c>
    </row>
    <row r="522" spans="1:32">
      <c r="A522" s="161">
        <v>11</v>
      </c>
      <c r="B522" s="162">
        <v>0.83333333333333337</v>
      </c>
      <c r="C522" s="163">
        <v>14.45526651049418</v>
      </c>
      <c r="D522" s="163">
        <v>751.45456742206068</v>
      </c>
      <c r="E522" s="164">
        <v>0.7637666666666667</v>
      </c>
      <c r="F522" s="164">
        <v>0.7637666666666667</v>
      </c>
      <c r="G522" s="163">
        <v>12</v>
      </c>
      <c r="H522" s="163">
        <v>20.666666666666668</v>
      </c>
      <c r="I522" s="163">
        <v>8.6666666666666679</v>
      </c>
      <c r="J522" s="163">
        <v>9</v>
      </c>
      <c r="K522" s="163">
        <v>9.7820242914979758</v>
      </c>
      <c r="L522" s="163">
        <v>0.78202429149797581</v>
      </c>
      <c r="M522" s="163">
        <v>11</v>
      </c>
      <c r="N522" s="163">
        <v>18.881691408007196</v>
      </c>
      <c r="O522" s="163">
        <v>7.881691408007196</v>
      </c>
      <c r="P522" s="163"/>
      <c r="Q522" s="163">
        <v>14</v>
      </c>
      <c r="R522" s="163">
        <v>0</v>
      </c>
      <c r="S522" s="163">
        <v>0</v>
      </c>
      <c r="T522" s="163">
        <v>0</v>
      </c>
      <c r="U522" s="163">
        <v>0</v>
      </c>
      <c r="V522" s="163">
        <v>0</v>
      </c>
      <c r="W522" s="163">
        <v>0</v>
      </c>
      <c r="X522" s="163">
        <v>0</v>
      </c>
      <c r="Y522" s="163">
        <v>14</v>
      </c>
      <c r="Z522" s="163">
        <v>14</v>
      </c>
      <c r="AA522" s="163">
        <v>0</v>
      </c>
      <c r="AB522" s="163">
        <v>0</v>
      </c>
      <c r="AC522" s="163">
        <v>12</v>
      </c>
      <c r="AD522" s="163">
        <v>2</v>
      </c>
      <c r="AE522" s="165">
        <v>0.52878703683405925</v>
      </c>
      <c r="AF522" s="166">
        <v>0.61691820963973576</v>
      </c>
    </row>
    <row r="523" spans="1:32">
      <c r="A523" s="161">
        <v>11</v>
      </c>
      <c r="B523" s="162">
        <v>0.85416666666666663</v>
      </c>
      <c r="C523" s="163">
        <v>13.292529306681075</v>
      </c>
      <c r="D523" s="163">
        <v>707.59462449118803</v>
      </c>
      <c r="E523" s="164">
        <v>0.57299999999999995</v>
      </c>
      <c r="F523" s="164">
        <v>0.57299999999999995</v>
      </c>
      <c r="G523" s="163">
        <v>10</v>
      </c>
      <c r="H523" s="163">
        <v>15.333333333333332</v>
      </c>
      <c r="I523" s="163">
        <v>5.3333333333333321</v>
      </c>
      <c r="J523" s="163">
        <v>8</v>
      </c>
      <c r="K523" s="163">
        <v>8.1516869095816471</v>
      </c>
      <c r="L523" s="163">
        <v>0.1516869095816471</v>
      </c>
      <c r="M523" s="163">
        <v>9</v>
      </c>
      <c r="N523" s="163">
        <v>14.008996851102113</v>
      </c>
      <c r="O523" s="163">
        <v>5.008996851102113</v>
      </c>
      <c r="P523" s="163"/>
      <c r="Q523" s="163">
        <v>10</v>
      </c>
      <c r="R523" s="163">
        <v>0</v>
      </c>
      <c r="S523" s="163">
        <v>0</v>
      </c>
      <c r="T523" s="163">
        <v>0</v>
      </c>
      <c r="U523" s="163">
        <v>0</v>
      </c>
      <c r="V523" s="163">
        <v>0</v>
      </c>
      <c r="W523" s="163">
        <v>0</v>
      </c>
      <c r="X523" s="163">
        <v>0</v>
      </c>
      <c r="Y523" s="163">
        <v>10</v>
      </c>
      <c r="Z523" s="163">
        <v>10</v>
      </c>
      <c r="AA523" s="163">
        <v>0</v>
      </c>
      <c r="AB523" s="163">
        <v>0</v>
      </c>
      <c r="AC523" s="163">
        <v>8</v>
      </c>
      <c r="AD523" s="163">
        <v>2</v>
      </c>
      <c r="AE523" s="165">
        <v>0.64102084960567718</v>
      </c>
      <c r="AF523" s="166">
        <v>0.64102084960567718</v>
      </c>
    </row>
    <row r="524" spans="1:32">
      <c r="A524" s="161">
        <v>11</v>
      </c>
      <c r="B524" s="162">
        <v>0.875</v>
      </c>
      <c r="C524" s="163">
        <v>12.007323472963456</v>
      </c>
      <c r="D524" s="163">
        <v>732.59107814211984</v>
      </c>
      <c r="E524" s="164">
        <v>0.54810000000000003</v>
      </c>
      <c r="F524" s="164">
        <v>0.54810000000000003</v>
      </c>
      <c r="G524" s="163">
        <v>10</v>
      </c>
      <c r="H524" s="163">
        <v>13.333333333333332</v>
      </c>
      <c r="I524" s="163">
        <v>3.3333333333333321</v>
      </c>
      <c r="J524" s="163">
        <v>8</v>
      </c>
      <c r="K524" s="163">
        <v>8.1516869095816471</v>
      </c>
      <c r="L524" s="163">
        <v>0.1516869095816471</v>
      </c>
      <c r="M524" s="163">
        <v>9</v>
      </c>
      <c r="N524" s="163">
        <v>12.181736392262707</v>
      </c>
      <c r="O524" s="163">
        <v>3.1817363922627067</v>
      </c>
      <c r="P524" s="163"/>
      <c r="Q524" s="163">
        <v>8</v>
      </c>
      <c r="R524" s="163">
        <v>0</v>
      </c>
      <c r="S524" s="163">
        <v>0</v>
      </c>
      <c r="T524" s="163">
        <v>0</v>
      </c>
      <c r="U524" s="163">
        <v>0</v>
      </c>
      <c r="V524" s="163">
        <v>0</v>
      </c>
      <c r="W524" s="163">
        <v>0</v>
      </c>
      <c r="X524" s="163">
        <v>0</v>
      </c>
      <c r="Y524" s="163">
        <v>8</v>
      </c>
      <c r="Z524" s="163">
        <v>8</v>
      </c>
      <c r="AA524" s="163">
        <v>0</v>
      </c>
      <c r="AB524" s="163">
        <v>0</v>
      </c>
      <c r="AC524" s="163">
        <v>6</v>
      </c>
      <c r="AD524" s="163">
        <v>2</v>
      </c>
      <c r="AE524" s="165">
        <v>0.74937267469141522</v>
      </c>
      <c r="AF524" s="166">
        <v>0.59949813975313215</v>
      </c>
    </row>
    <row r="525" spans="1:32">
      <c r="A525" s="161">
        <v>11</v>
      </c>
      <c r="B525" s="162">
        <v>0.89583333333333337</v>
      </c>
      <c r="C525" s="163">
        <v>9.5228905235500374</v>
      </c>
      <c r="D525" s="163">
        <v>678.41817031881499</v>
      </c>
      <c r="E525" s="164">
        <v>0.83730000000000004</v>
      </c>
      <c r="F525" s="164">
        <v>0.83730000000000004</v>
      </c>
      <c r="G525" s="163">
        <v>8</v>
      </c>
      <c r="H525" s="163">
        <v>13.333333333333332</v>
      </c>
      <c r="I525" s="163">
        <v>5.3333333333333321</v>
      </c>
      <c r="J525" s="163">
        <v>6</v>
      </c>
      <c r="K525" s="163">
        <v>6.5213495276653175</v>
      </c>
      <c r="L525" s="163">
        <v>0.5213495276653175</v>
      </c>
      <c r="M525" s="163">
        <v>7</v>
      </c>
      <c r="N525" s="163">
        <v>12.181736392262707</v>
      </c>
      <c r="O525" s="163">
        <v>5.1817363922627067</v>
      </c>
      <c r="P525" s="163"/>
      <c r="Q525" s="163">
        <v>8</v>
      </c>
      <c r="R525" s="163">
        <v>0</v>
      </c>
      <c r="S525" s="163">
        <v>0</v>
      </c>
      <c r="T525" s="163">
        <v>0</v>
      </c>
      <c r="U525" s="163">
        <v>0</v>
      </c>
      <c r="V525" s="163">
        <v>0</v>
      </c>
      <c r="W525" s="163">
        <v>0</v>
      </c>
      <c r="X525" s="163">
        <v>0</v>
      </c>
      <c r="Y525" s="163">
        <v>8</v>
      </c>
      <c r="Z525" s="163">
        <v>8</v>
      </c>
      <c r="AA525" s="163">
        <v>0</v>
      </c>
      <c r="AB525" s="163">
        <v>0</v>
      </c>
      <c r="AC525" s="163">
        <v>6</v>
      </c>
      <c r="AD525" s="163">
        <v>2</v>
      </c>
      <c r="AE525" s="165">
        <v>0.55037193500840864</v>
      </c>
      <c r="AF525" s="166">
        <v>0.55037193500840864</v>
      </c>
    </row>
    <row r="526" spans="1:32">
      <c r="A526" s="161">
        <v>11</v>
      </c>
      <c r="B526" s="162">
        <v>0.91666666666666663</v>
      </c>
      <c r="C526" s="163">
        <v>5.1546209284222515</v>
      </c>
      <c r="D526" s="163">
        <v>678.7418502525037</v>
      </c>
      <c r="E526" s="164">
        <v>0.90993333333333337</v>
      </c>
      <c r="F526" s="164">
        <v>0.90993333333333337</v>
      </c>
      <c r="G526" s="163">
        <v>5</v>
      </c>
      <c r="H526" s="163">
        <v>12</v>
      </c>
      <c r="I526" s="163">
        <v>7</v>
      </c>
      <c r="J526" s="163">
        <v>4</v>
      </c>
      <c r="K526" s="163">
        <v>4.0758434547908236</v>
      </c>
      <c r="L526" s="163">
        <v>7.584345479082355E-2</v>
      </c>
      <c r="M526" s="163">
        <v>5</v>
      </c>
      <c r="N526" s="163">
        <v>10.963562753036436</v>
      </c>
      <c r="O526" s="163">
        <v>5.9635627530364363</v>
      </c>
      <c r="P526" s="163"/>
      <c r="Q526" s="163">
        <v>8</v>
      </c>
      <c r="R526" s="163">
        <v>0</v>
      </c>
      <c r="S526" s="163">
        <v>0</v>
      </c>
      <c r="T526" s="163">
        <v>0</v>
      </c>
      <c r="U526" s="163">
        <v>0</v>
      </c>
      <c r="V526" s="163">
        <v>0</v>
      </c>
      <c r="W526" s="163">
        <v>0</v>
      </c>
      <c r="X526" s="163">
        <v>0</v>
      </c>
      <c r="Y526" s="163">
        <v>8</v>
      </c>
      <c r="Z526" s="163">
        <v>8</v>
      </c>
      <c r="AA526" s="163">
        <v>0</v>
      </c>
      <c r="AB526" s="163">
        <v>0</v>
      </c>
      <c r="AC526" s="163">
        <v>6</v>
      </c>
      <c r="AD526" s="163">
        <v>2</v>
      </c>
      <c r="AE526" s="165">
        <v>0.2980515451991233</v>
      </c>
      <c r="AF526" s="166">
        <v>0.47688247231859732</v>
      </c>
    </row>
    <row r="527" spans="1:32">
      <c r="A527" s="161">
        <v>11</v>
      </c>
      <c r="B527" s="162">
        <v>0.9375</v>
      </c>
      <c r="C527" s="163">
        <v>4.1144641161229831</v>
      </c>
      <c r="D527" s="163">
        <v>675.83222485800832</v>
      </c>
      <c r="E527" s="164">
        <v>0.88006666666666666</v>
      </c>
      <c r="F527" s="164">
        <v>0.88006666666666666</v>
      </c>
      <c r="G527" s="163">
        <v>5</v>
      </c>
      <c r="H527" s="163">
        <v>9.3333333333333339</v>
      </c>
      <c r="I527" s="163">
        <v>4.3333333333333339</v>
      </c>
      <c r="J527" s="163">
        <v>4</v>
      </c>
      <c r="K527" s="163">
        <v>4.0758434547908236</v>
      </c>
      <c r="L527" s="163">
        <v>7.584345479082355E-2</v>
      </c>
      <c r="M527" s="163">
        <v>5</v>
      </c>
      <c r="N527" s="163">
        <v>8.5272154745838957</v>
      </c>
      <c r="O527" s="163">
        <v>3.5272154745838957</v>
      </c>
      <c r="P527" s="163"/>
      <c r="Q527" s="163">
        <v>6</v>
      </c>
      <c r="R527" s="163">
        <v>0</v>
      </c>
      <c r="S527" s="163">
        <v>0</v>
      </c>
      <c r="T527" s="163">
        <v>0</v>
      </c>
      <c r="U527" s="163">
        <v>0</v>
      </c>
      <c r="V527" s="163">
        <v>0</v>
      </c>
      <c r="W527" s="163">
        <v>0</v>
      </c>
      <c r="X527" s="163">
        <v>0</v>
      </c>
      <c r="Y527" s="163">
        <v>6</v>
      </c>
      <c r="Z527" s="163">
        <v>6</v>
      </c>
      <c r="AA527" s="163">
        <v>0</v>
      </c>
      <c r="AB527" s="163">
        <v>0</v>
      </c>
      <c r="AC527" s="163">
        <v>4</v>
      </c>
      <c r="AD527" s="163">
        <v>2</v>
      </c>
      <c r="AE527" s="165">
        <v>0.315850034357256</v>
      </c>
      <c r="AF527" s="166">
        <v>0.37902004122870725</v>
      </c>
    </row>
    <row r="528" spans="1:32">
      <c r="A528" s="161">
        <v>11</v>
      </c>
      <c r="B528" s="162">
        <v>0.95833333333333337</v>
      </c>
      <c r="C528" s="163">
        <v>3.0206885407684139</v>
      </c>
      <c r="D528" s="163">
        <v>642.29798818824725</v>
      </c>
      <c r="E528" s="164">
        <v>0.90190000000000003</v>
      </c>
      <c r="F528" s="164">
        <v>0.90190000000000003</v>
      </c>
      <c r="G528" s="163">
        <v>4</v>
      </c>
      <c r="H528" s="163">
        <v>6.6666666666666661</v>
      </c>
      <c r="I528" s="163">
        <v>2.6666666666666661</v>
      </c>
      <c r="J528" s="163">
        <v>3</v>
      </c>
      <c r="K528" s="163">
        <v>3.2606747638326588</v>
      </c>
      <c r="L528" s="163">
        <v>0.26067476383265875</v>
      </c>
      <c r="M528" s="163">
        <v>4</v>
      </c>
      <c r="N528" s="163">
        <v>6.0908681961313533</v>
      </c>
      <c r="O528" s="163">
        <v>2.0908681961313533</v>
      </c>
      <c r="P528" s="163"/>
      <c r="Q528" s="163">
        <v>4</v>
      </c>
      <c r="R528" s="163">
        <v>0</v>
      </c>
      <c r="S528" s="163">
        <v>0</v>
      </c>
      <c r="T528" s="163">
        <v>0</v>
      </c>
      <c r="U528" s="163">
        <v>0</v>
      </c>
      <c r="V528" s="163">
        <v>0</v>
      </c>
      <c r="W528" s="163">
        <v>0</v>
      </c>
      <c r="X528" s="163">
        <v>0</v>
      </c>
      <c r="Y528" s="163">
        <v>4</v>
      </c>
      <c r="Z528" s="163">
        <v>4</v>
      </c>
      <c r="AA528" s="163">
        <v>0</v>
      </c>
      <c r="AB528" s="163">
        <v>0</v>
      </c>
      <c r="AC528" s="163">
        <v>4</v>
      </c>
      <c r="AD528" s="163">
        <v>0</v>
      </c>
      <c r="AE528" s="165">
        <v>0.33056930325507872</v>
      </c>
      <c r="AF528" s="166">
        <v>0.33056930325507872</v>
      </c>
    </row>
    <row r="529" spans="1:32">
      <c r="A529" s="161">
        <v>11</v>
      </c>
      <c r="B529" s="162">
        <v>0.97916666666666663</v>
      </c>
      <c r="C529" s="163">
        <v>2.2503714435187736</v>
      </c>
      <c r="D529" s="163">
        <v>642.17653560434519</v>
      </c>
      <c r="E529" s="164">
        <v>0.95269999999999999</v>
      </c>
      <c r="F529" s="164">
        <v>0.95269999999999999</v>
      </c>
      <c r="G529" s="163">
        <v>4</v>
      </c>
      <c r="H529" s="163">
        <v>6.6666666666666661</v>
      </c>
      <c r="I529" s="163">
        <v>2.6666666666666661</v>
      </c>
      <c r="J529" s="163">
        <v>3</v>
      </c>
      <c r="K529" s="163">
        <v>3.2606747638326588</v>
      </c>
      <c r="L529" s="163">
        <v>0.26067476383265875</v>
      </c>
      <c r="M529" s="163">
        <v>4</v>
      </c>
      <c r="N529" s="163">
        <v>6.0908681961313533</v>
      </c>
      <c r="O529" s="163">
        <v>2.0908681961313533</v>
      </c>
      <c r="P529" s="163"/>
      <c r="Q529" s="163">
        <v>4</v>
      </c>
      <c r="R529" s="163">
        <v>0</v>
      </c>
      <c r="S529" s="163">
        <v>0</v>
      </c>
      <c r="T529" s="163">
        <v>0</v>
      </c>
      <c r="U529" s="163">
        <v>0</v>
      </c>
      <c r="V529" s="163">
        <v>0</v>
      </c>
      <c r="W529" s="163">
        <v>0</v>
      </c>
      <c r="X529" s="163">
        <v>0</v>
      </c>
      <c r="Y529" s="163">
        <v>4</v>
      </c>
      <c r="Z529" s="163">
        <v>4</v>
      </c>
      <c r="AA529" s="163">
        <v>0</v>
      </c>
      <c r="AB529" s="163">
        <v>0</v>
      </c>
      <c r="AC529" s="163">
        <v>4</v>
      </c>
      <c r="AD529" s="163">
        <v>0</v>
      </c>
      <c r="AE529" s="165">
        <v>0.24622301995949036</v>
      </c>
      <c r="AF529" s="166">
        <v>0.24622301995949036</v>
      </c>
    </row>
    <row r="530" spans="1:32">
      <c r="A530" s="161">
        <v>12</v>
      </c>
      <c r="B530" s="162">
        <v>0</v>
      </c>
      <c r="C530" s="163">
        <v>1.2932451250452157</v>
      </c>
      <c r="D530" s="163">
        <v>660.00793113870407</v>
      </c>
      <c r="E530" s="164">
        <v>0.98809999999999987</v>
      </c>
      <c r="F530" s="164">
        <v>0.98809999999999987</v>
      </c>
      <c r="G530" s="163">
        <v>3</v>
      </c>
      <c r="H530" s="163">
        <v>6.6666666666666661</v>
      </c>
      <c r="I530" s="163">
        <v>3.6666666666666661</v>
      </c>
      <c r="J530" s="163">
        <v>2</v>
      </c>
      <c r="K530" s="163">
        <v>2.445506072874494</v>
      </c>
      <c r="L530" s="163">
        <v>0.44550607287449395</v>
      </c>
      <c r="M530" s="163">
        <v>3</v>
      </c>
      <c r="N530" s="163">
        <v>6.0908681961313533</v>
      </c>
      <c r="O530" s="163">
        <v>3.0908681961313533</v>
      </c>
      <c r="P530" s="163"/>
      <c r="Q530" s="163">
        <v>4</v>
      </c>
      <c r="R530" s="163">
        <v>0</v>
      </c>
      <c r="S530" s="163">
        <v>0</v>
      </c>
      <c r="T530" s="163">
        <v>0</v>
      </c>
      <c r="U530" s="163">
        <v>0</v>
      </c>
      <c r="V530" s="163">
        <v>0</v>
      </c>
      <c r="W530" s="163">
        <v>0</v>
      </c>
      <c r="X530" s="163">
        <v>0</v>
      </c>
      <c r="Y530" s="163">
        <v>4</v>
      </c>
      <c r="Z530" s="163">
        <v>4</v>
      </c>
      <c r="AA530" s="163">
        <v>0</v>
      </c>
      <c r="AB530" s="163">
        <v>0</v>
      </c>
      <c r="AC530" s="163">
        <v>4</v>
      </c>
      <c r="AD530" s="163">
        <v>0</v>
      </c>
      <c r="AE530" s="165">
        <v>0.14542866486543932</v>
      </c>
      <c r="AF530" s="166">
        <v>0.1939048864872524</v>
      </c>
    </row>
    <row r="531" spans="1:32">
      <c r="A531" s="161">
        <v>12</v>
      </c>
      <c r="B531" s="162">
        <v>2.0833333333333332E-2</v>
      </c>
      <c r="C531" s="163">
        <v>0.90354458585073749</v>
      </c>
      <c r="D531" s="163">
        <v>659.86126301966908</v>
      </c>
      <c r="E531" s="164">
        <v>0.99560000000000004</v>
      </c>
      <c r="F531" s="164">
        <v>0.99560000000000004</v>
      </c>
      <c r="G531" s="163">
        <v>3</v>
      </c>
      <c r="H531" s="163">
        <v>6.6666666666666661</v>
      </c>
      <c r="I531" s="163">
        <v>3.6666666666666661</v>
      </c>
      <c r="J531" s="163">
        <v>2</v>
      </c>
      <c r="K531" s="163">
        <v>2.445506072874494</v>
      </c>
      <c r="L531" s="163">
        <v>0.44550607287449395</v>
      </c>
      <c r="M531" s="163">
        <v>3</v>
      </c>
      <c r="N531" s="163">
        <v>6.0908681961313533</v>
      </c>
      <c r="O531" s="163">
        <v>3.0908681961313533</v>
      </c>
      <c r="P531" s="163"/>
      <c r="Q531" s="163">
        <v>4</v>
      </c>
      <c r="R531" s="163">
        <v>0</v>
      </c>
      <c r="S531" s="163">
        <v>0</v>
      </c>
      <c r="T531" s="163">
        <v>0</v>
      </c>
      <c r="U531" s="163">
        <v>0</v>
      </c>
      <c r="V531" s="163">
        <v>0</v>
      </c>
      <c r="W531" s="163">
        <v>0</v>
      </c>
      <c r="X531" s="163">
        <v>0</v>
      </c>
      <c r="Y531" s="163">
        <v>4</v>
      </c>
      <c r="Z531" s="163">
        <v>4</v>
      </c>
      <c r="AA531" s="163">
        <v>0</v>
      </c>
      <c r="AB531" s="163">
        <v>0</v>
      </c>
      <c r="AC531" s="163">
        <v>4</v>
      </c>
      <c r="AD531" s="163">
        <v>0</v>
      </c>
      <c r="AE531" s="165">
        <v>0.10158328069379423</v>
      </c>
      <c r="AF531" s="166">
        <v>0.13544437425839229</v>
      </c>
    </row>
    <row r="532" spans="1:32">
      <c r="A532" s="161">
        <v>12</v>
      </c>
      <c r="B532" s="162">
        <v>4.1666666666666664E-2</v>
      </c>
      <c r="C532" s="163">
        <v>0.68904363015669212</v>
      </c>
      <c r="D532" s="163">
        <v>625.35580897199748</v>
      </c>
      <c r="E532" s="164">
        <v>0.99829999999999997</v>
      </c>
      <c r="F532" s="164">
        <v>0.99829999999999997</v>
      </c>
      <c r="G532" s="163">
        <v>3</v>
      </c>
      <c r="H532" s="163">
        <v>6.6666666666666661</v>
      </c>
      <c r="I532" s="163">
        <v>3.6666666666666661</v>
      </c>
      <c r="J532" s="163">
        <v>2</v>
      </c>
      <c r="K532" s="163">
        <v>2.445506072874494</v>
      </c>
      <c r="L532" s="163">
        <v>0.44550607287449395</v>
      </c>
      <c r="M532" s="163">
        <v>3</v>
      </c>
      <c r="N532" s="163">
        <v>6.0908681961313533</v>
      </c>
      <c r="O532" s="163">
        <v>3.0908681961313533</v>
      </c>
      <c r="P532" s="163"/>
      <c r="Q532" s="163">
        <v>4</v>
      </c>
      <c r="R532" s="163">
        <v>0</v>
      </c>
      <c r="S532" s="163">
        <v>0</v>
      </c>
      <c r="T532" s="163">
        <v>0</v>
      </c>
      <c r="U532" s="163">
        <v>0</v>
      </c>
      <c r="V532" s="163">
        <v>0</v>
      </c>
      <c r="W532" s="163">
        <v>0</v>
      </c>
      <c r="X532" s="163">
        <v>0</v>
      </c>
      <c r="Y532" s="163">
        <v>4</v>
      </c>
      <c r="Z532" s="163">
        <v>4</v>
      </c>
      <c r="AA532" s="163">
        <v>0</v>
      </c>
      <c r="AB532" s="163">
        <v>0</v>
      </c>
      <c r="AC532" s="163">
        <v>4</v>
      </c>
      <c r="AD532" s="163">
        <v>0</v>
      </c>
      <c r="AE532" s="165">
        <v>7.3416541728851481E-2</v>
      </c>
      <c r="AF532" s="166">
        <v>9.7888722305135303E-2</v>
      </c>
    </row>
    <row r="533" spans="1:32">
      <c r="A533" s="161">
        <v>12</v>
      </c>
      <c r="B533" s="162">
        <v>6.25E-2</v>
      </c>
      <c r="C533" s="163">
        <v>0.5463396579119002</v>
      </c>
      <c r="D533" s="163">
        <v>608.91804544981198</v>
      </c>
      <c r="E533" s="164">
        <v>0.99919999999999998</v>
      </c>
      <c r="F533" s="164">
        <v>0.99919999999999998</v>
      </c>
      <c r="G533" s="163">
        <v>2</v>
      </c>
      <c r="H533" s="163">
        <v>6.6666666666666661</v>
      </c>
      <c r="I533" s="163">
        <v>4.6666666666666661</v>
      </c>
      <c r="J533" s="163">
        <v>1</v>
      </c>
      <c r="K533" s="163">
        <v>1.6303373819163294</v>
      </c>
      <c r="L533" s="163">
        <v>0.63033738191632938</v>
      </c>
      <c r="M533" s="163">
        <v>2</v>
      </c>
      <c r="N533" s="163">
        <v>6.0908681961313533</v>
      </c>
      <c r="O533" s="163">
        <v>4.0908681961313533</v>
      </c>
      <c r="P533" s="163"/>
      <c r="Q533" s="163">
        <v>4</v>
      </c>
      <c r="R533" s="163">
        <v>0</v>
      </c>
      <c r="S533" s="163">
        <v>0</v>
      </c>
      <c r="T533" s="163">
        <v>0</v>
      </c>
      <c r="U533" s="163">
        <v>0</v>
      </c>
      <c r="V533" s="163">
        <v>0</v>
      </c>
      <c r="W533" s="163">
        <v>0</v>
      </c>
      <c r="X533" s="163">
        <v>0</v>
      </c>
      <c r="Y533" s="163">
        <v>4</v>
      </c>
      <c r="Z533" s="163">
        <v>4</v>
      </c>
      <c r="AA533" s="163">
        <v>0</v>
      </c>
      <c r="AB533" s="163">
        <v>0</v>
      </c>
      <c r="AC533" s="163">
        <v>4</v>
      </c>
      <c r="AD533" s="163">
        <v>0</v>
      </c>
      <c r="AE533" s="165">
        <v>5.6681532495030676E-2</v>
      </c>
      <c r="AF533" s="166">
        <v>0.11336306499006135</v>
      </c>
    </row>
    <row r="534" spans="1:32">
      <c r="A534" s="161">
        <v>12</v>
      </c>
      <c r="B534" s="162">
        <v>8.3333333333333329E-2</v>
      </c>
      <c r="C534" s="163">
        <v>0.44067035820471295</v>
      </c>
      <c r="D534" s="163">
        <v>627.10147485639754</v>
      </c>
      <c r="E534" s="164">
        <v>0.99949999999999994</v>
      </c>
      <c r="F534" s="164">
        <v>0.99949999999999994</v>
      </c>
      <c r="G534" s="163">
        <v>2</v>
      </c>
      <c r="H534" s="163">
        <v>6.6666666666666661</v>
      </c>
      <c r="I534" s="163">
        <v>4.6666666666666661</v>
      </c>
      <c r="J534" s="163">
        <v>1</v>
      </c>
      <c r="K534" s="163">
        <v>1.6303373819163294</v>
      </c>
      <c r="L534" s="163">
        <v>0.63033738191632938</v>
      </c>
      <c r="M534" s="163">
        <v>2</v>
      </c>
      <c r="N534" s="163">
        <v>6.0908681961313533</v>
      </c>
      <c r="O534" s="163">
        <v>4.0908681961313533</v>
      </c>
      <c r="P534" s="163"/>
      <c r="Q534" s="163">
        <v>4</v>
      </c>
      <c r="R534" s="163">
        <v>0</v>
      </c>
      <c r="S534" s="163">
        <v>0</v>
      </c>
      <c r="T534" s="163">
        <v>0</v>
      </c>
      <c r="U534" s="163">
        <v>0</v>
      </c>
      <c r="V534" s="163">
        <v>0</v>
      </c>
      <c r="W534" s="163">
        <v>0</v>
      </c>
      <c r="X534" s="163">
        <v>0</v>
      </c>
      <c r="Y534" s="163">
        <v>4</v>
      </c>
      <c r="Z534" s="163">
        <v>4</v>
      </c>
      <c r="AA534" s="163">
        <v>0</v>
      </c>
      <c r="AB534" s="163">
        <v>0</v>
      </c>
      <c r="AC534" s="163">
        <v>4</v>
      </c>
      <c r="AD534" s="163">
        <v>0</v>
      </c>
      <c r="AE534" s="165">
        <v>4.7083818120661924E-2</v>
      </c>
      <c r="AF534" s="166">
        <v>9.4167636241323849E-2</v>
      </c>
    </row>
    <row r="535" spans="1:32">
      <c r="A535" s="161">
        <v>12</v>
      </c>
      <c r="B535" s="162">
        <v>0.10416666666666667</v>
      </c>
      <c r="C535" s="163">
        <v>0.35259251187887491</v>
      </c>
      <c r="D535" s="163">
        <v>597.21053743557491</v>
      </c>
      <c r="E535" s="164">
        <v>0.99980000000000002</v>
      </c>
      <c r="F535" s="164">
        <v>0.99980000000000002</v>
      </c>
      <c r="G535" s="163">
        <v>2</v>
      </c>
      <c r="H535" s="163">
        <v>6.6666666666666661</v>
      </c>
      <c r="I535" s="163">
        <v>4.6666666666666661</v>
      </c>
      <c r="J535" s="163">
        <v>1</v>
      </c>
      <c r="K535" s="163">
        <v>1.6303373819163294</v>
      </c>
      <c r="L535" s="163">
        <v>0.63033738191632938</v>
      </c>
      <c r="M535" s="163">
        <v>2</v>
      </c>
      <c r="N535" s="163">
        <v>6.0908681961313533</v>
      </c>
      <c r="O535" s="163">
        <v>4.0908681961313533</v>
      </c>
      <c r="P535" s="163"/>
      <c r="Q535" s="163">
        <v>4</v>
      </c>
      <c r="R535" s="163">
        <v>0</v>
      </c>
      <c r="S535" s="163">
        <v>0</v>
      </c>
      <c r="T535" s="163">
        <v>0</v>
      </c>
      <c r="U535" s="163">
        <v>0</v>
      </c>
      <c r="V535" s="163">
        <v>0</v>
      </c>
      <c r="W535" s="163">
        <v>0</v>
      </c>
      <c r="X535" s="163">
        <v>0</v>
      </c>
      <c r="Y535" s="163">
        <v>4</v>
      </c>
      <c r="Z535" s="163">
        <v>4</v>
      </c>
      <c r="AA535" s="163">
        <v>0</v>
      </c>
      <c r="AB535" s="163">
        <v>0</v>
      </c>
      <c r="AC535" s="163">
        <v>4</v>
      </c>
      <c r="AD535" s="163">
        <v>0</v>
      </c>
      <c r="AE535" s="165">
        <v>3.5877366694942063E-2</v>
      </c>
      <c r="AF535" s="166">
        <v>7.1754733389884126E-2</v>
      </c>
    </row>
    <row r="536" spans="1:32">
      <c r="A536" s="161">
        <v>12</v>
      </c>
      <c r="B536" s="162">
        <v>0.125</v>
      </c>
      <c r="C536" s="163">
        <v>0.31771970112521897</v>
      </c>
      <c r="D536" s="163">
        <v>597.1058267225925</v>
      </c>
      <c r="E536" s="164">
        <v>0.99980000000000002</v>
      </c>
      <c r="F536" s="164">
        <v>0.99980000000000002</v>
      </c>
      <c r="G536" s="163">
        <v>2</v>
      </c>
      <c r="H536" s="163">
        <v>6.6666666666666661</v>
      </c>
      <c r="I536" s="163">
        <v>4.6666666666666661</v>
      </c>
      <c r="J536" s="163">
        <v>1</v>
      </c>
      <c r="K536" s="163">
        <v>1.6303373819163294</v>
      </c>
      <c r="L536" s="163">
        <v>0.63033738191632938</v>
      </c>
      <c r="M536" s="163">
        <v>2</v>
      </c>
      <c r="N536" s="163">
        <v>6.0908681961313533</v>
      </c>
      <c r="O536" s="163">
        <v>4.0908681961313533</v>
      </c>
      <c r="P536" s="163"/>
      <c r="Q536" s="163">
        <v>4</v>
      </c>
      <c r="R536" s="163">
        <v>0</v>
      </c>
      <c r="S536" s="163">
        <v>0</v>
      </c>
      <c r="T536" s="163">
        <v>0</v>
      </c>
      <c r="U536" s="163">
        <v>0</v>
      </c>
      <c r="V536" s="163">
        <v>0</v>
      </c>
      <c r="W536" s="163">
        <v>0</v>
      </c>
      <c r="X536" s="163">
        <v>0</v>
      </c>
      <c r="Y536" s="163">
        <v>4</v>
      </c>
      <c r="Z536" s="163">
        <v>4</v>
      </c>
      <c r="AA536" s="163">
        <v>0</v>
      </c>
      <c r="AB536" s="163">
        <v>0</v>
      </c>
      <c r="AC536" s="163">
        <v>4</v>
      </c>
      <c r="AD536" s="163">
        <v>0</v>
      </c>
      <c r="AE536" s="165">
        <v>3.2323283189846647E-2</v>
      </c>
      <c r="AF536" s="166">
        <v>6.4646566379693293E-2</v>
      </c>
    </row>
    <row r="537" spans="1:32">
      <c r="A537" s="161">
        <v>12</v>
      </c>
      <c r="B537" s="162">
        <v>0.14583333333333334</v>
      </c>
      <c r="C537" s="163">
        <v>0.32020740046524138</v>
      </c>
      <c r="D537" s="163">
        <v>632.28121721530329</v>
      </c>
      <c r="E537" s="164">
        <v>0.99980000000000002</v>
      </c>
      <c r="F537" s="164">
        <v>0.99980000000000002</v>
      </c>
      <c r="G537" s="163">
        <v>2</v>
      </c>
      <c r="H537" s="163">
        <v>6.6666666666666661</v>
      </c>
      <c r="I537" s="163">
        <v>4.6666666666666661</v>
      </c>
      <c r="J537" s="163">
        <v>1</v>
      </c>
      <c r="K537" s="163">
        <v>1.6303373819163294</v>
      </c>
      <c r="L537" s="163">
        <v>0.63033738191632938</v>
      </c>
      <c r="M537" s="163">
        <v>2</v>
      </c>
      <c r="N537" s="163">
        <v>6.0908681961313533</v>
      </c>
      <c r="O537" s="163">
        <v>4.0908681961313533</v>
      </c>
      <c r="P537" s="163"/>
      <c r="Q537" s="163">
        <v>4</v>
      </c>
      <c r="R537" s="163">
        <v>0</v>
      </c>
      <c r="S537" s="163">
        <v>0</v>
      </c>
      <c r="T537" s="163">
        <v>0</v>
      </c>
      <c r="U537" s="163">
        <v>0</v>
      </c>
      <c r="V537" s="163">
        <v>0</v>
      </c>
      <c r="W537" s="163">
        <v>0</v>
      </c>
      <c r="X537" s="163">
        <v>0</v>
      </c>
      <c r="Y537" s="163">
        <v>4</v>
      </c>
      <c r="Z537" s="163">
        <v>4</v>
      </c>
      <c r="AA537" s="163">
        <v>0</v>
      </c>
      <c r="AB537" s="163">
        <v>0</v>
      </c>
      <c r="AC537" s="163">
        <v>4</v>
      </c>
      <c r="AD537" s="163">
        <v>0</v>
      </c>
      <c r="AE537" s="165">
        <v>3.4495437565596643E-2</v>
      </c>
      <c r="AF537" s="166">
        <v>6.8990875131193286E-2</v>
      </c>
    </row>
    <row r="538" spans="1:32">
      <c r="A538" s="161">
        <v>12</v>
      </c>
      <c r="B538" s="162">
        <v>0.16666666666666666</v>
      </c>
      <c r="C538" s="163">
        <v>0.35878059445930199</v>
      </c>
      <c r="D538" s="163">
        <v>632.30799861790422</v>
      </c>
      <c r="E538" s="164">
        <v>0.99970000000000014</v>
      </c>
      <c r="F538" s="164">
        <v>0.99970000000000014</v>
      </c>
      <c r="G538" s="163">
        <v>2</v>
      </c>
      <c r="H538" s="163">
        <v>6.6666666666666661</v>
      </c>
      <c r="I538" s="163">
        <v>4.6666666666666661</v>
      </c>
      <c r="J538" s="163">
        <v>1</v>
      </c>
      <c r="K538" s="163">
        <v>1.6303373819163294</v>
      </c>
      <c r="L538" s="163">
        <v>0.63033738191632938</v>
      </c>
      <c r="M538" s="163">
        <v>2</v>
      </c>
      <c r="N538" s="163">
        <v>6.0908681961313533</v>
      </c>
      <c r="O538" s="163">
        <v>4.0908681961313533</v>
      </c>
      <c r="P538" s="163"/>
      <c r="Q538" s="163">
        <v>4</v>
      </c>
      <c r="R538" s="163">
        <v>0</v>
      </c>
      <c r="S538" s="163">
        <v>0</v>
      </c>
      <c r="T538" s="163">
        <v>0</v>
      </c>
      <c r="U538" s="163">
        <v>0</v>
      </c>
      <c r="V538" s="163">
        <v>0</v>
      </c>
      <c r="W538" s="163">
        <v>0</v>
      </c>
      <c r="X538" s="163">
        <v>0</v>
      </c>
      <c r="Y538" s="163">
        <v>4</v>
      </c>
      <c r="Z538" s="163">
        <v>4</v>
      </c>
      <c r="AA538" s="163">
        <v>0</v>
      </c>
      <c r="AB538" s="163">
        <v>0</v>
      </c>
      <c r="AC538" s="163">
        <v>4</v>
      </c>
      <c r="AD538" s="163">
        <v>0</v>
      </c>
      <c r="AE538" s="165">
        <v>3.8652503964623816E-2</v>
      </c>
      <c r="AF538" s="166">
        <v>7.7305007929247632E-2</v>
      </c>
    </row>
    <row r="539" spans="1:32">
      <c r="A539" s="161">
        <v>12</v>
      </c>
      <c r="B539" s="162">
        <v>0.1875</v>
      </c>
      <c r="C539" s="163">
        <v>0.52742281614041309</v>
      </c>
      <c r="D539" s="163">
        <v>671.82756765334375</v>
      </c>
      <c r="E539" s="164">
        <v>0.999</v>
      </c>
      <c r="F539" s="164">
        <v>0.999</v>
      </c>
      <c r="G539" s="163">
        <v>2</v>
      </c>
      <c r="H539" s="163">
        <v>6.6666666666666661</v>
      </c>
      <c r="I539" s="163">
        <v>4.6666666666666661</v>
      </c>
      <c r="J539" s="163">
        <v>1</v>
      </c>
      <c r="K539" s="163">
        <v>1.6303373819163294</v>
      </c>
      <c r="L539" s="163">
        <v>0.63033738191632938</v>
      </c>
      <c r="M539" s="163">
        <v>2</v>
      </c>
      <c r="N539" s="163">
        <v>6.0908681961313533</v>
      </c>
      <c r="O539" s="163">
        <v>4.0908681961313533</v>
      </c>
      <c r="P539" s="163"/>
      <c r="Q539" s="163">
        <v>4</v>
      </c>
      <c r="R539" s="163">
        <v>0</v>
      </c>
      <c r="S539" s="163">
        <v>0</v>
      </c>
      <c r="T539" s="163">
        <v>0</v>
      </c>
      <c r="U539" s="163">
        <v>0</v>
      </c>
      <c r="V539" s="163">
        <v>0</v>
      </c>
      <c r="W539" s="163">
        <v>0</v>
      </c>
      <c r="X539" s="163">
        <v>0</v>
      </c>
      <c r="Y539" s="163">
        <v>4</v>
      </c>
      <c r="Z539" s="163">
        <v>4</v>
      </c>
      <c r="AA539" s="163">
        <v>0</v>
      </c>
      <c r="AB539" s="163">
        <v>0</v>
      </c>
      <c r="AC539" s="163">
        <v>4</v>
      </c>
      <c r="AD539" s="163">
        <v>0</v>
      </c>
      <c r="AE539" s="165">
        <v>6.0372164481412069E-2</v>
      </c>
      <c r="AF539" s="166">
        <v>0.12074432896282414</v>
      </c>
    </row>
    <row r="540" spans="1:32">
      <c r="A540" s="161">
        <v>12</v>
      </c>
      <c r="B540" s="162">
        <v>0.20833333333333334</v>
      </c>
      <c r="C540" s="163">
        <v>0.92525072170473011</v>
      </c>
      <c r="D540" s="163">
        <v>706.16515626622368</v>
      </c>
      <c r="E540" s="164">
        <v>0.99429999999999996</v>
      </c>
      <c r="F540" s="164">
        <v>0.99429999999999996</v>
      </c>
      <c r="G540" s="163">
        <v>3</v>
      </c>
      <c r="H540" s="163">
        <v>6.6666666666666661</v>
      </c>
      <c r="I540" s="163">
        <v>3.6666666666666661</v>
      </c>
      <c r="J540" s="163">
        <v>2</v>
      </c>
      <c r="K540" s="163">
        <v>2.445506072874494</v>
      </c>
      <c r="L540" s="163">
        <v>0.44550607287449395</v>
      </c>
      <c r="M540" s="163">
        <v>3</v>
      </c>
      <c r="N540" s="163">
        <v>6.0908681961313533</v>
      </c>
      <c r="O540" s="163">
        <v>3.0908681961313533</v>
      </c>
      <c r="P540" s="163"/>
      <c r="Q540" s="163">
        <v>4</v>
      </c>
      <c r="R540" s="163">
        <v>0</v>
      </c>
      <c r="S540" s="163">
        <v>0</v>
      </c>
      <c r="T540" s="163">
        <v>0</v>
      </c>
      <c r="U540" s="163">
        <v>0</v>
      </c>
      <c r="V540" s="163">
        <v>0</v>
      </c>
      <c r="W540" s="163">
        <v>0</v>
      </c>
      <c r="X540" s="163">
        <v>0</v>
      </c>
      <c r="Y540" s="163">
        <v>4</v>
      </c>
      <c r="Z540" s="163">
        <v>4</v>
      </c>
      <c r="AA540" s="163">
        <v>0</v>
      </c>
      <c r="AB540" s="163">
        <v>0</v>
      </c>
      <c r="AC540" s="163">
        <v>4</v>
      </c>
      <c r="AD540" s="163">
        <v>0</v>
      </c>
      <c r="AE540" s="165">
        <v>0.11132321235492136</v>
      </c>
      <c r="AF540" s="166">
        <v>0.1484309498065618</v>
      </c>
    </row>
    <row r="541" spans="1:32">
      <c r="A541" s="161">
        <v>12</v>
      </c>
      <c r="B541" s="162">
        <v>0.22916666666666666</v>
      </c>
      <c r="C541" s="163">
        <v>1.5500240589575838</v>
      </c>
      <c r="D541" s="163">
        <v>721.74183902070092</v>
      </c>
      <c r="E541" s="164">
        <v>0.97540000000000004</v>
      </c>
      <c r="F541" s="164">
        <v>0.97540000000000004</v>
      </c>
      <c r="G541" s="163">
        <v>3</v>
      </c>
      <c r="H541" s="163">
        <v>6.6666666666666661</v>
      </c>
      <c r="I541" s="163">
        <v>3.6666666666666661</v>
      </c>
      <c r="J541" s="163">
        <v>2</v>
      </c>
      <c r="K541" s="163">
        <v>2.445506072874494</v>
      </c>
      <c r="L541" s="163">
        <v>0.44550607287449395</v>
      </c>
      <c r="M541" s="163">
        <v>3</v>
      </c>
      <c r="N541" s="163">
        <v>6.0908681961313533</v>
      </c>
      <c r="O541" s="163">
        <v>3.0908681961313533</v>
      </c>
      <c r="P541" s="163"/>
      <c r="Q541" s="163">
        <v>4</v>
      </c>
      <c r="R541" s="163">
        <v>0</v>
      </c>
      <c r="S541" s="163">
        <v>0</v>
      </c>
      <c r="T541" s="163">
        <v>0</v>
      </c>
      <c r="U541" s="163">
        <v>0</v>
      </c>
      <c r="V541" s="163">
        <v>0</v>
      </c>
      <c r="W541" s="163">
        <v>0</v>
      </c>
      <c r="X541" s="163">
        <v>0</v>
      </c>
      <c r="Y541" s="163">
        <v>4</v>
      </c>
      <c r="Z541" s="163">
        <v>4</v>
      </c>
      <c r="AA541" s="163">
        <v>0</v>
      </c>
      <c r="AB541" s="163">
        <v>0</v>
      </c>
      <c r="AC541" s="163">
        <v>4</v>
      </c>
      <c r="AD541" s="163">
        <v>0</v>
      </c>
      <c r="AE541" s="165">
        <v>0.19060765295970972</v>
      </c>
      <c r="AF541" s="166">
        <v>0.25414353727961292</v>
      </c>
    </row>
    <row r="542" spans="1:32">
      <c r="A542" s="161">
        <v>12</v>
      </c>
      <c r="B542" s="162">
        <v>0.25</v>
      </c>
      <c r="C542" s="163">
        <v>2.3814414145074982</v>
      </c>
      <c r="D542" s="163">
        <v>729.0535190290916</v>
      </c>
      <c r="E542" s="164">
        <v>0.92449999999999999</v>
      </c>
      <c r="F542" s="164">
        <v>0.92449999999999999</v>
      </c>
      <c r="G542" s="163">
        <v>4</v>
      </c>
      <c r="H542" s="163">
        <v>6.6666666666666661</v>
      </c>
      <c r="I542" s="163">
        <v>2.6666666666666661</v>
      </c>
      <c r="J542" s="163">
        <v>3</v>
      </c>
      <c r="K542" s="163">
        <v>3.2606747638326588</v>
      </c>
      <c r="L542" s="163">
        <v>0.26067476383265875</v>
      </c>
      <c r="M542" s="163">
        <v>4</v>
      </c>
      <c r="N542" s="163">
        <v>6.0908681961313533</v>
      </c>
      <c r="O542" s="163">
        <v>2.0908681961313533</v>
      </c>
      <c r="P542" s="163"/>
      <c r="Q542" s="163">
        <v>4</v>
      </c>
      <c r="R542" s="163">
        <v>0</v>
      </c>
      <c r="S542" s="163">
        <v>0</v>
      </c>
      <c r="T542" s="163">
        <v>0</v>
      </c>
      <c r="U542" s="163">
        <v>0</v>
      </c>
      <c r="V542" s="163">
        <v>0</v>
      </c>
      <c r="W542" s="163">
        <v>0</v>
      </c>
      <c r="X542" s="163">
        <v>0</v>
      </c>
      <c r="Y542" s="163">
        <v>4</v>
      </c>
      <c r="Z542" s="163">
        <v>4</v>
      </c>
      <c r="AA542" s="163">
        <v>0</v>
      </c>
      <c r="AB542" s="163">
        <v>0</v>
      </c>
      <c r="AC542" s="163">
        <v>4</v>
      </c>
      <c r="AD542" s="163">
        <v>0</v>
      </c>
      <c r="AE542" s="165">
        <v>0.29581440948395549</v>
      </c>
      <c r="AF542" s="166">
        <v>0.29581440948395549</v>
      </c>
    </row>
    <row r="543" spans="1:32">
      <c r="A543" s="161">
        <v>12</v>
      </c>
      <c r="B543" s="162">
        <v>0.27083333333333331</v>
      </c>
      <c r="C543" s="163">
        <v>3.4385524854582412</v>
      </c>
      <c r="D543" s="163">
        <v>798.91601281861892</v>
      </c>
      <c r="E543" s="164">
        <v>0.77800000000000002</v>
      </c>
      <c r="F543" s="164">
        <v>0.77800000000000002</v>
      </c>
      <c r="G543" s="163">
        <v>5</v>
      </c>
      <c r="H543" s="163">
        <v>6.6666666666666661</v>
      </c>
      <c r="I543" s="163">
        <v>1.6666666666666661</v>
      </c>
      <c r="J543" s="163">
        <v>4</v>
      </c>
      <c r="K543" s="163">
        <v>4.0758434547908236</v>
      </c>
      <c r="L543" s="163">
        <v>7.584345479082355E-2</v>
      </c>
      <c r="M543" s="163">
        <v>5</v>
      </c>
      <c r="N543" s="163">
        <v>6.0908681961313533</v>
      </c>
      <c r="O543" s="163">
        <v>1.0908681961313533</v>
      </c>
      <c r="P543" s="163"/>
      <c r="Q543" s="163">
        <v>4</v>
      </c>
      <c r="R543" s="163">
        <v>0</v>
      </c>
      <c r="S543" s="163">
        <v>0</v>
      </c>
      <c r="T543" s="163">
        <v>0</v>
      </c>
      <c r="U543" s="163">
        <v>0</v>
      </c>
      <c r="V543" s="163">
        <v>0</v>
      </c>
      <c r="W543" s="163">
        <v>0</v>
      </c>
      <c r="X543" s="163">
        <v>0</v>
      </c>
      <c r="Y543" s="163">
        <v>4</v>
      </c>
      <c r="Z543" s="163">
        <v>4</v>
      </c>
      <c r="AA543" s="163">
        <v>0</v>
      </c>
      <c r="AB543" s="163">
        <v>0</v>
      </c>
      <c r="AC543" s="163">
        <v>4</v>
      </c>
      <c r="AD543" s="163">
        <v>0</v>
      </c>
      <c r="AE543" s="165">
        <v>0.46805490010513445</v>
      </c>
      <c r="AF543" s="166">
        <v>0.3744439200841076</v>
      </c>
    </row>
    <row r="544" spans="1:32">
      <c r="A544" s="161">
        <v>12</v>
      </c>
      <c r="B544" s="162">
        <v>0.29166666666666669</v>
      </c>
      <c r="C544" s="163">
        <v>8.3958373797100236</v>
      </c>
      <c r="D544" s="163">
        <v>801.70691856446331</v>
      </c>
      <c r="E544" s="164">
        <v>0.63619999999999999</v>
      </c>
      <c r="F544" s="164">
        <v>0.63619999999999999</v>
      </c>
      <c r="G544" s="163">
        <v>9</v>
      </c>
      <c r="H544" s="163">
        <v>11.666666666666668</v>
      </c>
      <c r="I544" s="163">
        <v>2.6666666666666679</v>
      </c>
      <c r="J544" s="163">
        <v>7</v>
      </c>
      <c r="K544" s="163">
        <v>7.3365182186234819</v>
      </c>
      <c r="L544" s="163">
        <v>0.33651821862348186</v>
      </c>
      <c r="M544" s="163">
        <v>8</v>
      </c>
      <c r="N544" s="163">
        <v>10.65901934322987</v>
      </c>
      <c r="O544" s="163">
        <v>2.6590193432298701</v>
      </c>
      <c r="P544" s="163"/>
      <c r="Q544" s="163">
        <v>7</v>
      </c>
      <c r="R544" s="163">
        <v>0</v>
      </c>
      <c r="S544" s="163">
        <v>0</v>
      </c>
      <c r="T544" s="163">
        <v>0</v>
      </c>
      <c r="U544" s="163">
        <v>0</v>
      </c>
      <c r="V544" s="163">
        <v>0</v>
      </c>
      <c r="W544" s="163">
        <v>0</v>
      </c>
      <c r="X544" s="163">
        <v>0</v>
      </c>
      <c r="Y544" s="163">
        <v>7</v>
      </c>
      <c r="Z544" s="163">
        <v>7</v>
      </c>
      <c r="AA544" s="163">
        <v>0</v>
      </c>
      <c r="AB544" s="163">
        <v>0</v>
      </c>
      <c r="AC544" s="163">
        <v>4</v>
      </c>
      <c r="AD544" s="163">
        <v>3</v>
      </c>
      <c r="AE544" s="165">
        <v>0.65533235967917136</v>
      </c>
      <c r="AF544" s="166">
        <v>0.50970294641713321</v>
      </c>
    </row>
    <row r="545" spans="1:32">
      <c r="A545" s="161">
        <v>12</v>
      </c>
      <c r="B545" s="162">
        <v>0.3125</v>
      </c>
      <c r="C545" s="163">
        <v>9.8326329483751103</v>
      </c>
      <c r="D545" s="163">
        <v>811.38529859085577</v>
      </c>
      <c r="E545" s="164">
        <v>0.92279999999999995</v>
      </c>
      <c r="F545" s="164">
        <v>0.92279999999999995</v>
      </c>
      <c r="G545" s="163">
        <v>9</v>
      </c>
      <c r="H545" s="163">
        <v>18.333333333333332</v>
      </c>
      <c r="I545" s="163">
        <v>9.3333333333333321</v>
      </c>
      <c r="J545" s="163">
        <v>7</v>
      </c>
      <c r="K545" s="163">
        <v>7.3365182186234819</v>
      </c>
      <c r="L545" s="163">
        <v>0.33651821862348186</v>
      </c>
      <c r="M545" s="163">
        <v>8</v>
      </c>
      <c r="N545" s="163">
        <v>16.749887539361222</v>
      </c>
      <c r="O545" s="163">
        <v>8.7498875393612217</v>
      </c>
      <c r="P545" s="163"/>
      <c r="Q545" s="163">
        <v>11</v>
      </c>
      <c r="R545" s="163">
        <v>0</v>
      </c>
      <c r="S545" s="163">
        <v>0</v>
      </c>
      <c r="T545" s="163">
        <v>0</v>
      </c>
      <c r="U545" s="163">
        <v>0</v>
      </c>
      <c r="V545" s="163">
        <v>0</v>
      </c>
      <c r="W545" s="163">
        <v>0</v>
      </c>
      <c r="X545" s="163">
        <v>0</v>
      </c>
      <c r="Y545" s="163">
        <v>11</v>
      </c>
      <c r="Z545" s="163">
        <v>11</v>
      </c>
      <c r="AA545" s="163">
        <v>0</v>
      </c>
      <c r="AB545" s="163">
        <v>0</v>
      </c>
      <c r="AC545" s="163">
        <v>8</v>
      </c>
      <c r="AD545" s="163">
        <v>3</v>
      </c>
      <c r="AE545" s="165">
        <v>0.49429279561198325</v>
      </c>
      <c r="AF545" s="166">
        <v>0.60413563908131285</v>
      </c>
    </row>
    <row r="546" spans="1:32">
      <c r="A546" s="161">
        <v>12</v>
      </c>
      <c r="B546" s="162">
        <v>0.33333333333333331</v>
      </c>
      <c r="C546" s="163">
        <v>13.962296480313981</v>
      </c>
      <c r="D546" s="163">
        <v>849.72784819681715</v>
      </c>
      <c r="E546" s="164">
        <v>0.86240000000000006</v>
      </c>
      <c r="F546" s="164">
        <v>0.86240000000000006</v>
      </c>
      <c r="G546" s="163">
        <v>13</v>
      </c>
      <c r="H546" s="163">
        <v>21.666666666666664</v>
      </c>
      <c r="I546" s="163">
        <v>8.6666666666666643</v>
      </c>
      <c r="J546" s="163">
        <v>10</v>
      </c>
      <c r="K546" s="163">
        <v>10.597192982456141</v>
      </c>
      <c r="L546" s="163">
        <v>0.59719298245614105</v>
      </c>
      <c r="M546" s="163">
        <v>12</v>
      </c>
      <c r="N546" s="163">
        <v>19.795321637426898</v>
      </c>
      <c r="O546" s="163">
        <v>7.7953216374268983</v>
      </c>
      <c r="P546" s="163"/>
      <c r="Q546" s="163">
        <v>13</v>
      </c>
      <c r="R546" s="163">
        <v>0</v>
      </c>
      <c r="S546" s="163">
        <v>0</v>
      </c>
      <c r="T546" s="163">
        <v>0</v>
      </c>
      <c r="U546" s="163">
        <v>0</v>
      </c>
      <c r="V546" s="163">
        <v>0</v>
      </c>
      <c r="W546" s="163">
        <v>0</v>
      </c>
      <c r="X546" s="163">
        <v>0</v>
      </c>
      <c r="Y546" s="163">
        <v>13</v>
      </c>
      <c r="Z546" s="163">
        <v>13</v>
      </c>
      <c r="AA546" s="163">
        <v>0</v>
      </c>
      <c r="AB546" s="163">
        <v>0</v>
      </c>
      <c r="AC546" s="163">
        <v>10</v>
      </c>
      <c r="AD546" s="163">
        <v>3</v>
      </c>
      <c r="AE546" s="165">
        <v>0.62197561623391573</v>
      </c>
      <c r="AF546" s="166">
        <v>0.62197561623391573</v>
      </c>
    </row>
    <row r="547" spans="1:32">
      <c r="A547" s="161">
        <v>12</v>
      </c>
      <c r="B547" s="162">
        <v>0.35416666666666669</v>
      </c>
      <c r="C547" s="163">
        <v>16.907696338589407</v>
      </c>
      <c r="D547" s="163">
        <v>866.42064160400548</v>
      </c>
      <c r="E547" s="164">
        <v>0.86419999999999997</v>
      </c>
      <c r="F547" s="164">
        <v>0.86419999999999997</v>
      </c>
      <c r="G547" s="163">
        <v>15</v>
      </c>
      <c r="H547" s="163">
        <v>25</v>
      </c>
      <c r="I547" s="163">
        <v>10</v>
      </c>
      <c r="J547" s="163">
        <v>12</v>
      </c>
      <c r="K547" s="163">
        <v>12.22753036437247</v>
      </c>
      <c r="L547" s="163">
        <v>0.22753036437246976</v>
      </c>
      <c r="M547" s="163">
        <v>14</v>
      </c>
      <c r="N547" s="163">
        <v>22.840755735492575</v>
      </c>
      <c r="O547" s="163">
        <v>8.840755735492575</v>
      </c>
      <c r="P547" s="163"/>
      <c r="Q547" s="163">
        <v>15</v>
      </c>
      <c r="R547" s="163">
        <v>0</v>
      </c>
      <c r="S547" s="163">
        <v>0</v>
      </c>
      <c r="T547" s="163">
        <v>0</v>
      </c>
      <c r="U547" s="163">
        <v>0</v>
      </c>
      <c r="V547" s="163">
        <v>0</v>
      </c>
      <c r="W547" s="163">
        <v>0</v>
      </c>
      <c r="X547" s="163">
        <v>0</v>
      </c>
      <c r="Y547" s="163">
        <v>15</v>
      </c>
      <c r="Z547" s="163">
        <v>15</v>
      </c>
      <c r="AA547" s="163">
        <v>0</v>
      </c>
      <c r="AB547" s="163">
        <v>0</v>
      </c>
      <c r="AC547" s="163">
        <v>10</v>
      </c>
      <c r="AD547" s="163">
        <v>5</v>
      </c>
      <c r="AE547" s="165">
        <v>0.66558262258246381</v>
      </c>
      <c r="AF547" s="166">
        <v>0.66558262258246381</v>
      </c>
    </row>
    <row r="548" spans="1:32">
      <c r="A548" s="161">
        <v>12</v>
      </c>
      <c r="B548" s="162">
        <v>0.375</v>
      </c>
      <c r="C548" s="163">
        <v>20.474531821708254</v>
      </c>
      <c r="D548" s="163">
        <v>878.0919286328924</v>
      </c>
      <c r="E548" s="164">
        <v>0.77370000000000017</v>
      </c>
      <c r="F548" s="164">
        <v>0.77370000000000017</v>
      </c>
      <c r="G548" s="163">
        <v>18</v>
      </c>
      <c r="H548" s="163">
        <v>28.333333333333336</v>
      </c>
      <c r="I548" s="163">
        <v>10.333333333333336</v>
      </c>
      <c r="J548" s="163">
        <v>14</v>
      </c>
      <c r="K548" s="163">
        <v>14.673036437246964</v>
      </c>
      <c r="L548" s="163">
        <v>0.67303643724696371</v>
      </c>
      <c r="M548" s="163">
        <v>16</v>
      </c>
      <c r="N548" s="163">
        <v>25.886189833558255</v>
      </c>
      <c r="O548" s="163">
        <v>9.8861898335582552</v>
      </c>
      <c r="P548" s="163"/>
      <c r="Q548" s="163">
        <v>17</v>
      </c>
      <c r="R548" s="163">
        <v>0</v>
      </c>
      <c r="S548" s="163">
        <v>0</v>
      </c>
      <c r="T548" s="163">
        <v>0</v>
      </c>
      <c r="U548" s="163">
        <v>0</v>
      </c>
      <c r="V548" s="163">
        <v>0</v>
      </c>
      <c r="W548" s="163">
        <v>0</v>
      </c>
      <c r="X548" s="163">
        <v>0</v>
      </c>
      <c r="Y548" s="163">
        <v>17</v>
      </c>
      <c r="Z548" s="163">
        <v>17</v>
      </c>
      <c r="AA548" s="163">
        <v>0</v>
      </c>
      <c r="AB548" s="163">
        <v>0</v>
      </c>
      <c r="AC548" s="163">
        <v>12</v>
      </c>
      <c r="AD548" s="163">
        <v>5</v>
      </c>
      <c r="AE548" s="165">
        <v>0.72075065805103378</v>
      </c>
      <c r="AF548" s="166">
        <v>0.68070895482597626</v>
      </c>
    </row>
    <row r="549" spans="1:32">
      <c r="A549" s="161">
        <v>12</v>
      </c>
      <c r="B549" s="162">
        <v>0.39583333333333331</v>
      </c>
      <c r="C549" s="163">
        <v>21.198147556309905</v>
      </c>
      <c r="D549" s="163">
        <v>848.42113783412799</v>
      </c>
      <c r="E549" s="164">
        <v>0.91569999999999985</v>
      </c>
      <c r="F549" s="164">
        <v>0.91569999999999985</v>
      </c>
      <c r="G549" s="163">
        <v>18</v>
      </c>
      <c r="H549" s="163">
        <v>31.666666666666664</v>
      </c>
      <c r="I549" s="163">
        <v>13.666666666666664</v>
      </c>
      <c r="J549" s="163">
        <v>14</v>
      </c>
      <c r="K549" s="163">
        <v>14.673036437246964</v>
      </c>
      <c r="L549" s="163">
        <v>0.67303643724696371</v>
      </c>
      <c r="M549" s="163">
        <v>16</v>
      </c>
      <c r="N549" s="163">
        <v>28.931623931623928</v>
      </c>
      <c r="O549" s="163">
        <v>12.931623931623928</v>
      </c>
      <c r="P549" s="163"/>
      <c r="Q549" s="163">
        <v>19</v>
      </c>
      <c r="R549" s="163">
        <v>0</v>
      </c>
      <c r="S549" s="163">
        <v>0</v>
      </c>
      <c r="T549" s="163">
        <v>0</v>
      </c>
      <c r="U549" s="163">
        <v>0</v>
      </c>
      <c r="V549" s="163">
        <v>0</v>
      </c>
      <c r="W549" s="163">
        <v>0</v>
      </c>
      <c r="X549" s="163">
        <v>0</v>
      </c>
      <c r="Y549" s="163">
        <v>19</v>
      </c>
      <c r="Z549" s="163">
        <v>19</v>
      </c>
      <c r="AA549" s="163">
        <v>0</v>
      </c>
      <c r="AB549" s="163">
        <v>0</v>
      </c>
      <c r="AC549" s="163">
        <v>14</v>
      </c>
      <c r="AD549" s="163">
        <v>5</v>
      </c>
      <c r="AE549" s="165">
        <v>0.6451130005355673</v>
      </c>
      <c r="AF549" s="166">
        <v>0.68095261167643217</v>
      </c>
    </row>
    <row r="550" spans="1:32">
      <c r="A550" s="161">
        <v>12</v>
      </c>
      <c r="B550" s="162">
        <v>0.41666666666666669</v>
      </c>
      <c r="C550" s="163">
        <v>22.879902683959152</v>
      </c>
      <c r="D550" s="163">
        <v>866.15344318680025</v>
      </c>
      <c r="E550" s="164">
        <v>0.83919999999999995</v>
      </c>
      <c r="F550" s="164">
        <v>0.83919999999999995</v>
      </c>
      <c r="G550" s="163">
        <v>19</v>
      </c>
      <c r="H550" s="163">
        <v>31.666666666666664</v>
      </c>
      <c r="I550" s="163">
        <v>12.666666666666664</v>
      </c>
      <c r="J550" s="163">
        <v>15</v>
      </c>
      <c r="K550" s="163">
        <v>15.488205128205129</v>
      </c>
      <c r="L550" s="163">
        <v>0.48820512820512896</v>
      </c>
      <c r="M550" s="163">
        <v>17</v>
      </c>
      <c r="N550" s="163">
        <v>28.931623931623928</v>
      </c>
      <c r="O550" s="163">
        <v>11.931623931623928</v>
      </c>
      <c r="P550" s="163"/>
      <c r="Q550" s="163">
        <v>19</v>
      </c>
      <c r="R550" s="163">
        <v>0</v>
      </c>
      <c r="S550" s="163">
        <v>0</v>
      </c>
      <c r="T550" s="163">
        <v>0</v>
      </c>
      <c r="U550" s="163">
        <v>0</v>
      </c>
      <c r="V550" s="163">
        <v>0</v>
      </c>
      <c r="W550" s="163">
        <v>0</v>
      </c>
      <c r="X550" s="163">
        <v>0</v>
      </c>
      <c r="Y550" s="163">
        <v>19</v>
      </c>
      <c r="Z550" s="163">
        <v>19</v>
      </c>
      <c r="AA550" s="163">
        <v>0</v>
      </c>
      <c r="AB550" s="163">
        <v>0</v>
      </c>
      <c r="AC550" s="163">
        <v>14</v>
      </c>
      <c r="AD550" s="163">
        <v>5</v>
      </c>
      <c r="AE550" s="165">
        <v>0.71084581695299343</v>
      </c>
      <c r="AF550" s="166">
        <v>0.71084581695299343</v>
      </c>
    </row>
    <row r="551" spans="1:32">
      <c r="A551" s="161">
        <v>12</v>
      </c>
      <c r="B551" s="162">
        <v>0.4375</v>
      </c>
      <c r="C551" s="163">
        <v>22.895917513776379</v>
      </c>
      <c r="D551" s="163">
        <v>864.78179500063663</v>
      </c>
      <c r="E551" s="164">
        <v>0.84019999999999995</v>
      </c>
      <c r="F551" s="164">
        <v>0.84019999999999995</v>
      </c>
      <c r="G551" s="163">
        <v>19</v>
      </c>
      <c r="H551" s="163">
        <v>31.666666666666664</v>
      </c>
      <c r="I551" s="163">
        <v>12.666666666666664</v>
      </c>
      <c r="J551" s="163">
        <v>15</v>
      </c>
      <c r="K551" s="163">
        <v>15.488205128205129</v>
      </c>
      <c r="L551" s="163">
        <v>0.48820512820512896</v>
      </c>
      <c r="M551" s="163">
        <v>17</v>
      </c>
      <c r="N551" s="163">
        <v>28.931623931623928</v>
      </c>
      <c r="O551" s="163">
        <v>11.931623931623928</v>
      </c>
      <c r="P551" s="163"/>
      <c r="Q551" s="163">
        <v>19</v>
      </c>
      <c r="R551" s="163">
        <v>0</v>
      </c>
      <c r="S551" s="163">
        <v>0</v>
      </c>
      <c r="T551" s="163">
        <v>0</v>
      </c>
      <c r="U551" s="163">
        <v>0</v>
      </c>
      <c r="V551" s="163">
        <v>0</v>
      </c>
      <c r="W551" s="163">
        <v>0</v>
      </c>
      <c r="X551" s="163">
        <v>0</v>
      </c>
      <c r="Y551" s="163">
        <v>19</v>
      </c>
      <c r="Z551" s="163">
        <v>19</v>
      </c>
      <c r="AA551" s="163">
        <v>0</v>
      </c>
      <c r="AB551" s="163">
        <v>0</v>
      </c>
      <c r="AC551" s="163">
        <v>14</v>
      </c>
      <c r="AD551" s="163">
        <v>5</v>
      </c>
      <c r="AE551" s="165">
        <v>0.71021688518075687</v>
      </c>
      <c r="AF551" s="166">
        <v>0.71021688518075687</v>
      </c>
    </row>
    <row r="552" spans="1:32">
      <c r="A552" s="161">
        <v>12</v>
      </c>
      <c r="B552" s="162">
        <v>0.45833333333333331</v>
      </c>
      <c r="C552" s="163">
        <v>24.953408019214333</v>
      </c>
      <c r="D552" s="163">
        <v>872.59923768218709</v>
      </c>
      <c r="E552" s="164">
        <v>0.7157</v>
      </c>
      <c r="F552" s="164">
        <v>0.7157</v>
      </c>
      <c r="G552" s="163">
        <v>20</v>
      </c>
      <c r="H552" s="163">
        <v>31.666666666666664</v>
      </c>
      <c r="I552" s="163">
        <v>11.666666666666664</v>
      </c>
      <c r="J552" s="163">
        <v>16</v>
      </c>
      <c r="K552" s="163">
        <v>16.303373819163294</v>
      </c>
      <c r="L552" s="163">
        <v>0.3033738191632942</v>
      </c>
      <c r="M552" s="163">
        <v>18</v>
      </c>
      <c r="N552" s="163">
        <v>28.931623931623928</v>
      </c>
      <c r="O552" s="163">
        <v>10.931623931623928</v>
      </c>
      <c r="P552" s="163"/>
      <c r="Q552" s="163">
        <v>19</v>
      </c>
      <c r="R552" s="163">
        <v>0</v>
      </c>
      <c r="S552" s="163">
        <v>0</v>
      </c>
      <c r="T552" s="163">
        <v>0</v>
      </c>
      <c r="U552" s="163">
        <v>0</v>
      </c>
      <c r="V552" s="163">
        <v>0</v>
      </c>
      <c r="W552" s="163">
        <v>0</v>
      </c>
      <c r="X552" s="163">
        <v>0</v>
      </c>
      <c r="Y552" s="163">
        <v>19</v>
      </c>
      <c r="Z552" s="163">
        <v>19</v>
      </c>
      <c r="AA552" s="163">
        <v>0</v>
      </c>
      <c r="AB552" s="163">
        <v>0</v>
      </c>
      <c r="AC552" s="163">
        <v>14</v>
      </c>
      <c r="AD552" s="163">
        <v>5</v>
      </c>
      <c r="AE552" s="165">
        <v>0.78103608645345501</v>
      </c>
      <c r="AF552" s="166">
        <v>0.74198428213078238</v>
      </c>
    </row>
    <row r="553" spans="1:32">
      <c r="A553" s="161">
        <v>12</v>
      </c>
      <c r="B553" s="162">
        <v>0.47916666666666669</v>
      </c>
      <c r="C553" s="163">
        <v>22.696689882163277</v>
      </c>
      <c r="D553" s="163">
        <v>846.18454694500383</v>
      </c>
      <c r="E553" s="164">
        <v>0.86890000000000001</v>
      </c>
      <c r="F553" s="164">
        <v>0.86890000000000001</v>
      </c>
      <c r="G553" s="163">
        <v>19</v>
      </c>
      <c r="H553" s="163">
        <v>31.666666666666664</v>
      </c>
      <c r="I553" s="163">
        <v>12.666666666666664</v>
      </c>
      <c r="J553" s="163">
        <v>15</v>
      </c>
      <c r="K553" s="163">
        <v>15.488205128205129</v>
      </c>
      <c r="L553" s="163">
        <v>0.48820512820512896</v>
      </c>
      <c r="M553" s="163">
        <v>17</v>
      </c>
      <c r="N553" s="163">
        <v>28.931623931623928</v>
      </c>
      <c r="O553" s="163">
        <v>11.931623931623928</v>
      </c>
      <c r="P553" s="163"/>
      <c r="Q553" s="163">
        <v>19</v>
      </c>
      <c r="R553" s="163">
        <v>0</v>
      </c>
      <c r="S553" s="163">
        <v>0</v>
      </c>
      <c r="T553" s="163">
        <v>0</v>
      </c>
      <c r="U553" s="163">
        <v>0</v>
      </c>
      <c r="V553" s="163">
        <v>0</v>
      </c>
      <c r="W553" s="163">
        <v>0</v>
      </c>
      <c r="X553" s="163">
        <v>0</v>
      </c>
      <c r="Y553" s="163">
        <v>19</v>
      </c>
      <c r="Z553" s="163">
        <v>19</v>
      </c>
      <c r="AA553" s="163">
        <v>0</v>
      </c>
      <c r="AB553" s="163">
        <v>0</v>
      </c>
      <c r="AC553" s="163">
        <v>14</v>
      </c>
      <c r="AD553" s="163">
        <v>5</v>
      </c>
      <c r="AE553" s="165">
        <v>0.68889656089597984</v>
      </c>
      <c r="AF553" s="166">
        <v>0.68889656089597984</v>
      </c>
    </row>
    <row r="554" spans="1:32">
      <c r="A554" s="161">
        <v>12</v>
      </c>
      <c r="B554" s="162">
        <v>0.5</v>
      </c>
      <c r="C554" s="163">
        <v>22.941959318412277</v>
      </c>
      <c r="D554" s="163">
        <v>867.67117198027427</v>
      </c>
      <c r="E554" s="164">
        <v>0.83460000000000001</v>
      </c>
      <c r="F554" s="164">
        <v>0.83460000000000001</v>
      </c>
      <c r="G554" s="163">
        <v>19</v>
      </c>
      <c r="H554" s="163">
        <v>31.666666666666664</v>
      </c>
      <c r="I554" s="163">
        <v>12.666666666666664</v>
      </c>
      <c r="J554" s="163">
        <v>15</v>
      </c>
      <c r="K554" s="163">
        <v>15.488205128205129</v>
      </c>
      <c r="L554" s="163">
        <v>0.48820512820512896</v>
      </c>
      <c r="M554" s="163">
        <v>17</v>
      </c>
      <c r="N554" s="163">
        <v>28.931623931623928</v>
      </c>
      <c r="O554" s="163">
        <v>11.931623931623928</v>
      </c>
      <c r="P554" s="163"/>
      <c r="Q554" s="163">
        <v>19</v>
      </c>
      <c r="R554" s="163">
        <v>0</v>
      </c>
      <c r="S554" s="163">
        <v>0</v>
      </c>
      <c r="T554" s="163">
        <v>0</v>
      </c>
      <c r="U554" s="163">
        <v>0</v>
      </c>
      <c r="V554" s="163">
        <v>0</v>
      </c>
      <c r="W554" s="163">
        <v>0</v>
      </c>
      <c r="X554" s="163">
        <v>0</v>
      </c>
      <c r="Y554" s="163">
        <v>19</v>
      </c>
      <c r="Z554" s="163">
        <v>19</v>
      </c>
      <c r="AA554" s="163">
        <v>0</v>
      </c>
      <c r="AB554" s="163">
        <v>0</v>
      </c>
      <c r="AC554" s="163">
        <v>14</v>
      </c>
      <c r="AD554" s="163">
        <v>5</v>
      </c>
      <c r="AE554" s="165">
        <v>0.71402279507233846</v>
      </c>
      <c r="AF554" s="166">
        <v>0.71402279507233846</v>
      </c>
    </row>
    <row r="555" spans="1:32">
      <c r="A555" s="161">
        <v>12</v>
      </c>
      <c r="B555" s="162">
        <v>0.52083333333333337</v>
      </c>
      <c r="C555" s="163">
        <v>21.959316843080966</v>
      </c>
      <c r="D555" s="163">
        <v>836.04230134844977</v>
      </c>
      <c r="E555" s="164">
        <v>0.79990000000000006</v>
      </c>
      <c r="F555" s="164">
        <v>0.79990000000000006</v>
      </c>
      <c r="G555" s="163">
        <v>18</v>
      </c>
      <c r="H555" s="163">
        <v>30.333333333333336</v>
      </c>
      <c r="I555" s="163">
        <v>12.333333333333336</v>
      </c>
      <c r="J555" s="163">
        <v>14</v>
      </c>
      <c r="K555" s="163">
        <v>14.673036437246964</v>
      </c>
      <c r="L555" s="163">
        <v>0.67303643724696371</v>
      </c>
      <c r="M555" s="163">
        <v>16</v>
      </c>
      <c r="N555" s="163">
        <v>27.713450292397663</v>
      </c>
      <c r="O555" s="163">
        <v>11.713450292397663</v>
      </c>
      <c r="P555" s="163"/>
      <c r="Q555" s="163">
        <v>19</v>
      </c>
      <c r="R555" s="163">
        <v>0</v>
      </c>
      <c r="S555" s="163">
        <v>0</v>
      </c>
      <c r="T555" s="163">
        <v>0</v>
      </c>
      <c r="U555" s="163">
        <v>0</v>
      </c>
      <c r="V555" s="163">
        <v>0</v>
      </c>
      <c r="W555" s="163">
        <v>0</v>
      </c>
      <c r="X555" s="163">
        <v>0</v>
      </c>
      <c r="Y555" s="163">
        <v>19</v>
      </c>
      <c r="Z555" s="163">
        <v>19</v>
      </c>
      <c r="AA555" s="163">
        <v>0</v>
      </c>
      <c r="AB555" s="163">
        <v>0</v>
      </c>
      <c r="AC555" s="163">
        <v>14</v>
      </c>
      <c r="AD555" s="163">
        <v>5</v>
      </c>
      <c r="AE555" s="165">
        <v>0.65852683945842272</v>
      </c>
      <c r="AF555" s="166">
        <v>0.69511166387277956</v>
      </c>
    </row>
    <row r="556" spans="1:32">
      <c r="A556" s="161">
        <v>12</v>
      </c>
      <c r="B556" s="162">
        <v>0.54166666666666663</v>
      </c>
      <c r="C556" s="163">
        <v>21.75236244864967</v>
      </c>
      <c r="D556" s="163">
        <v>794.56291892682111</v>
      </c>
      <c r="E556" s="164">
        <v>0.81920000000000004</v>
      </c>
      <c r="F556" s="164">
        <v>0.81920000000000004</v>
      </c>
      <c r="G556" s="163">
        <v>18</v>
      </c>
      <c r="H556" s="163">
        <v>28.333333333333336</v>
      </c>
      <c r="I556" s="163">
        <v>10.333333333333336</v>
      </c>
      <c r="J556" s="163">
        <v>14</v>
      </c>
      <c r="K556" s="163">
        <v>14.673036437246964</v>
      </c>
      <c r="L556" s="163">
        <v>0.67303643724696371</v>
      </c>
      <c r="M556" s="163">
        <v>16</v>
      </c>
      <c r="N556" s="163">
        <v>25.886189833558255</v>
      </c>
      <c r="O556" s="163">
        <v>9.8861898335582552</v>
      </c>
      <c r="P556" s="163"/>
      <c r="Q556" s="163">
        <v>17</v>
      </c>
      <c r="R556" s="163">
        <v>0</v>
      </c>
      <c r="S556" s="163">
        <v>0</v>
      </c>
      <c r="T556" s="163">
        <v>0</v>
      </c>
      <c r="U556" s="163">
        <v>0</v>
      </c>
      <c r="V556" s="163">
        <v>0</v>
      </c>
      <c r="W556" s="163">
        <v>0</v>
      </c>
      <c r="X556" s="163">
        <v>0</v>
      </c>
      <c r="Y556" s="163">
        <v>17</v>
      </c>
      <c r="Z556" s="163">
        <v>17</v>
      </c>
      <c r="AA556" s="163">
        <v>0</v>
      </c>
      <c r="AB556" s="163">
        <v>0</v>
      </c>
      <c r="AC556" s="163">
        <v>12</v>
      </c>
      <c r="AD556" s="163">
        <v>5</v>
      </c>
      <c r="AE556" s="165">
        <v>0.69289241466706752</v>
      </c>
      <c r="AF556" s="166">
        <v>0.65439839163000812</v>
      </c>
    </row>
    <row r="557" spans="1:32">
      <c r="A557" s="161">
        <v>12</v>
      </c>
      <c r="B557" s="162">
        <v>0.5625</v>
      </c>
      <c r="C557" s="163">
        <v>20.685740290102537</v>
      </c>
      <c r="D557" s="163">
        <v>845.22994394671525</v>
      </c>
      <c r="E557" s="164">
        <v>0.80610000000000015</v>
      </c>
      <c r="F557" s="164">
        <v>0.80610000000000015</v>
      </c>
      <c r="G557" s="163">
        <v>18</v>
      </c>
      <c r="H557" s="163">
        <v>28.333333333333336</v>
      </c>
      <c r="I557" s="163">
        <v>10.333333333333336</v>
      </c>
      <c r="J557" s="163">
        <v>14</v>
      </c>
      <c r="K557" s="163">
        <v>14.673036437246964</v>
      </c>
      <c r="L557" s="163">
        <v>0.67303643724696371</v>
      </c>
      <c r="M557" s="163">
        <v>16</v>
      </c>
      <c r="N557" s="163">
        <v>25.886189833558255</v>
      </c>
      <c r="O557" s="163">
        <v>9.8861898335582552</v>
      </c>
      <c r="P557" s="163"/>
      <c r="Q557" s="163">
        <v>17</v>
      </c>
      <c r="R557" s="163">
        <v>0</v>
      </c>
      <c r="S557" s="163">
        <v>0</v>
      </c>
      <c r="T557" s="163">
        <v>0</v>
      </c>
      <c r="U557" s="163">
        <v>0</v>
      </c>
      <c r="V557" s="163">
        <v>0</v>
      </c>
      <c r="W557" s="163">
        <v>0</v>
      </c>
      <c r="X557" s="163">
        <v>0</v>
      </c>
      <c r="Y557" s="163">
        <v>17</v>
      </c>
      <c r="Z557" s="163">
        <v>17</v>
      </c>
      <c r="AA557" s="163">
        <v>0</v>
      </c>
      <c r="AB557" s="163">
        <v>0</v>
      </c>
      <c r="AC557" s="163">
        <v>12</v>
      </c>
      <c r="AD557" s="163">
        <v>5</v>
      </c>
      <c r="AE557" s="165">
        <v>0.70093383556556121</v>
      </c>
      <c r="AF557" s="166">
        <v>0.66199306692303006</v>
      </c>
    </row>
    <row r="558" spans="1:32">
      <c r="A558" s="161">
        <v>12</v>
      </c>
      <c r="B558" s="162">
        <v>0.58333333333333337</v>
      </c>
      <c r="C558" s="163">
        <v>20.031547951999297</v>
      </c>
      <c r="D558" s="163">
        <v>836.17369330508507</v>
      </c>
      <c r="E558" s="164">
        <v>0.84770000000000001</v>
      </c>
      <c r="F558" s="164">
        <v>0.84770000000000001</v>
      </c>
      <c r="G558" s="163">
        <v>16</v>
      </c>
      <c r="H558" s="163">
        <v>28.333333333333336</v>
      </c>
      <c r="I558" s="163">
        <v>12.333333333333336</v>
      </c>
      <c r="J558" s="163">
        <v>13</v>
      </c>
      <c r="K558" s="163">
        <v>13.042699055330635</v>
      </c>
      <c r="L558" s="163">
        <v>4.2699055330635005E-2</v>
      </c>
      <c r="M558" s="163">
        <v>15</v>
      </c>
      <c r="N558" s="163">
        <v>25.886189833558255</v>
      </c>
      <c r="O558" s="163">
        <v>10.886189833558255</v>
      </c>
      <c r="P558" s="163"/>
      <c r="Q558" s="163">
        <v>17</v>
      </c>
      <c r="R558" s="163">
        <v>0</v>
      </c>
      <c r="S558" s="163">
        <v>0</v>
      </c>
      <c r="T558" s="163">
        <v>0</v>
      </c>
      <c r="U558" s="163">
        <v>0</v>
      </c>
      <c r="V558" s="163">
        <v>0</v>
      </c>
      <c r="W558" s="163">
        <v>0</v>
      </c>
      <c r="X558" s="163">
        <v>0</v>
      </c>
      <c r="Y558" s="163">
        <v>17</v>
      </c>
      <c r="Z558" s="163">
        <v>17</v>
      </c>
      <c r="AA558" s="163">
        <v>0</v>
      </c>
      <c r="AB558" s="163">
        <v>0</v>
      </c>
      <c r="AC558" s="163">
        <v>12</v>
      </c>
      <c r="AD558" s="163">
        <v>5</v>
      </c>
      <c r="AE558" s="165">
        <v>0.67149393399952861</v>
      </c>
      <c r="AF558" s="166">
        <v>0.71346230487449913</v>
      </c>
    </row>
    <row r="559" spans="1:32">
      <c r="A559" s="161">
        <v>12</v>
      </c>
      <c r="B559" s="162">
        <v>0.60416666666666663</v>
      </c>
      <c r="C559" s="163">
        <v>19.430717628761581</v>
      </c>
      <c r="D559" s="163">
        <v>830.91917492593541</v>
      </c>
      <c r="E559" s="164">
        <v>0.93336666666666668</v>
      </c>
      <c r="F559" s="164">
        <v>0.93336666666666668</v>
      </c>
      <c r="G559" s="163">
        <v>16</v>
      </c>
      <c r="H559" s="163">
        <v>29.666666666666664</v>
      </c>
      <c r="I559" s="163">
        <v>13.666666666666664</v>
      </c>
      <c r="J559" s="163">
        <v>13</v>
      </c>
      <c r="K559" s="163">
        <v>13.042699055330635</v>
      </c>
      <c r="L559" s="163">
        <v>4.2699055330635005E-2</v>
      </c>
      <c r="M559" s="163">
        <v>15</v>
      </c>
      <c r="N559" s="163">
        <v>27.104363472784524</v>
      </c>
      <c r="O559" s="163">
        <v>12.104363472784524</v>
      </c>
      <c r="P559" s="163"/>
      <c r="Q559" s="163">
        <v>17</v>
      </c>
      <c r="R559" s="163">
        <v>0</v>
      </c>
      <c r="S559" s="163">
        <v>0</v>
      </c>
      <c r="T559" s="163">
        <v>0</v>
      </c>
      <c r="U559" s="163">
        <v>0</v>
      </c>
      <c r="V559" s="163">
        <v>0</v>
      </c>
      <c r="W559" s="163">
        <v>0</v>
      </c>
      <c r="X559" s="163">
        <v>0</v>
      </c>
      <c r="Y559" s="163">
        <v>17</v>
      </c>
      <c r="Z559" s="163">
        <v>17</v>
      </c>
      <c r="AA559" s="163">
        <v>0</v>
      </c>
      <c r="AB559" s="163">
        <v>0</v>
      </c>
      <c r="AC559" s="163">
        <v>12</v>
      </c>
      <c r="AD559" s="163">
        <v>5</v>
      </c>
      <c r="AE559" s="165">
        <v>0.64725990382022836</v>
      </c>
      <c r="AF559" s="166">
        <v>0.68771364780899269</v>
      </c>
    </row>
    <row r="560" spans="1:32">
      <c r="A560" s="161">
        <v>12</v>
      </c>
      <c r="B560" s="162">
        <v>0.625</v>
      </c>
      <c r="C560" s="163">
        <v>19.991676400160976</v>
      </c>
      <c r="D560" s="163">
        <v>878.39553616292778</v>
      </c>
      <c r="E560" s="164">
        <v>0.7216999999999999</v>
      </c>
      <c r="F560" s="164">
        <v>0.7216999999999999</v>
      </c>
      <c r="G560" s="163">
        <v>18</v>
      </c>
      <c r="H560" s="163">
        <v>29</v>
      </c>
      <c r="I560" s="163">
        <v>11</v>
      </c>
      <c r="J560" s="163">
        <v>14</v>
      </c>
      <c r="K560" s="163">
        <v>14.673036437246964</v>
      </c>
      <c r="L560" s="163">
        <v>0.67303643724696371</v>
      </c>
      <c r="M560" s="163">
        <v>16</v>
      </c>
      <c r="N560" s="163">
        <v>26.495276653171388</v>
      </c>
      <c r="O560" s="163">
        <v>10.495276653171388</v>
      </c>
      <c r="P560" s="163"/>
      <c r="Q560" s="163">
        <v>19</v>
      </c>
      <c r="R560" s="163">
        <v>0</v>
      </c>
      <c r="S560" s="163">
        <v>0</v>
      </c>
      <c r="T560" s="163">
        <v>0</v>
      </c>
      <c r="U560" s="163">
        <v>0</v>
      </c>
      <c r="V560" s="163">
        <v>0</v>
      </c>
      <c r="W560" s="163">
        <v>0</v>
      </c>
      <c r="X560" s="163">
        <v>0</v>
      </c>
      <c r="Y560" s="163">
        <v>19</v>
      </c>
      <c r="Z560" s="163">
        <v>19</v>
      </c>
      <c r="AA560" s="163">
        <v>0</v>
      </c>
      <c r="AB560" s="163">
        <v>0</v>
      </c>
      <c r="AC560" s="163">
        <v>12</v>
      </c>
      <c r="AD560" s="163">
        <v>7</v>
      </c>
      <c r="AE560" s="165">
        <v>0.62989148354992208</v>
      </c>
      <c r="AF560" s="166">
        <v>0.66488545485825112</v>
      </c>
    </row>
    <row r="561" spans="1:32">
      <c r="A561" s="161">
        <v>12</v>
      </c>
      <c r="B561" s="162">
        <v>0.64583333333333337</v>
      </c>
      <c r="C561" s="163">
        <v>19.374921097487093</v>
      </c>
      <c r="D561" s="163">
        <v>857.93761365888236</v>
      </c>
      <c r="E561" s="164">
        <v>0.58130000000000004</v>
      </c>
      <c r="F561" s="164">
        <v>0.58130000000000004</v>
      </c>
      <c r="G561" s="163">
        <v>16</v>
      </c>
      <c r="H561" s="163">
        <v>23.333333333333336</v>
      </c>
      <c r="I561" s="163">
        <v>7.3333333333333357</v>
      </c>
      <c r="J561" s="163">
        <v>13</v>
      </c>
      <c r="K561" s="163">
        <v>13.042699055330635</v>
      </c>
      <c r="L561" s="163">
        <v>4.2699055330635005E-2</v>
      </c>
      <c r="M561" s="163">
        <v>15</v>
      </c>
      <c r="N561" s="163">
        <v>21.31803868645974</v>
      </c>
      <c r="O561" s="163">
        <v>6.3180386864597402</v>
      </c>
      <c r="P561" s="163"/>
      <c r="Q561" s="163">
        <v>14</v>
      </c>
      <c r="R561" s="163">
        <v>0</v>
      </c>
      <c r="S561" s="163">
        <v>0</v>
      </c>
      <c r="T561" s="163">
        <v>0</v>
      </c>
      <c r="U561" s="163">
        <v>0</v>
      </c>
      <c r="V561" s="163">
        <v>0</v>
      </c>
      <c r="W561" s="163">
        <v>0</v>
      </c>
      <c r="X561" s="163">
        <v>0</v>
      </c>
      <c r="Y561" s="163">
        <v>14</v>
      </c>
      <c r="Z561" s="163">
        <v>14</v>
      </c>
      <c r="AA561" s="163">
        <v>0</v>
      </c>
      <c r="AB561" s="163">
        <v>0</v>
      </c>
      <c r="AC561" s="163">
        <v>10</v>
      </c>
      <c r="AD561" s="163">
        <v>4</v>
      </c>
      <c r="AE561" s="165">
        <v>0.80918461961053134</v>
      </c>
      <c r="AF561" s="166">
        <v>0.70803654215921497</v>
      </c>
    </row>
    <row r="562" spans="1:32">
      <c r="A562" s="161">
        <v>12</v>
      </c>
      <c r="B562" s="162">
        <v>0.66666666666666663</v>
      </c>
      <c r="C562" s="163">
        <v>18.58801968282426</v>
      </c>
      <c r="D562" s="163">
        <v>893.42597873831403</v>
      </c>
      <c r="E562" s="164">
        <v>0.58220000000000005</v>
      </c>
      <c r="F562" s="164">
        <v>0.58220000000000005</v>
      </c>
      <c r="G562" s="163">
        <v>16</v>
      </c>
      <c r="H562" s="163">
        <v>23.333333333333336</v>
      </c>
      <c r="I562" s="163">
        <v>7.3333333333333357</v>
      </c>
      <c r="J562" s="163">
        <v>13</v>
      </c>
      <c r="K562" s="163">
        <v>13.042699055330635</v>
      </c>
      <c r="L562" s="163">
        <v>4.2699055330635005E-2</v>
      </c>
      <c r="M562" s="163">
        <v>15</v>
      </c>
      <c r="N562" s="163">
        <v>21.31803868645974</v>
      </c>
      <c r="O562" s="163">
        <v>6.3180386864597402</v>
      </c>
      <c r="P562" s="163"/>
      <c r="Q562" s="163">
        <v>14</v>
      </c>
      <c r="R562" s="163">
        <v>0</v>
      </c>
      <c r="S562" s="163">
        <v>0</v>
      </c>
      <c r="T562" s="163">
        <v>0</v>
      </c>
      <c r="U562" s="163">
        <v>0</v>
      </c>
      <c r="V562" s="163">
        <v>0</v>
      </c>
      <c r="W562" s="163">
        <v>0</v>
      </c>
      <c r="X562" s="163">
        <v>0</v>
      </c>
      <c r="Y562" s="163">
        <v>14</v>
      </c>
      <c r="Z562" s="163">
        <v>14</v>
      </c>
      <c r="AA562" s="163">
        <v>0</v>
      </c>
      <c r="AB562" s="163">
        <v>0</v>
      </c>
      <c r="AC562" s="163">
        <v>10</v>
      </c>
      <c r="AD562" s="163">
        <v>4</v>
      </c>
      <c r="AE562" s="165">
        <v>0.80843232166305901</v>
      </c>
      <c r="AF562" s="166">
        <v>0.70737828145517656</v>
      </c>
    </row>
    <row r="563" spans="1:32">
      <c r="A563" s="161">
        <v>12</v>
      </c>
      <c r="B563" s="162">
        <v>0.6875</v>
      </c>
      <c r="C563" s="163">
        <v>17.701650636239972</v>
      </c>
      <c r="D563" s="163">
        <v>839.35030440151195</v>
      </c>
      <c r="E563" s="164">
        <v>0.53580000000000005</v>
      </c>
      <c r="F563" s="164">
        <v>0.53580000000000005</v>
      </c>
      <c r="G563" s="163">
        <v>15</v>
      </c>
      <c r="H563" s="163">
        <v>22</v>
      </c>
      <c r="I563" s="163">
        <v>7</v>
      </c>
      <c r="J563" s="163">
        <v>12</v>
      </c>
      <c r="K563" s="163">
        <v>12.22753036437247</v>
      </c>
      <c r="L563" s="163">
        <v>0.22753036437246976</v>
      </c>
      <c r="M563" s="163">
        <v>14</v>
      </c>
      <c r="N563" s="163">
        <v>20.099865047233468</v>
      </c>
      <c r="O563" s="163">
        <v>6.0998650472334681</v>
      </c>
      <c r="P563" s="163"/>
      <c r="Q563" s="163">
        <v>14</v>
      </c>
      <c r="R563" s="163">
        <v>0</v>
      </c>
      <c r="S563" s="163">
        <v>0</v>
      </c>
      <c r="T563" s="163">
        <v>0</v>
      </c>
      <c r="U563" s="163">
        <v>0</v>
      </c>
      <c r="V563" s="163">
        <v>0</v>
      </c>
      <c r="W563" s="163">
        <v>0</v>
      </c>
      <c r="X563" s="163">
        <v>0</v>
      </c>
      <c r="Y563" s="163">
        <v>14</v>
      </c>
      <c r="Z563" s="163">
        <v>14</v>
      </c>
      <c r="AA563" s="163">
        <v>0</v>
      </c>
      <c r="AB563" s="163">
        <v>0</v>
      </c>
      <c r="AC563" s="163">
        <v>10</v>
      </c>
      <c r="AD563" s="163">
        <v>4</v>
      </c>
      <c r="AE563" s="165">
        <v>0.72328421267719933</v>
      </c>
      <c r="AF563" s="166">
        <v>0.67506526516538601</v>
      </c>
    </row>
    <row r="564" spans="1:32">
      <c r="A564" s="161">
        <v>12</v>
      </c>
      <c r="B564" s="162">
        <v>0.70833333333333337</v>
      </c>
      <c r="C564" s="163">
        <v>17.859702905667689</v>
      </c>
      <c r="D564" s="163">
        <v>879.41376302514743</v>
      </c>
      <c r="E564" s="164">
        <v>0.30530000000000002</v>
      </c>
      <c r="F564" s="164">
        <v>0.30530000000000002</v>
      </c>
      <c r="G564" s="163">
        <v>16</v>
      </c>
      <c r="H564" s="163">
        <v>20</v>
      </c>
      <c r="I564" s="163">
        <v>4</v>
      </c>
      <c r="J564" s="163">
        <v>13</v>
      </c>
      <c r="K564" s="163">
        <v>13.042699055330635</v>
      </c>
      <c r="L564" s="163">
        <v>4.2699055330635005E-2</v>
      </c>
      <c r="M564" s="163">
        <v>15</v>
      </c>
      <c r="N564" s="163">
        <v>18.27260458839406</v>
      </c>
      <c r="O564" s="163">
        <v>3.27260458839406</v>
      </c>
      <c r="P564" s="163"/>
      <c r="Q564" s="163">
        <v>12</v>
      </c>
      <c r="R564" s="163">
        <v>0</v>
      </c>
      <c r="S564" s="163">
        <v>0</v>
      </c>
      <c r="T564" s="163">
        <v>0</v>
      </c>
      <c r="U564" s="163">
        <v>0</v>
      </c>
      <c r="V564" s="163">
        <v>0</v>
      </c>
      <c r="W564" s="163">
        <v>0</v>
      </c>
      <c r="X564" s="163">
        <v>0</v>
      </c>
      <c r="Y564" s="163">
        <v>12</v>
      </c>
      <c r="Z564" s="163">
        <v>12</v>
      </c>
      <c r="AA564" s="163">
        <v>0</v>
      </c>
      <c r="AB564" s="163">
        <v>0</v>
      </c>
      <c r="AC564" s="163">
        <v>10</v>
      </c>
      <c r="AD564" s="163">
        <v>2</v>
      </c>
      <c r="AE564" s="165">
        <v>0.89200285877860863</v>
      </c>
      <c r="AF564" s="166">
        <v>0.66900214408395653</v>
      </c>
    </row>
    <row r="565" spans="1:32">
      <c r="A565" s="161">
        <v>12</v>
      </c>
      <c r="B565" s="162">
        <v>0.72916666666666663</v>
      </c>
      <c r="C565" s="163">
        <v>17.894028956080902</v>
      </c>
      <c r="D565" s="163">
        <v>822.23030905347071</v>
      </c>
      <c r="E565" s="164">
        <v>0.7642000000000001</v>
      </c>
      <c r="F565" s="164">
        <v>0.7642000000000001</v>
      </c>
      <c r="G565" s="163">
        <v>15</v>
      </c>
      <c r="H565" s="163">
        <v>22.666666666666664</v>
      </c>
      <c r="I565" s="163">
        <v>7.6666666666666643</v>
      </c>
      <c r="J565" s="163">
        <v>12</v>
      </c>
      <c r="K565" s="163">
        <v>12.22753036437247</v>
      </c>
      <c r="L565" s="163">
        <v>0.22753036437246976</v>
      </c>
      <c r="M565" s="163">
        <v>14</v>
      </c>
      <c r="N565" s="163">
        <v>20.708951866846601</v>
      </c>
      <c r="O565" s="163">
        <v>6.7089518668466006</v>
      </c>
      <c r="P565" s="163"/>
      <c r="Q565" s="163">
        <v>12</v>
      </c>
      <c r="R565" s="163">
        <v>0</v>
      </c>
      <c r="S565" s="163">
        <v>0</v>
      </c>
      <c r="T565" s="163">
        <v>0</v>
      </c>
      <c r="U565" s="163">
        <v>0</v>
      </c>
      <c r="V565" s="163">
        <v>0</v>
      </c>
      <c r="W565" s="163">
        <v>0</v>
      </c>
      <c r="X565" s="163">
        <v>0</v>
      </c>
      <c r="Y565" s="163">
        <v>12</v>
      </c>
      <c r="Z565" s="163">
        <v>12</v>
      </c>
      <c r="AA565" s="163">
        <v>0</v>
      </c>
      <c r="AB565" s="163">
        <v>0</v>
      </c>
      <c r="AC565" s="163">
        <v>10</v>
      </c>
      <c r="AD565" s="163">
        <v>2</v>
      </c>
      <c r="AE565" s="165">
        <v>0.83560374055807285</v>
      </c>
      <c r="AF565" s="166">
        <v>0.66848299244645826</v>
      </c>
    </row>
    <row r="566" spans="1:32">
      <c r="A566" s="161">
        <v>12</v>
      </c>
      <c r="B566" s="162">
        <v>0.75</v>
      </c>
      <c r="C566" s="163">
        <v>16.881849602578072</v>
      </c>
      <c r="D566" s="163">
        <v>856.48116440589467</v>
      </c>
      <c r="E566" s="164">
        <v>0.93089999999999995</v>
      </c>
      <c r="F566" s="164">
        <v>0.93089999999999995</v>
      </c>
      <c r="G566" s="163">
        <v>15</v>
      </c>
      <c r="H566" s="163">
        <v>26.666666666666664</v>
      </c>
      <c r="I566" s="163">
        <v>11.666666666666664</v>
      </c>
      <c r="J566" s="163">
        <v>12</v>
      </c>
      <c r="K566" s="163">
        <v>12.22753036437247</v>
      </c>
      <c r="L566" s="163">
        <v>0.22753036437246976</v>
      </c>
      <c r="M566" s="163">
        <v>14</v>
      </c>
      <c r="N566" s="163">
        <v>24.363472784525413</v>
      </c>
      <c r="O566" s="163">
        <v>10.363472784525413</v>
      </c>
      <c r="P566" s="163"/>
      <c r="Q566" s="163">
        <v>16</v>
      </c>
      <c r="R566" s="163">
        <v>0</v>
      </c>
      <c r="S566" s="163">
        <v>0</v>
      </c>
      <c r="T566" s="163">
        <v>0</v>
      </c>
      <c r="U566" s="163">
        <v>0</v>
      </c>
      <c r="V566" s="163">
        <v>0</v>
      </c>
      <c r="W566" s="163">
        <v>0</v>
      </c>
      <c r="X566" s="163">
        <v>0</v>
      </c>
      <c r="Y566" s="163">
        <v>16</v>
      </c>
      <c r="Z566" s="163">
        <v>16</v>
      </c>
      <c r="AA566" s="163">
        <v>0</v>
      </c>
      <c r="AB566" s="163">
        <v>0</v>
      </c>
      <c r="AC566" s="163">
        <v>14</v>
      </c>
      <c r="AD566" s="163">
        <v>2</v>
      </c>
      <c r="AE566" s="165">
        <v>0.61588250098994735</v>
      </c>
      <c r="AF566" s="166">
        <v>0.65694133438927704</v>
      </c>
    </row>
    <row r="567" spans="1:32">
      <c r="A567" s="161">
        <v>12</v>
      </c>
      <c r="B567" s="162">
        <v>0.77083333333333337</v>
      </c>
      <c r="C567" s="163">
        <v>16.431752348950418</v>
      </c>
      <c r="D567" s="163">
        <v>790.22178336855734</v>
      </c>
      <c r="E567" s="164">
        <v>0.96749999999999992</v>
      </c>
      <c r="F567" s="164">
        <v>0.96749999999999992</v>
      </c>
      <c r="G567" s="163">
        <v>14</v>
      </c>
      <c r="H567" s="163">
        <v>26.666666666666664</v>
      </c>
      <c r="I567" s="163">
        <v>12.666666666666664</v>
      </c>
      <c r="J567" s="163">
        <v>11</v>
      </c>
      <c r="K567" s="163">
        <v>11.412361673414306</v>
      </c>
      <c r="L567" s="163">
        <v>0.4123616734143063</v>
      </c>
      <c r="M567" s="163">
        <v>13</v>
      </c>
      <c r="N567" s="163">
        <v>24.363472784525413</v>
      </c>
      <c r="O567" s="163">
        <v>11.363472784525413</v>
      </c>
      <c r="P567" s="163"/>
      <c r="Q567" s="163">
        <v>16</v>
      </c>
      <c r="R567" s="163">
        <v>0</v>
      </c>
      <c r="S567" s="163">
        <v>0</v>
      </c>
      <c r="T567" s="163">
        <v>0</v>
      </c>
      <c r="U567" s="163">
        <v>0</v>
      </c>
      <c r="V567" s="163">
        <v>0</v>
      </c>
      <c r="W567" s="163">
        <v>0</v>
      </c>
      <c r="X567" s="163">
        <v>0</v>
      </c>
      <c r="Y567" s="163">
        <v>16</v>
      </c>
      <c r="Z567" s="163">
        <v>16</v>
      </c>
      <c r="AA567" s="163">
        <v>0</v>
      </c>
      <c r="AB567" s="163">
        <v>0</v>
      </c>
      <c r="AC567" s="163">
        <v>14</v>
      </c>
      <c r="AD567" s="163">
        <v>2</v>
      </c>
      <c r="AE567" s="165">
        <v>0.55308629797718734</v>
      </c>
      <c r="AF567" s="166">
        <v>0.63209862625964264</v>
      </c>
    </row>
    <row r="568" spans="1:32">
      <c r="A568" s="161">
        <v>12</v>
      </c>
      <c r="B568" s="162">
        <v>0.79166666666666663</v>
      </c>
      <c r="C568" s="163">
        <v>16.191430744329288</v>
      </c>
      <c r="D568" s="163">
        <v>830.11953480044997</v>
      </c>
      <c r="E568" s="164">
        <v>0.85309999999999997</v>
      </c>
      <c r="F568" s="164">
        <v>0.85309999999999997</v>
      </c>
      <c r="G568" s="163">
        <v>14</v>
      </c>
      <c r="H568" s="163">
        <v>23.333333333333336</v>
      </c>
      <c r="I568" s="163">
        <v>9.3333333333333357</v>
      </c>
      <c r="J568" s="163">
        <v>11</v>
      </c>
      <c r="K568" s="163">
        <v>11.412361673414306</v>
      </c>
      <c r="L568" s="163">
        <v>0.4123616734143063</v>
      </c>
      <c r="M568" s="163">
        <v>13</v>
      </c>
      <c r="N568" s="163">
        <v>21.31803868645974</v>
      </c>
      <c r="O568" s="163">
        <v>8.3180386864597402</v>
      </c>
      <c r="P568" s="163"/>
      <c r="Q568" s="163">
        <v>14</v>
      </c>
      <c r="R568" s="163">
        <v>0</v>
      </c>
      <c r="S568" s="163">
        <v>0</v>
      </c>
      <c r="T568" s="163">
        <v>0</v>
      </c>
      <c r="U568" s="163">
        <v>0</v>
      </c>
      <c r="V568" s="163">
        <v>0</v>
      </c>
      <c r="W568" s="163">
        <v>0</v>
      </c>
      <c r="X568" s="163">
        <v>0</v>
      </c>
      <c r="Y568" s="163">
        <v>14</v>
      </c>
      <c r="Z568" s="163">
        <v>14</v>
      </c>
      <c r="AA568" s="163">
        <v>0</v>
      </c>
      <c r="AB568" s="163">
        <v>0</v>
      </c>
      <c r="AC568" s="163">
        <v>12</v>
      </c>
      <c r="AD568" s="163">
        <v>2</v>
      </c>
      <c r="AE568" s="165">
        <v>0.65430136888549129</v>
      </c>
      <c r="AF568" s="166">
        <v>0.65430136888549129</v>
      </c>
    </row>
    <row r="569" spans="1:32">
      <c r="A569" s="161">
        <v>12</v>
      </c>
      <c r="B569" s="162">
        <v>0.8125</v>
      </c>
      <c r="C569" s="163">
        <v>14.161793914749339</v>
      </c>
      <c r="D569" s="163">
        <v>808.76517685059071</v>
      </c>
      <c r="E569" s="164">
        <v>0.94089999999999996</v>
      </c>
      <c r="F569" s="164">
        <v>0.94089999999999996</v>
      </c>
      <c r="G569" s="163">
        <v>13</v>
      </c>
      <c r="H569" s="163">
        <v>23.333333333333336</v>
      </c>
      <c r="I569" s="163">
        <v>10.333333333333336</v>
      </c>
      <c r="J569" s="163">
        <v>10</v>
      </c>
      <c r="K569" s="163">
        <v>10.597192982456141</v>
      </c>
      <c r="L569" s="163">
        <v>0.59719298245614105</v>
      </c>
      <c r="M569" s="163">
        <v>12</v>
      </c>
      <c r="N569" s="163">
        <v>21.31803868645974</v>
      </c>
      <c r="O569" s="163">
        <v>9.3180386864597402</v>
      </c>
      <c r="P569" s="163"/>
      <c r="Q569" s="163">
        <v>14</v>
      </c>
      <c r="R569" s="163">
        <v>0</v>
      </c>
      <c r="S569" s="163">
        <v>0</v>
      </c>
      <c r="T569" s="163">
        <v>0</v>
      </c>
      <c r="U569" s="163">
        <v>0</v>
      </c>
      <c r="V569" s="163">
        <v>0</v>
      </c>
      <c r="W569" s="163">
        <v>0</v>
      </c>
      <c r="X569" s="163">
        <v>0</v>
      </c>
      <c r="Y569" s="163">
        <v>14</v>
      </c>
      <c r="Z569" s="163">
        <v>14</v>
      </c>
      <c r="AA569" s="163">
        <v>0</v>
      </c>
      <c r="AB569" s="163">
        <v>0</v>
      </c>
      <c r="AC569" s="163">
        <v>12</v>
      </c>
      <c r="AD569" s="163">
        <v>2</v>
      </c>
      <c r="AE569" s="165">
        <v>0.55756137694996855</v>
      </c>
      <c r="AF569" s="166">
        <v>0.60045071363842761</v>
      </c>
    </row>
    <row r="570" spans="1:32">
      <c r="A570" s="161">
        <v>12</v>
      </c>
      <c r="B570" s="162">
        <v>0.83333333333333337</v>
      </c>
      <c r="C570" s="163">
        <v>14.494048292383557</v>
      </c>
      <c r="D570" s="163">
        <v>783.40275125678886</v>
      </c>
      <c r="E570" s="164">
        <v>0.71623333333333328</v>
      </c>
      <c r="F570" s="164">
        <v>0.71623333333333328</v>
      </c>
      <c r="G570" s="163">
        <v>13</v>
      </c>
      <c r="H570" s="163">
        <v>20.666666666666668</v>
      </c>
      <c r="I570" s="163">
        <v>7.6666666666666679</v>
      </c>
      <c r="J570" s="163">
        <v>10</v>
      </c>
      <c r="K570" s="163">
        <v>10.597192982456141</v>
      </c>
      <c r="L570" s="163">
        <v>0.59719298245614105</v>
      </c>
      <c r="M570" s="163">
        <v>12</v>
      </c>
      <c r="N570" s="163">
        <v>18.881691408007196</v>
      </c>
      <c r="O570" s="163">
        <v>6.881691408007196</v>
      </c>
      <c r="P570" s="163"/>
      <c r="Q570" s="163">
        <v>14</v>
      </c>
      <c r="R570" s="163">
        <v>0</v>
      </c>
      <c r="S570" s="163">
        <v>0</v>
      </c>
      <c r="T570" s="163">
        <v>0</v>
      </c>
      <c r="U570" s="163">
        <v>0</v>
      </c>
      <c r="V570" s="163">
        <v>0</v>
      </c>
      <c r="W570" s="163">
        <v>0</v>
      </c>
      <c r="X570" s="163">
        <v>0</v>
      </c>
      <c r="Y570" s="163">
        <v>14</v>
      </c>
      <c r="Z570" s="163">
        <v>14</v>
      </c>
      <c r="AA570" s="163">
        <v>0</v>
      </c>
      <c r="AB570" s="163">
        <v>0</v>
      </c>
      <c r="AC570" s="163">
        <v>12</v>
      </c>
      <c r="AD570" s="163">
        <v>2</v>
      </c>
      <c r="AE570" s="165">
        <v>0.55274747165675797</v>
      </c>
      <c r="AF570" s="166">
        <v>0.59526650793804703</v>
      </c>
    </row>
    <row r="571" spans="1:32">
      <c r="A571" s="161">
        <v>12</v>
      </c>
      <c r="B571" s="162">
        <v>0.85416666666666663</v>
      </c>
      <c r="C571" s="163">
        <v>12.930450033747409</v>
      </c>
      <c r="D571" s="163">
        <v>760.19698817238748</v>
      </c>
      <c r="E571" s="164">
        <v>0.50996666666666668</v>
      </c>
      <c r="F571" s="164">
        <v>0.50996666666666668</v>
      </c>
      <c r="G571" s="163">
        <v>12</v>
      </c>
      <c r="H571" s="163">
        <v>15.333333333333332</v>
      </c>
      <c r="I571" s="163">
        <v>3.3333333333333321</v>
      </c>
      <c r="J571" s="163">
        <v>9</v>
      </c>
      <c r="K571" s="163">
        <v>9.7820242914979758</v>
      </c>
      <c r="L571" s="163">
        <v>0.78202429149797581</v>
      </c>
      <c r="M571" s="163">
        <v>11</v>
      </c>
      <c r="N571" s="163">
        <v>14.008996851102113</v>
      </c>
      <c r="O571" s="163">
        <v>3.008996851102113</v>
      </c>
      <c r="P571" s="163"/>
      <c r="Q571" s="163">
        <v>10</v>
      </c>
      <c r="R571" s="163">
        <v>0</v>
      </c>
      <c r="S571" s="163">
        <v>0</v>
      </c>
      <c r="T571" s="163">
        <v>0</v>
      </c>
      <c r="U571" s="163">
        <v>0</v>
      </c>
      <c r="V571" s="163">
        <v>0</v>
      </c>
      <c r="W571" s="163">
        <v>0</v>
      </c>
      <c r="X571" s="163">
        <v>0</v>
      </c>
      <c r="Y571" s="163">
        <v>10</v>
      </c>
      <c r="Z571" s="163">
        <v>10</v>
      </c>
      <c r="AA571" s="163">
        <v>0</v>
      </c>
      <c r="AB571" s="163">
        <v>0</v>
      </c>
      <c r="AC571" s="163">
        <v>8</v>
      </c>
      <c r="AD571" s="163">
        <v>2</v>
      </c>
      <c r="AE571" s="165">
        <v>0.66991513402202296</v>
      </c>
      <c r="AF571" s="166">
        <v>0.55826261168501912</v>
      </c>
    </row>
    <row r="572" spans="1:32">
      <c r="A572" s="161">
        <v>12</v>
      </c>
      <c r="B572" s="162">
        <v>0.875</v>
      </c>
      <c r="C572" s="163">
        <v>10.935967960675839</v>
      </c>
      <c r="D572" s="163">
        <v>734.72333623099439</v>
      </c>
      <c r="E572" s="164">
        <v>0.65839999999999999</v>
      </c>
      <c r="F572" s="164">
        <v>0.65839999999999999</v>
      </c>
      <c r="G572" s="163">
        <v>9</v>
      </c>
      <c r="H572" s="163">
        <v>13.333333333333332</v>
      </c>
      <c r="I572" s="163">
        <v>4.3333333333333321</v>
      </c>
      <c r="J572" s="163">
        <v>7</v>
      </c>
      <c r="K572" s="163">
        <v>7.3365182186234819</v>
      </c>
      <c r="L572" s="163">
        <v>0.33651821862348186</v>
      </c>
      <c r="M572" s="163">
        <v>8</v>
      </c>
      <c r="N572" s="163">
        <v>12.181736392262707</v>
      </c>
      <c r="O572" s="163">
        <v>4.1817363922627067</v>
      </c>
      <c r="P572" s="163"/>
      <c r="Q572" s="163">
        <v>8</v>
      </c>
      <c r="R572" s="163">
        <v>0</v>
      </c>
      <c r="S572" s="163">
        <v>0</v>
      </c>
      <c r="T572" s="163">
        <v>0</v>
      </c>
      <c r="U572" s="163">
        <v>0</v>
      </c>
      <c r="V572" s="163">
        <v>0</v>
      </c>
      <c r="W572" s="163">
        <v>0</v>
      </c>
      <c r="X572" s="163">
        <v>0</v>
      </c>
      <c r="Y572" s="163">
        <v>8</v>
      </c>
      <c r="Z572" s="163">
        <v>8</v>
      </c>
      <c r="AA572" s="163">
        <v>0</v>
      </c>
      <c r="AB572" s="163">
        <v>0</v>
      </c>
      <c r="AC572" s="163">
        <v>6</v>
      </c>
      <c r="AD572" s="163">
        <v>2</v>
      </c>
      <c r="AE572" s="165">
        <v>0.68449626116468743</v>
      </c>
      <c r="AF572" s="166">
        <v>0.60844112103527759</v>
      </c>
    </row>
    <row r="573" spans="1:32">
      <c r="A573" s="161">
        <v>12</v>
      </c>
      <c r="B573" s="162">
        <v>0.89583333333333337</v>
      </c>
      <c r="C573" s="163">
        <v>8.9637503014754145</v>
      </c>
      <c r="D573" s="163">
        <v>710.21340490830858</v>
      </c>
      <c r="E573" s="164">
        <v>0.84500000000000008</v>
      </c>
      <c r="F573" s="164">
        <v>0.84500000000000008</v>
      </c>
      <c r="G573" s="163">
        <v>8</v>
      </c>
      <c r="H573" s="163">
        <v>13.333333333333332</v>
      </c>
      <c r="I573" s="163">
        <v>5.3333333333333321</v>
      </c>
      <c r="J573" s="163">
        <v>6</v>
      </c>
      <c r="K573" s="163">
        <v>6.5213495276653175</v>
      </c>
      <c r="L573" s="163">
        <v>0.5213495276653175</v>
      </c>
      <c r="M573" s="163">
        <v>7</v>
      </c>
      <c r="N573" s="163">
        <v>12.181736392262707</v>
      </c>
      <c r="O573" s="163">
        <v>5.1817363922627067</v>
      </c>
      <c r="P573" s="163"/>
      <c r="Q573" s="163">
        <v>8</v>
      </c>
      <c r="R573" s="163">
        <v>0</v>
      </c>
      <c r="S573" s="163">
        <v>0</v>
      </c>
      <c r="T573" s="163">
        <v>0</v>
      </c>
      <c r="U573" s="163">
        <v>0</v>
      </c>
      <c r="V573" s="163">
        <v>0</v>
      </c>
      <c r="W573" s="163">
        <v>0</v>
      </c>
      <c r="X573" s="163">
        <v>0</v>
      </c>
      <c r="Y573" s="163">
        <v>8</v>
      </c>
      <c r="Z573" s="163">
        <v>8</v>
      </c>
      <c r="AA573" s="163">
        <v>0</v>
      </c>
      <c r="AB573" s="163">
        <v>0</v>
      </c>
      <c r="AC573" s="163">
        <v>6</v>
      </c>
      <c r="AD573" s="163">
        <v>2</v>
      </c>
      <c r="AE573" s="165">
        <v>0.54233624798668367</v>
      </c>
      <c r="AF573" s="166">
        <v>0.54233624798668367</v>
      </c>
    </row>
    <row r="574" spans="1:32">
      <c r="A574" s="161">
        <v>12</v>
      </c>
      <c r="B574" s="162">
        <v>0.91666666666666663</v>
      </c>
      <c r="C574" s="163">
        <v>4.9618677255924162</v>
      </c>
      <c r="D574" s="163">
        <v>697.96871937993353</v>
      </c>
      <c r="E574" s="164">
        <v>0.91226666666666667</v>
      </c>
      <c r="F574" s="164">
        <v>0.91226666666666667</v>
      </c>
      <c r="G574" s="163">
        <v>5</v>
      </c>
      <c r="H574" s="163">
        <v>12</v>
      </c>
      <c r="I574" s="163">
        <v>7</v>
      </c>
      <c r="J574" s="163">
        <v>4</v>
      </c>
      <c r="K574" s="163">
        <v>4.0758434547908236</v>
      </c>
      <c r="L574" s="163">
        <v>7.584345479082355E-2</v>
      </c>
      <c r="M574" s="163">
        <v>5</v>
      </c>
      <c r="N574" s="163">
        <v>10.963562753036436</v>
      </c>
      <c r="O574" s="163">
        <v>5.9635627530364363</v>
      </c>
      <c r="P574" s="163"/>
      <c r="Q574" s="163">
        <v>8</v>
      </c>
      <c r="R574" s="163">
        <v>0</v>
      </c>
      <c r="S574" s="163">
        <v>0</v>
      </c>
      <c r="T574" s="163">
        <v>0</v>
      </c>
      <c r="U574" s="163">
        <v>0</v>
      </c>
      <c r="V574" s="163">
        <v>0</v>
      </c>
      <c r="W574" s="163">
        <v>0</v>
      </c>
      <c r="X574" s="163">
        <v>0</v>
      </c>
      <c r="Y574" s="163">
        <v>8</v>
      </c>
      <c r="Z574" s="163">
        <v>8</v>
      </c>
      <c r="AA574" s="163">
        <v>0</v>
      </c>
      <c r="AB574" s="163">
        <v>0</v>
      </c>
      <c r="AC574" s="163">
        <v>6</v>
      </c>
      <c r="AD574" s="163">
        <v>2</v>
      </c>
      <c r="AE574" s="165">
        <v>0.29503338291427905</v>
      </c>
      <c r="AF574" s="166">
        <v>0.47205341266284651</v>
      </c>
    </row>
    <row r="575" spans="1:32">
      <c r="A575" s="161">
        <v>12</v>
      </c>
      <c r="B575" s="162">
        <v>0.9375</v>
      </c>
      <c r="C575" s="163">
        <v>3.9718508012549569</v>
      </c>
      <c r="D575" s="163">
        <v>694.93434222276255</v>
      </c>
      <c r="E575" s="164">
        <v>0.88206666666666667</v>
      </c>
      <c r="F575" s="164">
        <v>0.88206666666666667</v>
      </c>
      <c r="G575" s="163">
        <v>5</v>
      </c>
      <c r="H575" s="163">
        <v>9.3333333333333339</v>
      </c>
      <c r="I575" s="163">
        <v>4.3333333333333339</v>
      </c>
      <c r="J575" s="163">
        <v>4</v>
      </c>
      <c r="K575" s="163">
        <v>4.0758434547908236</v>
      </c>
      <c r="L575" s="163">
        <v>7.584345479082355E-2</v>
      </c>
      <c r="M575" s="163">
        <v>5</v>
      </c>
      <c r="N575" s="163">
        <v>8.5272154745838957</v>
      </c>
      <c r="O575" s="163">
        <v>3.5272154745838957</v>
      </c>
      <c r="P575" s="163"/>
      <c r="Q575" s="163">
        <v>6</v>
      </c>
      <c r="R575" s="163">
        <v>0</v>
      </c>
      <c r="S575" s="163">
        <v>0</v>
      </c>
      <c r="T575" s="163">
        <v>0</v>
      </c>
      <c r="U575" s="163">
        <v>0</v>
      </c>
      <c r="V575" s="163">
        <v>0</v>
      </c>
      <c r="W575" s="163">
        <v>0</v>
      </c>
      <c r="X575" s="163">
        <v>0</v>
      </c>
      <c r="Y575" s="163">
        <v>6</v>
      </c>
      <c r="Z575" s="163">
        <v>6</v>
      </c>
      <c r="AA575" s="163">
        <v>0</v>
      </c>
      <c r="AB575" s="163">
        <v>0</v>
      </c>
      <c r="AC575" s="163">
        <v>4</v>
      </c>
      <c r="AD575" s="163">
        <v>2</v>
      </c>
      <c r="AE575" s="165">
        <v>0.31352014694682434</v>
      </c>
      <c r="AF575" s="166">
        <v>0.37622417633618926</v>
      </c>
    </row>
    <row r="576" spans="1:32">
      <c r="A576" s="161">
        <v>12</v>
      </c>
      <c r="B576" s="162">
        <v>0.95833333333333337</v>
      </c>
      <c r="C576" s="163">
        <v>2.9228639391921996</v>
      </c>
      <c r="D576" s="163">
        <v>660.46358640922665</v>
      </c>
      <c r="E576" s="164">
        <v>0.90290000000000015</v>
      </c>
      <c r="F576" s="164">
        <v>0.90290000000000015</v>
      </c>
      <c r="G576" s="163">
        <v>4</v>
      </c>
      <c r="H576" s="163">
        <v>6.6666666666666661</v>
      </c>
      <c r="I576" s="163">
        <v>2.6666666666666661</v>
      </c>
      <c r="J576" s="163">
        <v>3</v>
      </c>
      <c r="K576" s="163">
        <v>3.2606747638326588</v>
      </c>
      <c r="L576" s="163">
        <v>0.26067476383265875</v>
      </c>
      <c r="M576" s="163">
        <v>4</v>
      </c>
      <c r="N576" s="163">
        <v>6.0908681961313533</v>
      </c>
      <c r="O576" s="163">
        <v>2.0908681961313533</v>
      </c>
      <c r="P576" s="163"/>
      <c r="Q576" s="163">
        <v>4</v>
      </c>
      <c r="R576" s="163">
        <v>0</v>
      </c>
      <c r="S576" s="163">
        <v>0</v>
      </c>
      <c r="T576" s="163">
        <v>0</v>
      </c>
      <c r="U576" s="163">
        <v>0</v>
      </c>
      <c r="V576" s="163">
        <v>0</v>
      </c>
      <c r="W576" s="163">
        <v>0</v>
      </c>
      <c r="X576" s="163">
        <v>0</v>
      </c>
      <c r="Y576" s="163">
        <v>4</v>
      </c>
      <c r="Z576" s="163">
        <v>4</v>
      </c>
      <c r="AA576" s="163">
        <v>0</v>
      </c>
      <c r="AB576" s="163">
        <v>0</v>
      </c>
      <c r="AC576" s="163">
        <v>4</v>
      </c>
      <c r="AD576" s="163">
        <v>0</v>
      </c>
      <c r="AE576" s="165">
        <v>0.32891031248391028</v>
      </c>
      <c r="AF576" s="166">
        <v>0.32891031248391028</v>
      </c>
    </row>
    <row r="577" spans="1:32">
      <c r="A577" s="161">
        <v>12</v>
      </c>
      <c r="B577" s="162">
        <v>0.97916666666666663</v>
      </c>
      <c r="C577" s="163">
        <v>2.1750758871826301</v>
      </c>
      <c r="D577" s="163">
        <v>660.33352491491291</v>
      </c>
      <c r="E577" s="164">
        <v>0.95330000000000004</v>
      </c>
      <c r="F577" s="164">
        <v>0.95330000000000004</v>
      </c>
      <c r="G577" s="163">
        <v>4</v>
      </c>
      <c r="H577" s="163">
        <v>6.6666666666666661</v>
      </c>
      <c r="I577" s="163">
        <v>2.6666666666666661</v>
      </c>
      <c r="J577" s="163">
        <v>3</v>
      </c>
      <c r="K577" s="163">
        <v>3.2606747638326588</v>
      </c>
      <c r="L577" s="163">
        <v>0.26067476383265875</v>
      </c>
      <c r="M577" s="163">
        <v>4</v>
      </c>
      <c r="N577" s="163">
        <v>6.0908681961313533</v>
      </c>
      <c r="O577" s="163">
        <v>2.0908681961313533</v>
      </c>
      <c r="P577" s="163"/>
      <c r="Q577" s="163">
        <v>4</v>
      </c>
      <c r="R577" s="163">
        <v>0</v>
      </c>
      <c r="S577" s="163">
        <v>0</v>
      </c>
      <c r="T577" s="163">
        <v>0</v>
      </c>
      <c r="U577" s="163">
        <v>0</v>
      </c>
      <c r="V577" s="163">
        <v>0</v>
      </c>
      <c r="W577" s="163">
        <v>0</v>
      </c>
      <c r="X577" s="163">
        <v>0</v>
      </c>
      <c r="Y577" s="163">
        <v>4</v>
      </c>
      <c r="Z577" s="163">
        <v>4</v>
      </c>
      <c r="AA577" s="163">
        <v>0</v>
      </c>
      <c r="AB577" s="163">
        <v>0</v>
      </c>
      <c r="AC577" s="163">
        <v>4</v>
      </c>
      <c r="AD577" s="163">
        <v>0</v>
      </c>
      <c r="AE577" s="165">
        <v>0.2447134125379129</v>
      </c>
      <c r="AF577" s="166">
        <v>0.2447134125379129</v>
      </c>
    </row>
    <row r="578" spans="1:32">
      <c r="A578" s="161">
        <v>13</v>
      </c>
      <c r="B578" s="162">
        <v>0</v>
      </c>
      <c r="C578" s="163">
        <v>1.2553904930295199</v>
      </c>
      <c r="D578" s="163">
        <v>652.56240581947623</v>
      </c>
      <c r="E578" s="164">
        <v>0.98939999999999995</v>
      </c>
      <c r="F578" s="164">
        <v>0.98939999999999995</v>
      </c>
      <c r="G578" s="163">
        <v>3</v>
      </c>
      <c r="H578" s="163">
        <v>6.6666666666666661</v>
      </c>
      <c r="I578" s="163">
        <v>3.6666666666666661</v>
      </c>
      <c r="J578" s="163">
        <v>2</v>
      </c>
      <c r="K578" s="163">
        <v>2.445506072874494</v>
      </c>
      <c r="L578" s="163">
        <v>0.44550607287449395</v>
      </c>
      <c r="M578" s="163">
        <v>3</v>
      </c>
      <c r="N578" s="163">
        <v>6.0908681961313533</v>
      </c>
      <c r="O578" s="163">
        <v>3.0908681961313533</v>
      </c>
      <c r="P578" s="163"/>
      <c r="Q578" s="163">
        <v>4</v>
      </c>
      <c r="R578" s="163">
        <v>0</v>
      </c>
      <c r="S578" s="163">
        <v>0</v>
      </c>
      <c r="T578" s="163">
        <v>0</v>
      </c>
      <c r="U578" s="163">
        <v>0</v>
      </c>
      <c r="V578" s="163">
        <v>0</v>
      </c>
      <c r="W578" s="163">
        <v>0</v>
      </c>
      <c r="X578" s="163">
        <v>0</v>
      </c>
      <c r="Y578" s="163">
        <v>4</v>
      </c>
      <c r="Z578" s="163">
        <v>4</v>
      </c>
      <c r="AA578" s="163">
        <v>0</v>
      </c>
      <c r="AB578" s="163">
        <v>0</v>
      </c>
      <c r="AC578" s="163">
        <v>4</v>
      </c>
      <c r="AD578" s="163">
        <v>0</v>
      </c>
      <c r="AE578" s="165">
        <v>0.13957926225390549</v>
      </c>
      <c r="AF578" s="166">
        <v>0.1861056830052073</v>
      </c>
    </row>
    <row r="579" spans="1:32">
      <c r="A579" s="161">
        <v>13</v>
      </c>
      <c r="B579" s="162">
        <v>2.0833333333333332E-2</v>
      </c>
      <c r="C579" s="163">
        <v>0.8770925271340293</v>
      </c>
      <c r="D579" s="163">
        <v>652.43960901427249</v>
      </c>
      <c r="E579" s="164">
        <v>0.99609999999999987</v>
      </c>
      <c r="F579" s="164">
        <v>0.99609999999999987</v>
      </c>
      <c r="G579" s="163">
        <v>3</v>
      </c>
      <c r="H579" s="163">
        <v>6.6666666666666661</v>
      </c>
      <c r="I579" s="163">
        <v>3.6666666666666661</v>
      </c>
      <c r="J579" s="163">
        <v>2</v>
      </c>
      <c r="K579" s="163">
        <v>2.445506072874494</v>
      </c>
      <c r="L579" s="163">
        <v>0.44550607287449395</v>
      </c>
      <c r="M579" s="163">
        <v>3</v>
      </c>
      <c r="N579" s="163">
        <v>6.0908681961313533</v>
      </c>
      <c r="O579" s="163">
        <v>3.0908681961313533</v>
      </c>
      <c r="P579" s="163"/>
      <c r="Q579" s="163">
        <v>4</v>
      </c>
      <c r="R579" s="163">
        <v>0</v>
      </c>
      <c r="S579" s="163">
        <v>0</v>
      </c>
      <c r="T579" s="163">
        <v>0</v>
      </c>
      <c r="U579" s="163">
        <v>0</v>
      </c>
      <c r="V579" s="163">
        <v>0</v>
      </c>
      <c r="W579" s="163">
        <v>0</v>
      </c>
      <c r="X579" s="163">
        <v>0</v>
      </c>
      <c r="Y579" s="163">
        <v>4</v>
      </c>
      <c r="Z579" s="163">
        <v>4</v>
      </c>
      <c r="AA579" s="163">
        <v>0</v>
      </c>
      <c r="AB579" s="163">
        <v>0</v>
      </c>
      <c r="AC579" s="163">
        <v>4</v>
      </c>
      <c r="AD579" s="163">
        <v>0</v>
      </c>
      <c r="AE579" s="165">
        <v>9.7500252916300087E-2</v>
      </c>
      <c r="AF579" s="166">
        <v>0.13000033722173343</v>
      </c>
    </row>
    <row r="580" spans="1:32">
      <c r="A580" s="161">
        <v>13</v>
      </c>
      <c r="B580" s="162">
        <v>4.1666666666666664E-2</v>
      </c>
      <c r="C580" s="163">
        <v>0.66887664605933694</v>
      </c>
      <c r="D580" s="163">
        <v>618.28829610209516</v>
      </c>
      <c r="E580" s="164">
        <v>0.99850000000000005</v>
      </c>
      <c r="F580" s="164">
        <v>0.99850000000000005</v>
      </c>
      <c r="G580" s="163">
        <v>3</v>
      </c>
      <c r="H580" s="163">
        <v>6.6666666666666661</v>
      </c>
      <c r="I580" s="163">
        <v>3.6666666666666661</v>
      </c>
      <c r="J580" s="163">
        <v>2</v>
      </c>
      <c r="K580" s="163">
        <v>2.445506072874494</v>
      </c>
      <c r="L580" s="163">
        <v>0.44550607287449395</v>
      </c>
      <c r="M580" s="163">
        <v>3</v>
      </c>
      <c r="N580" s="163">
        <v>6.0908681961313533</v>
      </c>
      <c r="O580" s="163">
        <v>3.0908681961313533</v>
      </c>
      <c r="P580" s="163"/>
      <c r="Q580" s="163">
        <v>4</v>
      </c>
      <c r="R580" s="163">
        <v>0</v>
      </c>
      <c r="S580" s="163">
        <v>0</v>
      </c>
      <c r="T580" s="163">
        <v>0</v>
      </c>
      <c r="U580" s="163">
        <v>0</v>
      </c>
      <c r="V580" s="163">
        <v>0</v>
      </c>
      <c r="W580" s="163">
        <v>0</v>
      </c>
      <c r="X580" s="163">
        <v>0</v>
      </c>
      <c r="Y580" s="163">
        <v>4</v>
      </c>
      <c r="Z580" s="163">
        <v>4</v>
      </c>
      <c r="AA580" s="163">
        <v>0</v>
      </c>
      <c r="AB580" s="163">
        <v>0</v>
      </c>
      <c r="AC580" s="163">
        <v>4</v>
      </c>
      <c r="AD580" s="163">
        <v>0</v>
      </c>
      <c r="AE580" s="165">
        <v>7.0462341513837637E-2</v>
      </c>
      <c r="AF580" s="166">
        <v>9.3949788685116845E-2</v>
      </c>
    </row>
    <row r="581" spans="1:32">
      <c r="A581" s="161">
        <v>13</v>
      </c>
      <c r="B581" s="162">
        <v>6.25E-2</v>
      </c>
      <c r="C581" s="163">
        <v>0.53035099615687742</v>
      </c>
      <c r="D581" s="163">
        <v>602.0235933112848</v>
      </c>
      <c r="E581" s="164">
        <v>0.99929999999999997</v>
      </c>
      <c r="F581" s="164">
        <v>0.99929999999999997</v>
      </c>
      <c r="G581" s="163">
        <v>2</v>
      </c>
      <c r="H581" s="163">
        <v>6.6666666666666661</v>
      </c>
      <c r="I581" s="163">
        <v>4.6666666666666661</v>
      </c>
      <c r="J581" s="163">
        <v>1</v>
      </c>
      <c r="K581" s="163">
        <v>1.6303373819163294</v>
      </c>
      <c r="L581" s="163">
        <v>0.63033738191632938</v>
      </c>
      <c r="M581" s="163">
        <v>2</v>
      </c>
      <c r="N581" s="163">
        <v>6.0908681961313533</v>
      </c>
      <c r="O581" s="163">
        <v>4.0908681961313533</v>
      </c>
      <c r="P581" s="163"/>
      <c r="Q581" s="163">
        <v>4</v>
      </c>
      <c r="R581" s="163">
        <v>0</v>
      </c>
      <c r="S581" s="163">
        <v>0</v>
      </c>
      <c r="T581" s="163">
        <v>0</v>
      </c>
      <c r="U581" s="163">
        <v>0</v>
      </c>
      <c r="V581" s="163">
        <v>0</v>
      </c>
      <c r="W581" s="163">
        <v>0</v>
      </c>
      <c r="X581" s="163">
        <v>0</v>
      </c>
      <c r="Y581" s="163">
        <v>4</v>
      </c>
      <c r="Z581" s="163">
        <v>4</v>
      </c>
      <c r="AA581" s="163">
        <v>0</v>
      </c>
      <c r="AB581" s="163">
        <v>0</v>
      </c>
      <c r="AC581" s="163">
        <v>4</v>
      </c>
      <c r="AD581" s="163">
        <v>0</v>
      </c>
      <c r="AE581" s="165">
        <v>5.439975116740195E-2</v>
      </c>
      <c r="AF581" s="166">
        <v>0.1087995023348039</v>
      </c>
    </row>
    <row r="582" spans="1:32">
      <c r="A582" s="161">
        <v>13</v>
      </c>
      <c r="B582" s="162">
        <v>8.3333333333333329E-2</v>
      </c>
      <c r="C582" s="163">
        <v>0.42777853132267418</v>
      </c>
      <c r="D582" s="163">
        <v>619.95379371904505</v>
      </c>
      <c r="E582" s="164">
        <v>0.99949999999999994</v>
      </c>
      <c r="F582" s="164">
        <v>0.99949999999999994</v>
      </c>
      <c r="G582" s="163">
        <v>2</v>
      </c>
      <c r="H582" s="163">
        <v>6.6666666666666661</v>
      </c>
      <c r="I582" s="163">
        <v>4.6666666666666661</v>
      </c>
      <c r="J582" s="163">
        <v>1</v>
      </c>
      <c r="K582" s="163">
        <v>1.6303373819163294</v>
      </c>
      <c r="L582" s="163">
        <v>0.63033738191632938</v>
      </c>
      <c r="M582" s="163">
        <v>2</v>
      </c>
      <c r="N582" s="163">
        <v>6.0908681961313533</v>
      </c>
      <c r="O582" s="163">
        <v>4.0908681961313533</v>
      </c>
      <c r="P582" s="163"/>
      <c r="Q582" s="163">
        <v>4</v>
      </c>
      <c r="R582" s="163">
        <v>0</v>
      </c>
      <c r="S582" s="163">
        <v>0</v>
      </c>
      <c r="T582" s="163">
        <v>0</v>
      </c>
      <c r="U582" s="163">
        <v>0</v>
      </c>
      <c r="V582" s="163">
        <v>0</v>
      </c>
      <c r="W582" s="163">
        <v>0</v>
      </c>
      <c r="X582" s="163">
        <v>0</v>
      </c>
      <c r="Y582" s="163">
        <v>4</v>
      </c>
      <c r="Z582" s="163">
        <v>4</v>
      </c>
      <c r="AA582" s="163">
        <v>0</v>
      </c>
      <c r="AB582" s="163">
        <v>0</v>
      </c>
      <c r="AC582" s="163">
        <v>4</v>
      </c>
      <c r="AD582" s="163">
        <v>0</v>
      </c>
      <c r="AE582" s="165">
        <v>4.5185419612917568E-2</v>
      </c>
      <c r="AF582" s="166">
        <v>9.0370839225835137E-2</v>
      </c>
    </row>
    <row r="583" spans="1:32">
      <c r="A583" s="161">
        <v>13</v>
      </c>
      <c r="B583" s="162">
        <v>0.10416666666666667</v>
      </c>
      <c r="C583" s="163">
        <v>0.34228591014607407</v>
      </c>
      <c r="D583" s="163">
        <v>590.29328196493907</v>
      </c>
      <c r="E583" s="164">
        <v>0.99980000000000002</v>
      </c>
      <c r="F583" s="164">
        <v>0.99980000000000002</v>
      </c>
      <c r="G583" s="163">
        <v>2</v>
      </c>
      <c r="H583" s="163">
        <v>6.6666666666666661</v>
      </c>
      <c r="I583" s="163">
        <v>4.6666666666666661</v>
      </c>
      <c r="J583" s="163">
        <v>1</v>
      </c>
      <c r="K583" s="163">
        <v>1.6303373819163294</v>
      </c>
      <c r="L583" s="163">
        <v>0.63033738191632938</v>
      </c>
      <c r="M583" s="163">
        <v>2</v>
      </c>
      <c r="N583" s="163">
        <v>6.0908681961313533</v>
      </c>
      <c r="O583" s="163">
        <v>4.0908681961313533</v>
      </c>
      <c r="P583" s="163"/>
      <c r="Q583" s="163">
        <v>4</v>
      </c>
      <c r="R583" s="163">
        <v>0</v>
      </c>
      <c r="S583" s="163">
        <v>0</v>
      </c>
      <c r="T583" s="163">
        <v>0</v>
      </c>
      <c r="U583" s="163">
        <v>0</v>
      </c>
      <c r="V583" s="163">
        <v>0</v>
      </c>
      <c r="W583" s="163">
        <v>0</v>
      </c>
      <c r="X583" s="163">
        <v>0</v>
      </c>
      <c r="Y583" s="163">
        <v>4</v>
      </c>
      <c r="Z583" s="163">
        <v>4</v>
      </c>
      <c r="AA583" s="163">
        <v>0</v>
      </c>
      <c r="AB583" s="163">
        <v>0</v>
      </c>
      <c r="AC583" s="163">
        <v>4</v>
      </c>
      <c r="AD583" s="163">
        <v>0</v>
      </c>
      <c r="AE583" s="165">
        <v>3.4425231978158957E-2</v>
      </c>
      <c r="AF583" s="166">
        <v>6.8850463956317914E-2</v>
      </c>
    </row>
    <row r="584" spans="1:32">
      <c r="A584" s="161">
        <v>13</v>
      </c>
      <c r="B584" s="162">
        <v>0.125</v>
      </c>
      <c r="C584" s="163">
        <v>0.30843144411067758</v>
      </c>
      <c r="D584" s="163">
        <v>590.20301959650055</v>
      </c>
      <c r="E584" s="164">
        <v>0.99980000000000002</v>
      </c>
      <c r="F584" s="164">
        <v>0.99980000000000002</v>
      </c>
      <c r="G584" s="163">
        <v>2</v>
      </c>
      <c r="H584" s="163">
        <v>6.6666666666666661</v>
      </c>
      <c r="I584" s="163">
        <v>4.6666666666666661</v>
      </c>
      <c r="J584" s="163">
        <v>1</v>
      </c>
      <c r="K584" s="163">
        <v>1.6303373819163294</v>
      </c>
      <c r="L584" s="163">
        <v>0.63033738191632938</v>
      </c>
      <c r="M584" s="163">
        <v>2</v>
      </c>
      <c r="N584" s="163">
        <v>6.0908681961313533</v>
      </c>
      <c r="O584" s="163">
        <v>4.0908681961313533</v>
      </c>
      <c r="P584" s="163"/>
      <c r="Q584" s="163">
        <v>4</v>
      </c>
      <c r="R584" s="163">
        <v>0</v>
      </c>
      <c r="S584" s="163">
        <v>0</v>
      </c>
      <c r="T584" s="163">
        <v>0</v>
      </c>
      <c r="U584" s="163">
        <v>0</v>
      </c>
      <c r="V584" s="163">
        <v>0</v>
      </c>
      <c r="W584" s="163">
        <v>0</v>
      </c>
      <c r="X584" s="163">
        <v>0</v>
      </c>
      <c r="Y584" s="163">
        <v>4</v>
      </c>
      <c r="Z584" s="163">
        <v>4</v>
      </c>
      <c r="AA584" s="163">
        <v>0</v>
      </c>
      <c r="AB584" s="163">
        <v>0</v>
      </c>
      <c r="AC584" s="163">
        <v>4</v>
      </c>
      <c r="AD584" s="163">
        <v>0</v>
      </c>
      <c r="AE584" s="165">
        <v>3.1015592858226766E-2</v>
      </c>
      <c r="AF584" s="166">
        <v>6.2031185716453531E-2</v>
      </c>
    </row>
    <row r="585" spans="1:32">
      <c r="A585" s="161">
        <v>13</v>
      </c>
      <c r="B585" s="162">
        <v>0.14583333333333334</v>
      </c>
      <c r="C585" s="163">
        <v>0.31084689515915559</v>
      </c>
      <c r="D585" s="163">
        <v>624.96525401295492</v>
      </c>
      <c r="E585" s="164">
        <v>0.99980000000000002</v>
      </c>
      <c r="F585" s="164">
        <v>0.99980000000000002</v>
      </c>
      <c r="G585" s="163">
        <v>2</v>
      </c>
      <c r="H585" s="163">
        <v>6.6666666666666661</v>
      </c>
      <c r="I585" s="163">
        <v>4.6666666666666661</v>
      </c>
      <c r="J585" s="163">
        <v>1</v>
      </c>
      <c r="K585" s="163">
        <v>1.6303373819163294</v>
      </c>
      <c r="L585" s="163">
        <v>0.63033738191632938</v>
      </c>
      <c r="M585" s="163">
        <v>2</v>
      </c>
      <c r="N585" s="163">
        <v>6.0908681961313533</v>
      </c>
      <c r="O585" s="163">
        <v>4.0908681961313533</v>
      </c>
      <c r="P585" s="163"/>
      <c r="Q585" s="163">
        <v>4</v>
      </c>
      <c r="R585" s="163">
        <v>0</v>
      </c>
      <c r="S585" s="163">
        <v>0</v>
      </c>
      <c r="T585" s="163">
        <v>0</v>
      </c>
      <c r="U585" s="163">
        <v>0</v>
      </c>
      <c r="V585" s="163">
        <v>0</v>
      </c>
      <c r="W585" s="163">
        <v>0</v>
      </c>
      <c r="X585" s="163">
        <v>0</v>
      </c>
      <c r="Y585" s="163">
        <v>4</v>
      </c>
      <c r="Z585" s="163">
        <v>4</v>
      </c>
      <c r="AA585" s="163">
        <v>0</v>
      </c>
      <c r="AB585" s="163">
        <v>0</v>
      </c>
      <c r="AC585" s="163">
        <v>4</v>
      </c>
      <c r="AD585" s="163">
        <v>0</v>
      </c>
      <c r="AE585" s="165">
        <v>3.309957513278175E-2</v>
      </c>
      <c r="AF585" s="166">
        <v>6.61991502655635E-2</v>
      </c>
    </row>
    <row r="586" spans="1:32">
      <c r="A586" s="161">
        <v>13</v>
      </c>
      <c r="B586" s="162">
        <v>0.16666666666666666</v>
      </c>
      <c r="C586" s="163">
        <v>0.34828605455349204</v>
      </c>
      <c r="D586" s="163">
        <v>625.06855703950441</v>
      </c>
      <c r="E586" s="164">
        <v>0.99970000000000014</v>
      </c>
      <c r="F586" s="164">
        <v>0.99970000000000014</v>
      </c>
      <c r="G586" s="163">
        <v>2</v>
      </c>
      <c r="H586" s="163">
        <v>6.6666666666666661</v>
      </c>
      <c r="I586" s="163">
        <v>4.6666666666666661</v>
      </c>
      <c r="J586" s="163">
        <v>1</v>
      </c>
      <c r="K586" s="163">
        <v>1.6303373819163294</v>
      </c>
      <c r="L586" s="163">
        <v>0.63033738191632938</v>
      </c>
      <c r="M586" s="163">
        <v>2</v>
      </c>
      <c r="N586" s="163">
        <v>6.0908681961313533</v>
      </c>
      <c r="O586" s="163">
        <v>4.0908681961313533</v>
      </c>
      <c r="P586" s="163"/>
      <c r="Q586" s="163">
        <v>4</v>
      </c>
      <c r="R586" s="163">
        <v>0</v>
      </c>
      <c r="S586" s="163">
        <v>0</v>
      </c>
      <c r="T586" s="163">
        <v>0</v>
      </c>
      <c r="U586" s="163">
        <v>0</v>
      </c>
      <c r="V586" s="163">
        <v>0</v>
      </c>
      <c r="W586" s="163">
        <v>0</v>
      </c>
      <c r="X586" s="163">
        <v>0</v>
      </c>
      <c r="Y586" s="163">
        <v>4</v>
      </c>
      <c r="Z586" s="163">
        <v>4</v>
      </c>
      <c r="AA586" s="163">
        <v>0</v>
      </c>
      <c r="AB586" s="163">
        <v>0</v>
      </c>
      <c r="AC586" s="163">
        <v>4</v>
      </c>
      <c r="AD586" s="163">
        <v>0</v>
      </c>
      <c r="AE586" s="165">
        <v>3.7092298940269643E-2</v>
      </c>
      <c r="AF586" s="166">
        <v>7.4184597880539285E-2</v>
      </c>
    </row>
    <row r="587" spans="1:32">
      <c r="A587" s="161">
        <v>13</v>
      </c>
      <c r="B587" s="162">
        <v>0.1875</v>
      </c>
      <c r="C587" s="163">
        <v>0.51198810940667105</v>
      </c>
      <c r="D587" s="163">
        <v>664.19875747220101</v>
      </c>
      <c r="E587" s="164">
        <v>0.99909999999999999</v>
      </c>
      <c r="F587" s="164">
        <v>0.99909999999999999</v>
      </c>
      <c r="G587" s="163">
        <v>2</v>
      </c>
      <c r="H587" s="163">
        <v>6.6666666666666661</v>
      </c>
      <c r="I587" s="163">
        <v>4.6666666666666661</v>
      </c>
      <c r="J587" s="163">
        <v>1</v>
      </c>
      <c r="K587" s="163">
        <v>1.6303373819163294</v>
      </c>
      <c r="L587" s="163">
        <v>0.63033738191632938</v>
      </c>
      <c r="M587" s="163">
        <v>2</v>
      </c>
      <c r="N587" s="163">
        <v>6.0908681961313533</v>
      </c>
      <c r="O587" s="163">
        <v>4.0908681961313533</v>
      </c>
      <c r="P587" s="163"/>
      <c r="Q587" s="163">
        <v>4</v>
      </c>
      <c r="R587" s="163">
        <v>0</v>
      </c>
      <c r="S587" s="163">
        <v>0</v>
      </c>
      <c r="T587" s="163">
        <v>0</v>
      </c>
      <c r="U587" s="163">
        <v>0</v>
      </c>
      <c r="V587" s="163">
        <v>0</v>
      </c>
      <c r="W587" s="163">
        <v>0</v>
      </c>
      <c r="X587" s="163">
        <v>0</v>
      </c>
      <c r="Y587" s="163">
        <v>4</v>
      </c>
      <c r="Z587" s="163">
        <v>4</v>
      </c>
      <c r="AA587" s="163">
        <v>0</v>
      </c>
      <c r="AB587" s="163">
        <v>0</v>
      </c>
      <c r="AC587" s="163">
        <v>4</v>
      </c>
      <c r="AD587" s="163">
        <v>0</v>
      </c>
      <c r="AE587" s="165">
        <v>5.7939927356347599E-2</v>
      </c>
      <c r="AF587" s="166">
        <v>0.1158798547126952</v>
      </c>
    </row>
    <row r="588" spans="1:32">
      <c r="A588" s="161">
        <v>13</v>
      </c>
      <c r="B588" s="162">
        <v>0.20833333333333334</v>
      </c>
      <c r="C588" s="163">
        <v>0.89817510106747833</v>
      </c>
      <c r="D588" s="163">
        <v>698.14779184521751</v>
      </c>
      <c r="E588" s="164">
        <v>0.99480000000000002</v>
      </c>
      <c r="F588" s="164">
        <v>0.99480000000000002</v>
      </c>
      <c r="G588" s="163">
        <v>3</v>
      </c>
      <c r="H588" s="163">
        <v>6.6666666666666661</v>
      </c>
      <c r="I588" s="163">
        <v>3.6666666666666661</v>
      </c>
      <c r="J588" s="163">
        <v>2</v>
      </c>
      <c r="K588" s="163">
        <v>2.445506072874494</v>
      </c>
      <c r="L588" s="163">
        <v>0.44550607287449395</v>
      </c>
      <c r="M588" s="163">
        <v>3</v>
      </c>
      <c r="N588" s="163">
        <v>6.0908681961313533</v>
      </c>
      <c r="O588" s="163">
        <v>3.0908681961313533</v>
      </c>
      <c r="P588" s="163"/>
      <c r="Q588" s="163">
        <v>4</v>
      </c>
      <c r="R588" s="163">
        <v>0</v>
      </c>
      <c r="S588" s="163">
        <v>0</v>
      </c>
      <c r="T588" s="163">
        <v>0</v>
      </c>
      <c r="U588" s="163">
        <v>0</v>
      </c>
      <c r="V588" s="163">
        <v>0</v>
      </c>
      <c r="W588" s="163">
        <v>0</v>
      </c>
      <c r="X588" s="163">
        <v>0</v>
      </c>
      <c r="Y588" s="163">
        <v>4</v>
      </c>
      <c r="Z588" s="163">
        <v>4</v>
      </c>
      <c r="AA588" s="163">
        <v>0</v>
      </c>
      <c r="AB588" s="163">
        <v>0</v>
      </c>
      <c r="AC588" s="163">
        <v>4</v>
      </c>
      <c r="AD588" s="163">
        <v>0</v>
      </c>
      <c r="AE588" s="165">
        <v>0.10683865029954689</v>
      </c>
      <c r="AF588" s="166">
        <v>0.14245153373272917</v>
      </c>
    </row>
    <row r="589" spans="1:32">
      <c r="A589" s="161">
        <v>13</v>
      </c>
      <c r="B589" s="162">
        <v>0.22916666666666666</v>
      </c>
      <c r="C589" s="163">
        <v>1.5046752950818503</v>
      </c>
      <c r="D589" s="163">
        <v>713.51779373614795</v>
      </c>
      <c r="E589" s="164">
        <v>0.97789999999999999</v>
      </c>
      <c r="F589" s="164">
        <v>0.97789999999999999</v>
      </c>
      <c r="G589" s="163">
        <v>3</v>
      </c>
      <c r="H589" s="163">
        <v>6.6666666666666661</v>
      </c>
      <c r="I589" s="163">
        <v>3.6666666666666661</v>
      </c>
      <c r="J589" s="163">
        <v>2</v>
      </c>
      <c r="K589" s="163">
        <v>2.445506072874494</v>
      </c>
      <c r="L589" s="163">
        <v>0.44550607287449395</v>
      </c>
      <c r="M589" s="163">
        <v>3</v>
      </c>
      <c r="N589" s="163">
        <v>6.0908681961313533</v>
      </c>
      <c r="O589" s="163">
        <v>3.0908681961313533</v>
      </c>
      <c r="P589" s="163"/>
      <c r="Q589" s="163">
        <v>4</v>
      </c>
      <c r="R589" s="163">
        <v>0</v>
      </c>
      <c r="S589" s="163">
        <v>0</v>
      </c>
      <c r="T589" s="163">
        <v>0</v>
      </c>
      <c r="U589" s="163">
        <v>0</v>
      </c>
      <c r="V589" s="163">
        <v>0</v>
      </c>
      <c r="W589" s="163">
        <v>0</v>
      </c>
      <c r="X589" s="163">
        <v>0</v>
      </c>
      <c r="Y589" s="163">
        <v>4</v>
      </c>
      <c r="Z589" s="163">
        <v>4</v>
      </c>
      <c r="AA589" s="163">
        <v>0</v>
      </c>
      <c r="AB589" s="163">
        <v>0</v>
      </c>
      <c r="AC589" s="163">
        <v>4</v>
      </c>
      <c r="AD589" s="163">
        <v>0</v>
      </c>
      <c r="AE589" s="165">
        <v>0.1829227033933418</v>
      </c>
      <c r="AF589" s="166">
        <v>0.24389693785778904</v>
      </c>
    </row>
    <row r="590" spans="1:32">
      <c r="A590" s="161">
        <v>13</v>
      </c>
      <c r="B590" s="162">
        <v>0.25</v>
      </c>
      <c r="C590" s="163">
        <v>2.3117680973265866</v>
      </c>
      <c r="D590" s="163">
        <v>720.75272282400169</v>
      </c>
      <c r="E590" s="164">
        <v>0.93190000000000006</v>
      </c>
      <c r="F590" s="164">
        <v>0.93190000000000006</v>
      </c>
      <c r="G590" s="163">
        <v>4</v>
      </c>
      <c r="H590" s="163">
        <v>6.6666666666666661</v>
      </c>
      <c r="I590" s="163">
        <v>2.6666666666666661</v>
      </c>
      <c r="J590" s="163">
        <v>3</v>
      </c>
      <c r="K590" s="163">
        <v>3.2606747638326588</v>
      </c>
      <c r="L590" s="163">
        <v>0.26067476383265875</v>
      </c>
      <c r="M590" s="163">
        <v>4</v>
      </c>
      <c r="N590" s="163">
        <v>6.0908681961313533</v>
      </c>
      <c r="O590" s="163">
        <v>2.0908681961313533</v>
      </c>
      <c r="P590" s="163"/>
      <c r="Q590" s="163">
        <v>4</v>
      </c>
      <c r="R590" s="163">
        <v>0</v>
      </c>
      <c r="S590" s="163">
        <v>0</v>
      </c>
      <c r="T590" s="163">
        <v>0</v>
      </c>
      <c r="U590" s="163">
        <v>0</v>
      </c>
      <c r="V590" s="163">
        <v>0</v>
      </c>
      <c r="W590" s="163">
        <v>0</v>
      </c>
      <c r="X590" s="163">
        <v>0</v>
      </c>
      <c r="Y590" s="163">
        <v>4</v>
      </c>
      <c r="Z590" s="163">
        <v>4</v>
      </c>
      <c r="AA590" s="163">
        <v>0</v>
      </c>
      <c r="AB590" s="163">
        <v>0</v>
      </c>
      <c r="AC590" s="163">
        <v>4</v>
      </c>
      <c r="AD590" s="163">
        <v>0</v>
      </c>
      <c r="AE590" s="165">
        <v>0.28389031094753125</v>
      </c>
      <c r="AF590" s="166">
        <v>0.28389031094753125</v>
      </c>
    </row>
    <row r="591" spans="1:32">
      <c r="A591" s="161">
        <v>13</v>
      </c>
      <c r="B591" s="162">
        <v>0.27083333333333331</v>
      </c>
      <c r="C591" s="163">
        <v>3.3379344677712859</v>
      </c>
      <c r="D591" s="163">
        <v>789.84991561404308</v>
      </c>
      <c r="E591" s="164">
        <v>0.79749999999999999</v>
      </c>
      <c r="F591" s="164">
        <v>0.79749999999999999</v>
      </c>
      <c r="G591" s="163">
        <v>5</v>
      </c>
      <c r="H591" s="163">
        <v>6.6666666666666661</v>
      </c>
      <c r="I591" s="163">
        <v>1.6666666666666661</v>
      </c>
      <c r="J591" s="163">
        <v>4</v>
      </c>
      <c r="K591" s="163">
        <v>4.0758434547908236</v>
      </c>
      <c r="L591" s="163">
        <v>7.584345479082355E-2</v>
      </c>
      <c r="M591" s="163">
        <v>5</v>
      </c>
      <c r="N591" s="163">
        <v>6.0908681961313533</v>
      </c>
      <c r="O591" s="163">
        <v>1.0908681961313533</v>
      </c>
      <c r="P591" s="163"/>
      <c r="Q591" s="163">
        <v>4</v>
      </c>
      <c r="R591" s="163">
        <v>0</v>
      </c>
      <c r="S591" s="163">
        <v>0</v>
      </c>
      <c r="T591" s="163">
        <v>0</v>
      </c>
      <c r="U591" s="163">
        <v>0</v>
      </c>
      <c r="V591" s="163">
        <v>0</v>
      </c>
      <c r="W591" s="163">
        <v>0</v>
      </c>
      <c r="X591" s="163">
        <v>0</v>
      </c>
      <c r="Y591" s="163">
        <v>4</v>
      </c>
      <c r="Z591" s="163">
        <v>4</v>
      </c>
      <c r="AA591" s="163">
        <v>0</v>
      </c>
      <c r="AB591" s="163">
        <v>0</v>
      </c>
      <c r="AC591" s="163">
        <v>4</v>
      </c>
      <c r="AD591" s="163">
        <v>0</v>
      </c>
      <c r="AE591" s="165">
        <v>0.44920273812613537</v>
      </c>
      <c r="AF591" s="166">
        <v>0.35936219050090834</v>
      </c>
    </row>
    <row r="592" spans="1:32">
      <c r="A592" s="161">
        <v>13</v>
      </c>
      <c r="B592" s="162">
        <v>0.29166666666666669</v>
      </c>
      <c r="C592" s="163">
        <v>7.2258951780731575</v>
      </c>
      <c r="D592" s="163">
        <v>747.93572309389799</v>
      </c>
      <c r="E592" s="164">
        <v>0.80720000000000003</v>
      </c>
      <c r="F592" s="164">
        <v>0.80720000000000003</v>
      </c>
      <c r="G592" s="163">
        <v>8</v>
      </c>
      <c r="H592" s="163">
        <v>11.666666666666668</v>
      </c>
      <c r="I592" s="163">
        <v>3.6666666666666679</v>
      </c>
      <c r="J592" s="163">
        <v>6</v>
      </c>
      <c r="K592" s="163">
        <v>6.5213495276653175</v>
      </c>
      <c r="L592" s="163">
        <v>0.5213495276653175</v>
      </c>
      <c r="M592" s="163">
        <v>7</v>
      </c>
      <c r="N592" s="163">
        <v>10.65901934322987</v>
      </c>
      <c r="O592" s="163">
        <v>3.6590193432298701</v>
      </c>
      <c r="P592" s="163"/>
      <c r="Q592" s="163">
        <v>7</v>
      </c>
      <c r="R592" s="163">
        <v>0</v>
      </c>
      <c r="S592" s="163">
        <v>0</v>
      </c>
      <c r="T592" s="163">
        <v>0</v>
      </c>
      <c r="U592" s="163">
        <v>0</v>
      </c>
      <c r="V592" s="163">
        <v>0</v>
      </c>
      <c r="W592" s="163">
        <v>0</v>
      </c>
      <c r="X592" s="163">
        <v>0</v>
      </c>
      <c r="Y592" s="163">
        <v>7</v>
      </c>
      <c r="Z592" s="163">
        <v>7</v>
      </c>
      <c r="AA592" s="163">
        <v>0</v>
      </c>
      <c r="AB592" s="163">
        <v>0</v>
      </c>
      <c r="AC592" s="163">
        <v>4</v>
      </c>
      <c r="AD592" s="163">
        <v>3</v>
      </c>
      <c r="AE592" s="165">
        <v>0.52618431464179904</v>
      </c>
      <c r="AF592" s="166">
        <v>0.46041127531157422</v>
      </c>
    </row>
    <row r="593" spans="1:32">
      <c r="A593" s="161">
        <v>13</v>
      </c>
      <c r="B593" s="162">
        <v>0.3125</v>
      </c>
      <c r="C593" s="163">
        <v>8.9430582067406323</v>
      </c>
      <c r="D593" s="163">
        <v>802.5577438117914</v>
      </c>
      <c r="E593" s="164">
        <v>0.95339999999999991</v>
      </c>
      <c r="F593" s="164">
        <v>0.95339999999999991</v>
      </c>
      <c r="G593" s="163">
        <v>9</v>
      </c>
      <c r="H593" s="163">
        <v>18.333333333333332</v>
      </c>
      <c r="I593" s="163">
        <v>9.3333333333333321</v>
      </c>
      <c r="J593" s="163">
        <v>7</v>
      </c>
      <c r="K593" s="163">
        <v>7.3365182186234819</v>
      </c>
      <c r="L593" s="163">
        <v>0.33651821862348186</v>
      </c>
      <c r="M593" s="163">
        <v>8</v>
      </c>
      <c r="N593" s="163">
        <v>16.749887539361222</v>
      </c>
      <c r="O593" s="163">
        <v>8.7498875393612217</v>
      </c>
      <c r="P593" s="163"/>
      <c r="Q593" s="163">
        <v>11</v>
      </c>
      <c r="R593" s="163">
        <v>0</v>
      </c>
      <c r="S593" s="163">
        <v>0</v>
      </c>
      <c r="T593" s="163">
        <v>0</v>
      </c>
      <c r="U593" s="163">
        <v>0</v>
      </c>
      <c r="V593" s="163">
        <v>0</v>
      </c>
      <c r="W593" s="163">
        <v>0</v>
      </c>
      <c r="X593" s="163">
        <v>0</v>
      </c>
      <c r="Y593" s="163">
        <v>11</v>
      </c>
      <c r="Z593" s="163">
        <v>11</v>
      </c>
      <c r="AA593" s="163">
        <v>0</v>
      </c>
      <c r="AB593" s="163">
        <v>0</v>
      </c>
      <c r="AC593" s="163">
        <v>8</v>
      </c>
      <c r="AD593" s="163">
        <v>3</v>
      </c>
      <c r="AE593" s="165">
        <v>0.44468211829321058</v>
      </c>
      <c r="AF593" s="166">
        <v>0.54350036680281288</v>
      </c>
    </row>
    <row r="594" spans="1:32">
      <c r="A594" s="161">
        <v>13</v>
      </c>
      <c r="B594" s="162">
        <v>0.33333333333333331</v>
      </c>
      <c r="C594" s="163">
        <v>12.934157066139367</v>
      </c>
      <c r="D594" s="163">
        <v>786.41883094405705</v>
      </c>
      <c r="E594" s="164">
        <v>0.93969999999999987</v>
      </c>
      <c r="F594" s="164">
        <v>0.93969999999999987</v>
      </c>
      <c r="G594" s="163">
        <v>12</v>
      </c>
      <c r="H594" s="163">
        <v>21.666666666666664</v>
      </c>
      <c r="I594" s="163">
        <v>9.6666666666666643</v>
      </c>
      <c r="J594" s="163">
        <v>9</v>
      </c>
      <c r="K594" s="163">
        <v>9.7820242914979758</v>
      </c>
      <c r="L594" s="163">
        <v>0.78202429149797581</v>
      </c>
      <c r="M594" s="163">
        <v>11</v>
      </c>
      <c r="N594" s="163">
        <v>19.795321637426898</v>
      </c>
      <c r="O594" s="163">
        <v>8.7953216374268983</v>
      </c>
      <c r="P594" s="163"/>
      <c r="Q594" s="163">
        <v>13</v>
      </c>
      <c r="R594" s="163">
        <v>0</v>
      </c>
      <c r="S594" s="163">
        <v>0</v>
      </c>
      <c r="T594" s="163">
        <v>0</v>
      </c>
      <c r="U594" s="163">
        <v>0</v>
      </c>
      <c r="V594" s="163">
        <v>0</v>
      </c>
      <c r="W594" s="163">
        <v>0</v>
      </c>
      <c r="X594" s="163">
        <v>0</v>
      </c>
      <c r="Y594" s="163">
        <v>13</v>
      </c>
      <c r="Z594" s="163">
        <v>13</v>
      </c>
      <c r="AA594" s="163">
        <v>0</v>
      </c>
      <c r="AB594" s="163">
        <v>0</v>
      </c>
      <c r="AC594" s="163">
        <v>10</v>
      </c>
      <c r="AD594" s="163">
        <v>3</v>
      </c>
      <c r="AE594" s="165">
        <v>0.53324732607333558</v>
      </c>
      <c r="AF594" s="166">
        <v>0.57768460324611348</v>
      </c>
    </row>
    <row r="595" spans="1:32">
      <c r="A595" s="161">
        <v>13</v>
      </c>
      <c r="B595" s="162">
        <v>0.35416666666666669</v>
      </c>
      <c r="C595" s="163">
        <v>16.049264696603171</v>
      </c>
      <c r="D595" s="163">
        <v>838.61720773628633</v>
      </c>
      <c r="E595" s="164">
        <v>0.91830000000000001</v>
      </c>
      <c r="F595" s="164">
        <v>0.91830000000000001</v>
      </c>
      <c r="G595" s="163">
        <v>14</v>
      </c>
      <c r="H595" s="163">
        <v>25</v>
      </c>
      <c r="I595" s="163">
        <v>11</v>
      </c>
      <c r="J595" s="163">
        <v>11</v>
      </c>
      <c r="K595" s="163">
        <v>11.412361673414306</v>
      </c>
      <c r="L595" s="163">
        <v>0.4123616734143063</v>
      </c>
      <c r="M595" s="163">
        <v>13</v>
      </c>
      <c r="N595" s="163">
        <v>22.840755735492575</v>
      </c>
      <c r="O595" s="163">
        <v>9.840755735492575</v>
      </c>
      <c r="P595" s="163"/>
      <c r="Q595" s="163">
        <v>15</v>
      </c>
      <c r="R595" s="163">
        <v>0</v>
      </c>
      <c r="S595" s="163">
        <v>0</v>
      </c>
      <c r="T595" s="163">
        <v>0</v>
      </c>
      <c r="U595" s="163">
        <v>0</v>
      </c>
      <c r="V595" s="163">
        <v>0</v>
      </c>
      <c r="W595" s="163">
        <v>0</v>
      </c>
      <c r="X595" s="163">
        <v>0</v>
      </c>
      <c r="Y595" s="163">
        <v>15</v>
      </c>
      <c r="Z595" s="163">
        <v>15</v>
      </c>
      <c r="AA595" s="163">
        <v>0</v>
      </c>
      <c r="AB595" s="163">
        <v>0</v>
      </c>
      <c r="AC595" s="163">
        <v>10</v>
      </c>
      <c r="AD595" s="163">
        <v>5</v>
      </c>
      <c r="AE595" s="165">
        <v>0.6115157601562845</v>
      </c>
      <c r="AF595" s="166">
        <v>0.65519545731030482</v>
      </c>
    </row>
    <row r="596" spans="1:32">
      <c r="A596" s="161">
        <v>13</v>
      </c>
      <c r="B596" s="162">
        <v>0.375</v>
      </c>
      <c r="C596" s="163">
        <v>18.50938269900043</v>
      </c>
      <c r="D596" s="163">
        <v>820.50811226939652</v>
      </c>
      <c r="E596" s="164">
        <v>0.91529999999999989</v>
      </c>
      <c r="F596" s="164">
        <v>0.91529999999999989</v>
      </c>
      <c r="G596" s="163">
        <v>15</v>
      </c>
      <c r="H596" s="163">
        <v>28.333333333333336</v>
      </c>
      <c r="I596" s="163">
        <v>13.333333333333336</v>
      </c>
      <c r="J596" s="163">
        <v>12</v>
      </c>
      <c r="K596" s="163">
        <v>12.22753036437247</v>
      </c>
      <c r="L596" s="163">
        <v>0.22753036437246976</v>
      </c>
      <c r="M596" s="163">
        <v>14</v>
      </c>
      <c r="N596" s="163">
        <v>25.886189833558255</v>
      </c>
      <c r="O596" s="163">
        <v>11.886189833558255</v>
      </c>
      <c r="P596" s="163"/>
      <c r="Q596" s="163">
        <v>17</v>
      </c>
      <c r="R596" s="163">
        <v>0</v>
      </c>
      <c r="S596" s="163">
        <v>0</v>
      </c>
      <c r="T596" s="163">
        <v>0</v>
      </c>
      <c r="U596" s="163">
        <v>0</v>
      </c>
      <c r="V596" s="163">
        <v>0</v>
      </c>
      <c r="W596" s="163">
        <v>0</v>
      </c>
      <c r="X596" s="163">
        <v>0</v>
      </c>
      <c r="Y596" s="163">
        <v>17</v>
      </c>
      <c r="Z596" s="163">
        <v>17</v>
      </c>
      <c r="AA596" s="163">
        <v>0</v>
      </c>
      <c r="AB596" s="163">
        <v>0</v>
      </c>
      <c r="AC596" s="163">
        <v>12</v>
      </c>
      <c r="AD596" s="163">
        <v>5</v>
      </c>
      <c r="AE596" s="165">
        <v>0.60884381251765574</v>
      </c>
      <c r="AF596" s="166">
        <v>0.6900229875200099</v>
      </c>
    </row>
    <row r="597" spans="1:32">
      <c r="A597" s="161">
        <v>13</v>
      </c>
      <c r="B597" s="162">
        <v>0.39583333333333331</v>
      </c>
      <c r="C597" s="163">
        <v>20.034006953026918</v>
      </c>
      <c r="D597" s="163">
        <v>837.23991821768698</v>
      </c>
      <c r="E597" s="164">
        <v>0.94879999999999998</v>
      </c>
      <c r="F597" s="164">
        <v>0.94879999999999998</v>
      </c>
      <c r="G597" s="163">
        <v>16</v>
      </c>
      <c r="H597" s="163">
        <v>31.666666666666664</v>
      </c>
      <c r="I597" s="163">
        <v>15.666666666666664</v>
      </c>
      <c r="J597" s="163">
        <v>13</v>
      </c>
      <c r="K597" s="163">
        <v>13.042699055330635</v>
      </c>
      <c r="L597" s="163">
        <v>4.2699055330635005E-2</v>
      </c>
      <c r="M597" s="163">
        <v>15</v>
      </c>
      <c r="N597" s="163">
        <v>28.931623931623928</v>
      </c>
      <c r="O597" s="163">
        <v>13.931623931623928</v>
      </c>
      <c r="P597" s="163"/>
      <c r="Q597" s="163">
        <v>19</v>
      </c>
      <c r="R597" s="163">
        <v>0</v>
      </c>
      <c r="S597" s="163">
        <v>0</v>
      </c>
      <c r="T597" s="163">
        <v>0</v>
      </c>
      <c r="U597" s="163">
        <v>0</v>
      </c>
      <c r="V597" s="163">
        <v>0</v>
      </c>
      <c r="W597" s="163">
        <v>0</v>
      </c>
      <c r="X597" s="163">
        <v>0</v>
      </c>
      <c r="Y597" s="163">
        <v>19</v>
      </c>
      <c r="Z597" s="163">
        <v>19</v>
      </c>
      <c r="AA597" s="163">
        <v>0</v>
      </c>
      <c r="AB597" s="163">
        <v>0</v>
      </c>
      <c r="AC597" s="163">
        <v>14</v>
      </c>
      <c r="AD597" s="163">
        <v>5</v>
      </c>
      <c r="AE597" s="165">
        <v>0.60165031691616111</v>
      </c>
      <c r="AF597" s="166">
        <v>0.71445975133794137</v>
      </c>
    </row>
    <row r="598" spans="1:32">
      <c r="A598" s="161">
        <v>13</v>
      </c>
      <c r="B598" s="162">
        <v>0.41666666666666669</v>
      </c>
      <c r="C598" s="163">
        <v>21.85683020474454</v>
      </c>
      <c r="D598" s="163">
        <v>810.51750848151573</v>
      </c>
      <c r="E598" s="164">
        <v>0.92449999999999999</v>
      </c>
      <c r="F598" s="164">
        <v>0.92449999999999999</v>
      </c>
      <c r="G598" s="163">
        <v>18</v>
      </c>
      <c r="H598" s="163">
        <v>31.666666666666664</v>
      </c>
      <c r="I598" s="163">
        <v>13.666666666666664</v>
      </c>
      <c r="J598" s="163">
        <v>14</v>
      </c>
      <c r="K598" s="163">
        <v>14.673036437246964</v>
      </c>
      <c r="L598" s="163">
        <v>0.67303643724696371</v>
      </c>
      <c r="M598" s="163">
        <v>16</v>
      </c>
      <c r="N598" s="163">
        <v>28.931623931623928</v>
      </c>
      <c r="O598" s="163">
        <v>12.931623931623928</v>
      </c>
      <c r="P598" s="163"/>
      <c r="Q598" s="163">
        <v>19</v>
      </c>
      <c r="R598" s="163">
        <v>0</v>
      </c>
      <c r="S598" s="163">
        <v>0</v>
      </c>
      <c r="T598" s="163">
        <v>0</v>
      </c>
      <c r="U598" s="163">
        <v>0</v>
      </c>
      <c r="V598" s="163">
        <v>0</v>
      </c>
      <c r="W598" s="163">
        <v>0</v>
      </c>
      <c r="X598" s="163">
        <v>0</v>
      </c>
      <c r="Y598" s="163">
        <v>19</v>
      </c>
      <c r="Z598" s="163">
        <v>19</v>
      </c>
      <c r="AA598" s="163">
        <v>0</v>
      </c>
      <c r="AB598" s="163">
        <v>0</v>
      </c>
      <c r="AC598" s="163">
        <v>14</v>
      </c>
      <c r="AD598" s="163">
        <v>5</v>
      </c>
      <c r="AE598" s="165">
        <v>0.63544209624939307</v>
      </c>
      <c r="AF598" s="166">
        <v>0.67074443492991498</v>
      </c>
    </row>
    <row r="599" spans="1:32">
      <c r="A599" s="161">
        <v>13</v>
      </c>
      <c r="B599" s="162">
        <v>0.4375</v>
      </c>
      <c r="C599" s="163">
        <v>21.946809578712205</v>
      </c>
      <c r="D599" s="163">
        <v>807.20400424902016</v>
      </c>
      <c r="E599" s="164">
        <v>0.92449999999999999</v>
      </c>
      <c r="F599" s="164">
        <v>0.92449999999999999</v>
      </c>
      <c r="G599" s="163">
        <v>18</v>
      </c>
      <c r="H599" s="163">
        <v>31.666666666666664</v>
      </c>
      <c r="I599" s="163">
        <v>13.666666666666664</v>
      </c>
      <c r="J599" s="163">
        <v>14</v>
      </c>
      <c r="K599" s="163">
        <v>14.673036437246964</v>
      </c>
      <c r="L599" s="163">
        <v>0.67303643724696371</v>
      </c>
      <c r="M599" s="163">
        <v>16</v>
      </c>
      <c r="N599" s="163">
        <v>28.931623931623928</v>
      </c>
      <c r="O599" s="163">
        <v>12.931623931623928</v>
      </c>
      <c r="P599" s="163"/>
      <c r="Q599" s="163">
        <v>19</v>
      </c>
      <c r="R599" s="163">
        <v>0</v>
      </c>
      <c r="S599" s="163">
        <v>0</v>
      </c>
      <c r="T599" s="163">
        <v>0</v>
      </c>
      <c r="U599" s="163">
        <v>0</v>
      </c>
      <c r="V599" s="163">
        <v>0</v>
      </c>
      <c r="W599" s="163">
        <v>0</v>
      </c>
      <c r="X599" s="163">
        <v>0</v>
      </c>
      <c r="Y599" s="163">
        <v>19</v>
      </c>
      <c r="Z599" s="163">
        <v>19</v>
      </c>
      <c r="AA599" s="163">
        <v>0</v>
      </c>
      <c r="AB599" s="163">
        <v>0</v>
      </c>
      <c r="AC599" s="163">
        <v>14</v>
      </c>
      <c r="AD599" s="163">
        <v>5</v>
      </c>
      <c r="AE599" s="165">
        <v>0.63544959340869855</v>
      </c>
      <c r="AF599" s="166">
        <v>0.67075234859807076</v>
      </c>
    </row>
    <row r="600" spans="1:32">
      <c r="A600" s="161">
        <v>13</v>
      </c>
      <c r="B600" s="162">
        <v>0.45833333333333331</v>
      </c>
      <c r="C600" s="163">
        <v>23.601442417575445</v>
      </c>
      <c r="D600" s="163">
        <v>850.59696950454008</v>
      </c>
      <c r="E600" s="164">
        <v>0.82589999999999997</v>
      </c>
      <c r="F600" s="164">
        <v>0.82589999999999997</v>
      </c>
      <c r="G600" s="163">
        <v>19</v>
      </c>
      <c r="H600" s="163">
        <v>31.666666666666664</v>
      </c>
      <c r="I600" s="163">
        <v>12.666666666666664</v>
      </c>
      <c r="J600" s="163">
        <v>15</v>
      </c>
      <c r="K600" s="163">
        <v>15.488205128205129</v>
      </c>
      <c r="L600" s="163">
        <v>0.48820512820512896</v>
      </c>
      <c r="M600" s="163">
        <v>17</v>
      </c>
      <c r="N600" s="163">
        <v>28.931623931623928</v>
      </c>
      <c r="O600" s="163">
        <v>11.931623931623928</v>
      </c>
      <c r="P600" s="163"/>
      <c r="Q600" s="163">
        <v>19</v>
      </c>
      <c r="R600" s="163">
        <v>0</v>
      </c>
      <c r="S600" s="163">
        <v>0</v>
      </c>
      <c r="T600" s="163">
        <v>0</v>
      </c>
      <c r="U600" s="163">
        <v>0</v>
      </c>
      <c r="V600" s="163">
        <v>0</v>
      </c>
      <c r="W600" s="163">
        <v>0</v>
      </c>
      <c r="X600" s="163">
        <v>0</v>
      </c>
      <c r="Y600" s="163">
        <v>19</v>
      </c>
      <c r="Z600" s="163">
        <v>19</v>
      </c>
      <c r="AA600" s="163">
        <v>0</v>
      </c>
      <c r="AB600" s="163">
        <v>0</v>
      </c>
      <c r="AC600" s="163">
        <v>14</v>
      </c>
      <c r="AD600" s="163">
        <v>5</v>
      </c>
      <c r="AE600" s="165">
        <v>0.72009331653597031</v>
      </c>
      <c r="AF600" s="166">
        <v>0.72009331653597031</v>
      </c>
    </row>
    <row r="601" spans="1:32">
      <c r="A601" s="161">
        <v>13</v>
      </c>
      <c r="B601" s="162">
        <v>0.47916666666666669</v>
      </c>
      <c r="C601" s="163">
        <v>21.560812929468721</v>
      </c>
      <c r="D601" s="163">
        <v>754.07517278224111</v>
      </c>
      <c r="E601" s="164">
        <v>0.96010000000000006</v>
      </c>
      <c r="F601" s="164">
        <v>0.96010000000000006</v>
      </c>
      <c r="G601" s="163">
        <v>16</v>
      </c>
      <c r="H601" s="163">
        <v>31.666666666666664</v>
      </c>
      <c r="I601" s="163">
        <v>15.666666666666664</v>
      </c>
      <c r="J601" s="163">
        <v>13</v>
      </c>
      <c r="K601" s="163">
        <v>13.042699055330635</v>
      </c>
      <c r="L601" s="163">
        <v>4.2699055330635005E-2</v>
      </c>
      <c r="M601" s="163">
        <v>15</v>
      </c>
      <c r="N601" s="163">
        <v>28.931623931623928</v>
      </c>
      <c r="O601" s="163">
        <v>13.931623931623928</v>
      </c>
      <c r="P601" s="163"/>
      <c r="Q601" s="163">
        <v>19</v>
      </c>
      <c r="R601" s="163">
        <v>0</v>
      </c>
      <c r="S601" s="163">
        <v>0</v>
      </c>
      <c r="T601" s="163">
        <v>0</v>
      </c>
      <c r="U601" s="163">
        <v>0</v>
      </c>
      <c r="V601" s="163">
        <v>0</v>
      </c>
      <c r="W601" s="163">
        <v>0</v>
      </c>
      <c r="X601" s="163">
        <v>0</v>
      </c>
      <c r="Y601" s="163">
        <v>19</v>
      </c>
      <c r="Z601" s="163">
        <v>19</v>
      </c>
      <c r="AA601" s="163">
        <v>0</v>
      </c>
      <c r="AB601" s="163">
        <v>0</v>
      </c>
      <c r="AC601" s="163">
        <v>14</v>
      </c>
      <c r="AD601" s="163">
        <v>5</v>
      </c>
      <c r="AE601" s="165">
        <v>0.58318477406709024</v>
      </c>
      <c r="AF601" s="166">
        <v>0.69253191920466972</v>
      </c>
    </row>
    <row r="602" spans="1:32">
      <c r="A602" s="161">
        <v>13</v>
      </c>
      <c r="B602" s="162">
        <v>0.5</v>
      </c>
      <c r="C602" s="163">
        <v>21.666043296742743</v>
      </c>
      <c r="D602" s="163">
        <v>817.69844048576408</v>
      </c>
      <c r="E602" s="164">
        <v>0.9244</v>
      </c>
      <c r="F602" s="164">
        <v>0.9244</v>
      </c>
      <c r="G602" s="163">
        <v>18</v>
      </c>
      <c r="H602" s="163">
        <v>31.666666666666664</v>
      </c>
      <c r="I602" s="163">
        <v>13.666666666666664</v>
      </c>
      <c r="J602" s="163">
        <v>14</v>
      </c>
      <c r="K602" s="163">
        <v>14.673036437246964</v>
      </c>
      <c r="L602" s="163">
        <v>0.67303643724696371</v>
      </c>
      <c r="M602" s="163">
        <v>16</v>
      </c>
      <c r="N602" s="163">
        <v>28.931623931623928</v>
      </c>
      <c r="O602" s="163">
        <v>12.931623931623928</v>
      </c>
      <c r="P602" s="163"/>
      <c r="Q602" s="163">
        <v>19</v>
      </c>
      <c r="R602" s="163">
        <v>0</v>
      </c>
      <c r="S602" s="163">
        <v>0</v>
      </c>
      <c r="T602" s="163">
        <v>0</v>
      </c>
      <c r="U602" s="163">
        <v>0</v>
      </c>
      <c r="V602" s="163">
        <v>0</v>
      </c>
      <c r="W602" s="163">
        <v>0</v>
      </c>
      <c r="X602" s="163">
        <v>0</v>
      </c>
      <c r="Y602" s="163">
        <v>19</v>
      </c>
      <c r="Z602" s="163">
        <v>19</v>
      </c>
      <c r="AA602" s="163">
        <v>0</v>
      </c>
      <c r="AB602" s="163">
        <v>0</v>
      </c>
      <c r="AC602" s="163">
        <v>14</v>
      </c>
      <c r="AD602" s="163">
        <v>5</v>
      </c>
      <c r="AE602" s="165">
        <v>0.63547603800566899</v>
      </c>
      <c r="AF602" s="166">
        <v>0.6707802623393172</v>
      </c>
    </row>
    <row r="603" spans="1:32">
      <c r="A603" s="161">
        <v>13</v>
      </c>
      <c r="B603" s="162">
        <v>0.52083333333333337</v>
      </c>
      <c r="C603" s="163">
        <v>19.887657701257794</v>
      </c>
      <c r="D603" s="163">
        <v>786.09609082452425</v>
      </c>
      <c r="E603" s="164">
        <v>0.92300000000000004</v>
      </c>
      <c r="F603" s="164">
        <v>0.92300000000000004</v>
      </c>
      <c r="G603" s="163">
        <v>16</v>
      </c>
      <c r="H603" s="163">
        <v>30.333333333333336</v>
      </c>
      <c r="I603" s="163">
        <v>14.333333333333336</v>
      </c>
      <c r="J603" s="163">
        <v>13</v>
      </c>
      <c r="K603" s="163">
        <v>13.042699055330635</v>
      </c>
      <c r="L603" s="163">
        <v>4.2699055330635005E-2</v>
      </c>
      <c r="M603" s="163">
        <v>15</v>
      </c>
      <c r="N603" s="163">
        <v>27.713450292397663</v>
      </c>
      <c r="O603" s="163">
        <v>12.713450292397663</v>
      </c>
      <c r="P603" s="163"/>
      <c r="Q603" s="163">
        <v>19</v>
      </c>
      <c r="R603" s="163">
        <v>0</v>
      </c>
      <c r="S603" s="163">
        <v>0</v>
      </c>
      <c r="T603" s="163">
        <v>0</v>
      </c>
      <c r="U603" s="163">
        <v>0</v>
      </c>
      <c r="V603" s="163">
        <v>0</v>
      </c>
      <c r="W603" s="163">
        <v>0</v>
      </c>
      <c r="X603" s="163">
        <v>0</v>
      </c>
      <c r="Y603" s="163">
        <v>19</v>
      </c>
      <c r="Z603" s="163">
        <v>19</v>
      </c>
      <c r="AA603" s="163">
        <v>0</v>
      </c>
      <c r="AB603" s="163">
        <v>0</v>
      </c>
      <c r="AC603" s="163">
        <v>14</v>
      </c>
      <c r="AD603" s="163">
        <v>5</v>
      </c>
      <c r="AE603" s="165">
        <v>0.56077116766548274</v>
      </c>
      <c r="AF603" s="166">
        <v>0.66591576160276089</v>
      </c>
    </row>
    <row r="604" spans="1:32">
      <c r="A604" s="161">
        <v>13</v>
      </c>
      <c r="B604" s="162">
        <v>0.54166666666666663</v>
      </c>
      <c r="C604" s="163">
        <v>19.687762188386895</v>
      </c>
      <c r="D604" s="163">
        <v>759.33243606208964</v>
      </c>
      <c r="E604" s="164">
        <v>0.92410000000000003</v>
      </c>
      <c r="F604" s="164">
        <v>0.92410000000000003</v>
      </c>
      <c r="G604" s="163">
        <v>15</v>
      </c>
      <c r="H604" s="163">
        <v>28.333333333333336</v>
      </c>
      <c r="I604" s="163">
        <v>13.333333333333336</v>
      </c>
      <c r="J604" s="163">
        <v>12</v>
      </c>
      <c r="K604" s="163">
        <v>12.22753036437247</v>
      </c>
      <c r="L604" s="163">
        <v>0.22753036437246976</v>
      </c>
      <c r="M604" s="163">
        <v>14</v>
      </c>
      <c r="N604" s="163">
        <v>25.886189833558255</v>
      </c>
      <c r="O604" s="163">
        <v>11.886189833558255</v>
      </c>
      <c r="P604" s="163"/>
      <c r="Q604" s="163">
        <v>17</v>
      </c>
      <c r="R604" s="163">
        <v>0</v>
      </c>
      <c r="S604" s="163">
        <v>0</v>
      </c>
      <c r="T604" s="163">
        <v>0</v>
      </c>
      <c r="U604" s="163">
        <v>0</v>
      </c>
      <c r="V604" s="163">
        <v>0</v>
      </c>
      <c r="W604" s="163">
        <v>0</v>
      </c>
      <c r="X604" s="163">
        <v>0</v>
      </c>
      <c r="Y604" s="163">
        <v>17</v>
      </c>
      <c r="Z604" s="163">
        <v>17</v>
      </c>
      <c r="AA604" s="163">
        <v>0</v>
      </c>
      <c r="AB604" s="163">
        <v>0</v>
      </c>
      <c r="AC604" s="163">
        <v>12</v>
      </c>
      <c r="AD604" s="163">
        <v>5</v>
      </c>
      <c r="AE604" s="165">
        <v>0.59932085339601793</v>
      </c>
      <c r="AF604" s="166">
        <v>0.67923030051548694</v>
      </c>
    </row>
    <row r="605" spans="1:32">
      <c r="A605" s="161">
        <v>13</v>
      </c>
      <c r="B605" s="162">
        <v>0.5625</v>
      </c>
      <c r="C605" s="163">
        <v>19.024421986528143</v>
      </c>
      <c r="D605" s="163">
        <v>774.22467168253263</v>
      </c>
      <c r="E605" s="164">
        <v>0.93069999999999997</v>
      </c>
      <c r="F605" s="164">
        <v>0.93069999999999997</v>
      </c>
      <c r="G605" s="163">
        <v>15</v>
      </c>
      <c r="H605" s="163">
        <v>28.333333333333336</v>
      </c>
      <c r="I605" s="163">
        <v>13.333333333333336</v>
      </c>
      <c r="J605" s="163">
        <v>12</v>
      </c>
      <c r="K605" s="163">
        <v>12.22753036437247</v>
      </c>
      <c r="L605" s="163">
        <v>0.22753036437246976</v>
      </c>
      <c r="M605" s="163">
        <v>14</v>
      </c>
      <c r="N605" s="163">
        <v>25.886189833558255</v>
      </c>
      <c r="O605" s="163">
        <v>11.886189833558255</v>
      </c>
      <c r="P605" s="163"/>
      <c r="Q605" s="163">
        <v>17</v>
      </c>
      <c r="R605" s="163">
        <v>0</v>
      </c>
      <c r="S605" s="163">
        <v>0</v>
      </c>
      <c r="T605" s="163">
        <v>0</v>
      </c>
      <c r="U605" s="163">
        <v>0</v>
      </c>
      <c r="V605" s="163">
        <v>0</v>
      </c>
      <c r="W605" s="163">
        <v>0</v>
      </c>
      <c r="X605" s="163">
        <v>0</v>
      </c>
      <c r="Y605" s="163">
        <v>17</v>
      </c>
      <c r="Z605" s="163">
        <v>17</v>
      </c>
      <c r="AA605" s="163">
        <v>0</v>
      </c>
      <c r="AB605" s="163">
        <v>0</v>
      </c>
      <c r="AC605" s="163">
        <v>12</v>
      </c>
      <c r="AD605" s="163">
        <v>5</v>
      </c>
      <c r="AE605" s="165">
        <v>0.59048593815011885</v>
      </c>
      <c r="AF605" s="166">
        <v>0.66921739657013468</v>
      </c>
    </row>
    <row r="606" spans="1:32">
      <c r="A606" s="161">
        <v>13</v>
      </c>
      <c r="B606" s="162">
        <v>0.58333333333333337</v>
      </c>
      <c r="C606" s="163">
        <v>18.749889222685713</v>
      </c>
      <c r="D606" s="163">
        <v>774.01984221759335</v>
      </c>
      <c r="E606" s="164">
        <v>0.93710000000000004</v>
      </c>
      <c r="F606" s="164">
        <v>0.93710000000000004</v>
      </c>
      <c r="G606" s="163">
        <v>15</v>
      </c>
      <c r="H606" s="163">
        <v>28.333333333333336</v>
      </c>
      <c r="I606" s="163">
        <v>13.333333333333336</v>
      </c>
      <c r="J606" s="163">
        <v>12</v>
      </c>
      <c r="K606" s="163">
        <v>12.22753036437247</v>
      </c>
      <c r="L606" s="163">
        <v>0.22753036437246976</v>
      </c>
      <c r="M606" s="163">
        <v>14</v>
      </c>
      <c r="N606" s="163">
        <v>25.886189833558255</v>
      </c>
      <c r="O606" s="163">
        <v>11.886189833558255</v>
      </c>
      <c r="P606" s="163"/>
      <c r="Q606" s="163">
        <v>17</v>
      </c>
      <c r="R606" s="163">
        <v>0</v>
      </c>
      <c r="S606" s="163">
        <v>0</v>
      </c>
      <c r="T606" s="163">
        <v>0</v>
      </c>
      <c r="U606" s="163">
        <v>0</v>
      </c>
      <c r="V606" s="163">
        <v>0</v>
      </c>
      <c r="W606" s="163">
        <v>0</v>
      </c>
      <c r="X606" s="163">
        <v>0</v>
      </c>
      <c r="Y606" s="163">
        <v>17</v>
      </c>
      <c r="Z606" s="163">
        <v>17</v>
      </c>
      <c r="AA606" s="163">
        <v>0</v>
      </c>
      <c r="AB606" s="163">
        <v>0</v>
      </c>
      <c r="AC606" s="163">
        <v>12</v>
      </c>
      <c r="AD606" s="163">
        <v>5</v>
      </c>
      <c r="AE606" s="165">
        <v>0.58181093959851959</v>
      </c>
      <c r="AF606" s="166">
        <v>0.65938573154498881</v>
      </c>
    </row>
    <row r="607" spans="1:32">
      <c r="A607" s="161">
        <v>13</v>
      </c>
      <c r="B607" s="162">
        <v>0.60416666666666663</v>
      </c>
      <c r="C607" s="163">
        <v>18.86990351979037</v>
      </c>
      <c r="D607" s="163">
        <v>734.86715361499841</v>
      </c>
      <c r="E607" s="164">
        <v>0.97716666666666674</v>
      </c>
      <c r="F607" s="164">
        <v>0.97716666666666674</v>
      </c>
      <c r="G607" s="163">
        <v>14</v>
      </c>
      <c r="H607" s="163">
        <v>29.666666666666664</v>
      </c>
      <c r="I607" s="163">
        <v>15.666666666666664</v>
      </c>
      <c r="J607" s="163">
        <v>11</v>
      </c>
      <c r="K607" s="163">
        <v>11.412361673414306</v>
      </c>
      <c r="L607" s="163">
        <v>0.4123616734143063</v>
      </c>
      <c r="M607" s="163">
        <v>13</v>
      </c>
      <c r="N607" s="163">
        <v>27.104363472784524</v>
      </c>
      <c r="O607" s="163">
        <v>14.104363472784524</v>
      </c>
      <c r="P607" s="163"/>
      <c r="Q607" s="163">
        <v>17</v>
      </c>
      <c r="R607" s="163">
        <v>0</v>
      </c>
      <c r="S607" s="163">
        <v>0</v>
      </c>
      <c r="T607" s="163">
        <v>0</v>
      </c>
      <c r="U607" s="163">
        <v>0</v>
      </c>
      <c r="V607" s="163">
        <v>0</v>
      </c>
      <c r="W607" s="163">
        <v>0</v>
      </c>
      <c r="X607" s="163">
        <v>0</v>
      </c>
      <c r="Y607" s="163">
        <v>17</v>
      </c>
      <c r="Z607" s="163">
        <v>17</v>
      </c>
      <c r="AA607" s="163">
        <v>0</v>
      </c>
      <c r="AB607" s="163">
        <v>0</v>
      </c>
      <c r="AC607" s="163">
        <v>12</v>
      </c>
      <c r="AD607" s="163">
        <v>5</v>
      </c>
      <c r="AE607" s="165">
        <v>0.55591654352178388</v>
      </c>
      <c r="AF607" s="166">
        <v>0.67504151713359473</v>
      </c>
    </row>
    <row r="608" spans="1:32">
      <c r="A608" s="161">
        <v>13</v>
      </c>
      <c r="B608" s="162">
        <v>0.625</v>
      </c>
      <c r="C608" s="163">
        <v>19.290948336575386</v>
      </c>
      <c r="D608" s="163">
        <v>792.94078245593857</v>
      </c>
      <c r="E608" s="164">
        <v>0.86446666666666661</v>
      </c>
      <c r="F608" s="164">
        <v>0.86446666666666661</v>
      </c>
      <c r="G608" s="163">
        <v>15</v>
      </c>
      <c r="H608" s="163">
        <v>29</v>
      </c>
      <c r="I608" s="163">
        <v>14</v>
      </c>
      <c r="J608" s="163">
        <v>12</v>
      </c>
      <c r="K608" s="163">
        <v>12.22753036437247</v>
      </c>
      <c r="L608" s="163">
        <v>0.22753036437246976</v>
      </c>
      <c r="M608" s="163">
        <v>14</v>
      </c>
      <c r="N608" s="163">
        <v>26.495276653171388</v>
      </c>
      <c r="O608" s="163">
        <v>12.495276653171388</v>
      </c>
      <c r="P608" s="163"/>
      <c r="Q608" s="163">
        <v>19</v>
      </c>
      <c r="R608" s="163">
        <v>0</v>
      </c>
      <c r="S608" s="163">
        <v>0</v>
      </c>
      <c r="T608" s="163">
        <v>0</v>
      </c>
      <c r="U608" s="163">
        <v>0</v>
      </c>
      <c r="V608" s="163">
        <v>0</v>
      </c>
      <c r="W608" s="163">
        <v>0</v>
      </c>
      <c r="X608" s="163">
        <v>0</v>
      </c>
      <c r="Y608" s="163">
        <v>19</v>
      </c>
      <c r="Z608" s="163">
        <v>19</v>
      </c>
      <c r="AA608" s="163">
        <v>0</v>
      </c>
      <c r="AB608" s="163">
        <v>0</v>
      </c>
      <c r="AC608" s="163">
        <v>12</v>
      </c>
      <c r="AD608" s="163">
        <v>7</v>
      </c>
      <c r="AE608" s="165">
        <v>0.54868202902725882</v>
      </c>
      <c r="AF608" s="166">
        <v>0.69499723676786118</v>
      </c>
    </row>
    <row r="609" spans="1:32">
      <c r="A609" s="161">
        <v>13</v>
      </c>
      <c r="B609" s="162">
        <v>0.64583333333333337</v>
      </c>
      <c r="C609" s="163">
        <v>17.774708558446211</v>
      </c>
      <c r="D609" s="163">
        <v>771.42529090122287</v>
      </c>
      <c r="E609" s="164">
        <v>0.83779999999999999</v>
      </c>
      <c r="F609" s="164">
        <v>0.83779999999999999</v>
      </c>
      <c r="G609" s="163">
        <v>14</v>
      </c>
      <c r="H609" s="163">
        <v>23.333333333333336</v>
      </c>
      <c r="I609" s="163">
        <v>9.3333333333333357</v>
      </c>
      <c r="J609" s="163">
        <v>11</v>
      </c>
      <c r="K609" s="163">
        <v>11.412361673414306</v>
      </c>
      <c r="L609" s="163">
        <v>0.4123616734143063</v>
      </c>
      <c r="M609" s="163">
        <v>13</v>
      </c>
      <c r="N609" s="163">
        <v>21.31803868645974</v>
      </c>
      <c r="O609" s="163">
        <v>8.3180386864597402</v>
      </c>
      <c r="P609" s="163"/>
      <c r="Q609" s="163">
        <v>14</v>
      </c>
      <c r="R609" s="163">
        <v>0</v>
      </c>
      <c r="S609" s="163">
        <v>0</v>
      </c>
      <c r="T609" s="163">
        <v>0</v>
      </c>
      <c r="U609" s="163">
        <v>0</v>
      </c>
      <c r="V609" s="163">
        <v>0</v>
      </c>
      <c r="W609" s="163">
        <v>0</v>
      </c>
      <c r="X609" s="163">
        <v>0</v>
      </c>
      <c r="Y609" s="163">
        <v>14</v>
      </c>
      <c r="Z609" s="163">
        <v>14</v>
      </c>
      <c r="AA609" s="163">
        <v>0</v>
      </c>
      <c r="AB609" s="163">
        <v>0</v>
      </c>
      <c r="AC609" s="163">
        <v>10</v>
      </c>
      <c r="AD609" s="163">
        <v>4</v>
      </c>
      <c r="AE609" s="165">
        <v>0.66749548101016731</v>
      </c>
      <c r="AF609" s="166">
        <v>0.66749548101016731</v>
      </c>
    </row>
    <row r="610" spans="1:32">
      <c r="A610" s="161">
        <v>13</v>
      </c>
      <c r="B610" s="162">
        <v>0.66666666666666663</v>
      </c>
      <c r="C610" s="163">
        <v>16.913455150957468</v>
      </c>
      <c r="D610" s="163">
        <v>801.36771084405325</v>
      </c>
      <c r="E610" s="164">
        <v>0.8469000000000001</v>
      </c>
      <c r="F610" s="164">
        <v>0.8469000000000001</v>
      </c>
      <c r="G610" s="163">
        <v>14</v>
      </c>
      <c r="H610" s="163">
        <v>23.333333333333336</v>
      </c>
      <c r="I610" s="163">
        <v>9.3333333333333357</v>
      </c>
      <c r="J610" s="163">
        <v>11</v>
      </c>
      <c r="K610" s="163">
        <v>11.412361673414306</v>
      </c>
      <c r="L610" s="163">
        <v>0.4123616734143063</v>
      </c>
      <c r="M610" s="163">
        <v>13</v>
      </c>
      <c r="N610" s="163">
        <v>21.31803868645974</v>
      </c>
      <c r="O610" s="163">
        <v>8.3180386864597402</v>
      </c>
      <c r="P610" s="163"/>
      <c r="Q610" s="163">
        <v>14</v>
      </c>
      <c r="R610" s="163">
        <v>0</v>
      </c>
      <c r="S610" s="163">
        <v>0</v>
      </c>
      <c r="T610" s="163">
        <v>0</v>
      </c>
      <c r="U610" s="163">
        <v>0</v>
      </c>
      <c r="V610" s="163">
        <v>0</v>
      </c>
      <c r="W610" s="163">
        <v>0</v>
      </c>
      <c r="X610" s="163">
        <v>0</v>
      </c>
      <c r="Y610" s="163">
        <v>14</v>
      </c>
      <c r="Z610" s="163">
        <v>14</v>
      </c>
      <c r="AA610" s="163">
        <v>0</v>
      </c>
      <c r="AB610" s="163">
        <v>0</v>
      </c>
      <c r="AC610" s="163">
        <v>10</v>
      </c>
      <c r="AD610" s="163">
        <v>4</v>
      </c>
      <c r="AE610" s="165">
        <v>0.65980582307033975</v>
      </c>
      <c r="AF610" s="166">
        <v>0.65980582307033975</v>
      </c>
    </row>
    <row r="611" spans="1:32">
      <c r="A611" s="161">
        <v>13</v>
      </c>
      <c r="B611" s="162">
        <v>0.6875</v>
      </c>
      <c r="C611" s="163">
        <v>16.424488471461309</v>
      </c>
      <c r="D611" s="163">
        <v>754.01483662721512</v>
      </c>
      <c r="E611" s="164">
        <v>0.77959999999999996</v>
      </c>
      <c r="F611" s="164">
        <v>0.77959999999999996</v>
      </c>
      <c r="G611" s="163">
        <v>13</v>
      </c>
      <c r="H611" s="163">
        <v>22</v>
      </c>
      <c r="I611" s="163">
        <v>9</v>
      </c>
      <c r="J611" s="163">
        <v>10</v>
      </c>
      <c r="K611" s="163">
        <v>10.597192982456141</v>
      </c>
      <c r="L611" s="163">
        <v>0.59719298245614105</v>
      </c>
      <c r="M611" s="163">
        <v>12</v>
      </c>
      <c r="N611" s="163">
        <v>20.099865047233468</v>
      </c>
      <c r="O611" s="163">
        <v>8.0998650472334681</v>
      </c>
      <c r="P611" s="163"/>
      <c r="Q611" s="163">
        <v>14</v>
      </c>
      <c r="R611" s="163">
        <v>0</v>
      </c>
      <c r="S611" s="163">
        <v>0</v>
      </c>
      <c r="T611" s="163">
        <v>0</v>
      </c>
      <c r="U611" s="163">
        <v>0</v>
      </c>
      <c r="V611" s="163">
        <v>0</v>
      </c>
      <c r="W611" s="163">
        <v>0</v>
      </c>
      <c r="X611" s="163">
        <v>0</v>
      </c>
      <c r="Y611" s="163">
        <v>14</v>
      </c>
      <c r="Z611" s="163">
        <v>14</v>
      </c>
      <c r="AA611" s="163">
        <v>0</v>
      </c>
      <c r="AB611" s="163">
        <v>0</v>
      </c>
      <c r="AC611" s="163">
        <v>10</v>
      </c>
      <c r="AD611" s="163">
        <v>4</v>
      </c>
      <c r="AE611" s="165">
        <v>0.60287005470686583</v>
      </c>
      <c r="AF611" s="166">
        <v>0.64924467429970167</v>
      </c>
    </row>
    <row r="612" spans="1:32">
      <c r="A612" s="161">
        <v>13</v>
      </c>
      <c r="B612" s="162">
        <v>0.70833333333333337</v>
      </c>
      <c r="C612" s="163">
        <v>17.106788163350636</v>
      </c>
      <c r="D612" s="163">
        <v>767.47939430998974</v>
      </c>
      <c r="E612" s="164">
        <v>0.64</v>
      </c>
      <c r="F612" s="164">
        <v>0.64</v>
      </c>
      <c r="G612" s="163">
        <v>14</v>
      </c>
      <c r="H612" s="163">
        <v>20</v>
      </c>
      <c r="I612" s="163">
        <v>6</v>
      </c>
      <c r="J612" s="163">
        <v>11</v>
      </c>
      <c r="K612" s="163">
        <v>11.412361673414306</v>
      </c>
      <c r="L612" s="163">
        <v>0.4123616734143063</v>
      </c>
      <c r="M612" s="163">
        <v>13</v>
      </c>
      <c r="N612" s="163">
        <v>18.27260458839406</v>
      </c>
      <c r="O612" s="163">
        <v>5.27260458839406</v>
      </c>
      <c r="P612" s="163"/>
      <c r="Q612" s="163">
        <v>12</v>
      </c>
      <c r="R612" s="163">
        <v>0</v>
      </c>
      <c r="S612" s="163">
        <v>0</v>
      </c>
      <c r="T612" s="163">
        <v>0</v>
      </c>
      <c r="U612" s="163">
        <v>0</v>
      </c>
      <c r="V612" s="163">
        <v>0</v>
      </c>
      <c r="W612" s="163">
        <v>0</v>
      </c>
      <c r="X612" s="163">
        <v>0</v>
      </c>
      <c r="Y612" s="163">
        <v>12</v>
      </c>
      <c r="Z612" s="163">
        <v>12</v>
      </c>
      <c r="AA612" s="163">
        <v>0</v>
      </c>
      <c r="AB612" s="163">
        <v>0</v>
      </c>
      <c r="AC612" s="163">
        <v>10</v>
      </c>
      <c r="AD612" s="163">
        <v>2</v>
      </c>
      <c r="AE612" s="165">
        <v>0.74564817550135087</v>
      </c>
      <c r="AF612" s="166">
        <v>0.63912700757258656</v>
      </c>
    </row>
    <row r="613" spans="1:32">
      <c r="A613" s="161">
        <v>13</v>
      </c>
      <c r="B613" s="162">
        <v>0.72916666666666663</v>
      </c>
      <c r="C613" s="163">
        <v>16.531875400096155</v>
      </c>
      <c r="D613" s="163">
        <v>792.45634659623818</v>
      </c>
      <c r="E613" s="164">
        <v>0.85763333333333336</v>
      </c>
      <c r="F613" s="164">
        <v>0.85763333333333336</v>
      </c>
      <c r="G613" s="163">
        <v>14</v>
      </c>
      <c r="H613" s="163">
        <v>22.666666666666664</v>
      </c>
      <c r="I613" s="163">
        <v>8.6666666666666643</v>
      </c>
      <c r="J613" s="163">
        <v>11</v>
      </c>
      <c r="K613" s="163">
        <v>11.412361673414306</v>
      </c>
      <c r="L613" s="163">
        <v>0.4123616734143063</v>
      </c>
      <c r="M613" s="163">
        <v>13</v>
      </c>
      <c r="N613" s="163">
        <v>20.708951866846601</v>
      </c>
      <c r="O613" s="163">
        <v>7.7089518668466006</v>
      </c>
      <c r="P613" s="163"/>
      <c r="Q613" s="163">
        <v>12</v>
      </c>
      <c r="R613" s="163">
        <v>0</v>
      </c>
      <c r="S613" s="163">
        <v>0</v>
      </c>
      <c r="T613" s="163">
        <v>0</v>
      </c>
      <c r="U613" s="163">
        <v>0</v>
      </c>
      <c r="V613" s="163">
        <v>0</v>
      </c>
      <c r="W613" s="163">
        <v>0</v>
      </c>
      <c r="X613" s="163">
        <v>0</v>
      </c>
      <c r="Y613" s="163">
        <v>12</v>
      </c>
      <c r="Z613" s="163">
        <v>12</v>
      </c>
      <c r="AA613" s="163">
        <v>0</v>
      </c>
      <c r="AB613" s="163">
        <v>0</v>
      </c>
      <c r="AC613" s="163">
        <v>10</v>
      </c>
      <c r="AD613" s="163">
        <v>2</v>
      </c>
      <c r="AE613" s="165">
        <v>0.74403990600794279</v>
      </c>
      <c r="AF613" s="166">
        <v>0.63774849086395102</v>
      </c>
    </row>
    <row r="614" spans="1:32">
      <c r="A614" s="161">
        <v>13</v>
      </c>
      <c r="B614" s="162">
        <v>0.75</v>
      </c>
      <c r="C614" s="163">
        <v>16.124965232859225</v>
      </c>
      <c r="D614" s="163">
        <v>768.74284638317397</v>
      </c>
      <c r="E614" s="164">
        <v>0.97689999999999999</v>
      </c>
      <c r="F614" s="164">
        <v>0.97689999999999999</v>
      </c>
      <c r="G614" s="163">
        <v>13</v>
      </c>
      <c r="H614" s="163">
        <v>26.666666666666664</v>
      </c>
      <c r="I614" s="163">
        <v>13.666666666666664</v>
      </c>
      <c r="J614" s="163">
        <v>10</v>
      </c>
      <c r="K614" s="163">
        <v>10.597192982456141</v>
      </c>
      <c r="L614" s="163">
        <v>0.59719298245614105</v>
      </c>
      <c r="M614" s="163">
        <v>12</v>
      </c>
      <c r="N614" s="163">
        <v>24.363472784525413</v>
      </c>
      <c r="O614" s="163">
        <v>12.363472784525413</v>
      </c>
      <c r="P614" s="163"/>
      <c r="Q614" s="163">
        <v>16</v>
      </c>
      <c r="R614" s="163">
        <v>0</v>
      </c>
      <c r="S614" s="163">
        <v>0</v>
      </c>
      <c r="T614" s="163">
        <v>0</v>
      </c>
      <c r="U614" s="163">
        <v>0</v>
      </c>
      <c r="V614" s="163">
        <v>0</v>
      </c>
      <c r="W614" s="163">
        <v>0</v>
      </c>
      <c r="X614" s="163">
        <v>0</v>
      </c>
      <c r="Y614" s="163">
        <v>16</v>
      </c>
      <c r="Z614" s="163">
        <v>16</v>
      </c>
      <c r="AA614" s="163">
        <v>0</v>
      </c>
      <c r="AB614" s="163">
        <v>0</v>
      </c>
      <c r="AC614" s="163">
        <v>14</v>
      </c>
      <c r="AD614" s="163">
        <v>2</v>
      </c>
      <c r="AE614" s="165">
        <v>0.52800726199176684</v>
      </c>
      <c r="AF614" s="166">
        <v>0.64985509168217459</v>
      </c>
    </row>
    <row r="615" spans="1:32">
      <c r="A615" s="161">
        <v>13</v>
      </c>
      <c r="B615" s="162">
        <v>0.77083333333333337</v>
      </c>
      <c r="C615" s="163">
        <v>15.226365034457903</v>
      </c>
      <c r="D615" s="163">
        <v>762.43585437114348</v>
      </c>
      <c r="E615" s="164">
        <v>0.9859</v>
      </c>
      <c r="F615" s="164">
        <v>0.9859</v>
      </c>
      <c r="G615" s="163">
        <v>13</v>
      </c>
      <c r="H615" s="163">
        <v>26.666666666666664</v>
      </c>
      <c r="I615" s="163">
        <v>13.666666666666664</v>
      </c>
      <c r="J615" s="163">
        <v>10</v>
      </c>
      <c r="K615" s="163">
        <v>10.597192982456141</v>
      </c>
      <c r="L615" s="163">
        <v>0.59719298245614105</v>
      </c>
      <c r="M615" s="163">
        <v>12</v>
      </c>
      <c r="N615" s="163">
        <v>24.363472784525413</v>
      </c>
      <c r="O615" s="163">
        <v>12.363472784525413</v>
      </c>
      <c r="P615" s="163"/>
      <c r="Q615" s="163">
        <v>16</v>
      </c>
      <c r="R615" s="163">
        <v>0</v>
      </c>
      <c r="S615" s="163">
        <v>0</v>
      </c>
      <c r="T615" s="163">
        <v>0</v>
      </c>
      <c r="U615" s="163">
        <v>0</v>
      </c>
      <c r="V615" s="163">
        <v>0</v>
      </c>
      <c r="W615" s="163">
        <v>0</v>
      </c>
      <c r="X615" s="163">
        <v>0</v>
      </c>
      <c r="Y615" s="163">
        <v>16</v>
      </c>
      <c r="Z615" s="163">
        <v>16</v>
      </c>
      <c r="AA615" s="163">
        <v>0</v>
      </c>
      <c r="AB615" s="163">
        <v>0</v>
      </c>
      <c r="AC615" s="163">
        <v>14</v>
      </c>
      <c r="AD615" s="163">
        <v>2</v>
      </c>
      <c r="AE615" s="165">
        <v>0.49449234160151728</v>
      </c>
      <c r="AF615" s="166">
        <v>0.60860595889417513</v>
      </c>
    </row>
    <row r="616" spans="1:32">
      <c r="A616" s="161">
        <v>13</v>
      </c>
      <c r="B616" s="162">
        <v>0.79166666666666663</v>
      </c>
      <c r="C616" s="163">
        <v>15.210381115775743</v>
      </c>
      <c r="D616" s="163">
        <v>771.29650171909168</v>
      </c>
      <c r="E616" s="164">
        <v>0.93220000000000003</v>
      </c>
      <c r="F616" s="164">
        <v>0.93220000000000003</v>
      </c>
      <c r="G616" s="163">
        <v>13</v>
      </c>
      <c r="H616" s="163">
        <v>23.333333333333336</v>
      </c>
      <c r="I616" s="163">
        <v>10.333333333333336</v>
      </c>
      <c r="J616" s="163">
        <v>10</v>
      </c>
      <c r="K616" s="163">
        <v>10.597192982456141</v>
      </c>
      <c r="L616" s="163">
        <v>0.59719298245614105</v>
      </c>
      <c r="M616" s="163">
        <v>12</v>
      </c>
      <c r="N616" s="163">
        <v>21.31803868645974</v>
      </c>
      <c r="O616" s="163">
        <v>9.3180386864597402</v>
      </c>
      <c r="P616" s="163"/>
      <c r="Q616" s="163">
        <v>14</v>
      </c>
      <c r="R616" s="163">
        <v>0</v>
      </c>
      <c r="S616" s="163">
        <v>0</v>
      </c>
      <c r="T616" s="163">
        <v>0</v>
      </c>
      <c r="U616" s="163">
        <v>0</v>
      </c>
      <c r="V616" s="163">
        <v>0</v>
      </c>
      <c r="W616" s="163">
        <v>0</v>
      </c>
      <c r="X616" s="163">
        <v>0</v>
      </c>
      <c r="Y616" s="163">
        <v>14</v>
      </c>
      <c r="Z616" s="163">
        <v>14</v>
      </c>
      <c r="AA616" s="163">
        <v>0</v>
      </c>
      <c r="AB616" s="163">
        <v>0</v>
      </c>
      <c r="AC616" s="163">
        <v>12</v>
      </c>
      <c r="AD616" s="163">
        <v>2</v>
      </c>
      <c r="AE616" s="165">
        <v>0.57110166444152133</v>
      </c>
      <c r="AF616" s="166">
        <v>0.61503256170625376</v>
      </c>
    </row>
    <row r="617" spans="1:32">
      <c r="A617" s="161">
        <v>13</v>
      </c>
      <c r="B617" s="162">
        <v>0.8125</v>
      </c>
      <c r="C617" s="163">
        <v>13.32498776660073</v>
      </c>
      <c r="D617" s="163">
        <v>775.54432716534461</v>
      </c>
      <c r="E617" s="164">
        <v>0.96889999999999998</v>
      </c>
      <c r="F617" s="164">
        <v>0.96889999999999998</v>
      </c>
      <c r="G617" s="163">
        <v>12</v>
      </c>
      <c r="H617" s="163">
        <v>23.333333333333336</v>
      </c>
      <c r="I617" s="163">
        <v>11.333333333333336</v>
      </c>
      <c r="J617" s="163">
        <v>9</v>
      </c>
      <c r="K617" s="163">
        <v>9.7820242914979758</v>
      </c>
      <c r="L617" s="163">
        <v>0.78202429149797581</v>
      </c>
      <c r="M617" s="163">
        <v>11</v>
      </c>
      <c r="N617" s="163">
        <v>21.31803868645974</v>
      </c>
      <c r="O617" s="163">
        <v>10.31803868645974</v>
      </c>
      <c r="P617" s="163"/>
      <c r="Q617" s="163">
        <v>14</v>
      </c>
      <c r="R617" s="163">
        <v>0</v>
      </c>
      <c r="S617" s="163">
        <v>0</v>
      </c>
      <c r="T617" s="163">
        <v>0</v>
      </c>
      <c r="U617" s="163">
        <v>0</v>
      </c>
      <c r="V617" s="163">
        <v>0</v>
      </c>
      <c r="W617" s="163">
        <v>0</v>
      </c>
      <c r="X617" s="163">
        <v>0</v>
      </c>
      <c r="Y617" s="163">
        <v>14</v>
      </c>
      <c r="Z617" s="163">
        <v>14</v>
      </c>
      <c r="AA617" s="163">
        <v>0</v>
      </c>
      <c r="AB617" s="163">
        <v>0</v>
      </c>
      <c r="AC617" s="163">
        <v>12</v>
      </c>
      <c r="AD617" s="163">
        <v>2</v>
      </c>
      <c r="AE617" s="165">
        <v>0.50306651719057915</v>
      </c>
      <c r="AF617" s="166">
        <v>0.58691093672234229</v>
      </c>
    </row>
    <row r="618" spans="1:32">
      <c r="A618" s="161">
        <v>13</v>
      </c>
      <c r="B618" s="162">
        <v>0.83333333333333337</v>
      </c>
      <c r="C618" s="163">
        <v>13.188754900301923</v>
      </c>
      <c r="D618" s="163">
        <v>731.7282526718667</v>
      </c>
      <c r="E618" s="164">
        <v>0.85789999999999988</v>
      </c>
      <c r="F618" s="164">
        <v>0.85789999999999988</v>
      </c>
      <c r="G618" s="163">
        <v>12</v>
      </c>
      <c r="H618" s="163">
        <v>20.666666666666668</v>
      </c>
      <c r="I618" s="163">
        <v>8.6666666666666679</v>
      </c>
      <c r="J618" s="163">
        <v>9</v>
      </c>
      <c r="K618" s="163">
        <v>9.7820242914979758</v>
      </c>
      <c r="L618" s="163">
        <v>0.78202429149797581</v>
      </c>
      <c r="M618" s="163">
        <v>11</v>
      </c>
      <c r="N618" s="163">
        <v>18.881691408007196</v>
      </c>
      <c r="O618" s="163">
        <v>7.881691408007196</v>
      </c>
      <c r="P618" s="163"/>
      <c r="Q618" s="163">
        <v>14</v>
      </c>
      <c r="R618" s="163">
        <v>0</v>
      </c>
      <c r="S618" s="163">
        <v>0</v>
      </c>
      <c r="T618" s="163">
        <v>0</v>
      </c>
      <c r="U618" s="163">
        <v>0</v>
      </c>
      <c r="V618" s="163">
        <v>0</v>
      </c>
      <c r="W618" s="163">
        <v>0</v>
      </c>
      <c r="X618" s="163">
        <v>0</v>
      </c>
      <c r="Y618" s="163">
        <v>14</v>
      </c>
      <c r="Z618" s="163">
        <v>14</v>
      </c>
      <c r="AA618" s="163">
        <v>0</v>
      </c>
      <c r="AB618" s="163">
        <v>0</v>
      </c>
      <c r="AC618" s="163">
        <v>12</v>
      </c>
      <c r="AD618" s="163">
        <v>2</v>
      </c>
      <c r="AE618" s="165">
        <v>0.46979197033516285</v>
      </c>
      <c r="AF618" s="166">
        <v>0.54809063205768993</v>
      </c>
    </row>
    <row r="619" spans="1:32">
      <c r="A619" s="161">
        <v>13</v>
      </c>
      <c r="B619" s="162">
        <v>0.85416666666666663</v>
      </c>
      <c r="C619" s="163">
        <v>12.352619976883688</v>
      </c>
      <c r="D619" s="163">
        <v>715.93286173945251</v>
      </c>
      <c r="E619" s="164">
        <v>0.64823333333333333</v>
      </c>
      <c r="F619" s="164">
        <v>0.64823333333333333</v>
      </c>
      <c r="G619" s="163">
        <v>10</v>
      </c>
      <c r="H619" s="163">
        <v>15.333333333333332</v>
      </c>
      <c r="I619" s="163">
        <v>5.3333333333333321</v>
      </c>
      <c r="J619" s="163">
        <v>8</v>
      </c>
      <c r="K619" s="163">
        <v>8.1516869095816471</v>
      </c>
      <c r="L619" s="163">
        <v>0.1516869095816471</v>
      </c>
      <c r="M619" s="163">
        <v>9</v>
      </c>
      <c r="N619" s="163">
        <v>14.008996851102113</v>
      </c>
      <c r="O619" s="163">
        <v>5.008996851102113</v>
      </c>
      <c r="P619" s="163"/>
      <c r="Q619" s="163">
        <v>10</v>
      </c>
      <c r="R619" s="163">
        <v>0</v>
      </c>
      <c r="S619" s="163">
        <v>0</v>
      </c>
      <c r="T619" s="163">
        <v>0</v>
      </c>
      <c r="U619" s="163">
        <v>0</v>
      </c>
      <c r="V619" s="163">
        <v>0</v>
      </c>
      <c r="W619" s="163">
        <v>0</v>
      </c>
      <c r="X619" s="163">
        <v>0</v>
      </c>
      <c r="Y619" s="163">
        <v>10</v>
      </c>
      <c r="Z619" s="163">
        <v>10</v>
      </c>
      <c r="AA619" s="163">
        <v>0</v>
      </c>
      <c r="AB619" s="163">
        <v>0</v>
      </c>
      <c r="AC619" s="163">
        <v>8</v>
      </c>
      <c r="AD619" s="163">
        <v>2</v>
      </c>
      <c r="AE619" s="165">
        <v>0.60271414221946573</v>
      </c>
      <c r="AF619" s="166">
        <v>0.60271414221946573</v>
      </c>
    </row>
    <row r="620" spans="1:32">
      <c r="A620" s="161">
        <v>13</v>
      </c>
      <c r="B620" s="162">
        <v>0.875</v>
      </c>
      <c r="C620" s="163">
        <v>10.304415135864534</v>
      </c>
      <c r="D620" s="163">
        <v>709.16643546538444</v>
      </c>
      <c r="E620" s="164">
        <v>0.7498999999999999</v>
      </c>
      <c r="F620" s="164">
        <v>0.7498999999999999</v>
      </c>
      <c r="G620" s="163">
        <v>9</v>
      </c>
      <c r="H620" s="163">
        <v>13.333333333333332</v>
      </c>
      <c r="I620" s="163">
        <v>4.3333333333333321</v>
      </c>
      <c r="J620" s="163">
        <v>7</v>
      </c>
      <c r="K620" s="163">
        <v>7.3365182186234819</v>
      </c>
      <c r="L620" s="163">
        <v>0.33651821862348186</v>
      </c>
      <c r="M620" s="163">
        <v>8</v>
      </c>
      <c r="N620" s="163">
        <v>12.181736392262707</v>
      </c>
      <c r="O620" s="163">
        <v>4.1817363922627067</v>
      </c>
      <c r="P620" s="163"/>
      <c r="Q620" s="163">
        <v>8</v>
      </c>
      <c r="R620" s="163">
        <v>0</v>
      </c>
      <c r="S620" s="163">
        <v>0</v>
      </c>
      <c r="T620" s="163">
        <v>0</v>
      </c>
      <c r="U620" s="163">
        <v>0</v>
      </c>
      <c r="V620" s="163">
        <v>0</v>
      </c>
      <c r="W620" s="163">
        <v>0</v>
      </c>
      <c r="X620" s="163">
        <v>0</v>
      </c>
      <c r="Y620" s="163">
        <v>8</v>
      </c>
      <c r="Z620" s="163">
        <v>8</v>
      </c>
      <c r="AA620" s="163">
        <v>0</v>
      </c>
      <c r="AB620" s="163">
        <v>0</v>
      </c>
      <c r="AC620" s="163">
        <v>6</v>
      </c>
      <c r="AD620" s="163">
        <v>2</v>
      </c>
      <c r="AE620" s="165">
        <v>0.62253179349663035</v>
      </c>
      <c r="AF620" s="166">
        <v>0.55336159421922693</v>
      </c>
    </row>
    <row r="621" spans="1:32">
      <c r="A621" s="161">
        <v>13</v>
      </c>
      <c r="B621" s="162">
        <v>0.89583333333333337</v>
      </c>
      <c r="C621" s="163">
        <v>8.9336248982346405</v>
      </c>
      <c r="D621" s="163">
        <v>664.44083642944895</v>
      </c>
      <c r="E621" s="164">
        <v>0.88080000000000014</v>
      </c>
      <c r="F621" s="164">
        <v>0.88080000000000014</v>
      </c>
      <c r="G621" s="163">
        <v>8</v>
      </c>
      <c r="H621" s="163">
        <v>13.333333333333332</v>
      </c>
      <c r="I621" s="163">
        <v>5.3333333333333321</v>
      </c>
      <c r="J621" s="163">
        <v>6</v>
      </c>
      <c r="K621" s="163">
        <v>6.5213495276653175</v>
      </c>
      <c r="L621" s="163">
        <v>0.5213495276653175</v>
      </c>
      <c r="M621" s="163">
        <v>7</v>
      </c>
      <c r="N621" s="163">
        <v>12.181736392262707</v>
      </c>
      <c r="O621" s="163">
        <v>5.1817363922627067</v>
      </c>
      <c r="P621" s="163"/>
      <c r="Q621" s="163">
        <v>8</v>
      </c>
      <c r="R621" s="163">
        <v>0</v>
      </c>
      <c r="S621" s="163">
        <v>0</v>
      </c>
      <c r="T621" s="163">
        <v>0</v>
      </c>
      <c r="U621" s="163">
        <v>0</v>
      </c>
      <c r="V621" s="163">
        <v>0</v>
      </c>
      <c r="W621" s="163">
        <v>0</v>
      </c>
      <c r="X621" s="163">
        <v>0</v>
      </c>
      <c r="Y621" s="163">
        <v>8</v>
      </c>
      <c r="Z621" s="163">
        <v>8</v>
      </c>
      <c r="AA621" s="163">
        <v>0</v>
      </c>
      <c r="AB621" s="163">
        <v>0</v>
      </c>
      <c r="AC621" s="163">
        <v>6</v>
      </c>
      <c r="AD621" s="163">
        <v>2</v>
      </c>
      <c r="AE621" s="165">
        <v>0.50567798501661865</v>
      </c>
      <c r="AF621" s="166">
        <v>0.50567798501661865</v>
      </c>
    </row>
    <row r="622" spans="1:32">
      <c r="A622" s="161">
        <v>13</v>
      </c>
      <c r="B622" s="162">
        <v>0.91666666666666663</v>
      </c>
      <c r="C622" s="163">
        <v>4.8166036211399801</v>
      </c>
      <c r="D622" s="163">
        <v>690.11817922069451</v>
      </c>
      <c r="E622" s="164">
        <v>0.92200000000000004</v>
      </c>
      <c r="F622" s="164">
        <v>0.92200000000000004</v>
      </c>
      <c r="G622" s="163">
        <v>5</v>
      </c>
      <c r="H622" s="163">
        <v>12</v>
      </c>
      <c r="I622" s="163">
        <v>7</v>
      </c>
      <c r="J622" s="163">
        <v>4</v>
      </c>
      <c r="K622" s="163">
        <v>4.0758434547908236</v>
      </c>
      <c r="L622" s="163">
        <v>7.584345479082355E-2</v>
      </c>
      <c r="M622" s="163">
        <v>5</v>
      </c>
      <c r="N622" s="163">
        <v>10.963562753036436</v>
      </c>
      <c r="O622" s="163">
        <v>5.9635627530364363</v>
      </c>
      <c r="P622" s="163"/>
      <c r="Q622" s="163">
        <v>8</v>
      </c>
      <c r="R622" s="163">
        <v>0</v>
      </c>
      <c r="S622" s="163">
        <v>0</v>
      </c>
      <c r="T622" s="163">
        <v>0</v>
      </c>
      <c r="U622" s="163">
        <v>0</v>
      </c>
      <c r="V622" s="163">
        <v>0</v>
      </c>
      <c r="W622" s="163">
        <v>0</v>
      </c>
      <c r="X622" s="163">
        <v>0</v>
      </c>
      <c r="Y622" s="163">
        <v>8</v>
      </c>
      <c r="Z622" s="163">
        <v>8</v>
      </c>
      <c r="AA622" s="163">
        <v>0</v>
      </c>
      <c r="AB622" s="163">
        <v>0</v>
      </c>
      <c r="AC622" s="163">
        <v>6</v>
      </c>
      <c r="AD622" s="163">
        <v>2</v>
      </c>
      <c r="AE622" s="165">
        <v>0.28317466320493573</v>
      </c>
      <c r="AF622" s="166">
        <v>0.45307946112789721</v>
      </c>
    </row>
    <row r="623" spans="1:32">
      <c r="A623" s="161">
        <v>13</v>
      </c>
      <c r="B623" s="162">
        <v>0.9375</v>
      </c>
      <c r="C623" s="163">
        <v>3.8556141124136207</v>
      </c>
      <c r="D623" s="163">
        <v>687.06615959080693</v>
      </c>
      <c r="E623" s="164">
        <v>0.89366666666666672</v>
      </c>
      <c r="F623" s="164">
        <v>0.89366666666666672</v>
      </c>
      <c r="G623" s="163">
        <v>5</v>
      </c>
      <c r="H623" s="163">
        <v>9.3333333333333339</v>
      </c>
      <c r="I623" s="163">
        <v>4.3333333333333339</v>
      </c>
      <c r="J623" s="163">
        <v>4</v>
      </c>
      <c r="K623" s="163">
        <v>4.0758434547908236</v>
      </c>
      <c r="L623" s="163">
        <v>7.584345479082355E-2</v>
      </c>
      <c r="M623" s="163">
        <v>5</v>
      </c>
      <c r="N623" s="163">
        <v>8.5272154745838957</v>
      </c>
      <c r="O623" s="163">
        <v>3.5272154745838957</v>
      </c>
      <c r="P623" s="163"/>
      <c r="Q623" s="163">
        <v>6</v>
      </c>
      <c r="R623" s="163">
        <v>0</v>
      </c>
      <c r="S623" s="163">
        <v>0</v>
      </c>
      <c r="T623" s="163">
        <v>0</v>
      </c>
      <c r="U623" s="163">
        <v>0</v>
      </c>
      <c r="V623" s="163">
        <v>0</v>
      </c>
      <c r="W623" s="163">
        <v>0</v>
      </c>
      <c r="X623" s="163">
        <v>0</v>
      </c>
      <c r="Y623" s="163">
        <v>6</v>
      </c>
      <c r="Z623" s="163">
        <v>6</v>
      </c>
      <c r="AA623" s="163">
        <v>0</v>
      </c>
      <c r="AB623" s="163">
        <v>0</v>
      </c>
      <c r="AC623" s="163">
        <v>4</v>
      </c>
      <c r="AD623" s="163">
        <v>2</v>
      </c>
      <c r="AE623" s="165">
        <v>0.30089908933863629</v>
      </c>
      <c r="AF623" s="166">
        <v>0.3610789072063636</v>
      </c>
    </row>
    <row r="624" spans="1:32">
      <c r="A624" s="161">
        <v>13</v>
      </c>
      <c r="B624" s="162">
        <v>0.95833333333333337</v>
      </c>
      <c r="C624" s="163">
        <v>2.8373525590397128</v>
      </c>
      <c r="D624" s="163">
        <v>652.94389204628851</v>
      </c>
      <c r="E624" s="164">
        <v>0.91220000000000001</v>
      </c>
      <c r="F624" s="164">
        <v>0.91220000000000001</v>
      </c>
      <c r="G624" s="163">
        <v>4</v>
      </c>
      <c r="H624" s="163">
        <v>6.6666666666666661</v>
      </c>
      <c r="I624" s="163">
        <v>2.6666666666666661</v>
      </c>
      <c r="J624" s="163">
        <v>3</v>
      </c>
      <c r="K624" s="163">
        <v>3.2606747638326588</v>
      </c>
      <c r="L624" s="163">
        <v>0.26067476383265875</v>
      </c>
      <c r="M624" s="163">
        <v>4</v>
      </c>
      <c r="N624" s="163">
        <v>6.0908681961313533</v>
      </c>
      <c r="O624" s="163">
        <v>2.0908681961313533</v>
      </c>
      <c r="P624" s="163"/>
      <c r="Q624" s="163">
        <v>4</v>
      </c>
      <c r="R624" s="163">
        <v>0</v>
      </c>
      <c r="S624" s="163">
        <v>0</v>
      </c>
      <c r="T624" s="163">
        <v>0</v>
      </c>
      <c r="U624" s="163">
        <v>0</v>
      </c>
      <c r="V624" s="163">
        <v>0</v>
      </c>
      <c r="W624" s="163">
        <v>0</v>
      </c>
      <c r="X624" s="163">
        <v>0</v>
      </c>
      <c r="Y624" s="163">
        <v>4</v>
      </c>
      <c r="Z624" s="163">
        <v>4</v>
      </c>
      <c r="AA624" s="163">
        <v>0</v>
      </c>
      <c r="AB624" s="163">
        <v>0</v>
      </c>
      <c r="AC624" s="163">
        <v>4</v>
      </c>
      <c r="AD624" s="163">
        <v>0</v>
      </c>
      <c r="AE624" s="165">
        <v>0.31565246071086694</v>
      </c>
      <c r="AF624" s="166">
        <v>0.31565246071086694</v>
      </c>
    </row>
    <row r="625" spans="1:32">
      <c r="A625" s="161">
        <v>13</v>
      </c>
      <c r="B625" s="162">
        <v>0.97916666666666663</v>
      </c>
      <c r="C625" s="163">
        <v>2.1114324896875281</v>
      </c>
      <c r="D625" s="163">
        <v>652.83500244603226</v>
      </c>
      <c r="E625" s="164">
        <v>0.95789999999999997</v>
      </c>
      <c r="F625" s="164">
        <v>0.95789999999999997</v>
      </c>
      <c r="G625" s="163">
        <v>4</v>
      </c>
      <c r="H625" s="163">
        <v>6.6666666666666661</v>
      </c>
      <c r="I625" s="163">
        <v>2.6666666666666661</v>
      </c>
      <c r="J625" s="163">
        <v>3</v>
      </c>
      <c r="K625" s="163">
        <v>3.2606747638326588</v>
      </c>
      <c r="L625" s="163">
        <v>0.26067476383265875</v>
      </c>
      <c r="M625" s="163">
        <v>4</v>
      </c>
      <c r="N625" s="163">
        <v>6.0908681961313533</v>
      </c>
      <c r="O625" s="163">
        <v>2.0908681961313533</v>
      </c>
      <c r="P625" s="163"/>
      <c r="Q625" s="163">
        <v>4</v>
      </c>
      <c r="R625" s="163">
        <v>0</v>
      </c>
      <c r="S625" s="163">
        <v>0</v>
      </c>
      <c r="T625" s="163">
        <v>0</v>
      </c>
      <c r="U625" s="163">
        <v>0</v>
      </c>
      <c r="V625" s="163">
        <v>0</v>
      </c>
      <c r="W625" s="163">
        <v>0</v>
      </c>
      <c r="X625" s="163">
        <v>0</v>
      </c>
      <c r="Y625" s="163">
        <v>4</v>
      </c>
      <c r="Z625" s="163">
        <v>4</v>
      </c>
      <c r="AA625" s="163">
        <v>0</v>
      </c>
      <c r="AB625" s="163">
        <v>0</v>
      </c>
      <c r="AC625" s="163">
        <v>4</v>
      </c>
      <c r="AD625" s="163">
        <v>0</v>
      </c>
      <c r="AE625" s="165">
        <v>0.23485545075570183</v>
      </c>
      <c r="AF625" s="166">
        <v>0.23485545075570183</v>
      </c>
    </row>
    <row r="626" spans="1:32">
      <c r="A626" s="161">
        <v>14</v>
      </c>
      <c r="B626" s="162">
        <v>0</v>
      </c>
      <c r="C626" s="163">
        <v>1.156705663666211</v>
      </c>
      <c r="D626" s="163">
        <v>631.59135237221415</v>
      </c>
      <c r="E626" s="164">
        <v>0.99219999999999997</v>
      </c>
      <c r="F626" s="164">
        <v>0.99219999999999997</v>
      </c>
      <c r="G626" s="163">
        <v>3</v>
      </c>
      <c r="H626" s="163">
        <v>6.6666666666666661</v>
      </c>
      <c r="I626" s="163">
        <v>3.6666666666666661</v>
      </c>
      <c r="J626" s="163">
        <v>2</v>
      </c>
      <c r="K626" s="163">
        <v>2.445506072874494</v>
      </c>
      <c r="L626" s="163">
        <v>0.44550607287449395</v>
      </c>
      <c r="M626" s="163">
        <v>3</v>
      </c>
      <c r="N626" s="163">
        <v>6.0908681961313533</v>
      </c>
      <c r="O626" s="163">
        <v>3.0908681961313533</v>
      </c>
      <c r="P626" s="163"/>
      <c r="Q626" s="163">
        <v>4</v>
      </c>
      <c r="R626" s="163">
        <v>0</v>
      </c>
      <c r="S626" s="163">
        <v>0</v>
      </c>
      <c r="T626" s="163">
        <v>0</v>
      </c>
      <c r="U626" s="163">
        <v>0</v>
      </c>
      <c r="V626" s="163">
        <v>0</v>
      </c>
      <c r="W626" s="163">
        <v>0</v>
      </c>
      <c r="X626" s="163">
        <v>0</v>
      </c>
      <c r="Y626" s="163">
        <v>4</v>
      </c>
      <c r="Z626" s="163">
        <v>4</v>
      </c>
      <c r="AA626" s="163">
        <v>0</v>
      </c>
      <c r="AB626" s="163">
        <v>0</v>
      </c>
      <c r="AC626" s="163">
        <v>4</v>
      </c>
      <c r="AD626" s="163">
        <v>0</v>
      </c>
      <c r="AE626" s="165">
        <v>0.1244741157592011</v>
      </c>
      <c r="AF626" s="166">
        <v>0.16596548767893479</v>
      </c>
    </row>
    <row r="627" spans="1:32">
      <c r="A627" s="161">
        <v>14</v>
      </c>
      <c r="B627" s="162">
        <v>2.0833333333333332E-2</v>
      </c>
      <c r="C627" s="163">
        <v>0.80866972772733337</v>
      </c>
      <c r="D627" s="163">
        <v>631.45797843123671</v>
      </c>
      <c r="E627" s="164">
        <v>0.99719999999999998</v>
      </c>
      <c r="F627" s="164">
        <v>0.99719999999999998</v>
      </c>
      <c r="G627" s="163">
        <v>3</v>
      </c>
      <c r="H627" s="163">
        <v>6.6666666666666661</v>
      </c>
      <c r="I627" s="163">
        <v>3.6666666666666661</v>
      </c>
      <c r="J627" s="163">
        <v>2</v>
      </c>
      <c r="K627" s="163">
        <v>2.445506072874494</v>
      </c>
      <c r="L627" s="163">
        <v>0.44550607287449395</v>
      </c>
      <c r="M627" s="163">
        <v>3</v>
      </c>
      <c r="N627" s="163">
        <v>6.0908681961313533</v>
      </c>
      <c r="O627" s="163">
        <v>3.0908681961313533</v>
      </c>
      <c r="P627" s="163"/>
      <c r="Q627" s="163">
        <v>4</v>
      </c>
      <c r="R627" s="163">
        <v>0</v>
      </c>
      <c r="S627" s="163">
        <v>0</v>
      </c>
      <c r="T627" s="163">
        <v>0</v>
      </c>
      <c r="U627" s="163">
        <v>0</v>
      </c>
      <c r="V627" s="163">
        <v>0</v>
      </c>
      <c r="W627" s="163">
        <v>0</v>
      </c>
      <c r="X627" s="163">
        <v>0</v>
      </c>
      <c r="Y627" s="163">
        <v>4</v>
      </c>
      <c r="Z627" s="163">
        <v>4</v>
      </c>
      <c r="AA627" s="163">
        <v>0</v>
      </c>
      <c r="AB627" s="163">
        <v>0</v>
      </c>
      <c r="AC627" s="163">
        <v>4</v>
      </c>
      <c r="AD627" s="163">
        <v>0</v>
      </c>
      <c r="AE627" s="165">
        <v>8.7003285528719415E-2</v>
      </c>
      <c r="AF627" s="166">
        <v>0.11600438070495921</v>
      </c>
    </row>
    <row r="628" spans="1:32">
      <c r="A628" s="161">
        <v>14</v>
      </c>
      <c r="B628" s="162">
        <v>4.1666666666666664E-2</v>
      </c>
      <c r="C628" s="163">
        <v>0.61605194937895247</v>
      </c>
      <c r="D628" s="163">
        <v>598.42720309634456</v>
      </c>
      <c r="E628" s="164">
        <v>0.99890000000000001</v>
      </c>
      <c r="F628" s="164">
        <v>0.99890000000000001</v>
      </c>
      <c r="G628" s="163">
        <v>2</v>
      </c>
      <c r="H628" s="163">
        <v>6.6666666666666661</v>
      </c>
      <c r="I628" s="163">
        <v>4.6666666666666661</v>
      </c>
      <c r="J628" s="163">
        <v>1</v>
      </c>
      <c r="K628" s="163">
        <v>1.6303373819163294</v>
      </c>
      <c r="L628" s="163">
        <v>0.63033738191632938</v>
      </c>
      <c r="M628" s="163">
        <v>2</v>
      </c>
      <c r="N628" s="163">
        <v>6.0908681961313533</v>
      </c>
      <c r="O628" s="163">
        <v>4.0908681961313533</v>
      </c>
      <c r="P628" s="163"/>
      <c r="Q628" s="163">
        <v>4</v>
      </c>
      <c r="R628" s="163">
        <v>0</v>
      </c>
      <c r="S628" s="163">
        <v>0</v>
      </c>
      <c r="T628" s="163">
        <v>0</v>
      </c>
      <c r="U628" s="163">
        <v>0</v>
      </c>
      <c r="V628" s="163">
        <v>0</v>
      </c>
      <c r="W628" s="163">
        <v>0</v>
      </c>
      <c r="X628" s="163">
        <v>0</v>
      </c>
      <c r="Y628" s="163">
        <v>4</v>
      </c>
      <c r="Z628" s="163">
        <v>4</v>
      </c>
      <c r="AA628" s="163">
        <v>0</v>
      </c>
      <c r="AB628" s="163">
        <v>0</v>
      </c>
      <c r="AC628" s="163">
        <v>4</v>
      </c>
      <c r="AD628" s="163">
        <v>0</v>
      </c>
      <c r="AE628" s="165">
        <v>6.2812875611257576E-2</v>
      </c>
      <c r="AF628" s="166">
        <v>0.12562575122251515</v>
      </c>
    </row>
    <row r="629" spans="1:32">
      <c r="A629" s="161">
        <v>14</v>
      </c>
      <c r="B629" s="162">
        <v>6.25E-2</v>
      </c>
      <c r="C629" s="163">
        <v>0.4882681330074809</v>
      </c>
      <c r="D629" s="163">
        <v>582.69553766697288</v>
      </c>
      <c r="E629" s="164">
        <v>0.99949999999999994</v>
      </c>
      <c r="F629" s="164">
        <v>0.99949999999999994</v>
      </c>
      <c r="G629" s="163">
        <v>2</v>
      </c>
      <c r="H629" s="163">
        <v>6.6666666666666661</v>
      </c>
      <c r="I629" s="163">
        <v>4.6666666666666661</v>
      </c>
      <c r="J629" s="163">
        <v>1</v>
      </c>
      <c r="K629" s="163">
        <v>1.6303373819163294</v>
      </c>
      <c r="L629" s="163">
        <v>0.63033738191632938</v>
      </c>
      <c r="M629" s="163">
        <v>2</v>
      </c>
      <c r="N629" s="163">
        <v>6.0908681961313533</v>
      </c>
      <c r="O629" s="163">
        <v>4.0908681961313533</v>
      </c>
      <c r="P629" s="163"/>
      <c r="Q629" s="163">
        <v>4</v>
      </c>
      <c r="R629" s="163">
        <v>0</v>
      </c>
      <c r="S629" s="163">
        <v>0</v>
      </c>
      <c r="T629" s="163">
        <v>0</v>
      </c>
      <c r="U629" s="163">
        <v>0</v>
      </c>
      <c r="V629" s="163">
        <v>0</v>
      </c>
      <c r="W629" s="163">
        <v>0</v>
      </c>
      <c r="X629" s="163">
        <v>0</v>
      </c>
      <c r="Y629" s="163">
        <v>4</v>
      </c>
      <c r="Z629" s="163">
        <v>4</v>
      </c>
      <c r="AA629" s="163">
        <v>0</v>
      </c>
      <c r="AB629" s="163">
        <v>0</v>
      </c>
      <c r="AC629" s="163">
        <v>4</v>
      </c>
      <c r="AD629" s="163">
        <v>0</v>
      </c>
      <c r="AE629" s="165">
        <v>4.847525314634616E-2</v>
      </c>
      <c r="AF629" s="166">
        <v>9.6950506292692321E-2</v>
      </c>
    </row>
    <row r="630" spans="1:32">
      <c r="A630" s="161">
        <v>14</v>
      </c>
      <c r="B630" s="162">
        <v>8.3333333333333329E-2</v>
      </c>
      <c r="C630" s="163">
        <v>0.39330433425031397</v>
      </c>
      <c r="D630" s="163">
        <v>600.00411036762705</v>
      </c>
      <c r="E630" s="164">
        <v>0.99970000000000014</v>
      </c>
      <c r="F630" s="164">
        <v>0.99970000000000014</v>
      </c>
      <c r="G630" s="163">
        <v>2</v>
      </c>
      <c r="H630" s="163">
        <v>6.6666666666666661</v>
      </c>
      <c r="I630" s="163">
        <v>4.6666666666666661</v>
      </c>
      <c r="J630" s="163">
        <v>1</v>
      </c>
      <c r="K630" s="163">
        <v>1.6303373819163294</v>
      </c>
      <c r="L630" s="163">
        <v>0.63033738191632938</v>
      </c>
      <c r="M630" s="163">
        <v>2</v>
      </c>
      <c r="N630" s="163">
        <v>6.0908681961313533</v>
      </c>
      <c r="O630" s="163">
        <v>4.0908681961313533</v>
      </c>
      <c r="P630" s="163"/>
      <c r="Q630" s="163">
        <v>4</v>
      </c>
      <c r="R630" s="163">
        <v>0</v>
      </c>
      <c r="S630" s="163">
        <v>0</v>
      </c>
      <c r="T630" s="163">
        <v>0</v>
      </c>
      <c r="U630" s="163">
        <v>0</v>
      </c>
      <c r="V630" s="163">
        <v>0</v>
      </c>
      <c r="W630" s="163">
        <v>0</v>
      </c>
      <c r="X630" s="163">
        <v>0</v>
      </c>
      <c r="Y630" s="163">
        <v>4</v>
      </c>
      <c r="Z630" s="163">
        <v>4</v>
      </c>
      <c r="AA630" s="163">
        <v>0</v>
      </c>
      <c r="AB630" s="163">
        <v>0</v>
      </c>
      <c r="AC630" s="163">
        <v>4</v>
      </c>
      <c r="AD630" s="163">
        <v>0</v>
      </c>
      <c r="AE630" s="165">
        <v>4.020712041860576E-2</v>
      </c>
      <c r="AF630" s="166">
        <v>8.041424083721152E-2</v>
      </c>
    </row>
    <row r="631" spans="1:32">
      <c r="A631" s="161">
        <v>14</v>
      </c>
      <c r="B631" s="162">
        <v>0.10416666666666667</v>
      </c>
      <c r="C631" s="163">
        <v>0.3136802254840565</v>
      </c>
      <c r="D631" s="163">
        <v>571.15484197664375</v>
      </c>
      <c r="E631" s="164">
        <v>0.99980000000000002</v>
      </c>
      <c r="F631" s="164">
        <v>0.99980000000000002</v>
      </c>
      <c r="G631" s="163">
        <v>2</v>
      </c>
      <c r="H631" s="163">
        <v>6.6666666666666661</v>
      </c>
      <c r="I631" s="163">
        <v>4.6666666666666661</v>
      </c>
      <c r="J631" s="163">
        <v>1</v>
      </c>
      <c r="K631" s="163">
        <v>1.6303373819163294</v>
      </c>
      <c r="L631" s="163">
        <v>0.63033738191632938</v>
      </c>
      <c r="M631" s="163">
        <v>2</v>
      </c>
      <c r="N631" s="163">
        <v>6.0908681961313533</v>
      </c>
      <c r="O631" s="163">
        <v>4.0908681961313533</v>
      </c>
      <c r="P631" s="163"/>
      <c r="Q631" s="163">
        <v>4</v>
      </c>
      <c r="R631" s="163">
        <v>0</v>
      </c>
      <c r="S631" s="163">
        <v>0</v>
      </c>
      <c r="T631" s="163">
        <v>0</v>
      </c>
      <c r="U631" s="163">
        <v>0</v>
      </c>
      <c r="V631" s="163">
        <v>0</v>
      </c>
      <c r="W631" s="163">
        <v>0</v>
      </c>
      <c r="X631" s="163">
        <v>0</v>
      </c>
      <c r="Y631" s="163">
        <v>4</v>
      </c>
      <c r="Z631" s="163">
        <v>4</v>
      </c>
      <c r="AA631" s="163">
        <v>0</v>
      </c>
      <c r="AB631" s="163">
        <v>0</v>
      </c>
      <c r="AC631" s="163">
        <v>4</v>
      </c>
      <c r="AD631" s="163">
        <v>0</v>
      </c>
      <c r="AE631" s="165">
        <v>3.0525375641191968E-2</v>
      </c>
      <c r="AF631" s="166">
        <v>6.1050751282383936E-2</v>
      </c>
    </row>
    <row r="632" spans="1:32">
      <c r="A632" s="161">
        <v>14</v>
      </c>
      <c r="B632" s="162">
        <v>0.125</v>
      </c>
      <c r="C632" s="163">
        <v>0.2827774741920186</v>
      </c>
      <c r="D632" s="163">
        <v>571.05668663540723</v>
      </c>
      <c r="E632" s="164">
        <v>0.9998999999999999</v>
      </c>
      <c r="F632" s="164">
        <v>0.9998999999999999</v>
      </c>
      <c r="G632" s="163">
        <v>2</v>
      </c>
      <c r="H632" s="163">
        <v>6.6666666666666661</v>
      </c>
      <c r="I632" s="163">
        <v>4.6666666666666661</v>
      </c>
      <c r="J632" s="163">
        <v>1</v>
      </c>
      <c r="K632" s="163">
        <v>1.6303373819163294</v>
      </c>
      <c r="L632" s="163">
        <v>0.63033738191632938</v>
      </c>
      <c r="M632" s="163">
        <v>2</v>
      </c>
      <c r="N632" s="163">
        <v>6.0908681961313533</v>
      </c>
      <c r="O632" s="163">
        <v>4.0908681961313533</v>
      </c>
      <c r="P632" s="163"/>
      <c r="Q632" s="163">
        <v>4</v>
      </c>
      <c r="R632" s="163">
        <v>0</v>
      </c>
      <c r="S632" s="163">
        <v>0</v>
      </c>
      <c r="T632" s="163">
        <v>0</v>
      </c>
      <c r="U632" s="163">
        <v>0</v>
      </c>
      <c r="V632" s="163">
        <v>0</v>
      </c>
      <c r="W632" s="163">
        <v>0</v>
      </c>
      <c r="X632" s="163">
        <v>0</v>
      </c>
      <c r="Y632" s="163">
        <v>4</v>
      </c>
      <c r="Z632" s="163">
        <v>4</v>
      </c>
      <c r="AA632" s="163">
        <v>0</v>
      </c>
      <c r="AB632" s="163">
        <v>0</v>
      </c>
      <c r="AC632" s="163">
        <v>4</v>
      </c>
      <c r="AD632" s="163">
        <v>0</v>
      </c>
      <c r="AE632" s="165">
        <v>2.7513386230219445E-2</v>
      </c>
      <c r="AF632" s="166">
        <v>5.502677246043889E-2</v>
      </c>
    </row>
    <row r="633" spans="1:32">
      <c r="A633" s="161">
        <v>14</v>
      </c>
      <c r="B633" s="162">
        <v>0.14583333333333334</v>
      </c>
      <c r="C633" s="163">
        <v>0.28493469119446407</v>
      </c>
      <c r="D633" s="163">
        <v>604.69653837746887</v>
      </c>
      <c r="E633" s="164">
        <v>0.9998999999999999</v>
      </c>
      <c r="F633" s="164">
        <v>0.9998999999999999</v>
      </c>
      <c r="G633" s="163">
        <v>2</v>
      </c>
      <c r="H633" s="163">
        <v>6.6666666666666661</v>
      </c>
      <c r="I633" s="163">
        <v>4.6666666666666661</v>
      </c>
      <c r="J633" s="163">
        <v>1</v>
      </c>
      <c r="K633" s="163">
        <v>1.6303373819163294</v>
      </c>
      <c r="L633" s="163">
        <v>0.63033738191632938</v>
      </c>
      <c r="M633" s="163">
        <v>2</v>
      </c>
      <c r="N633" s="163">
        <v>6.0908681961313533</v>
      </c>
      <c r="O633" s="163">
        <v>4.0908681961313533</v>
      </c>
      <c r="P633" s="163"/>
      <c r="Q633" s="163">
        <v>4</v>
      </c>
      <c r="R633" s="163">
        <v>0</v>
      </c>
      <c r="S633" s="163">
        <v>0</v>
      </c>
      <c r="T633" s="163">
        <v>0</v>
      </c>
      <c r="U633" s="163">
        <v>0</v>
      </c>
      <c r="V633" s="163">
        <v>0</v>
      </c>
      <c r="W633" s="163">
        <v>0</v>
      </c>
      <c r="X633" s="163">
        <v>0</v>
      </c>
      <c r="Y633" s="163">
        <v>4</v>
      </c>
      <c r="Z633" s="163">
        <v>4</v>
      </c>
      <c r="AA633" s="163">
        <v>0</v>
      </c>
      <c r="AB633" s="163">
        <v>0</v>
      </c>
      <c r="AC633" s="163">
        <v>4</v>
      </c>
      <c r="AD633" s="163">
        <v>0</v>
      </c>
      <c r="AE633" s="165">
        <v>2.9356401820070922E-2</v>
      </c>
      <c r="AF633" s="166">
        <v>5.8712803640141843E-2</v>
      </c>
    </row>
    <row r="634" spans="1:32">
      <c r="A634" s="161">
        <v>14</v>
      </c>
      <c r="B634" s="162">
        <v>0.16666666666666666</v>
      </c>
      <c r="C634" s="163">
        <v>0.3200260533533939</v>
      </c>
      <c r="D634" s="163">
        <v>604.69978453463909</v>
      </c>
      <c r="E634" s="164">
        <v>0.99980000000000002</v>
      </c>
      <c r="F634" s="164">
        <v>0.99980000000000002</v>
      </c>
      <c r="G634" s="163">
        <v>2</v>
      </c>
      <c r="H634" s="163">
        <v>6.6666666666666661</v>
      </c>
      <c r="I634" s="163">
        <v>4.6666666666666661</v>
      </c>
      <c r="J634" s="163">
        <v>1</v>
      </c>
      <c r="K634" s="163">
        <v>1.6303373819163294</v>
      </c>
      <c r="L634" s="163">
        <v>0.63033738191632938</v>
      </c>
      <c r="M634" s="163">
        <v>2</v>
      </c>
      <c r="N634" s="163">
        <v>6.0908681961313533</v>
      </c>
      <c r="O634" s="163">
        <v>4.0908681961313533</v>
      </c>
      <c r="P634" s="163"/>
      <c r="Q634" s="163">
        <v>4</v>
      </c>
      <c r="R634" s="163">
        <v>0</v>
      </c>
      <c r="S634" s="163">
        <v>0</v>
      </c>
      <c r="T634" s="163">
        <v>0</v>
      </c>
      <c r="U634" s="163">
        <v>0</v>
      </c>
      <c r="V634" s="163">
        <v>0</v>
      </c>
      <c r="W634" s="163">
        <v>0</v>
      </c>
      <c r="X634" s="163">
        <v>0</v>
      </c>
      <c r="Y634" s="163">
        <v>4</v>
      </c>
      <c r="Z634" s="163">
        <v>4</v>
      </c>
      <c r="AA634" s="163">
        <v>0</v>
      </c>
      <c r="AB634" s="163">
        <v>0</v>
      </c>
      <c r="AC634" s="163">
        <v>4</v>
      </c>
      <c r="AD634" s="163">
        <v>0</v>
      </c>
      <c r="AE634" s="165">
        <v>3.2971990210735387E-2</v>
      </c>
      <c r="AF634" s="166">
        <v>6.5943980421470774E-2</v>
      </c>
    </row>
    <row r="635" spans="1:32">
      <c r="A635" s="161">
        <v>14</v>
      </c>
      <c r="B635" s="162">
        <v>0.1875</v>
      </c>
      <c r="C635" s="163">
        <v>0.47131998950929938</v>
      </c>
      <c r="D635" s="163">
        <v>642.481564795194</v>
      </c>
      <c r="E635" s="164">
        <v>0.99939999999999996</v>
      </c>
      <c r="F635" s="164">
        <v>0.99939999999999996</v>
      </c>
      <c r="G635" s="163">
        <v>2</v>
      </c>
      <c r="H635" s="163">
        <v>6.6666666666666661</v>
      </c>
      <c r="I635" s="163">
        <v>4.6666666666666661</v>
      </c>
      <c r="J635" s="163">
        <v>1</v>
      </c>
      <c r="K635" s="163">
        <v>1.6303373819163294</v>
      </c>
      <c r="L635" s="163">
        <v>0.63033738191632938</v>
      </c>
      <c r="M635" s="163">
        <v>2</v>
      </c>
      <c r="N635" s="163">
        <v>6.0908681961313533</v>
      </c>
      <c r="O635" s="163">
        <v>4.0908681961313533</v>
      </c>
      <c r="P635" s="163"/>
      <c r="Q635" s="163">
        <v>4</v>
      </c>
      <c r="R635" s="163">
        <v>0</v>
      </c>
      <c r="S635" s="163">
        <v>0</v>
      </c>
      <c r="T635" s="163">
        <v>0</v>
      </c>
      <c r="U635" s="163">
        <v>0</v>
      </c>
      <c r="V635" s="163">
        <v>0</v>
      </c>
      <c r="W635" s="163">
        <v>0</v>
      </c>
      <c r="X635" s="163">
        <v>0</v>
      </c>
      <c r="Y635" s="163">
        <v>4</v>
      </c>
      <c r="Z635" s="163">
        <v>4</v>
      </c>
      <c r="AA635" s="163">
        <v>0</v>
      </c>
      <c r="AB635" s="163">
        <v>0</v>
      </c>
      <c r="AC635" s="163">
        <v>4</v>
      </c>
      <c r="AD635" s="163">
        <v>0</v>
      </c>
      <c r="AE635" s="165">
        <v>5.1593684387388601E-2</v>
      </c>
      <c r="AF635" s="166">
        <v>0.1031873687747772</v>
      </c>
    </row>
    <row r="636" spans="1:32">
      <c r="A636" s="161">
        <v>14</v>
      </c>
      <c r="B636" s="162">
        <v>0.20833333333333334</v>
      </c>
      <c r="C636" s="163">
        <v>0.82667813540819002</v>
      </c>
      <c r="D636" s="163">
        <v>675.49490422615247</v>
      </c>
      <c r="E636" s="164">
        <v>0.99630000000000007</v>
      </c>
      <c r="F636" s="164">
        <v>0.99630000000000007</v>
      </c>
      <c r="G636" s="163">
        <v>3</v>
      </c>
      <c r="H636" s="163">
        <v>6.6666666666666661</v>
      </c>
      <c r="I636" s="163">
        <v>3.6666666666666661</v>
      </c>
      <c r="J636" s="163">
        <v>2</v>
      </c>
      <c r="K636" s="163">
        <v>2.445506072874494</v>
      </c>
      <c r="L636" s="163">
        <v>0.44550607287449395</v>
      </c>
      <c r="M636" s="163">
        <v>3</v>
      </c>
      <c r="N636" s="163">
        <v>6.0908681961313533</v>
      </c>
      <c r="O636" s="163">
        <v>3.0908681961313533</v>
      </c>
      <c r="P636" s="163"/>
      <c r="Q636" s="163">
        <v>4</v>
      </c>
      <c r="R636" s="163">
        <v>0</v>
      </c>
      <c r="S636" s="163">
        <v>0</v>
      </c>
      <c r="T636" s="163">
        <v>0</v>
      </c>
      <c r="U636" s="163">
        <v>0</v>
      </c>
      <c r="V636" s="163">
        <v>0</v>
      </c>
      <c r="W636" s="163">
        <v>0</v>
      </c>
      <c r="X636" s="163">
        <v>0</v>
      </c>
      <c r="Y636" s="163">
        <v>4</v>
      </c>
      <c r="Z636" s="163">
        <v>4</v>
      </c>
      <c r="AA636" s="163">
        <v>0</v>
      </c>
      <c r="AB636" s="163">
        <v>0</v>
      </c>
      <c r="AC636" s="163">
        <v>4</v>
      </c>
      <c r="AD636" s="163">
        <v>0</v>
      </c>
      <c r="AE636" s="165">
        <v>9.5143372384377242E-2</v>
      </c>
      <c r="AF636" s="166">
        <v>0.12685782984583632</v>
      </c>
    </row>
    <row r="637" spans="1:32">
      <c r="A637" s="161">
        <v>14</v>
      </c>
      <c r="B637" s="162">
        <v>0.22916666666666666</v>
      </c>
      <c r="C637" s="163">
        <v>1.3837460441198286</v>
      </c>
      <c r="D637" s="163">
        <v>690.41382105886532</v>
      </c>
      <c r="E637" s="164">
        <v>0.98380000000000001</v>
      </c>
      <c r="F637" s="164">
        <v>0.98380000000000001</v>
      </c>
      <c r="G637" s="163">
        <v>3</v>
      </c>
      <c r="H637" s="163">
        <v>6.6666666666666661</v>
      </c>
      <c r="I637" s="163">
        <v>3.6666666666666661</v>
      </c>
      <c r="J637" s="163">
        <v>2</v>
      </c>
      <c r="K637" s="163">
        <v>2.445506072874494</v>
      </c>
      <c r="L637" s="163">
        <v>0.44550607287449395</v>
      </c>
      <c r="M637" s="163">
        <v>3</v>
      </c>
      <c r="N637" s="163">
        <v>6.0908681961313533</v>
      </c>
      <c r="O637" s="163">
        <v>3.0908681961313533</v>
      </c>
      <c r="P637" s="163"/>
      <c r="Q637" s="163">
        <v>4</v>
      </c>
      <c r="R637" s="163">
        <v>0</v>
      </c>
      <c r="S637" s="163">
        <v>0</v>
      </c>
      <c r="T637" s="163">
        <v>0</v>
      </c>
      <c r="U637" s="163">
        <v>0</v>
      </c>
      <c r="V637" s="163">
        <v>0</v>
      </c>
      <c r="W637" s="163">
        <v>0</v>
      </c>
      <c r="X637" s="163">
        <v>0</v>
      </c>
      <c r="Y637" s="163">
        <v>4</v>
      </c>
      <c r="Z637" s="163">
        <v>4</v>
      </c>
      <c r="AA637" s="163">
        <v>0</v>
      </c>
      <c r="AB637" s="163">
        <v>0</v>
      </c>
      <c r="AC637" s="163">
        <v>4</v>
      </c>
      <c r="AD637" s="163">
        <v>0</v>
      </c>
      <c r="AE637" s="165">
        <v>0.16277431698982231</v>
      </c>
      <c r="AF637" s="166">
        <v>0.21703242265309639</v>
      </c>
    </row>
    <row r="638" spans="1:32">
      <c r="A638" s="161">
        <v>14</v>
      </c>
      <c r="B638" s="162">
        <v>0.25</v>
      </c>
      <c r="C638" s="163">
        <v>2.1259653537632879</v>
      </c>
      <c r="D638" s="163">
        <v>697.55468657637391</v>
      </c>
      <c r="E638" s="164">
        <v>0.94919999999999993</v>
      </c>
      <c r="F638" s="164">
        <v>0.94919999999999993</v>
      </c>
      <c r="G638" s="163">
        <v>4</v>
      </c>
      <c r="H638" s="163">
        <v>6.6666666666666661</v>
      </c>
      <c r="I638" s="163">
        <v>2.6666666666666661</v>
      </c>
      <c r="J638" s="163">
        <v>3</v>
      </c>
      <c r="K638" s="163">
        <v>3.2606747638326588</v>
      </c>
      <c r="L638" s="163">
        <v>0.26067476383265875</v>
      </c>
      <c r="M638" s="163">
        <v>4</v>
      </c>
      <c r="N638" s="163">
        <v>6.0908681961313533</v>
      </c>
      <c r="O638" s="163">
        <v>2.0908681961313533</v>
      </c>
      <c r="P638" s="163"/>
      <c r="Q638" s="163">
        <v>4</v>
      </c>
      <c r="R638" s="163">
        <v>0</v>
      </c>
      <c r="S638" s="163">
        <v>0</v>
      </c>
      <c r="T638" s="163">
        <v>0</v>
      </c>
      <c r="U638" s="163">
        <v>0</v>
      </c>
      <c r="V638" s="163">
        <v>0</v>
      </c>
      <c r="W638" s="163">
        <v>0</v>
      </c>
      <c r="X638" s="163">
        <v>0</v>
      </c>
      <c r="Y638" s="163">
        <v>4</v>
      </c>
      <c r="Z638" s="163">
        <v>4</v>
      </c>
      <c r="AA638" s="163">
        <v>0</v>
      </c>
      <c r="AB638" s="163">
        <v>0</v>
      </c>
      <c r="AC638" s="163">
        <v>4</v>
      </c>
      <c r="AD638" s="163">
        <v>0</v>
      </c>
      <c r="AE638" s="165">
        <v>0.25267045140229077</v>
      </c>
      <c r="AF638" s="166">
        <v>0.25267045140229077</v>
      </c>
    </row>
    <row r="639" spans="1:32">
      <c r="A639" s="161">
        <v>14</v>
      </c>
      <c r="B639" s="162">
        <v>0.27083333333333331</v>
      </c>
      <c r="C639" s="163">
        <v>3.0717010948967594</v>
      </c>
      <c r="D639" s="163">
        <v>764.46370301287186</v>
      </c>
      <c r="E639" s="164">
        <v>0.84470000000000001</v>
      </c>
      <c r="F639" s="164">
        <v>0.84470000000000001</v>
      </c>
      <c r="G639" s="163">
        <v>4</v>
      </c>
      <c r="H639" s="163">
        <v>6.6666666666666661</v>
      </c>
      <c r="I639" s="163">
        <v>2.6666666666666661</v>
      </c>
      <c r="J639" s="163">
        <v>3</v>
      </c>
      <c r="K639" s="163">
        <v>3.2606747638326588</v>
      </c>
      <c r="L639" s="163">
        <v>0.26067476383265875</v>
      </c>
      <c r="M639" s="163">
        <v>4</v>
      </c>
      <c r="N639" s="163">
        <v>6.0908681961313533</v>
      </c>
      <c r="O639" s="163">
        <v>2.0908681961313533</v>
      </c>
      <c r="P639" s="163"/>
      <c r="Q639" s="163">
        <v>4</v>
      </c>
      <c r="R639" s="163">
        <v>0</v>
      </c>
      <c r="S639" s="163">
        <v>0</v>
      </c>
      <c r="T639" s="163">
        <v>0</v>
      </c>
      <c r="U639" s="163">
        <v>0</v>
      </c>
      <c r="V639" s="163">
        <v>0</v>
      </c>
      <c r="W639" s="163">
        <v>0</v>
      </c>
      <c r="X639" s="163">
        <v>0</v>
      </c>
      <c r="Y639" s="163">
        <v>4</v>
      </c>
      <c r="Z639" s="163">
        <v>4</v>
      </c>
      <c r="AA639" s="163">
        <v>0</v>
      </c>
      <c r="AB639" s="163">
        <v>0</v>
      </c>
      <c r="AC639" s="163">
        <v>4</v>
      </c>
      <c r="AD639" s="163">
        <v>0</v>
      </c>
      <c r="AE639" s="165">
        <v>0.40008828499748011</v>
      </c>
      <c r="AF639" s="166">
        <v>0.40008828499748011</v>
      </c>
    </row>
    <row r="640" spans="1:32">
      <c r="A640" s="161">
        <v>14</v>
      </c>
      <c r="B640" s="162">
        <v>0.29166666666666669</v>
      </c>
      <c r="C640" s="163">
        <v>6.7853381350921982</v>
      </c>
      <c r="D640" s="163">
        <v>804.22962967344813</v>
      </c>
      <c r="E640" s="164">
        <v>0.80040000000000011</v>
      </c>
      <c r="F640" s="164">
        <v>0.80040000000000011</v>
      </c>
      <c r="G640" s="163">
        <v>8</v>
      </c>
      <c r="H640" s="163">
        <v>11.666666666666668</v>
      </c>
      <c r="I640" s="163">
        <v>3.6666666666666679</v>
      </c>
      <c r="J640" s="163">
        <v>6</v>
      </c>
      <c r="K640" s="163">
        <v>6.5213495276653175</v>
      </c>
      <c r="L640" s="163">
        <v>0.5213495276653175</v>
      </c>
      <c r="M640" s="163">
        <v>7</v>
      </c>
      <c r="N640" s="163">
        <v>10.65901934322987</v>
      </c>
      <c r="O640" s="163">
        <v>3.6590193432298701</v>
      </c>
      <c r="P640" s="163"/>
      <c r="Q640" s="163">
        <v>7</v>
      </c>
      <c r="R640" s="163">
        <v>0</v>
      </c>
      <c r="S640" s="163">
        <v>0</v>
      </c>
      <c r="T640" s="163">
        <v>0</v>
      </c>
      <c r="U640" s="163">
        <v>0</v>
      </c>
      <c r="V640" s="163">
        <v>0</v>
      </c>
      <c r="W640" s="163">
        <v>0</v>
      </c>
      <c r="X640" s="163">
        <v>0</v>
      </c>
      <c r="Y640" s="163">
        <v>7</v>
      </c>
      <c r="Z640" s="163">
        <v>7</v>
      </c>
      <c r="AA640" s="163">
        <v>0</v>
      </c>
      <c r="AB640" s="163">
        <v>0</v>
      </c>
      <c r="AC640" s="163">
        <v>4</v>
      </c>
      <c r="AD640" s="163">
        <v>3</v>
      </c>
      <c r="AE640" s="165">
        <v>0.53129230797227156</v>
      </c>
      <c r="AF640" s="166">
        <v>0.46488076947573764</v>
      </c>
    </row>
    <row r="641" spans="1:32">
      <c r="A641" s="161">
        <v>14</v>
      </c>
      <c r="B641" s="162">
        <v>0.3125</v>
      </c>
      <c r="C641" s="163">
        <v>8.7888546993469721</v>
      </c>
      <c r="D641" s="163">
        <v>764.93751448585499</v>
      </c>
      <c r="E641" s="164">
        <v>0.96650000000000003</v>
      </c>
      <c r="F641" s="164">
        <v>0.96650000000000003</v>
      </c>
      <c r="G641" s="163">
        <v>9</v>
      </c>
      <c r="H641" s="163">
        <v>18.333333333333332</v>
      </c>
      <c r="I641" s="163">
        <v>9.3333333333333321</v>
      </c>
      <c r="J641" s="163">
        <v>7</v>
      </c>
      <c r="K641" s="163">
        <v>7.3365182186234819</v>
      </c>
      <c r="L641" s="163">
        <v>0.33651821862348186</v>
      </c>
      <c r="M641" s="163">
        <v>8</v>
      </c>
      <c r="N641" s="163">
        <v>16.749887539361222</v>
      </c>
      <c r="O641" s="163">
        <v>8.7498875393612217</v>
      </c>
      <c r="P641" s="163"/>
      <c r="Q641" s="163">
        <v>11</v>
      </c>
      <c r="R641" s="163">
        <v>0</v>
      </c>
      <c r="S641" s="163">
        <v>0</v>
      </c>
      <c r="T641" s="163">
        <v>0</v>
      </c>
      <c r="U641" s="163">
        <v>0</v>
      </c>
      <c r="V641" s="163">
        <v>0</v>
      </c>
      <c r="W641" s="163">
        <v>0</v>
      </c>
      <c r="X641" s="163">
        <v>0</v>
      </c>
      <c r="Y641" s="163">
        <v>11</v>
      </c>
      <c r="Z641" s="163">
        <v>11</v>
      </c>
      <c r="AA641" s="163">
        <v>0</v>
      </c>
      <c r="AB641" s="163">
        <v>0</v>
      </c>
      <c r="AC641" s="163">
        <v>8</v>
      </c>
      <c r="AD641" s="163">
        <v>3</v>
      </c>
      <c r="AE641" s="165">
        <v>0.41652930701390001</v>
      </c>
      <c r="AF641" s="166">
        <v>0.50909137523921111</v>
      </c>
    </row>
    <row r="642" spans="1:32">
      <c r="A642" s="161">
        <v>14</v>
      </c>
      <c r="B642" s="162">
        <v>0.33333333333333331</v>
      </c>
      <c r="C642" s="163">
        <v>12.294996192737401</v>
      </c>
      <c r="D642" s="163">
        <v>832.04841176452635</v>
      </c>
      <c r="E642" s="164">
        <v>0.93730000000000002</v>
      </c>
      <c r="F642" s="164">
        <v>0.93730000000000002</v>
      </c>
      <c r="G642" s="163">
        <v>12</v>
      </c>
      <c r="H642" s="163">
        <v>21.666666666666664</v>
      </c>
      <c r="I642" s="163">
        <v>9.6666666666666643</v>
      </c>
      <c r="J642" s="163">
        <v>9</v>
      </c>
      <c r="K642" s="163">
        <v>9.7820242914979758</v>
      </c>
      <c r="L642" s="163">
        <v>0.78202429149797581</v>
      </c>
      <c r="M642" s="163">
        <v>11</v>
      </c>
      <c r="N642" s="163">
        <v>19.795321637426898</v>
      </c>
      <c r="O642" s="163">
        <v>8.7953216374268983</v>
      </c>
      <c r="P642" s="163"/>
      <c r="Q642" s="163">
        <v>13</v>
      </c>
      <c r="R642" s="163">
        <v>0</v>
      </c>
      <c r="S642" s="163">
        <v>0</v>
      </c>
      <c r="T642" s="163">
        <v>0</v>
      </c>
      <c r="U642" s="163">
        <v>0</v>
      </c>
      <c r="V642" s="163">
        <v>0</v>
      </c>
      <c r="W642" s="163">
        <v>0</v>
      </c>
      <c r="X642" s="163">
        <v>0</v>
      </c>
      <c r="Y642" s="163">
        <v>13</v>
      </c>
      <c r="Z642" s="163">
        <v>13</v>
      </c>
      <c r="AA642" s="163">
        <v>0</v>
      </c>
      <c r="AB642" s="163">
        <v>0</v>
      </c>
      <c r="AC642" s="163">
        <v>10</v>
      </c>
      <c r="AD642" s="163">
        <v>3</v>
      </c>
      <c r="AE642" s="165">
        <v>0.53630722314621271</v>
      </c>
      <c r="AF642" s="166">
        <v>0.58099949174173038</v>
      </c>
    </row>
    <row r="643" spans="1:32">
      <c r="A643" s="161">
        <v>14</v>
      </c>
      <c r="B643" s="162">
        <v>0.35416666666666669</v>
      </c>
      <c r="C643" s="163">
        <v>14.403848330154986</v>
      </c>
      <c r="D643" s="163">
        <v>829.35277299480833</v>
      </c>
      <c r="E643" s="164">
        <v>0.96200000000000008</v>
      </c>
      <c r="F643" s="164">
        <v>0.96200000000000008</v>
      </c>
      <c r="G643" s="163">
        <v>13</v>
      </c>
      <c r="H643" s="163">
        <v>25</v>
      </c>
      <c r="I643" s="163">
        <v>12</v>
      </c>
      <c r="J643" s="163">
        <v>10</v>
      </c>
      <c r="K643" s="163">
        <v>10.597192982456141</v>
      </c>
      <c r="L643" s="163">
        <v>0.59719298245614105</v>
      </c>
      <c r="M643" s="163">
        <v>12</v>
      </c>
      <c r="N643" s="163">
        <v>22.840755735492575</v>
      </c>
      <c r="O643" s="163">
        <v>10.840755735492575</v>
      </c>
      <c r="P643" s="163"/>
      <c r="Q643" s="163">
        <v>15</v>
      </c>
      <c r="R643" s="163">
        <v>0</v>
      </c>
      <c r="S643" s="163">
        <v>0</v>
      </c>
      <c r="T643" s="163">
        <v>0</v>
      </c>
      <c r="U643" s="163">
        <v>0</v>
      </c>
      <c r="V643" s="163">
        <v>0</v>
      </c>
      <c r="W643" s="163">
        <v>0</v>
      </c>
      <c r="X643" s="163">
        <v>0</v>
      </c>
      <c r="Y643" s="163">
        <v>15</v>
      </c>
      <c r="Z643" s="163">
        <v>15</v>
      </c>
      <c r="AA643" s="163">
        <v>0</v>
      </c>
      <c r="AB643" s="163">
        <v>0</v>
      </c>
      <c r="AC643" s="163">
        <v>10</v>
      </c>
      <c r="AD643" s="163">
        <v>5</v>
      </c>
      <c r="AE643" s="165">
        <v>0.54275844019517416</v>
      </c>
      <c r="AF643" s="166">
        <v>0.62625973868673945</v>
      </c>
    </row>
    <row r="644" spans="1:32">
      <c r="A644" s="161">
        <v>14</v>
      </c>
      <c r="B644" s="162">
        <v>0.375</v>
      </c>
      <c r="C644" s="163">
        <v>17.829681510524221</v>
      </c>
      <c r="D644" s="163">
        <v>880.1761080981488</v>
      </c>
      <c r="E644" s="164">
        <v>0.89549999999999985</v>
      </c>
      <c r="F644" s="164">
        <v>0.89549999999999985</v>
      </c>
      <c r="G644" s="163">
        <v>16</v>
      </c>
      <c r="H644" s="163">
        <v>28.333333333333336</v>
      </c>
      <c r="I644" s="163">
        <v>12.333333333333336</v>
      </c>
      <c r="J644" s="163">
        <v>13</v>
      </c>
      <c r="K644" s="163">
        <v>13.042699055330635</v>
      </c>
      <c r="L644" s="163">
        <v>4.2699055330635005E-2</v>
      </c>
      <c r="M644" s="163">
        <v>15</v>
      </c>
      <c r="N644" s="163">
        <v>25.886189833558255</v>
      </c>
      <c r="O644" s="163">
        <v>10.886189833558255</v>
      </c>
      <c r="P644" s="163"/>
      <c r="Q644" s="163">
        <v>17</v>
      </c>
      <c r="R644" s="163">
        <v>0</v>
      </c>
      <c r="S644" s="163">
        <v>0</v>
      </c>
      <c r="T644" s="163">
        <v>0</v>
      </c>
      <c r="U644" s="163">
        <v>0</v>
      </c>
      <c r="V644" s="163">
        <v>0</v>
      </c>
      <c r="W644" s="163">
        <v>0</v>
      </c>
      <c r="X644" s="163">
        <v>0</v>
      </c>
      <c r="Y644" s="163">
        <v>17</v>
      </c>
      <c r="Z644" s="163">
        <v>17</v>
      </c>
      <c r="AA644" s="163">
        <v>0</v>
      </c>
      <c r="AB644" s="163">
        <v>0</v>
      </c>
      <c r="AC644" s="163">
        <v>12</v>
      </c>
      <c r="AD644" s="163">
        <v>5</v>
      </c>
      <c r="AE644" s="165">
        <v>0.62913557553956867</v>
      </c>
      <c r="AF644" s="166">
        <v>0.66845654901079177</v>
      </c>
    </row>
    <row r="645" spans="1:32">
      <c r="A645" s="161">
        <v>14</v>
      </c>
      <c r="B645" s="162">
        <v>0.39583333333333331</v>
      </c>
      <c r="C645" s="163">
        <v>18.388698963692931</v>
      </c>
      <c r="D645" s="163">
        <v>870.03244182428409</v>
      </c>
      <c r="E645" s="164">
        <v>0.96379999999999999</v>
      </c>
      <c r="F645" s="164">
        <v>0.96379999999999999</v>
      </c>
      <c r="G645" s="163">
        <v>16</v>
      </c>
      <c r="H645" s="163">
        <v>31.666666666666664</v>
      </c>
      <c r="I645" s="163">
        <v>15.666666666666664</v>
      </c>
      <c r="J645" s="163">
        <v>13</v>
      </c>
      <c r="K645" s="163">
        <v>13.042699055330635</v>
      </c>
      <c r="L645" s="163">
        <v>4.2699055330635005E-2</v>
      </c>
      <c r="M645" s="163">
        <v>15</v>
      </c>
      <c r="N645" s="163">
        <v>28.931623931623928</v>
      </c>
      <c r="O645" s="163">
        <v>13.931623931623928</v>
      </c>
      <c r="P645" s="163"/>
      <c r="Q645" s="163">
        <v>19</v>
      </c>
      <c r="R645" s="163">
        <v>0</v>
      </c>
      <c r="S645" s="163">
        <v>0</v>
      </c>
      <c r="T645" s="163">
        <v>0</v>
      </c>
      <c r="U645" s="163">
        <v>0</v>
      </c>
      <c r="V645" s="163">
        <v>0</v>
      </c>
      <c r="W645" s="163">
        <v>0</v>
      </c>
      <c r="X645" s="163">
        <v>0</v>
      </c>
      <c r="Y645" s="163">
        <v>19</v>
      </c>
      <c r="Z645" s="163">
        <v>19</v>
      </c>
      <c r="AA645" s="163">
        <v>0</v>
      </c>
      <c r="AB645" s="163">
        <v>0</v>
      </c>
      <c r="AC645" s="163">
        <v>14</v>
      </c>
      <c r="AD645" s="163">
        <v>5</v>
      </c>
      <c r="AE645" s="165">
        <v>0.57386911627705328</v>
      </c>
      <c r="AF645" s="166">
        <v>0.68146957557900079</v>
      </c>
    </row>
    <row r="646" spans="1:32">
      <c r="A646" s="161">
        <v>14</v>
      </c>
      <c r="B646" s="162">
        <v>0.41666666666666669</v>
      </c>
      <c r="C646" s="163">
        <v>20.732871526133543</v>
      </c>
      <c r="D646" s="163">
        <v>877.44884505539983</v>
      </c>
      <c r="E646" s="164">
        <v>0.90839999999999999</v>
      </c>
      <c r="F646" s="164">
        <v>0.90839999999999999</v>
      </c>
      <c r="G646" s="163">
        <v>18</v>
      </c>
      <c r="H646" s="163">
        <v>31.666666666666664</v>
      </c>
      <c r="I646" s="163">
        <v>13.666666666666664</v>
      </c>
      <c r="J646" s="163">
        <v>14</v>
      </c>
      <c r="K646" s="163">
        <v>14.673036437246964</v>
      </c>
      <c r="L646" s="163">
        <v>0.67303643724696371</v>
      </c>
      <c r="M646" s="163">
        <v>16</v>
      </c>
      <c r="N646" s="163">
        <v>28.931623931623928</v>
      </c>
      <c r="O646" s="163">
        <v>12.931623931623928</v>
      </c>
      <c r="P646" s="163"/>
      <c r="Q646" s="163">
        <v>19</v>
      </c>
      <c r="R646" s="163">
        <v>0</v>
      </c>
      <c r="S646" s="163">
        <v>0</v>
      </c>
      <c r="T646" s="163">
        <v>0</v>
      </c>
      <c r="U646" s="163">
        <v>0</v>
      </c>
      <c r="V646" s="163">
        <v>0</v>
      </c>
      <c r="W646" s="163">
        <v>0</v>
      </c>
      <c r="X646" s="163">
        <v>0</v>
      </c>
      <c r="Y646" s="163">
        <v>19</v>
      </c>
      <c r="Z646" s="163">
        <v>19</v>
      </c>
      <c r="AA646" s="163">
        <v>0</v>
      </c>
      <c r="AB646" s="163">
        <v>0</v>
      </c>
      <c r="AC646" s="163">
        <v>14</v>
      </c>
      <c r="AD646" s="163">
        <v>5</v>
      </c>
      <c r="AE646" s="165">
        <v>0.65254079276963506</v>
      </c>
      <c r="AF646" s="166">
        <v>0.68879305903461474</v>
      </c>
    </row>
    <row r="647" spans="1:32">
      <c r="A647" s="161">
        <v>14</v>
      </c>
      <c r="B647" s="162">
        <v>0.4375</v>
      </c>
      <c r="C647" s="163">
        <v>19.555557622641487</v>
      </c>
      <c r="D647" s="163">
        <v>846.89913682889176</v>
      </c>
      <c r="E647" s="164">
        <v>0.95330000000000004</v>
      </c>
      <c r="F647" s="164">
        <v>0.95330000000000004</v>
      </c>
      <c r="G647" s="163">
        <v>16</v>
      </c>
      <c r="H647" s="163">
        <v>31.666666666666664</v>
      </c>
      <c r="I647" s="163">
        <v>15.666666666666664</v>
      </c>
      <c r="J647" s="163">
        <v>13</v>
      </c>
      <c r="K647" s="163">
        <v>13.042699055330635</v>
      </c>
      <c r="L647" s="163">
        <v>4.2699055330635005E-2</v>
      </c>
      <c r="M647" s="163">
        <v>15</v>
      </c>
      <c r="N647" s="163">
        <v>28.931623931623928</v>
      </c>
      <c r="O647" s="163">
        <v>13.931623931623928</v>
      </c>
      <c r="P647" s="163"/>
      <c r="Q647" s="163">
        <v>19</v>
      </c>
      <c r="R647" s="163">
        <v>0</v>
      </c>
      <c r="S647" s="163">
        <v>0</v>
      </c>
      <c r="T647" s="163">
        <v>0</v>
      </c>
      <c r="U647" s="163">
        <v>0</v>
      </c>
      <c r="V647" s="163">
        <v>0</v>
      </c>
      <c r="W647" s="163">
        <v>0</v>
      </c>
      <c r="X647" s="163">
        <v>0</v>
      </c>
      <c r="Y647" s="163">
        <v>19</v>
      </c>
      <c r="Z647" s="163">
        <v>19</v>
      </c>
      <c r="AA647" s="163">
        <v>0</v>
      </c>
      <c r="AB647" s="163">
        <v>0</v>
      </c>
      <c r="AC647" s="163">
        <v>14</v>
      </c>
      <c r="AD647" s="163">
        <v>5</v>
      </c>
      <c r="AE647" s="165">
        <v>0.59405724599004339</v>
      </c>
      <c r="AF647" s="166">
        <v>0.70544297961317659</v>
      </c>
    </row>
    <row r="648" spans="1:32">
      <c r="A648" s="161">
        <v>14</v>
      </c>
      <c r="B648" s="162">
        <v>0.45833333333333331</v>
      </c>
      <c r="C648" s="163">
        <v>21.573690549792573</v>
      </c>
      <c r="D648" s="163">
        <v>837.28717270757295</v>
      </c>
      <c r="E648" s="164">
        <v>0.91320000000000012</v>
      </c>
      <c r="F648" s="164">
        <v>0.91320000000000012</v>
      </c>
      <c r="G648" s="163">
        <v>18</v>
      </c>
      <c r="H648" s="163">
        <v>31.666666666666664</v>
      </c>
      <c r="I648" s="163">
        <v>13.666666666666664</v>
      </c>
      <c r="J648" s="163">
        <v>14</v>
      </c>
      <c r="K648" s="163">
        <v>14.673036437246964</v>
      </c>
      <c r="L648" s="163">
        <v>0.67303643724696371</v>
      </c>
      <c r="M648" s="163">
        <v>16</v>
      </c>
      <c r="N648" s="163">
        <v>28.931623931623928</v>
      </c>
      <c r="O648" s="163">
        <v>12.931623931623928</v>
      </c>
      <c r="P648" s="163"/>
      <c r="Q648" s="163">
        <v>19</v>
      </c>
      <c r="R648" s="163">
        <v>0</v>
      </c>
      <c r="S648" s="163">
        <v>0</v>
      </c>
      <c r="T648" s="163">
        <v>0</v>
      </c>
      <c r="U648" s="163">
        <v>0</v>
      </c>
      <c r="V648" s="163">
        <v>0</v>
      </c>
      <c r="W648" s="163">
        <v>0</v>
      </c>
      <c r="X648" s="163">
        <v>0</v>
      </c>
      <c r="Y648" s="163">
        <v>19</v>
      </c>
      <c r="Z648" s="163">
        <v>19</v>
      </c>
      <c r="AA648" s="163">
        <v>0</v>
      </c>
      <c r="AB648" s="163">
        <v>0</v>
      </c>
      <c r="AC648" s="163">
        <v>14</v>
      </c>
      <c r="AD648" s="163">
        <v>5</v>
      </c>
      <c r="AE648" s="165">
        <v>0.64792581823761886</v>
      </c>
      <c r="AF648" s="166">
        <v>0.68392169702859773</v>
      </c>
    </row>
    <row r="649" spans="1:32">
      <c r="A649" s="161">
        <v>14</v>
      </c>
      <c r="B649" s="162">
        <v>0.47916666666666669</v>
      </c>
      <c r="C649" s="163">
        <v>19.987282433199244</v>
      </c>
      <c r="D649" s="163">
        <v>822.53883714763901</v>
      </c>
      <c r="E649" s="164">
        <v>0.95599999999999996</v>
      </c>
      <c r="F649" s="164">
        <v>0.95599999999999996</v>
      </c>
      <c r="G649" s="163">
        <v>16</v>
      </c>
      <c r="H649" s="163">
        <v>31.666666666666664</v>
      </c>
      <c r="I649" s="163">
        <v>15.666666666666664</v>
      </c>
      <c r="J649" s="163">
        <v>13</v>
      </c>
      <c r="K649" s="163">
        <v>13.042699055330635</v>
      </c>
      <c r="L649" s="163">
        <v>4.2699055330635005E-2</v>
      </c>
      <c r="M649" s="163">
        <v>15</v>
      </c>
      <c r="N649" s="163">
        <v>28.931623931623928</v>
      </c>
      <c r="O649" s="163">
        <v>13.931623931623928</v>
      </c>
      <c r="P649" s="163"/>
      <c r="Q649" s="163">
        <v>19</v>
      </c>
      <c r="R649" s="163">
        <v>0</v>
      </c>
      <c r="S649" s="163">
        <v>0</v>
      </c>
      <c r="T649" s="163">
        <v>0</v>
      </c>
      <c r="U649" s="163">
        <v>0</v>
      </c>
      <c r="V649" s="163">
        <v>0</v>
      </c>
      <c r="W649" s="163">
        <v>0</v>
      </c>
      <c r="X649" s="163">
        <v>0</v>
      </c>
      <c r="Y649" s="163">
        <v>19</v>
      </c>
      <c r="Z649" s="163">
        <v>19</v>
      </c>
      <c r="AA649" s="163">
        <v>0</v>
      </c>
      <c r="AB649" s="163">
        <v>0</v>
      </c>
      <c r="AC649" s="163">
        <v>14</v>
      </c>
      <c r="AD649" s="163">
        <v>5</v>
      </c>
      <c r="AE649" s="165">
        <v>0.58970738321547911</v>
      </c>
      <c r="AF649" s="166">
        <v>0.70027751756838141</v>
      </c>
    </row>
    <row r="650" spans="1:32">
      <c r="A650" s="161">
        <v>14</v>
      </c>
      <c r="B650" s="162">
        <v>0.5</v>
      </c>
      <c r="C650" s="163">
        <v>19.406811995268651</v>
      </c>
      <c r="D650" s="163">
        <v>836.29623805168137</v>
      </c>
      <c r="E650" s="164">
        <v>0.95989999999999986</v>
      </c>
      <c r="F650" s="164">
        <v>0.95989999999999986</v>
      </c>
      <c r="G650" s="163">
        <v>16</v>
      </c>
      <c r="H650" s="163">
        <v>31.666666666666664</v>
      </c>
      <c r="I650" s="163">
        <v>15.666666666666664</v>
      </c>
      <c r="J650" s="163">
        <v>13</v>
      </c>
      <c r="K650" s="163">
        <v>13.042699055330635</v>
      </c>
      <c r="L650" s="163">
        <v>4.2699055330635005E-2</v>
      </c>
      <c r="M650" s="163">
        <v>15</v>
      </c>
      <c r="N650" s="163">
        <v>28.931623931623928</v>
      </c>
      <c r="O650" s="163">
        <v>13.931623931623928</v>
      </c>
      <c r="P650" s="163"/>
      <c r="Q650" s="163">
        <v>19</v>
      </c>
      <c r="R650" s="163">
        <v>0</v>
      </c>
      <c r="S650" s="163">
        <v>0</v>
      </c>
      <c r="T650" s="163">
        <v>0</v>
      </c>
      <c r="U650" s="163">
        <v>0</v>
      </c>
      <c r="V650" s="163">
        <v>0</v>
      </c>
      <c r="W650" s="163">
        <v>0</v>
      </c>
      <c r="X650" s="163">
        <v>0</v>
      </c>
      <c r="Y650" s="163">
        <v>19</v>
      </c>
      <c r="Z650" s="163">
        <v>19</v>
      </c>
      <c r="AA650" s="163">
        <v>0</v>
      </c>
      <c r="AB650" s="163">
        <v>0</v>
      </c>
      <c r="AC650" s="163">
        <v>14</v>
      </c>
      <c r="AD650" s="163">
        <v>5</v>
      </c>
      <c r="AE650" s="165">
        <v>0.58215783235892871</v>
      </c>
      <c r="AF650" s="166">
        <v>0.69131242592622788</v>
      </c>
    </row>
    <row r="651" spans="1:32">
      <c r="A651" s="161">
        <v>14</v>
      </c>
      <c r="B651" s="162">
        <v>0.52083333333333337</v>
      </c>
      <c r="C651" s="163">
        <v>19.288755958097191</v>
      </c>
      <c r="D651" s="163">
        <v>824.4649598136009</v>
      </c>
      <c r="E651" s="164">
        <v>0.91370000000000007</v>
      </c>
      <c r="F651" s="164">
        <v>0.91370000000000007</v>
      </c>
      <c r="G651" s="163">
        <v>16</v>
      </c>
      <c r="H651" s="163">
        <v>30.333333333333336</v>
      </c>
      <c r="I651" s="163">
        <v>14.333333333333336</v>
      </c>
      <c r="J651" s="163">
        <v>13</v>
      </c>
      <c r="K651" s="163">
        <v>13.042699055330635</v>
      </c>
      <c r="L651" s="163">
        <v>4.2699055330635005E-2</v>
      </c>
      <c r="M651" s="163">
        <v>15</v>
      </c>
      <c r="N651" s="163">
        <v>27.713450292397663</v>
      </c>
      <c r="O651" s="163">
        <v>12.713450292397663</v>
      </c>
      <c r="P651" s="163"/>
      <c r="Q651" s="163">
        <v>19</v>
      </c>
      <c r="R651" s="163">
        <v>0</v>
      </c>
      <c r="S651" s="163">
        <v>0</v>
      </c>
      <c r="T651" s="163">
        <v>0</v>
      </c>
      <c r="U651" s="163">
        <v>0</v>
      </c>
      <c r="V651" s="163">
        <v>0</v>
      </c>
      <c r="W651" s="163">
        <v>0</v>
      </c>
      <c r="X651" s="163">
        <v>0</v>
      </c>
      <c r="Y651" s="163">
        <v>19</v>
      </c>
      <c r="Z651" s="163">
        <v>19</v>
      </c>
      <c r="AA651" s="163">
        <v>0</v>
      </c>
      <c r="AB651" s="163">
        <v>0</v>
      </c>
      <c r="AC651" s="163">
        <v>14</v>
      </c>
      <c r="AD651" s="163">
        <v>5</v>
      </c>
      <c r="AE651" s="165">
        <v>0.57043061242083959</v>
      </c>
      <c r="AF651" s="166">
        <v>0.67738635224974708</v>
      </c>
    </row>
    <row r="652" spans="1:32">
      <c r="A652" s="161">
        <v>14</v>
      </c>
      <c r="B652" s="162">
        <v>0.54166666666666663</v>
      </c>
      <c r="C652" s="163">
        <v>18.600452369737752</v>
      </c>
      <c r="D652" s="163">
        <v>798.8041349140309</v>
      </c>
      <c r="E652" s="164">
        <v>0.92649999999999999</v>
      </c>
      <c r="F652" s="164">
        <v>0.92649999999999999</v>
      </c>
      <c r="G652" s="163">
        <v>15</v>
      </c>
      <c r="H652" s="163">
        <v>28.333333333333336</v>
      </c>
      <c r="I652" s="163">
        <v>13.333333333333336</v>
      </c>
      <c r="J652" s="163">
        <v>12</v>
      </c>
      <c r="K652" s="163">
        <v>12.22753036437247</v>
      </c>
      <c r="L652" s="163">
        <v>0.22753036437246976</v>
      </c>
      <c r="M652" s="163">
        <v>14</v>
      </c>
      <c r="N652" s="163">
        <v>25.886189833558255</v>
      </c>
      <c r="O652" s="163">
        <v>11.886189833558255</v>
      </c>
      <c r="P652" s="163"/>
      <c r="Q652" s="163">
        <v>17</v>
      </c>
      <c r="R652" s="163">
        <v>0</v>
      </c>
      <c r="S652" s="163">
        <v>0</v>
      </c>
      <c r="T652" s="163">
        <v>0</v>
      </c>
      <c r="U652" s="163">
        <v>0</v>
      </c>
      <c r="V652" s="163">
        <v>0</v>
      </c>
      <c r="W652" s="163">
        <v>0</v>
      </c>
      <c r="X652" s="163">
        <v>0</v>
      </c>
      <c r="Y652" s="163">
        <v>17</v>
      </c>
      <c r="Z652" s="163">
        <v>17</v>
      </c>
      <c r="AA652" s="163">
        <v>0</v>
      </c>
      <c r="AB652" s="163">
        <v>0</v>
      </c>
      <c r="AC652" s="163">
        <v>12</v>
      </c>
      <c r="AD652" s="163">
        <v>5</v>
      </c>
      <c r="AE652" s="165">
        <v>0.59565513958656258</v>
      </c>
      <c r="AF652" s="166">
        <v>0.67507582486477091</v>
      </c>
    </row>
    <row r="653" spans="1:32">
      <c r="A653" s="161">
        <v>14</v>
      </c>
      <c r="B653" s="162">
        <v>0.5625</v>
      </c>
      <c r="C653" s="163">
        <v>17.390557599134056</v>
      </c>
      <c r="D653" s="163">
        <v>796.95858502023327</v>
      </c>
      <c r="E653" s="164">
        <v>0.95330000000000004</v>
      </c>
      <c r="F653" s="164">
        <v>0.95330000000000004</v>
      </c>
      <c r="G653" s="163">
        <v>14</v>
      </c>
      <c r="H653" s="163">
        <v>28.333333333333336</v>
      </c>
      <c r="I653" s="163">
        <v>14.333333333333336</v>
      </c>
      <c r="J653" s="163">
        <v>11</v>
      </c>
      <c r="K653" s="163">
        <v>11.412361673414306</v>
      </c>
      <c r="L653" s="163">
        <v>0.4123616734143063</v>
      </c>
      <c r="M653" s="163">
        <v>13</v>
      </c>
      <c r="N653" s="163">
        <v>25.886189833558255</v>
      </c>
      <c r="O653" s="163">
        <v>12.886189833558255</v>
      </c>
      <c r="P653" s="163"/>
      <c r="Q653" s="163">
        <v>17</v>
      </c>
      <c r="R653" s="163">
        <v>0</v>
      </c>
      <c r="S653" s="163">
        <v>0</v>
      </c>
      <c r="T653" s="163">
        <v>0</v>
      </c>
      <c r="U653" s="163">
        <v>0</v>
      </c>
      <c r="V653" s="163">
        <v>0</v>
      </c>
      <c r="W653" s="163">
        <v>0</v>
      </c>
      <c r="X653" s="163">
        <v>0</v>
      </c>
      <c r="Y653" s="163">
        <v>17</v>
      </c>
      <c r="Z653" s="163">
        <v>17</v>
      </c>
      <c r="AA653" s="163">
        <v>0</v>
      </c>
      <c r="AB653" s="163">
        <v>0</v>
      </c>
      <c r="AC653" s="163">
        <v>12</v>
      </c>
      <c r="AD653" s="163">
        <v>5</v>
      </c>
      <c r="AE653" s="165">
        <v>0.55562316378523968</v>
      </c>
      <c r="AF653" s="166">
        <v>0.67468527031064818</v>
      </c>
    </row>
    <row r="654" spans="1:32">
      <c r="A654" s="161">
        <v>14</v>
      </c>
      <c r="B654" s="162">
        <v>0.58333333333333337</v>
      </c>
      <c r="C654" s="163">
        <v>17.76719240390748</v>
      </c>
      <c r="D654" s="163">
        <v>832.17786124238603</v>
      </c>
      <c r="E654" s="164">
        <v>0.92830000000000001</v>
      </c>
      <c r="F654" s="164">
        <v>0.92830000000000001</v>
      </c>
      <c r="G654" s="163">
        <v>15</v>
      </c>
      <c r="H654" s="163">
        <v>28.333333333333336</v>
      </c>
      <c r="I654" s="163">
        <v>13.333333333333336</v>
      </c>
      <c r="J654" s="163">
        <v>12</v>
      </c>
      <c r="K654" s="163">
        <v>12.22753036437247</v>
      </c>
      <c r="L654" s="163">
        <v>0.22753036437246976</v>
      </c>
      <c r="M654" s="163">
        <v>14</v>
      </c>
      <c r="N654" s="163">
        <v>25.886189833558255</v>
      </c>
      <c r="O654" s="163">
        <v>11.886189833558255</v>
      </c>
      <c r="P654" s="163"/>
      <c r="Q654" s="163">
        <v>17</v>
      </c>
      <c r="R654" s="163">
        <v>0</v>
      </c>
      <c r="S654" s="163">
        <v>0</v>
      </c>
      <c r="T654" s="163">
        <v>0</v>
      </c>
      <c r="U654" s="163">
        <v>0</v>
      </c>
      <c r="V654" s="163">
        <v>0</v>
      </c>
      <c r="W654" s="163">
        <v>0</v>
      </c>
      <c r="X654" s="163">
        <v>0</v>
      </c>
      <c r="Y654" s="163">
        <v>17</v>
      </c>
      <c r="Z654" s="163">
        <v>17</v>
      </c>
      <c r="AA654" s="163">
        <v>0</v>
      </c>
      <c r="AB654" s="163">
        <v>0</v>
      </c>
      <c r="AC654" s="163">
        <v>12</v>
      </c>
      <c r="AD654" s="163">
        <v>5</v>
      </c>
      <c r="AE654" s="165">
        <v>0.59274247050522011</v>
      </c>
      <c r="AF654" s="166">
        <v>0.67177479990591615</v>
      </c>
    </row>
    <row r="655" spans="1:32">
      <c r="A655" s="161">
        <v>14</v>
      </c>
      <c r="B655" s="162">
        <v>0.60416666666666663</v>
      </c>
      <c r="C655" s="163">
        <v>17.412074751888859</v>
      </c>
      <c r="D655" s="163">
        <v>825.71668745914565</v>
      </c>
      <c r="E655" s="164">
        <v>0.96986666666666677</v>
      </c>
      <c r="F655" s="164">
        <v>0.96986666666666677</v>
      </c>
      <c r="G655" s="163">
        <v>15</v>
      </c>
      <c r="H655" s="163">
        <v>29.666666666666664</v>
      </c>
      <c r="I655" s="163">
        <v>14.666666666666664</v>
      </c>
      <c r="J655" s="163">
        <v>12</v>
      </c>
      <c r="K655" s="163">
        <v>12.22753036437247</v>
      </c>
      <c r="L655" s="163">
        <v>0.22753036437246976</v>
      </c>
      <c r="M655" s="163">
        <v>14</v>
      </c>
      <c r="N655" s="163">
        <v>27.104363472784524</v>
      </c>
      <c r="O655" s="163">
        <v>13.104363472784524</v>
      </c>
      <c r="P655" s="163"/>
      <c r="Q655" s="163">
        <v>17</v>
      </c>
      <c r="R655" s="163">
        <v>0</v>
      </c>
      <c r="S655" s="163">
        <v>0</v>
      </c>
      <c r="T655" s="163">
        <v>0</v>
      </c>
      <c r="U655" s="163">
        <v>0</v>
      </c>
      <c r="V655" s="163">
        <v>0</v>
      </c>
      <c r="W655" s="163">
        <v>0</v>
      </c>
      <c r="X655" s="163">
        <v>0</v>
      </c>
      <c r="Y655" s="163">
        <v>17</v>
      </c>
      <c r="Z655" s="163">
        <v>17</v>
      </c>
      <c r="AA655" s="163">
        <v>0</v>
      </c>
      <c r="AB655" s="163">
        <v>0</v>
      </c>
      <c r="AC655" s="163">
        <v>12</v>
      </c>
      <c r="AD655" s="163">
        <v>5</v>
      </c>
      <c r="AE655" s="165">
        <v>0.57638499616023531</v>
      </c>
      <c r="AF655" s="166">
        <v>0.6532363289816</v>
      </c>
    </row>
    <row r="656" spans="1:32">
      <c r="A656" s="161">
        <v>14</v>
      </c>
      <c r="B656" s="162">
        <v>0.625</v>
      </c>
      <c r="C656" s="163">
        <v>17.129042178987763</v>
      </c>
      <c r="D656" s="163">
        <v>838.17251618071805</v>
      </c>
      <c r="E656" s="164">
        <v>0.90390000000000004</v>
      </c>
      <c r="F656" s="164">
        <v>0.90390000000000004</v>
      </c>
      <c r="G656" s="163">
        <v>15</v>
      </c>
      <c r="H656" s="163">
        <v>29</v>
      </c>
      <c r="I656" s="163">
        <v>14</v>
      </c>
      <c r="J656" s="163">
        <v>12</v>
      </c>
      <c r="K656" s="163">
        <v>12.22753036437247</v>
      </c>
      <c r="L656" s="163">
        <v>0.22753036437246976</v>
      </c>
      <c r="M656" s="163">
        <v>14</v>
      </c>
      <c r="N656" s="163">
        <v>26.495276653171388</v>
      </c>
      <c r="O656" s="163">
        <v>12.495276653171388</v>
      </c>
      <c r="P656" s="163"/>
      <c r="Q656" s="163">
        <v>19</v>
      </c>
      <c r="R656" s="163">
        <v>0</v>
      </c>
      <c r="S656" s="163">
        <v>0</v>
      </c>
      <c r="T656" s="163">
        <v>0</v>
      </c>
      <c r="U656" s="163">
        <v>0</v>
      </c>
      <c r="V656" s="163">
        <v>0</v>
      </c>
      <c r="W656" s="163">
        <v>0</v>
      </c>
      <c r="X656" s="163">
        <v>0</v>
      </c>
      <c r="Y656" s="163">
        <v>19</v>
      </c>
      <c r="Z656" s="163">
        <v>19</v>
      </c>
      <c r="AA656" s="163">
        <v>0</v>
      </c>
      <c r="AB656" s="163">
        <v>0</v>
      </c>
      <c r="AC656" s="163">
        <v>12</v>
      </c>
      <c r="AD656" s="163">
        <v>7</v>
      </c>
      <c r="AE656" s="165">
        <v>0.5149830060317796</v>
      </c>
      <c r="AF656" s="166">
        <v>0.65231180764025409</v>
      </c>
    </row>
    <row r="657" spans="1:32">
      <c r="A657" s="161">
        <v>14</v>
      </c>
      <c r="B657" s="162">
        <v>0.64583333333333337</v>
      </c>
      <c r="C657" s="163">
        <v>16.425960371851833</v>
      </c>
      <c r="D657" s="163">
        <v>816.13602928844102</v>
      </c>
      <c r="E657" s="164">
        <v>0.85540000000000005</v>
      </c>
      <c r="F657" s="164">
        <v>0.85540000000000005</v>
      </c>
      <c r="G657" s="163">
        <v>14</v>
      </c>
      <c r="H657" s="163">
        <v>23.333333333333336</v>
      </c>
      <c r="I657" s="163">
        <v>9.3333333333333357</v>
      </c>
      <c r="J657" s="163">
        <v>11</v>
      </c>
      <c r="K657" s="163">
        <v>11.412361673414306</v>
      </c>
      <c r="L657" s="163">
        <v>0.4123616734143063</v>
      </c>
      <c r="M657" s="163">
        <v>13</v>
      </c>
      <c r="N657" s="163">
        <v>21.31803868645974</v>
      </c>
      <c r="O657" s="163">
        <v>8.3180386864597402</v>
      </c>
      <c r="P657" s="163"/>
      <c r="Q657" s="163">
        <v>14</v>
      </c>
      <c r="R657" s="163">
        <v>0</v>
      </c>
      <c r="S657" s="163">
        <v>0</v>
      </c>
      <c r="T657" s="163">
        <v>0</v>
      </c>
      <c r="U657" s="163">
        <v>0</v>
      </c>
      <c r="V657" s="163">
        <v>0</v>
      </c>
      <c r="W657" s="163">
        <v>0</v>
      </c>
      <c r="X657" s="163">
        <v>0</v>
      </c>
      <c r="Y657" s="163">
        <v>14</v>
      </c>
      <c r="Z657" s="163">
        <v>14</v>
      </c>
      <c r="AA657" s="163">
        <v>0</v>
      </c>
      <c r="AB657" s="163">
        <v>0</v>
      </c>
      <c r="AC657" s="163">
        <v>10</v>
      </c>
      <c r="AD657" s="163">
        <v>4</v>
      </c>
      <c r="AE657" s="165">
        <v>0.65259732573641294</v>
      </c>
      <c r="AF657" s="166">
        <v>0.65259732573641294</v>
      </c>
    </row>
    <row r="658" spans="1:32">
      <c r="A658" s="161">
        <v>14</v>
      </c>
      <c r="B658" s="162">
        <v>0.66666666666666663</v>
      </c>
      <c r="C658" s="163">
        <v>15.372488745805589</v>
      </c>
      <c r="D658" s="163">
        <v>849.52474045474241</v>
      </c>
      <c r="E658" s="164">
        <v>0.874</v>
      </c>
      <c r="F658" s="164">
        <v>0.874</v>
      </c>
      <c r="G658" s="163">
        <v>14</v>
      </c>
      <c r="H658" s="163">
        <v>23.333333333333336</v>
      </c>
      <c r="I658" s="163">
        <v>9.3333333333333357</v>
      </c>
      <c r="J658" s="163">
        <v>11</v>
      </c>
      <c r="K658" s="163">
        <v>11.412361673414306</v>
      </c>
      <c r="L658" s="163">
        <v>0.4123616734143063</v>
      </c>
      <c r="M658" s="163">
        <v>13</v>
      </c>
      <c r="N658" s="163">
        <v>21.31803868645974</v>
      </c>
      <c r="O658" s="163">
        <v>8.3180386864597402</v>
      </c>
      <c r="P658" s="163"/>
      <c r="Q658" s="163">
        <v>14</v>
      </c>
      <c r="R658" s="163">
        <v>0</v>
      </c>
      <c r="S658" s="163">
        <v>0</v>
      </c>
      <c r="T658" s="163">
        <v>0</v>
      </c>
      <c r="U658" s="163">
        <v>0</v>
      </c>
      <c r="V658" s="163">
        <v>0</v>
      </c>
      <c r="W658" s="163">
        <v>0</v>
      </c>
      <c r="X658" s="163">
        <v>0</v>
      </c>
      <c r="Y658" s="163">
        <v>14</v>
      </c>
      <c r="Z658" s="163">
        <v>14</v>
      </c>
      <c r="AA658" s="163">
        <v>0</v>
      </c>
      <c r="AB658" s="163">
        <v>0</v>
      </c>
      <c r="AC658" s="163">
        <v>10</v>
      </c>
      <c r="AD658" s="163">
        <v>4</v>
      </c>
      <c r="AE658" s="165">
        <v>0.63572923455187724</v>
      </c>
      <c r="AF658" s="166">
        <v>0.63572923455187724</v>
      </c>
    </row>
    <row r="659" spans="1:32">
      <c r="A659" s="161">
        <v>14</v>
      </c>
      <c r="B659" s="162">
        <v>0.6875</v>
      </c>
      <c r="C659" s="163">
        <v>15.158588073943552</v>
      </c>
      <c r="D659" s="163">
        <v>796.49740889890802</v>
      </c>
      <c r="E659" s="164">
        <v>0.80186666666666673</v>
      </c>
      <c r="F659" s="164">
        <v>0.80186666666666673</v>
      </c>
      <c r="G659" s="163">
        <v>13</v>
      </c>
      <c r="H659" s="163">
        <v>22</v>
      </c>
      <c r="I659" s="163">
        <v>9</v>
      </c>
      <c r="J659" s="163">
        <v>10</v>
      </c>
      <c r="K659" s="163">
        <v>10.597192982456141</v>
      </c>
      <c r="L659" s="163">
        <v>0.59719298245614105</v>
      </c>
      <c r="M659" s="163">
        <v>12</v>
      </c>
      <c r="N659" s="163">
        <v>20.099865047233468</v>
      </c>
      <c r="O659" s="163">
        <v>8.0998650472334681</v>
      </c>
      <c r="P659" s="163"/>
      <c r="Q659" s="163">
        <v>14</v>
      </c>
      <c r="R659" s="163">
        <v>0</v>
      </c>
      <c r="S659" s="163">
        <v>0</v>
      </c>
      <c r="T659" s="163">
        <v>0</v>
      </c>
      <c r="U659" s="163">
        <v>0</v>
      </c>
      <c r="V659" s="163">
        <v>0</v>
      </c>
      <c r="W659" s="163">
        <v>0</v>
      </c>
      <c r="X659" s="163">
        <v>0</v>
      </c>
      <c r="Y659" s="163">
        <v>14</v>
      </c>
      <c r="Z659" s="163">
        <v>14</v>
      </c>
      <c r="AA659" s="163">
        <v>0</v>
      </c>
      <c r="AB659" s="163">
        <v>0</v>
      </c>
      <c r="AC659" s="163">
        <v>10</v>
      </c>
      <c r="AD659" s="163">
        <v>4</v>
      </c>
      <c r="AE659" s="165">
        <v>0.58775331468412206</v>
      </c>
      <c r="AF659" s="166">
        <v>0.63296510812136231</v>
      </c>
    </row>
    <row r="660" spans="1:32">
      <c r="A660" s="161">
        <v>14</v>
      </c>
      <c r="B660" s="162">
        <v>0.70833333333333337</v>
      </c>
      <c r="C660" s="163">
        <v>15.731517882882208</v>
      </c>
      <c r="D660" s="163">
        <v>812.94787078072602</v>
      </c>
      <c r="E660" s="164">
        <v>0.6744</v>
      </c>
      <c r="F660" s="164">
        <v>0.6744</v>
      </c>
      <c r="G660" s="163">
        <v>14</v>
      </c>
      <c r="H660" s="163">
        <v>20</v>
      </c>
      <c r="I660" s="163">
        <v>6</v>
      </c>
      <c r="J660" s="163">
        <v>11</v>
      </c>
      <c r="K660" s="163">
        <v>11.412361673414306</v>
      </c>
      <c r="L660" s="163">
        <v>0.4123616734143063</v>
      </c>
      <c r="M660" s="163">
        <v>13</v>
      </c>
      <c r="N660" s="163">
        <v>18.27260458839406</v>
      </c>
      <c r="O660" s="163">
        <v>5.27260458839406</v>
      </c>
      <c r="P660" s="163"/>
      <c r="Q660" s="163">
        <v>12</v>
      </c>
      <c r="R660" s="163">
        <v>0</v>
      </c>
      <c r="S660" s="163">
        <v>0</v>
      </c>
      <c r="T660" s="163">
        <v>0</v>
      </c>
      <c r="U660" s="163">
        <v>0</v>
      </c>
      <c r="V660" s="163">
        <v>0</v>
      </c>
      <c r="W660" s="163">
        <v>0</v>
      </c>
      <c r="X660" s="163">
        <v>0</v>
      </c>
      <c r="Y660" s="163">
        <v>12</v>
      </c>
      <c r="Z660" s="163">
        <v>12</v>
      </c>
      <c r="AA660" s="163">
        <v>0</v>
      </c>
      <c r="AB660" s="163">
        <v>0</v>
      </c>
      <c r="AC660" s="163">
        <v>10</v>
      </c>
      <c r="AD660" s="163">
        <v>2</v>
      </c>
      <c r="AE660" s="165">
        <v>0.72632682526966286</v>
      </c>
      <c r="AF660" s="166">
        <v>0.62256585023113964</v>
      </c>
    </row>
    <row r="661" spans="1:32">
      <c r="A661" s="161">
        <v>14</v>
      </c>
      <c r="B661" s="162">
        <v>0.72916666666666663</v>
      </c>
      <c r="C661" s="163">
        <v>13.474601669386946</v>
      </c>
      <c r="D661" s="163">
        <v>847.96421731424459</v>
      </c>
      <c r="E661" s="164">
        <v>0.92349999999999988</v>
      </c>
      <c r="F661" s="164">
        <v>0.92349999999999988</v>
      </c>
      <c r="G661" s="163">
        <v>13</v>
      </c>
      <c r="H661" s="163">
        <v>22.666666666666664</v>
      </c>
      <c r="I661" s="163">
        <v>9.6666666666666643</v>
      </c>
      <c r="J661" s="163">
        <v>10</v>
      </c>
      <c r="K661" s="163">
        <v>10.597192982456141</v>
      </c>
      <c r="L661" s="163">
        <v>0.59719298245614105</v>
      </c>
      <c r="M661" s="163">
        <v>12</v>
      </c>
      <c r="N661" s="163">
        <v>20.708951866846601</v>
      </c>
      <c r="O661" s="163">
        <v>8.7089518668466006</v>
      </c>
      <c r="P661" s="163"/>
      <c r="Q661" s="163">
        <v>12</v>
      </c>
      <c r="R661" s="163">
        <v>0</v>
      </c>
      <c r="S661" s="163">
        <v>0</v>
      </c>
      <c r="T661" s="163">
        <v>0</v>
      </c>
      <c r="U661" s="163">
        <v>0</v>
      </c>
      <c r="V661" s="163">
        <v>0</v>
      </c>
      <c r="W661" s="163">
        <v>0</v>
      </c>
      <c r="X661" s="163">
        <v>0</v>
      </c>
      <c r="Y661" s="163">
        <v>12</v>
      </c>
      <c r="Z661" s="163">
        <v>12</v>
      </c>
      <c r="AA661" s="163">
        <v>0</v>
      </c>
      <c r="AB661" s="163">
        <v>0</v>
      </c>
      <c r="AC661" s="163">
        <v>10</v>
      </c>
      <c r="AD661" s="163">
        <v>2</v>
      </c>
      <c r="AE661" s="165">
        <v>0.64892158410593659</v>
      </c>
      <c r="AF661" s="166">
        <v>0.59900453917471075</v>
      </c>
    </row>
    <row r="662" spans="1:32">
      <c r="A662" s="161">
        <v>14</v>
      </c>
      <c r="B662" s="162">
        <v>0.75</v>
      </c>
      <c r="C662" s="163">
        <v>14.122072353171927</v>
      </c>
      <c r="D662" s="163">
        <v>811.58626408738598</v>
      </c>
      <c r="E662" s="164">
        <v>0.98709999999999998</v>
      </c>
      <c r="F662" s="164">
        <v>0.98709999999999998</v>
      </c>
      <c r="G662" s="163">
        <v>13</v>
      </c>
      <c r="H662" s="163">
        <v>26.666666666666664</v>
      </c>
      <c r="I662" s="163">
        <v>13.666666666666664</v>
      </c>
      <c r="J662" s="163">
        <v>10</v>
      </c>
      <c r="K662" s="163">
        <v>10.597192982456141</v>
      </c>
      <c r="L662" s="163">
        <v>0.59719298245614105</v>
      </c>
      <c r="M662" s="163">
        <v>12</v>
      </c>
      <c r="N662" s="163">
        <v>24.363472784525413</v>
      </c>
      <c r="O662" s="163">
        <v>12.363472784525413</v>
      </c>
      <c r="P662" s="163"/>
      <c r="Q662" s="163">
        <v>16</v>
      </c>
      <c r="R662" s="163">
        <v>0</v>
      </c>
      <c r="S662" s="163">
        <v>0</v>
      </c>
      <c r="T662" s="163">
        <v>0</v>
      </c>
      <c r="U662" s="163">
        <v>0</v>
      </c>
      <c r="V662" s="163">
        <v>0</v>
      </c>
      <c r="W662" s="163">
        <v>0</v>
      </c>
      <c r="X662" s="163">
        <v>0</v>
      </c>
      <c r="Y662" s="163">
        <v>16</v>
      </c>
      <c r="Z662" s="163">
        <v>16</v>
      </c>
      <c r="AA662" s="163">
        <v>0</v>
      </c>
      <c r="AB662" s="163">
        <v>0</v>
      </c>
      <c r="AC662" s="163">
        <v>14</v>
      </c>
      <c r="AD662" s="163">
        <v>2</v>
      </c>
      <c r="AE662" s="165">
        <v>0.48819479148452388</v>
      </c>
      <c r="AF662" s="166">
        <v>0.60085512798095253</v>
      </c>
    </row>
    <row r="663" spans="1:32">
      <c r="A663" s="161">
        <v>14</v>
      </c>
      <c r="B663" s="162">
        <v>0.77083333333333337</v>
      </c>
      <c r="C663" s="163">
        <v>14.26288863819612</v>
      </c>
      <c r="D663" s="163">
        <v>790.11521204039798</v>
      </c>
      <c r="E663" s="164">
        <v>0.98870000000000002</v>
      </c>
      <c r="F663" s="164">
        <v>0.98870000000000002</v>
      </c>
      <c r="G663" s="163">
        <v>13</v>
      </c>
      <c r="H663" s="163">
        <v>26.666666666666664</v>
      </c>
      <c r="I663" s="163">
        <v>13.666666666666664</v>
      </c>
      <c r="J663" s="163">
        <v>10</v>
      </c>
      <c r="K663" s="163">
        <v>10.597192982456141</v>
      </c>
      <c r="L663" s="163">
        <v>0.59719298245614105</v>
      </c>
      <c r="M663" s="163">
        <v>12</v>
      </c>
      <c r="N663" s="163">
        <v>24.363472784525413</v>
      </c>
      <c r="O663" s="163">
        <v>12.363472784525413</v>
      </c>
      <c r="P663" s="163"/>
      <c r="Q663" s="163">
        <v>16</v>
      </c>
      <c r="R663" s="163">
        <v>0</v>
      </c>
      <c r="S663" s="163">
        <v>0</v>
      </c>
      <c r="T663" s="163">
        <v>0</v>
      </c>
      <c r="U663" s="163">
        <v>0</v>
      </c>
      <c r="V663" s="163">
        <v>0</v>
      </c>
      <c r="W663" s="163">
        <v>0</v>
      </c>
      <c r="X663" s="163">
        <v>0</v>
      </c>
      <c r="Y663" s="163">
        <v>16</v>
      </c>
      <c r="Z663" s="163">
        <v>16</v>
      </c>
      <c r="AA663" s="163">
        <v>0</v>
      </c>
      <c r="AB663" s="163">
        <v>0</v>
      </c>
      <c r="AC663" s="163">
        <v>14</v>
      </c>
      <c r="AD663" s="163">
        <v>2</v>
      </c>
      <c r="AE663" s="165">
        <v>0.48001845633967344</v>
      </c>
      <c r="AF663" s="166">
        <v>0.5907919462642135</v>
      </c>
    </row>
    <row r="664" spans="1:32">
      <c r="A664" s="161">
        <v>14</v>
      </c>
      <c r="B664" s="162">
        <v>0.79166666666666663</v>
      </c>
      <c r="C664" s="163">
        <v>13.179762108112657</v>
      </c>
      <c r="D664" s="163">
        <v>757.83497169739451</v>
      </c>
      <c r="E664" s="164">
        <v>0.97509999999999997</v>
      </c>
      <c r="F664" s="164">
        <v>0.97509999999999997</v>
      </c>
      <c r="G664" s="163">
        <v>12</v>
      </c>
      <c r="H664" s="163">
        <v>23.333333333333336</v>
      </c>
      <c r="I664" s="163">
        <v>11.333333333333336</v>
      </c>
      <c r="J664" s="163">
        <v>9</v>
      </c>
      <c r="K664" s="163">
        <v>9.7820242914979758</v>
      </c>
      <c r="L664" s="163">
        <v>0.78202429149797581</v>
      </c>
      <c r="M664" s="163">
        <v>11</v>
      </c>
      <c r="N664" s="163">
        <v>21.31803868645974</v>
      </c>
      <c r="O664" s="163">
        <v>10.31803868645974</v>
      </c>
      <c r="P664" s="163"/>
      <c r="Q664" s="163">
        <v>14</v>
      </c>
      <c r="R664" s="163">
        <v>0</v>
      </c>
      <c r="S664" s="163">
        <v>0</v>
      </c>
      <c r="T664" s="163">
        <v>0</v>
      </c>
      <c r="U664" s="163">
        <v>0</v>
      </c>
      <c r="V664" s="163">
        <v>0</v>
      </c>
      <c r="W664" s="163">
        <v>0</v>
      </c>
      <c r="X664" s="163">
        <v>0</v>
      </c>
      <c r="Y664" s="163">
        <v>14</v>
      </c>
      <c r="Z664" s="163">
        <v>14</v>
      </c>
      <c r="AA664" s="163">
        <v>0</v>
      </c>
      <c r="AB664" s="163">
        <v>0</v>
      </c>
      <c r="AC664" s="163">
        <v>12</v>
      </c>
      <c r="AD664" s="163">
        <v>2</v>
      </c>
      <c r="AE664" s="165">
        <v>0.48622152646632649</v>
      </c>
      <c r="AF664" s="166">
        <v>0.56725844754404753</v>
      </c>
    </row>
    <row r="665" spans="1:32">
      <c r="A665" s="161">
        <v>14</v>
      </c>
      <c r="B665" s="162">
        <v>0.8125</v>
      </c>
      <c r="C665" s="163">
        <v>11.640621459643963</v>
      </c>
      <c r="D665" s="163">
        <v>762.94458577655905</v>
      </c>
      <c r="E665" s="164">
        <v>0.98870000000000002</v>
      </c>
      <c r="F665" s="164">
        <v>0.98870000000000002</v>
      </c>
      <c r="G665" s="163">
        <v>10</v>
      </c>
      <c r="H665" s="163">
        <v>23.333333333333336</v>
      </c>
      <c r="I665" s="163">
        <v>13.333333333333336</v>
      </c>
      <c r="J665" s="163">
        <v>8</v>
      </c>
      <c r="K665" s="163">
        <v>8.1516869095816471</v>
      </c>
      <c r="L665" s="163">
        <v>0.1516869095816471</v>
      </c>
      <c r="M665" s="163">
        <v>9</v>
      </c>
      <c r="N665" s="163">
        <v>21.31803868645974</v>
      </c>
      <c r="O665" s="163">
        <v>12.31803868645974</v>
      </c>
      <c r="P665" s="163"/>
      <c r="Q665" s="163">
        <v>14</v>
      </c>
      <c r="R665" s="163">
        <v>0</v>
      </c>
      <c r="S665" s="163">
        <v>0</v>
      </c>
      <c r="T665" s="163">
        <v>0</v>
      </c>
      <c r="U665" s="163">
        <v>0</v>
      </c>
      <c r="V665" s="163">
        <v>0</v>
      </c>
      <c r="W665" s="163">
        <v>0</v>
      </c>
      <c r="X665" s="163">
        <v>0</v>
      </c>
      <c r="Y665" s="163">
        <v>14</v>
      </c>
      <c r="Z665" s="163">
        <v>14</v>
      </c>
      <c r="AA665" s="163">
        <v>0</v>
      </c>
      <c r="AB665" s="163">
        <v>0</v>
      </c>
      <c r="AC665" s="163">
        <v>12</v>
      </c>
      <c r="AD665" s="163">
        <v>2</v>
      </c>
      <c r="AE665" s="165">
        <v>0.43233573148623028</v>
      </c>
      <c r="AF665" s="166">
        <v>0.6052700240807225</v>
      </c>
    </row>
    <row r="666" spans="1:32">
      <c r="A666" s="161">
        <v>14</v>
      </c>
      <c r="B666" s="162">
        <v>0.83333333333333337</v>
      </c>
      <c r="C666" s="163">
        <v>11.019598449046734</v>
      </c>
      <c r="D666" s="163">
        <v>765.6998136708844</v>
      </c>
      <c r="E666" s="164">
        <v>0.92276666666666662</v>
      </c>
      <c r="F666" s="164">
        <v>0.92276666666666662</v>
      </c>
      <c r="G666" s="163">
        <v>10</v>
      </c>
      <c r="H666" s="163">
        <v>20.666666666666668</v>
      </c>
      <c r="I666" s="163">
        <v>10.666666666666668</v>
      </c>
      <c r="J666" s="163">
        <v>8</v>
      </c>
      <c r="K666" s="163">
        <v>8.1516869095816471</v>
      </c>
      <c r="L666" s="163">
        <v>0.1516869095816471</v>
      </c>
      <c r="M666" s="163">
        <v>9</v>
      </c>
      <c r="N666" s="163">
        <v>18.881691408007196</v>
      </c>
      <c r="O666" s="163">
        <v>9.881691408007196</v>
      </c>
      <c r="P666" s="163"/>
      <c r="Q666" s="163">
        <v>14</v>
      </c>
      <c r="R666" s="163">
        <v>0</v>
      </c>
      <c r="S666" s="163">
        <v>0</v>
      </c>
      <c r="T666" s="163">
        <v>0</v>
      </c>
      <c r="U666" s="163">
        <v>0</v>
      </c>
      <c r="V666" s="163">
        <v>0</v>
      </c>
      <c r="W666" s="163">
        <v>0</v>
      </c>
      <c r="X666" s="163">
        <v>0</v>
      </c>
      <c r="Y666" s="163">
        <v>14</v>
      </c>
      <c r="Z666" s="163">
        <v>14</v>
      </c>
      <c r="AA666" s="163">
        <v>0</v>
      </c>
      <c r="AB666" s="163">
        <v>0</v>
      </c>
      <c r="AC666" s="163">
        <v>12</v>
      </c>
      <c r="AD666" s="163">
        <v>2</v>
      </c>
      <c r="AE666" s="165">
        <v>0.41074877695605017</v>
      </c>
      <c r="AF666" s="166">
        <v>0.57504828773847028</v>
      </c>
    </row>
    <row r="667" spans="1:32">
      <c r="A667" s="161">
        <v>14</v>
      </c>
      <c r="B667" s="162">
        <v>0.85416666666666663</v>
      </c>
      <c r="C667" s="163">
        <v>10.232737041492344</v>
      </c>
      <c r="D667" s="163">
        <v>702.74899528367314</v>
      </c>
      <c r="E667" s="164">
        <v>0.82503333333333329</v>
      </c>
      <c r="F667" s="164">
        <v>0.82503333333333329</v>
      </c>
      <c r="G667" s="163">
        <v>9</v>
      </c>
      <c r="H667" s="163">
        <v>15.333333333333332</v>
      </c>
      <c r="I667" s="163">
        <v>6.3333333333333321</v>
      </c>
      <c r="J667" s="163">
        <v>7</v>
      </c>
      <c r="K667" s="163">
        <v>7.3365182186234819</v>
      </c>
      <c r="L667" s="163">
        <v>0.33651821862348186</v>
      </c>
      <c r="M667" s="163">
        <v>8</v>
      </c>
      <c r="N667" s="163">
        <v>14.008996851102113</v>
      </c>
      <c r="O667" s="163">
        <v>6.008996851102113</v>
      </c>
      <c r="P667" s="163"/>
      <c r="Q667" s="163">
        <v>10</v>
      </c>
      <c r="R667" s="163">
        <v>0</v>
      </c>
      <c r="S667" s="163">
        <v>0</v>
      </c>
      <c r="T667" s="163">
        <v>0</v>
      </c>
      <c r="U667" s="163">
        <v>0</v>
      </c>
      <c r="V667" s="163">
        <v>0</v>
      </c>
      <c r="W667" s="163">
        <v>0</v>
      </c>
      <c r="X667" s="163">
        <v>0</v>
      </c>
      <c r="Y667" s="163">
        <v>10</v>
      </c>
      <c r="Z667" s="163">
        <v>10</v>
      </c>
      <c r="AA667" s="163">
        <v>0</v>
      </c>
      <c r="AB667" s="163">
        <v>0</v>
      </c>
      <c r="AC667" s="163">
        <v>8</v>
      </c>
      <c r="AD667" s="163">
        <v>2</v>
      </c>
      <c r="AE667" s="165">
        <v>0.49008572326969529</v>
      </c>
      <c r="AF667" s="166">
        <v>0.54453969252188361</v>
      </c>
    </row>
    <row r="668" spans="1:32">
      <c r="A668" s="161">
        <v>14</v>
      </c>
      <c r="B668" s="162">
        <v>0.875</v>
      </c>
      <c r="C668" s="163">
        <v>9.2450180845588861</v>
      </c>
      <c r="D668" s="163">
        <v>709.57554657942615</v>
      </c>
      <c r="E668" s="164">
        <v>0.82750000000000001</v>
      </c>
      <c r="F668" s="164">
        <v>0.82750000000000001</v>
      </c>
      <c r="G668" s="163">
        <v>8</v>
      </c>
      <c r="H668" s="163">
        <v>13.333333333333332</v>
      </c>
      <c r="I668" s="163">
        <v>5.3333333333333321</v>
      </c>
      <c r="J668" s="163">
        <v>6</v>
      </c>
      <c r="K668" s="163">
        <v>6.5213495276653175</v>
      </c>
      <c r="L668" s="163">
        <v>0.5213495276653175</v>
      </c>
      <c r="M668" s="163">
        <v>7</v>
      </c>
      <c r="N668" s="163">
        <v>12.181736392262707</v>
      </c>
      <c r="O668" s="163">
        <v>5.1817363922627067</v>
      </c>
      <c r="P668" s="163"/>
      <c r="Q668" s="163">
        <v>8</v>
      </c>
      <c r="R668" s="163">
        <v>0</v>
      </c>
      <c r="S668" s="163">
        <v>0</v>
      </c>
      <c r="T668" s="163">
        <v>0</v>
      </c>
      <c r="U668" s="163">
        <v>0</v>
      </c>
      <c r="V668" s="163">
        <v>0</v>
      </c>
      <c r="W668" s="163">
        <v>0</v>
      </c>
      <c r="X668" s="163">
        <v>0</v>
      </c>
      <c r="Y668" s="163">
        <v>8</v>
      </c>
      <c r="Z668" s="163">
        <v>8</v>
      </c>
      <c r="AA668" s="163">
        <v>0</v>
      </c>
      <c r="AB668" s="163">
        <v>0</v>
      </c>
      <c r="AC668" s="163">
        <v>6</v>
      </c>
      <c r="AD668" s="163">
        <v>2</v>
      </c>
      <c r="AE668" s="165">
        <v>0.55885150191503086</v>
      </c>
      <c r="AF668" s="166">
        <v>0.55885150191503086</v>
      </c>
    </row>
    <row r="669" spans="1:32">
      <c r="A669" s="161">
        <v>14</v>
      </c>
      <c r="B669" s="162">
        <v>0.89583333333333337</v>
      </c>
      <c r="C669" s="163">
        <v>7.7090913820464415</v>
      </c>
      <c r="D669" s="163">
        <v>711.39954065210077</v>
      </c>
      <c r="E669" s="164">
        <v>0.91100000000000003</v>
      </c>
      <c r="F669" s="164">
        <v>0.91100000000000003</v>
      </c>
      <c r="G669" s="163">
        <v>8</v>
      </c>
      <c r="H669" s="163">
        <v>13.333333333333332</v>
      </c>
      <c r="I669" s="163">
        <v>5.3333333333333321</v>
      </c>
      <c r="J669" s="163">
        <v>6</v>
      </c>
      <c r="K669" s="163">
        <v>6.5213495276653175</v>
      </c>
      <c r="L669" s="163">
        <v>0.5213495276653175</v>
      </c>
      <c r="M669" s="163">
        <v>7</v>
      </c>
      <c r="N669" s="163">
        <v>12.181736392262707</v>
      </c>
      <c r="O669" s="163">
        <v>5.1817363922627067</v>
      </c>
      <c r="P669" s="163"/>
      <c r="Q669" s="163">
        <v>8</v>
      </c>
      <c r="R669" s="163">
        <v>0</v>
      </c>
      <c r="S669" s="163">
        <v>0</v>
      </c>
      <c r="T669" s="163">
        <v>0</v>
      </c>
      <c r="U669" s="163">
        <v>0</v>
      </c>
      <c r="V669" s="163">
        <v>0</v>
      </c>
      <c r="W669" s="163">
        <v>0</v>
      </c>
      <c r="X669" s="163">
        <v>0</v>
      </c>
      <c r="Y669" s="163">
        <v>8</v>
      </c>
      <c r="Z669" s="163">
        <v>8</v>
      </c>
      <c r="AA669" s="163">
        <v>0</v>
      </c>
      <c r="AB669" s="163">
        <v>0</v>
      </c>
      <c r="AC669" s="163">
        <v>6</v>
      </c>
      <c r="AD669" s="163">
        <v>2</v>
      </c>
      <c r="AE669" s="165">
        <v>0.46720425689390332</v>
      </c>
      <c r="AF669" s="166">
        <v>0.46720425689390332</v>
      </c>
    </row>
    <row r="670" spans="1:32">
      <c r="A670" s="161">
        <v>14</v>
      </c>
      <c r="B670" s="162">
        <v>0.91666666666666663</v>
      </c>
      <c r="C670" s="163">
        <v>4.440985985122337</v>
      </c>
      <c r="D670" s="163">
        <v>667.89622131187218</v>
      </c>
      <c r="E670" s="164">
        <v>0.94413333333333327</v>
      </c>
      <c r="F670" s="164">
        <v>0.94413333333333327</v>
      </c>
      <c r="G670" s="163">
        <v>5</v>
      </c>
      <c r="H670" s="163">
        <v>12</v>
      </c>
      <c r="I670" s="163">
        <v>7</v>
      </c>
      <c r="J670" s="163">
        <v>4</v>
      </c>
      <c r="K670" s="163">
        <v>4.0758434547908236</v>
      </c>
      <c r="L670" s="163">
        <v>7.584345479082355E-2</v>
      </c>
      <c r="M670" s="163">
        <v>5</v>
      </c>
      <c r="N670" s="163">
        <v>10.963562753036436</v>
      </c>
      <c r="O670" s="163">
        <v>5.9635627530364363</v>
      </c>
      <c r="P670" s="163"/>
      <c r="Q670" s="163">
        <v>8</v>
      </c>
      <c r="R670" s="163">
        <v>0</v>
      </c>
      <c r="S670" s="163">
        <v>0</v>
      </c>
      <c r="T670" s="163">
        <v>0</v>
      </c>
      <c r="U670" s="163">
        <v>0</v>
      </c>
      <c r="V670" s="163">
        <v>0</v>
      </c>
      <c r="W670" s="163">
        <v>0</v>
      </c>
      <c r="X670" s="163">
        <v>0</v>
      </c>
      <c r="Y670" s="163">
        <v>8</v>
      </c>
      <c r="Z670" s="163">
        <v>8</v>
      </c>
      <c r="AA670" s="163">
        <v>0</v>
      </c>
      <c r="AB670" s="163">
        <v>0</v>
      </c>
      <c r="AC670" s="163">
        <v>6</v>
      </c>
      <c r="AD670" s="163">
        <v>2</v>
      </c>
      <c r="AE670" s="165">
        <v>0.25268438566273932</v>
      </c>
      <c r="AF670" s="166">
        <v>0.40429501706038296</v>
      </c>
    </row>
    <row r="671" spans="1:32">
      <c r="A671" s="161">
        <v>14</v>
      </c>
      <c r="B671" s="162">
        <v>0.9375</v>
      </c>
      <c r="C671" s="163">
        <v>3.5497040950015544</v>
      </c>
      <c r="D671" s="163">
        <v>665.0052557926731</v>
      </c>
      <c r="E671" s="164">
        <v>0.92083333333333339</v>
      </c>
      <c r="F671" s="164">
        <v>0.92083333333333339</v>
      </c>
      <c r="G671" s="163">
        <v>4</v>
      </c>
      <c r="H671" s="163">
        <v>9.3333333333333339</v>
      </c>
      <c r="I671" s="163">
        <v>5.3333333333333339</v>
      </c>
      <c r="J671" s="163">
        <v>3</v>
      </c>
      <c r="K671" s="163">
        <v>3.2606747638326588</v>
      </c>
      <c r="L671" s="163">
        <v>0.26067476383265875</v>
      </c>
      <c r="M671" s="163">
        <v>4</v>
      </c>
      <c r="N671" s="163">
        <v>8.5272154745838957</v>
      </c>
      <c r="O671" s="163">
        <v>4.5272154745838957</v>
      </c>
      <c r="P671" s="163"/>
      <c r="Q671" s="163">
        <v>6</v>
      </c>
      <c r="R671" s="163">
        <v>0</v>
      </c>
      <c r="S671" s="163">
        <v>0</v>
      </c>
      <c r="T671" s="163">
        <v>0</v>
      </c>
      <c r="U671" s="163">
        <v>0</v>
      </c>
      <c r="V671" s="163">
        <v>0</v>
      </c>
      <c r="W671" s="163">
        <v>0</v>
      </c>
      <c r="X671" s="163">
        <v>0</v>
      </c>
      <c r="Y671" s="163">
        <v>6</v>
      </c>
      <c r="Z671" s="163">
        <v>6</v>
      </c>
      <c r="AA671" s="163">
        <v>0</v>
      </c>
      <c r="AB671" s="163">
        <v>0</v>
      </c>
      <c r="AC671" s="163">
        <v>4</v>
      </c>
      <c r="AD671" s="163">
        <v>2</v>
      </c>
      <c r="AE671" s="165">
        <v>0.26813035481560615</v>
      </c>
      <c r="AF671" s="166">
        <v>0.40219553222340931</v>
      </c>
    </row>
    <row r="672" spans="1:32">
      <c r="A672" s="161">
        <v>14</v>
      </c>
      <c r="B672" s="162">
        <v>0.95833333333333337</v>
      </c>
      <c r="C672" s="163">
        <v>2.609040792885029</v>
      </c>
      <c r="D672" s="163">
        <v>632.0068044997912</v>
      </c>
      <c r="E672" s="164">
        <v>0.93420000000000003</v>
      </c>
      <c r="F672" s="164">
        <v>0.93420000000000003</v>
      </c>
      <c r="G672" s="163">
        <v>4</v>
      </c>
      <c r="H672" s="163">
        <v>6.6666666666666661</v>
      </c>
      <c r="I672" s="163">
        <v>2.6666666666666661</v>
      </c>
      <c r="J672" s="163">
        <v>3</v>
      </c>
      <c r="K672" s="163">
        <v>3.2606747638326588</v>
      </c>
      <c r="L672" s="163">
        <v>0.26067476383265875</v>
      </c>
      <c r="M672" s="163">
        <v>4</v>
      </c>
      <c r="N672" s="163">
        <v>6.0908681961313533</v>
      </c>
      <c r="O672" s="163">
        <v>2.0908681961313533</v>
      </c>
      <c r="P672" s="163"/>
      <c r="Q672" s="163">
        <v>4</v>
      </c>
      <c r="R672" s="163">
        <v>0</v>
      </c>
      <c r="S672" s="163">
        <v>0</v>
      </c>
      <c r="T672" s="163">
        <v>0</v>
      </c>
      <c r="U672" s="163">
        <v>0</v>
      </c>
      <c r="V672" s="163">
        <v>0</v>
      </c>
      <c r="W672" s="163">
        <v>0</v>
      </c>
      <c r="X672" s="163">
        <v>0</v>
      </c>
      <c r="Y672" s="163">
        <v>4</v>
      </c>
      <c r="Z672" s="163">
        <v>4</v>
      </c>
      <c r="AA672" s="163">
        <v>0</v>
      </c>
      <c r="AB672" s="163">
        <v>0</v>
      </c>
      <c r="AC672" s="163">
        <v>4</v>
      </c>
      <c r="AD672" s="163">
        <v>0</v>
      </c>
      <c r="AE672" s="165">
        <v>0.28094585966799562</v>
      </c>
      <c r="AF672" s="166">
        <v>0.28094585966799562</v>
      </c>
    </row>
    <row r="673" spans="1:32">
      <c r="A673" s="161">
        <v>14</v>
      </c>
      <c r="B673" s="162">
        <v>0.97916666666666663</v>
      </c>
      <c r="C673" s="163">
        <v>1.9426524916112669</v>
      </c>
      <c r="D673" s="163">
        <v>631.88804875295978</v>
      </c>
      <c r="E673" s="164">
        <v>0.96889999999999998</v>
      </c>
      <c r="F673" s="164">
        <v>0.96889999999999998</v>
      </c>
      <c r="G673" s="163">
        <v>3</v>
      </c>
      <c r="H673" s="163">
        <v>6.6666666666666661</v>
      </c>
      <c r="I673" s="163">
        <v>3.6666666666666661</v>
      </c>
      <c r="J673" s="163">
        <v>2</v>
      </c>
      <c r="K673" s="163">
        <v>2.445506072874494</v>
      </c>
      <c r="L673" s="163">
        <v>0.44550607287449395</v>
      </c>
      <c r="M673" s="163">
        <v>3</v>
      </c>
      <c r="N673" s="163">
        <v>6.0908681961313533</v>
      </c>
      <c r="O673" s="163">
        <v>3.0908681961313533</v>
      </c>
      <c r="P673" s="163"/>
      <c r="Q673" s="163">
        <v>4</v>
      </c>
      <c r="R673" s="163">
        <v>0</v>
      </c>
      <c r="S673" s="163">
        <v>0</v>
      </c>
      <c r="T673" s="163">
        <v>0</v>
      </c>
      <c r="U673" s="163">
        <v>0</v>
      </c>
      <c r="V673" s="163">
        <v>0</v>
      </c>
      <c r="W673" s="163">
        <v>0</v>
      </c>
      <c r="X673" s="163">
        <v>0</v>
      </c>
      <c r="Y673" s="163">
        <v>4</v>
      </c>
      <c r="Z673" s="163">
        <v>4</v>
      </c>
      <c r="AA673" s="163">
        <v>0</v>
      </c>
      <c r="AB673" s="163">
        <v>0</v>
      </c>
      <c r="AC673" s="163">
        <v>4</v>
      </c>
      <c r="AD673" s="163">
        <v>0</v>
      </c>
      <c r="AE673" s="165">
        <v>0.20914875008646072</v>
      </c>
      <c r="AF673" s="166">
        <v>0.27886500011528093</v>
      </c>
    </row>
    <row r="674" spans="1:32">
      <c r="A674" s="161">
        <v>15</v>
      </c>
      <c r="B674" s="162">
        <v>0</v>
      </c>
      <c r="C674" s="163">
        <v>0.88324615265452389</v>
      </c>
      <c r="D674" s="163">
        <v>712.58877334242106</v>
      </c>
      <c r="E674" s="164">
        <v>0.69919999999999993</v>
      </c>
      <c r="F674" s="164">
        <v>0.69919999999999993</v>
      </c>
      <c r="G674" s="163">
        <v>3</v>
      </c>
      <c r="H674" s="163">
        <v>3.333333333333333</v>
      </c>
      <c r="I674" s="163">
        <v>0.33333333333333304</v>
      </c>
      <c r="J674" s="163">
        <v>2</v>
      </c>
      <c r="K674" s="163">
        <v>2.3242105263157895</v>
      </c>
      <c r="L674" s="163">
        <v>0.3242105263157895</v>
      </c>
      <c r="M674" s="163">
        <v>3</v>
      </c>
      <c r="N674" s="163">
        <v>2.9824561403508771</v>
      </c>
      <c r="O674" s="163">
        <v>-1.7543859649122862E-2</v>
      </c>
      <c r="P674" s="163"/>
      <c r="Q674" s="163">
        <v>2</v>
      </c>
      <c r="R674" s="163">
        <v>0</v>
      </c>
      <c r="S674" s="163">
        <v>0</v>
      </c>
      <c r="T674" s="163">
        <v>0</v>
      </c>
      <c r="U674" s="163">
        <v>0</v>
      </c>
      <c r="V674" s="163">
        <v>0</v>
      </c>
      <c r="W674" s="163">
        <v>0</v>
      </c>
      <c r="X674" s="163">
        <v>0</v>
      </c>
      <c r="Y674" s="163">
        <v>2</v>
      </c>
      <c r="Z674" s="163">
        <v>2</v>
      </c>
      <c r="AA674" s="163">
        <v>0</v>
      </c>
      <c r="AB674" s="163">
        <v>0</v>
      </c>
      <c r="AC674" s="163">
        <v>2</v>
      </c>
      <c r="AD674" s="163">
        <v>0</v>
      </c>
      <c r="AE674" s="165">
        <v>0.22566490332711539</v>
      </c>
      <c r="AF674" s="166">
        <v>0.1504432688847436</v>
      </c>
    </row>
    <row r="675" spans="1:32">
      <c r="A675" s="161">
        <v>15</v>
      </c>
      <c r="B675" s="162">
        <v>2.0833333333333332E-2</v>
      </c>
      <c r="C675" s="163">
        <v>0.61722573048769291</v>
      </c>
      <c r="D675" s="163">
        <v>647.65932452311245</v>
      </c>
      <c r="E675" s="164">
        <v>0.8024</v>
      </c>
      <c r="F675" s="164">
        <v>0.8024</v>
      </c>
      <c r="G675" s="163">
        <v>3</v>
      </c>
      <c r="H675" s="163">
        <v>3.333333333333333</v>
      </c>
      <c r="I675" s="163">
        <v>0.33333333333333304</v>
      </c>
      <c r="J675" s="163">
        <v>2</v>
      </c>
      <c r="K675" s="163">
        <v>2.3242105263157895</v>
      </c>
      <c r="L675" s="163">
        <v>0.3242105263157895</v>
      </c>
      <c r="M675" s="163">
        <v>3</v>
      </c>
      <c r="N675" s="163">
        <v>2.9824561403508771</v>
      </c>
      <c r="O675" s="163">
        <v>-1.7543859649122862E-2</v>
      </c>
      <c r="P675" s="163"/>
      <c r="Q675" s="163">
        <v>2</v>
      </c>
      <c r="R675" s="163">
        <v>0</v>
      </c>
      <c r="S675" s="163">
        <v>0</v>
      </c>
      <c r="T675" s="163">
        <v>0</v>
      </c>
      <c r="U675" s="163">
        <v>0</v>
      </c>
      <c r="V675" s="163">
        <v>0</v>
      </c>
      <c r="W675" s="163">
        <v>0</v>
      </c>
      <c r="X675" s="163">
        <v>0</v>
      </c>
      <c r="Y675" s="163">
        <v>2</v>
      </c>
      <c r="Z675" s="163">
        <v>2</v>
      </c>
      <c r="AA675" s="163">
        <v>0</v>
      </c>
      <c r="AB675" s="163">
        <v>0</v>
      </c>
      <c r="AC675" s="163">
        <v>2</v>
      </c>
      <c r="AD675" s="163">
        <v>0</v>
      </c>
      <c r="AE675" s="165">
        <v>0.14332895520140651</v>
      </c>
      <c r="AF675" s="166">
        <v>9.555263680093766E-2</v>
      </c>
    </row>
    <row r="676" spans="1:32">
      <c r="A676" s="161">
        <v>15</v>
      </c>
      <c r="B676" s="162">
        <v>4.1666666666666664E-2</v>
      </c>
      <c r="C676" s="163">
        <v>0.68368044495089064</v>
      </c>
      <c r="D676" s="163">
        <v>677.86224923461612</v>
      </c>
      <c r="E676" s="164">
        <v>0.77290000000000003</v>
      </c>
      <c r="F676" s="164">
        <v>0.77290000000000003</v>
      </c>
      <c r="G676" s="163">
        <v>3</v>
      </c>
      <c r="H676" s="163">
        <v>3.333333333333333</v>
      </c>
      <c r="I676" s="163">
        <v>0.33333333333333304</v>
      </c>
      <c r="J676" s="163">
        <v>2</v>
      </c>
      <c r="K676" s="163">
        <v>2.3242105263157895</v>
      </c>
      <c r="L676" s="163">
        <v>0.3242105263157895</v>
      </c>
      <c r="M676" s="163">
        <v>3</v>
      </c>
      <c r="N676" s="163">
        <v>2.9824561403508771</v>
      </c>
      <c r="O676" s="163">
        <v>-1.7543859649122862E-2</v>
      </c>
      <c r="P676" s="163"/>
      <c r="Q676" s="163">
        <v>2</v>
      </c>
      <c r="R676" s="163">
        <v>0</v>
      </c>
      <c r="S676" s="163">
        <v>0</v>
      </c>
      <c r="T676" s="163">
        <v>0</v>
      </c>
      <c r="U676" s="163">
        <v>0</v>
      </c>
      <c r="V676" s="163">
        <v>0</v>
      </c>
      <c r="W676" s="163">
        <v>0</v>
      </c>
      <c r="X676" s="163">
        <v>0</v>
      </c>
      <c r="Y676" s="163">
        <v>2</v>
      </c>
      <c r="Z676" s="163">
        <v>2</v>
      </c>
      <c r="AA676" s="163">
        <v>0</v>
      </c>
      <c r="AB676" s="163">
        <v>0</v>
      </c>
      <c r="AC676" s="163">
        <v>2</v>
      </c>
      <c r="AD676" s="163">
        <v>0</v>
      </c>
      <c r="AE676" s="165">
        <v>0.16616436668309448</v>
      </c>
      <c r="AF676" s="166">
        <v>0.11077624445539633</v>
      </c>
    </row>
    <row r="677" spans="1:32">
      <c r="A677" s="161">
        <v>15</v>
      </c>
      <c r="B677" s="162">
        <v>6.25E-2</v>
      </c>
      <c r="C677" s="163">
        <v>0.48759057819678708</v>
      </c>
      <c r="D677" s="163">
        <v>674.09064511506767</v>
      </c>
      <c r="E677" s="164">
        <v>0.83530000000000004</v>
      </c>
      <c r="F677" s="164">
        <v>0.83530000000000004</v>
      </c>
      <c r="G677" s="163">
        <v>2</v>
      </c>
      <c r="H677" s="163">
        <v>3.333333333333333</v>
      </c>
      <c r="I677" s="163">
        <v>1.333333333333333</v>
      </c>
      <c r="J677" s="163">
        <v>1</v>
      </c>
      <c r="K677" s="163">
        <v>1.5494736842105263</v>
      </c>
      <c r="L677" s="163">
        <v>0.54947368421052634</v>
      </c>
      <c r="M677" s="163">
        <v>2</v>
      </c>
      <c r="N677" s="163">
        <v>2.9824561403508771</v>
      </c>
      <c r="O677" s="163">
        <v>0.98245614035087714</v>
      </c>
      <c r="P677" s="163"/>
      <c r="Q677" s="163">
        <v>2</v>
      </c>
      <c r="R677" s="163">
        <v>0</v>
      </c>
      <c r="S677" s="163">
        <v>0</v>
      </c>
      <c r="T677" s="163">
        <v>0</v>
      </c>
      <c r="U677" s="163">
        <v>0</v>
      </c>
      <c r="V677" s="163">
        <v>0</v>
      </c>
      <c r="W677" s="163">
        <v>0</v>
      </c>
      <c r="X677" s="163">
        <v>0</v>
      </c>
      <c r="Y677" s="163">
        <v>2</v>
      </c>
      <c r="Z677" s="163">
        <v>2</v>
      </c>
      <c r="AA677" s="163">
        <v>0</v>
      </c>
      <c r="AB677" s="163">
        <v>0</v>
      </c>
      <c r="AC677" s="163">
        <v>2</v>
      </c>
      <c r="AD677" s="163">
        <v>0</v>
      </c>
      <c r="AE677" s="165">
        <v>0.11784655609837937</v>
      </c>
      <c r="AF677" s="166">
        <v>0.11784655609837937</v>
      </c>
    </row>
    <row r="678" spans="1:32">
      <c r="A678" s="161">
        <v>15</v>
      </c>
      <c r="B678" s="162">
        <v>8.3333333333333329E-2</v>
      </c>
      <c r="C678" s="163">
        <v>0.37546877200045503</v>
      </c>
      <c r="D678" s="163">
        <v>672.2167479244149</v>
      </c>
      <c r="E678" s="164">
        <v>0.87190000000000001</v>
      </c>
      <c r="F678" s="164">
        <v>0.87190000000000001</v>
      </c>
      <c r="G678" s="163">
        <v>2</v>
      </c>
      <c r="H678" s="163">
        <v>3.333333333333333</v>
      </c>
      <c r="I678" s="163">
        <v>1.333333333333333</v>
      </c>
      <c r="J678" s="163">
        <v>1</v>
      </c>
      <c r="K678" s="163">
        <v>1.5494736842105263</v>
      </c>
      <c r="L678" s="163">
        <v>0.54947368421052634</v>
      </c>
      <c r="M678" s="163">
        <v>2</v>
      </c>
      <c r="N678" s="163">
        <v>2.9824561403508771</v>
      </c>
      <c r="O678" s="163">
        <v>0.98245614035087714</v>
      </c>
      <c r="P678" s="163"/>
      <c r="Q678" s="163">
        <v>2</v>
      </c>
      <c r="R678" s="163">
        <v>0</v>
      </c>
      <c r="S678" s="163">
        <v>0</v>
      </c>
      <c r="T678" s="163">
        <v>0</v>
      </c>
      <c r="U678" s="163">
        <v>0</v>
      </c>
      <c r="V678" s="163">
        <v>0</v>
      </c>
      <c r="W678" s="163">
        <v>0</v>
      </c>
      <c r="X678" s="163">
        <v>0</v>
      </c>
      <c r="Y678" s="163">
        <v>2</v>
      </c>
      <c r="Z678" s="163">
        <v>2</v>
      </c>
      <c r="AA678" s="163">
        <v>0</v>
      </c>
      <c r="AB678" s="163">
        <v>0</v>
      </c>
      <c r="AC678" s="163">
        <v>2</v>
      </c>
      <c r="AD678" s="163">
        <v>0</v>
      </c>
      <c r="AE678" s="165">
        <v>9.0495386857734575E-2</v>
      </c>
      <c r="AF678" s="166">
        <v>9.0495386857734575E-2</v>
      </c>
    </row>
    <row r="679" spans="1:32">
      <c r="A679" s="161">
        <v>15</v>
      </c>
      <c r="B679" s="162">
        <v>0.10416666666666667</v>
      </c>
      <c r="C679" s="163">
        <v>0.31115532453863826</v>
      </c>
      <c r="D679" s="163">
        <v>634.06142256335863</v>
      </c>
      <c r="E679" s="164">
        <v>0.8992</v>
      </c>
      <c r="F679" s="164">
        <v>0.8992</v>
      </c>
      <c r="G679" s="163">
        <v>2</v>
      </c>
      <c r="H679" s="163">
        <v>3.333333333333333</v>
      </c>
      <c r="I679" s="163">
        <v>1.333333333333333</v>
      </c>
      <c r="J679" s="163">
        <v>1</v>
      </c>
      <c r="K679" s="163">
        <v>1.5494736842105263</v>
      </c>
      <c r="L679" s="163">
        <v>0.54947368421052634</v>
      </c>
      <c r="M679" s="163">
        <v>2</v>
      </c>
      <c r="N679" s="163">
        <v>2.9824561403508771</v>
      </c>
      <c r="O679" s="163">
        <v>0.98245614035087714</v>
      </c>
      <c r="P679" s="163"/>
      <c r="Q679" s="163">
        <v>2</v>
      </c>
      <c r="R679" s="163">
        <v>0</v>
      </c>
      <c r="S679" s="163">
        <v>0</v>
      </c>
      <c r="T679" s="163">
        <v>0</v>
      </c>
      <c r="U679" s="163">
        <v>0</v>
      </c>
      <c r="V679" s="163">
        <v>0</v>
      </c>
      <c r="W679" s="163">
        <v>0</v>
      </c>
      <c r="X679" s="163">
        <v>0</v>
      </c>
      <c r="Y679" s="163">
        <v>2</v>
      </c>
      <c r="Z679" s="163">
        <v>2</v>
      </c>
      <c r="AA679" s="163">
        <v>0</v>
      </c>
      <c r="AB679" s="163">
        <v>0</v>
      </c>
      <c r="AC679" s="163">
        <v>2</v>
      </c>
      <c r="AD679" s="163">
        <v>0</v>
      </c>
      <c r="AE679" s="165">
        <v>7.0737850365857446E-2</v>
      </c>
      <c r="AF679" s="166">
        <v>7.0737850365857446E-2</v>
      </c>
    </row>
    <row r="680" spans="1:32">
      <c r="A680" s="161">
        <v>15</v>
      </c>
      <c r="B680" s="162">
        <v>0.125</v>
      </c>
      <c r="C680" s="163">
        <v>0.23633056838558517</v>
      </c>
      <c r="D680" s="163">
        <v>636.86078173176156</v>
      </c>
      <c r="E680" s="164">
        <v>0.92249999999999999</v>
      </c>
      <c r="F680" s="164">
        <v>0.92249999999999999</v>
      </c>
      <c r="G680" s="163">
        <v>2</v>
      </c>
      <c r="H680" s="163">
        <v>3.333333333333333</v>
      </c>
      <c r="I680" s="163">
        <v>1.333333333333333</v>
      </c>
      <c r="J680" s="163">
        <v>1</v>
      </c>
      <c r="K680" s="163">
        <v>1.5494736842105263</v>
      </c>
      <c r="L680" s="163">
        <v>0.54947368421052634</v>
      </c>
      <c r="M680" s="163">
        <v>2</v>
      </c>
      <c r="N680" s="163">
        <v>2.9824561403508771</v>
      </c>
      <c r="O680" s="163">
        <v>0.98245614035087714</v>
      </c>
      <c r="P680" s="163"/>
      <c r="Q680" s="163">
        <v>2</v>
      </c>
      <c r="R680" s="163">
        <v>0</v>
      </c>
      <c r="S680" s="163">
        <v>0</v>
      </c>
      <c r="T680" s="163">
        <v>0</v>
      </c>
      <c r="U680" s="163">
        <v>0</v>
      </c>
      <c r="V680" s="163">
        <v>0</v>
      </c>
      <c r="W680" s="163">
        <v>0</v>
      </c>
      <c r="X680" s="163">
        <v>0</v>
      </c>
      <c r="Y680" s="163">
        <v>2</v>
      </c>
      <c r="Z680" s="163">
        <v>2</v>
      </c>
      <c r="AA680" s="163">
        <v>0</v>
      </c>
      <c r="AB680" s="163">
        <v>0</v>
      </c>
      <c r="AC680" s="163">
        <v>2</v>
      </c>
      <c r="AD680" s="163">
        <v>0</v>
      </c>
      <c r="AE680" s="165">
        <v>5.3964442558385242E-2</v>
      </c>
      <c r="AF680" s="166">
        <v>5.3964442558385242E-2</v>
      </c>
    </row>
    <row r="681" spans="1:32">
      <c r="A681" s="161">
        <v>15</v>
      </c>
      <c r="B681" s="162">
        <v>0.14583333333333334</v>
      </c>
      <c r="C681" s="163">
        <v>0.18693594094107974</v>
      </c>
      <c r="D681" s="163">
        <v>665.6177454612897</v>
      </c>
      <c r="E681" s="164">
        <v>0.93540000000000001</v>
      </c>
      <c r="F681" s="164">
        <v>0.93540000000000001</v>
      </c>
      <c r="G681" s="163">
        <v>2</v>
      </c>
      <c r="H681" s="163">
        <v>3.333333333333333</v>
      </c>
      <c r="I681" s="163">
        <v>1.333333333333333</v>
      </c>
      <c r="J681" s="163">
        <v>1</v>
      </c>
      <c r="K681" s="163">
        <v>1.5494736842105263</v>
      </c>
      <c r="L681" s="163">
        <v>0.54947368421052634</v>
      </c>
      <c r="M681" s="163">
        <v>2</v>
      </c>
      <c r="N681" s="163">
        <v>2.9824561403508771</v>
      </c>
      <c r="O681" s="163">
        <v>0.98245614035087714</v>
      </c>
      <c r="P681" s="163"/>
      <c r="Q681" s="163">
        <v>2</v>
      </c>
      <c r="R681" s="163">
        <v>0</v>
      </c>
      <c r="S681" s="163">
        <v>0</v>
      </c>
      <c r="T681" s="163">
        <v>0</v>
      </c>
      <c r="U681" s="163">
        <v>0</v>
      </c>
      <c r="V681" s="163">
        <v>0</v>
      </c>
      <c r="W681" s="163">
        <v>0</v>
      </c>
      <c r="X681" s="163">
        <v>0</v>
      </c>
      <c r="Y681" s="163">
        <v>2</v>
      </c>
      <c r="Z681" s="163">
        <v>2</v>
      </c>
      <c r="AA681" s="163">
        <v>0</v>
      </c>
      <c r="AB681" s="163">
        <v>0</v>
      </c>
      <c r="AC681" s="163">
        <v>2</v>
      </c>
      <c r="AD681" s="163">
        <v>0</v>
      </c>
      <c r="AE681" s="165">
        <v>4.4612955003450326E-2</v>
      </c>
      <c r="AF681" s="166">
        <v>4.4612955003450326E-2</v>
      </c>
    </row>
    <row r="682" spans="1:32">
      <c r="A682" s="161">
        <v>15</v>
      </c>
      <c r="B682" s="162">
        <v>0.16666666666666666</v>
      </c>
      <c r="C682" s="163">
        <v>0.22061507354384341</v>
      </c>
      <c r="D682" s="163">
        <v>627.80244537666613</v>
      </c>
      <c r="E682" s="164">
        <v>0.92849999999999999</v>
      </c>
      <c r="F682" s="164">
        <v>0.92849999999999999</v>
      </c>
      <c r="G682" s="163">
        <v>2</v>
      </c>
      <c r="H682" s="163">
        <v>3.333333333333333</v>
      </c>
      <c r="I682" s="163">
        <v>1.333333333333333</v>
      </c>
      <c r="J682" s="163">
        <v>1</v>
      </c>
      <c r="K682" s="163">
        <v>1.5494736842105263</v>
      </c>
      <c r="L682" s="163">
        <v>0.54947368421052634</v>
      </c>
      <c r="M682" s="163">
        <v>2</v>
      </c>
      <c r="N682" s="163">
        <v>2.9824561403508771</v>
      </c>
      <c r="O682" s="163">
        <v>0.98245614035087714</v>
      </c>
      <c r="P682" s="163"/>
      <c r="Q682" s="163">
        <v>2</v>
      </c>
      <c r="R682" s="163">
        <v>0</v>
      </c>
      <c r="S682" s="163">
        <v>0</v>
      </c>
      <c r="T682" s="163">
        <v>0</v>
      </c>
      <c r="U682" s="163">
        <v>0</v>
      </c>
      <c r="V682" s="163">
        <v>0</v>
      </c>
      <c r="W682" s="163">
        <v>0</v>
      </c>
      <c r="X682" s="163">
        <v>0</v>
      </c>
      <c r="Y682" s="163">
        <v>2</v>
      </c>
      <c r="Z682" s="163">
        <v>2</v>
      </c>
      <c r="AA682" s="163">
        <v>0</v>
      </c>
      <c r="AB682" s="163">
        <v>0</v>
      </c>
      <c r="AC682" s="163">
        <v>2</v>
      </c>
      <c r="AD682" s="163">
        <v>0</v>
      </c>
      <c r="AE682" s="165">
        <v>4.9659400862352446E-2</v>
      </c>
      <c r="AF682" s="166">
        <v>4.9659400862352446E-2</v>
      </c>
    </row>
    <row r="683" spans="1:32">
      <c r="A683" s="161">
        <v>15</v>
      </c>
      <c r="B683" s="162">
        <v>0.1875</v>
      </c>
      <c r="C683" s="163">
        <v>0.3310352829969368</v>
      </c>
      <c r="D683" s="163">
        <v>611.62167346681713</v>
      </c>
      <c r="E683" s="164">
        <v>0.89680000000000015</v>
      </c>
      <c r="F683" s="164">
        <v>0.89680000000000015</v>
      </c>
      <c r="G683" s="163">
        <v>2</v>
      </c>
      <c r="H683" s="163">
        <v>3.333333333333333</v>
      </c>
      <c r="I683" s="163">
        <v>1.333333333333333</v>
      </c>
      <c r="J683" s="163">
        <v>1</v>
      </c>
      <c r="K683" s="163">
        <v>1.5494736842105263</v>
      </c>
      <c r="L683" s="163">
        <v>0.54947368421052634</v>
      </c>
      <c r="M683" s="163">
        <v>2</v>
      </c>
      <c r="N683" s="163">
        <v>2.9824561403508771</v>
      </c>
      <c r="O683" s="163">
        <v>0.98245614035087714</v>
      </c>
      <c r="P683" s="163"/>
      <c r="Q683" s="163">
        <v>2</v>
      </c>
      <c r="R683" s="163">
        <v>0</v>
      </c>
      <c r="S683" s="163">
        <v>0</v>
      </c>
      <c r="T683" s="163">
        <v>0</v>
      </c>
      <c r="U683" s="163">
        <v>0</v>
      </c>
      <c r="V683" s="163">
        <v>0</v>
      </c>
      <c r="W683" s="163">
        <v>0</v>
      </c>
      <c r="X683" s="163">
        <v>0</v>
      </c>
      <c r="Y683" s="163">
        <v>2</v>
      </c>
      <c r="Z683" s="163">
        <v>2</v>
      </c>
      <c r="AA683" s="163">
        <v>0</v>
      </c>
      <c r="AB683" s="163">
        <v>0</v>
      </c>
      <c r="AC683" s="163">
        <v>2</v>
      </c>
      <c r="AD683" s="163">
        <v>0</v>
      </c>
      <c r="AE683" s="165">
        <v>7.2593952322988556E-2</v>
      </c>
      <c r="AF683" s="166">
        <v>7.2593952322988556E-2</v>
      </c>
    </row>
    <row r="684" spans="1:32">
      <c r="A684" s="161">
        <v>15</v>
      </c>
      <c r="B684" s="162">
        <v>0.20833333333333334</v>
      </c>
      <c r="C684" s="163">
        <v>0.60771834057781593</v>
      </c>
      <c r="D684" s="163">
        <v>661.56317964045036</v>
      </c>
      <c r="E684" s="164">
        <v>0.80110000000000003</v>
      </c>
      <c r="F684" s="164">
        <v>0.80110000000000003</v>
      </c>
      <c r="G684" s="163">
        <v>3</v>
      </c>
      <c r="H684" s="163">
        <v>3.333333333333333</v>
      </c>
      <c r="I684" s="163">
        <v>0.33333333333333304</v>
      </c>
      <c r="J684" s="163">
        <v>2</v>
      </c>
      <c r="K684" s="163">
        <v>2.3242105263157895</v>
      </c>
      <c r="L684" s="163">
        <v>0.3242105263157895</v>
      </c>
      <c r="M684" s="163">
        <v>3</v>
      </c>
      <c r="N684" s="163">
        <v>2.9824561403508771</v>
      </c>
      <c r="O684" s="163">
        <v>-1.7543859649122862E-2</v>
      </c>
      <c r="P684" s="163"/>
      <c r="Q684" s="163">
        <v>2</v>
      </c>
      <c r="R684" s="163">
        <v>0</v>
      </c>
      <c r="S684" s="163">
        <v>0</v>
      </c>
      <c r="T684" s="163">
        <v>0</v>
      </c>
      <c r="U684" s="163">
        <v>0</v>
      </c>
      <c r="V684" s="163">
        <v>0</v>
      </c>
      <c r="W684" s="163">
        <v>0</v>
      </c>
      <c r="X684" s="163">
        <v>0</v>
      </c>
      <c r="Y684" s="163">
        <v>2</v>
      </c>
      <c r="Z684" s="163">
        <v>2</v>
      </c>
      <c r="AA684" s="163">
        <v>0</v>
      </c>
      <c r="AB684" s="163">
        <v>0</v>
      </c>
      <c r="AC684" s="163">
        <v>2</v>
      </c>
      <c r="AD684" s="163">
        <v>0</v>
      </c>
      <c r="AE684" s="165">
        <v>0.14415076759984682</v>
      </c>
      <c r="AF684" s="166">
        <v>9.6100511733231211E-2</v>
      </c>
    </row>
    <row r="685" spans="1:32">
      <c r="A685" s="161">
        <v>15</v>
      </c>
      <c r="B685" s="162">
        <v>0.22916666666666666</v>
      </c>
      <c r="C685" s="163">
        <v>1.0516774152996673</v>
      </c>
      <c r="D685" s="163">
        <v>683.13466613333037</v>
      </c>
      <c r="E685" s="164">
        <v>0.66200000000000003</v>
      </c>
      <c r="F685" s="164">
        <v>0.66200000000000003</v>
      </c>
      <c r="G685" s="163">
        <v>3</v>
      </c>
      <c r="H685" s="163">
        <v>3.333333333333333</v>
      </c>
      <c r="I685" s="163">
        <v>0.33333333333333304</v>
      </c>
      <c r="J685" s="163">
        <v>2</v>
      </c>
      <c r="K685" s="163">
        <v>2.3242105263157895</v>
      </c>
      <c r="L685" s="163">
        <v>0.3242105263157895</v>
      </c>
      <c r="M685" s="163">
        <v>3</v>
      </c>
      <c r="N685" s="163">
        <v>2.9824561403508771</v>
      </c>
      <c r="O685" s="163">
        <v>-1.7543859649122862E-2</v>
      </c>
      <c r="P685" s="163"/>
      <c r="Q685" s="163">
        <v>2</v>
      </c>
      <c r="R685" s="163">
        <v>0</v>
      </c>
      <c r="S685" s="163">
        <v>0</v>
      </c>
      <c r="T685" s="163">
        <v>0</v>
      </c>
      <c r="U685" s="163">
        <v>0</v>
      </c>
      <c r="V685" s="163">
        <v>0</v>
      </c>
      <c r="W685" s="163">
        <v>0</v>
      </c>
      <c r="X685" s="163">
        <v>0</v>
      </c>
      <c r="Y685" s="163">
        <v>2</v>
      </c>
      <c r="Z685" s="163">
        <v>2</v>
      </c>
      <c r="AA685" s="163">
        <v>0</v>
      </c>
      <c r="AB685" s="163">
        <v>0</v>
      </c>
      <c r="AC685" s="163">
        <v>2</v>
      </c>
      <c r="AD685" s="163">
        <v>0</v>
      </c>
      <c r="AE685" s="165">
        <v>0.25759187612532719</v>
      </c>
      <c r="AF685" s="166">
        <v>0.17172791741688478</v>
      </c>
    </row>
    <row r="686" spans="1:32">
      <c r="A686" s="161">
        <v>15</v>
      </c>
      <c r="B686" s="162">
        <v>0.25</v>
      </c>
      <c r="C686" s="163">
        <v>1.5867268276617903</v>
      </c>
      <c r="D686" s="163">
        <v>785.24622225550456</v>
      </c>
      <c r="E686" s="164">
        <v>0.45619999999999999</v>
      </c>
      <c r="F686" s="164">
        <v>0.45619999999999999</v>
      </c>
      <c r="G686" s="163">
        <v>3</v>
      </c>
      <c r="H686" s="163">
        <v>3.333333333333333</v>
      </c>
      <c r="I686" s="163">
        <v>0.33333333333333304</v>
      </c>
      <c r="J686" s="163">
        <v>2</v>
      </c>
      <c r="K686" s="163">
        <v>2.3242105263157895</v>
      </c>
      <c r="L686" s="163">
        <v>0.3242105263157895</v>
      </c>
      <c r="M686" s="163">
        <v>3</v>
      </c>
      <c r="N686" s="163">
        <v>2.9824561403508771</v>
      </c>
      <c r="O686" s="163">
        <v>-1.7543859649122862E-2</v>
      </c>
      <c r="P686" s="163"/>
      <c r="Q686" s="163">
        <v>2</v>
      </c>
      <c r="R686" s="163">
        <v>0</v>
      </c>
      <c r="S686" s="163">
        <v>0</v>
      </c>
      <c r="T686" s="163">
        <v>0</v>
      </c>
      <c r="U686" s="163">
        <v>0</v>
      </c>
      <c r="V686" s="163">
        <v>0</v>
      </c>
      <c r="W686" s="163">
        <v>0</v>
      </c>
      <c r="X686" s="163">
        <v>0</v>
      </c>
      <c r="Y686" s="163">
        <v>2</v>
      </c>
      <c r="Z686" s="163">
        <v>2</v>
      </c>
      <c r="AA686" s="163">
        <v>0</v>
      </c>
      <c r="AB686" s="163">
        <v>0</v>
      </c>
      <c r="AC686" s="163">
        <v>2</v>
      </c>
      <c r="AD686" s="163">
        <v>0</v>
      </c>
      <c r="AE686" s="165">
        <v>0.44673636957059087</v>
      </c>
      <c r="AF686" s="166">
        <v>0.2978242463803939</v>
      </c>
    </row>
    <row r="687" spans="1:32">
      <c r="A687" s="161">
        <v>15</v>
      </c>
      <c r="B687" s="162">
        <v>0.27083333333333331</v>
      </c>
      <c r="C687" s="163">
        <v>2.3503191166482731</v>
      </c>
      <c r="D687" s="163">
        <v>772.81558736083844</v>
      </c>
      <c r="E687" s="164">
        <v>0.2671</v>
      </c>
      <c r="F687" s="164">
        <v>0.2671</v>
      </c>
      <c r="G687" s="163">
        <v>4</v>
      </c>
      <c r="H687" s="163">
        <v>3.333333333333333</v>
      </c>
      <c r="I687" s="163">
        <v>-0.66666666666666696</v>
      </c>
      <c r="J687" s="163">
        <v>3</v>
      </c>
      <c r="K687" s="163">
        <v>3.0989473684210527</v>
      </c>
      <c r="L687" s="163">
        <v>9.8947368421052673E-2</v>
      </c>
      <c r="M687" s="163">
        <v>4</v>
      </c>
      <c r="N687" s="163">
        <v>2.9824561403508771</v>
      </c>
      <c r="O687" s="163">
        <v>-1.0175438596491229</v>
      </c>
      <c r="P687" s="163"/>
      <c r="Q687" s="163">
        <v>2</v>
      </c>
      <c r="R687" s="163">
        <v>0</v>
      </c>
      <c r="S687" s="163">
        <v>0</v>
      </c>
      <c r="T687" s="163">
        <v>0</v>
      </c>
      <c r="U687" s="163">
        <v>0</v>
      </c>
      <c r="V687" s="163">
        <v>0</v>
      </c>
      <c r="W687" s="163">
        <v>0</v>
      </c>
      <c r="X687" s="163">
        <v>0</v>
      </c>
      <c r="Y687" s="163">
        <v>2</v>
      </c>
      <c r="Z687" s="163">
        <v>2</v>
      </c>
      <c r="AA687" s="163">
        <v>0</v>
      </c>
      <c r="AB687" s="163">
        <v>0</v>
      </c>
      <c r="AC687" s="163">
        <v>2</v>
      </c>
      <c r="AD687" s="163">
        <v>0</v>
      </c>
      <c r="AE687" s="165">
        <v>0.65124739062011061</v>
      </c>
      <c r="AF687" s="166">
        <v>0.32562369531005531</v>
      </c>
    </row>
    <row r="688" spans="1:32">
      <c r="A688" s="161">
        <v>15</v>
      </c>
      <c r="B688" s="162">
        <v>0.29166666666666669</v>
      </c>
      <c r="C688" s="163">
        <v>3.2758679085919766</v>
      </c>
      <c r="D688" s="163">
        <v>782.99171821522168</v>
      </c>
      <c r="E688" s="164">
        <v>5.6399999999999999E-2</v>
      </c>
      <c r="F688" s="164">
        <v>5.6399999999999999E-2</v>
      </c>
      <c r="G688" s="163">
        <v>6</v>
      </c>
      <c r="H688" s="163">
        <v>3.333333333333333</v>
      </c>
      <c r="I688" s="163">
        <v>-2.666666666666667</v>
      </c>
      <c r="J688" s="163">
        <v>4</v>
      </c>
      <c r="K688" s="163">
        <v>4.648421052631579</v>
      </c>
      <c r="L688" s="163">
        <v>0.64842105263157901</v>
      </c>
      <c r="M688" s="163">
        <v>5</v>
      </c>
      <c r="N688" s="163">
        <v>2.9824561403508771</v>
      </c>
      <c r="O688" s="163">
        <v>-2.0175438596491229</v>
      </c>
      <c r="P688" s="163"/>
      <c r="Q688" s="163">
        <v>2</v>
      </c>
      <c r="R688" s="163">
        <v>0</v>
      </c>
      <c r="S688" s="163">
        <v>0</v>
      </c>
      <c r="T688" s="163">
        <v>0</v>
      </c>
      <c r="U688" s="163">
        <v>0</v>
      </c>
      <c r="V688" s="163">
        <v>0</v>
      </c>
      <c r="W688" s="163">
        <v>0</v>
      </c>
      <c r="X688" s="163">
        <v>0</v>
      </c>
      <c r="Y688" s="163">
        <v>2</v>
      </c>
      <c r="Z688" s="163">
        <v>2</v>
      </c>
      <c r="AA688" s="163">
        <v>0</v>
      </c>
      <c r="AB688" s="163">
        <v>0</v>
      </c>
      <c r="AC688" s="163">
        <v>2</v>
      </c>
      <c r="AD688" s="163">
        <v>0</v>
      </c>
      <c r="AE688" s="165">
        <v>0.91965903165564966</v>
      </c>
      <c r="AF688" s="166">
        <v>0.30655301055188322</v>
      </c>
    </row>
    <row r="689" spans="1:32">
      <c r="A689" s="161">
        <v>15</v>
      </c>
      <c r="B689" s="162">
        <v>0.3125</v>
      </c>
      <c r="C689" s="163">
        <v>4.1637595045149158</v>
      </c>
      <c r="D689" s="163">
        <v>792.79177416483503</v>
      </c>
      <c r="E689" s="164">
        <v>0.6532</v>
      </c>
      <c r="F689" s="164">
        <v>0.6532</v>
      </c>
      <c r="G689" s="163">
        <v>6</v>
      </c>
      <c r="H689" s="163">
        <v>6.6666666666666661</v>
      </c>
      <c r="I689" s="163">
        <v>0.66666666666666607</v>
      </c>
      <c r="J689" s="163">
        <v>4</v>
      </c>
      <c r="K689" s="163">
        <v>4.648421052631579</v>
      </c>
      <c r="L689" s="163">
        <v>0.64842105263157901</v>
      </c>
      <c r="M689" s="163">
        <v>5</v>
      </c>
      <c r="N689" s="163">
        <v>5.9649122807017543</v>
      </c>
      <c r="O689" s="163">
        <v>0.96491228070175428</v>
      </c>
      <c r="P689" s="163"/>
      <c r="Q689" s="163">
        <v>4</v>
      </c>
      <c r="R689" s="163">
        <v>0</v>
      </c>
      <c r="S689" s="163">
        <v>0</v>
      </c>
      <c r="T689" s="163">
        <v>0</v>
      </c>
      <c r="U689" s="163">
        <v>0</v>
      </c>
      <c r="V689" s="163">
        <v>0</v>
      </c>
      <c r="W689" s="163">
        <v>0</v>
      </c>
      <c r="X689" s="163">
        <v>0</v>
      </c>
      <c r="Y689" s="163">
        <v>4</v>
      </c>
      <c r="Z689" s="163">
        <v>4</v>
      </c>
      <c r="AA689" s="163">
        <v>0</v>
      </c>
      <c r="AB689" s="163">
        <v>0</v>
      </c>
      <c r="AC689" s="163">
        <v>4</v>
      </c>
      <c r="AD689" s="163">
        <v>0</v>
      </c>
      <c r="AE689" s="165">
        <v>0.59177697964618636</v>
      </c>
      <c r="AF689" s="166">
        <v>0.39451798643079095</v>
      </c>
    </row>
    <row r="690" spans="1:32">
      <c r="A690" s="161">
        <v>15</v>
      </c>
      <c r="B690" s="162">
        <v>0.33333333333333331</v>
      </c>
      <c r="C690" s="163">
        <v>5.0437409997045135</v>
      </c>
      <c r="D690" s="163">
        <v>794.74836197905813</v>
      </c>
      <c r="E690" s="164">
        <v>0.8054</v>
      </c>
      <c r="F690" s="164">
        <v>0.8054</v>
      </c>
      <c r="G690" s="163">
        <v>7</v>
      </c>
      <c r="H690" s="163">
        <v>10</v>
      </c>
      <c r="I690" s="163">
        <v>3</v>
      </c>
      <c r="J690" s="163">
        <v>5</v>
      </c>
      <c r="K690" s="163">
        <v>5.4231578947368426</v>
      </c>
      <c r="L690" s="163">
        <v>0.42315789473684262</v>
      </c>
      <c r="M690" s="163">
        <v>6</v>
      </c>
      <c r="N690" s="163">
        <v>8.9473684210526319</v>
      </c>
      <c r="O690" s="163">
        <v>2.9473684210526319</v>
      </c>
      <c r="P690" s="163"/>
      <c r="Q690" s="163">
        <v>6</v>
      </c>
      <c r="R690" s="163">
        <v>0</v>
      </c>
      <c r="S690" s="163">
        <v>0</v>
      </c>
      <c r="T690" s="163">
        <v>0</v>
      </c>
      <c r="U690" s="163">
        <v>0</v>
      </c>
      <c r="V690" s="163">
        <v>0</v>
      </c>
      <c r="W690" s="163">
        <v>0</v>
      </c>
      <c r="X690" s="163">
        <v>0</v>
      </c>
      <c r="Y690" s="163">
        <v>6</v>
      </c>
      <c r="Z690" s="163">
        <v>6</v>
      </c>
      <c r="AA690" s="163">
        <v>0</v>
      </c>
      <c r="AB690" s="163">
        <v>0</v>
      </c>
      <c r="AC690" s="163">
        <v>6</v>
      </c>
      <c r="AD690" s="163">
        <v>0</v>
      </c>
      <c r="AE690" s="165">
        <v>0.4790760432862432</v>
      </c>
      <c r="AF690" s="166">
        <v>0.41063660853106559</v>
      </c>
    </row>
    <row r="691" spans="1:32">
      <c r="A691" s="161">
        <v>15</v>
      </c>
      <c r="B691" s="162">
        <v>0.35416666666666669</v>
      </c>
      <c r="C691" s="163">
        <v>5.9198774618565375</v>
      </c>
      <c r="D691" s="163">
        <v>794.59676459383877</v>
      </c>
      <c r="E691" s="164">
        <v>0.70789999999999997</v>
      </c>
      <c r="F691" s="164">
        <v>0.70789999999999997</v>
      </c>
      <c r="G691" s="163">
        <v>7</v>
      </c>
      <c r="H691" s="163">
        <v>10</v>
      </c>
      <c r="I691" s="163">
        <v>3</v>
      </c>
      <c r="J691" s="163">
        <v>5</v>
      </c>
      <c r="K691" s="163">
        <v>5.4231578947368426</v>
      </c>
      <c r="L691" s="163">
        <v>0.42315789473684262</v>
      </c>
      <c r="M691" s="163">
        <v>6</v>
      </c>
      <c r="N691" s="163">
        <v>8.9473684210526319</v>
      </c>
      <c r="O691" s="163">
        <v>2.9473684210526319</v>
      </c>
      <c r="P691" s="163"/>
      <c r="Q691" s="163">
        <v>6</v>
      </c>
      <c r="R691" s="163">
        <v>0</v>
      </c>
      <c r="S691" s="163">
        <v>0</v>
      </c>
      <c r="T691" s="163">
        <v>0</v>
      </c>
      <c r="U691" s="163">
        <v>0</v>
      </c>
      <c r="V691" s="163">
        <v>0</v>
      </c>
      <c r="W691" s="163">
        <v>0</v>
      </c>
      <c r="X691" s="163">
        <v>0</v>
      </c>
      <c r="Y691" s="163">
        <v>6</v>
      </c>
      <c r="Z691" s="163">
        <v>6</v>
      </c>
      <c r="AA691" s="163">
        <v>0</v>
      </c>
      <c r="AB691" s="163">
        <v>0</v>
      </c>
      <c r="AC691" s="163">
        <v>6</v>
      </c>
      <c r="AD691" s="163">
        <v>0</v>
      </c>
      <c r="AE691" s="165">
        <v>0.56218796599285814</v>
      </c>
      <c r="AF691" s="166">
        <v>0.48187539942244983</v>
      </c>
    </row>
    <row r="692" spans="1:32">
      <c r="A692" s="161">
        <v>15</v>
      </c>
      <c r="B692" s="162">
        <v>0.375</v>
      </c>
      <c r="C692" s="163">
        <v>6.534687985526654</v>
      </c>
      <c r="D692" s="163">
        <v>789.90503286542162</v>
      </c>
      <c r="E692" s="164">
        <v>0.63500000000000001</v>
      </c>
      <c r="F692" s="164">
        <v>0.63500000000000001</v>
      </c>
      <c r="G692" s="163">
        <v>7</v>
      </c>
      <c r="H692" s="163">
        <v>10</v>
      </c>
      <c r="I692" s="163">
        <v>3</v>
      </c>
      <c r="J692" s="163">
        <v>5</v>
      </c>
      <c r="K692" s="163">
        <v>5.4231578947368426</v>
      </c>
      <c r="L692" s="163">
        <v>0.42315789473684262</v>
      </c>
      <c r="M692" s="163">
        <v>6</v>
      </c>
      <c r="N692" s="163">
        <v>8.9473684210526319</v>
      </c>
      <c r="O692" s="163">
        <v>2.9473684210526319</v>
      </c>
      <c r="P692" s="163"/>
      <c r="Q692" s="163">
        <v>6</v>
      </c>
      <c r="R692" s="163">
        <v>0</v>
      </c>
      <c r="S692" s="163">
        <v>0</v>
      </c>
      <c r="T692" s="163">
        <v>0</v>
      </c>
      <c r="U692" s="163">
        <v>0</v>
      </c>
      <c r="V692" s="163">
        <v>0</v>
      </c>
      <c r="W692" s="163">
        <v>0</v>
      </c>
      <c r="X692" s="163">
        <v>0</v>
      </c>
      <c r="Y692" s="163">
        <v>6</v>
      </c>
      <c r="Z692" s="163">
        <v>6</v>
      </c>
      <c r="AA692" s="163">
        <v>0</v>
      </c>
      <c r="AB692" s="163">
        <v>0</v>
      </c>
      <c r="AC692" s="163">
        <v>6</v>
      </c>
      <c r="AD692" s="163">
        <v>0</v>
      </c>
      <c r="AE692" s="165">
        <v>0.61690994635342078</v>
      </c>
      <c r="AF692" s="166">
        <v>0.52877995401721778</v>
      </c>
    </row>
    <row r="693" spans="1:32">
      <c r="A693" s="161">
        <v>15</v>
      </c>
      <c r="B693" s="162">
        <v>0.39583333333333331</v>
      </c>
      <c r="C693" s="163">
        <v>7.0240583135708619</v>
      </c>
      <c r="D693" s="163">
        <v>863.39786323101691</v>
      </c>
      <c r="E693" s="164">
        <v>0.86039999999999994</v>
      </c>
      <c r="F693" s="164">
        <v>0.86039999999999994</v>
      </c>
      <c r="G693" s="163">
        <v>8</v>
      </c>
      <c r="H693" s="163">
        <v>13.333333333333332</v>
      </c>
      <c r="I693" s="163">
        <v>5.3333333333333321</v>
      </c>
      <c r="J693" s="163">
        <v>6</v>
      </c>
      <c r="K693" s="163">
        <v>6.1978947368421053</v>
      </c>
      <c r="L693" s="163">
        <v>0.19789473684210535</v>
      </c>
      <c r="M693" s="163">
        <v>7</v>
      </c>
      <c r="N693" s="163">
        <v>11.929824561403509</v>
      </c>
      <c r="O693" s="163">
        <v>4.9298245614035086</v>
      </c>
      <c r="P693" s="163"/>
      <c r="Q693" s="163">
        <v>8</v>
      </c>
      <c r="R693" s="163">
        <v>0</v>
      </c>
      <c r="S693" s="163">
        <v>0</v>
      </c>
      <c r="T693" s="163">
        <v>0</v>
      </c>
      <c r="U693" s="163">
        <v>0</v>
      </c>
      <c r="V693" s="163">
        <v>0</v>
      </c>
      <c r="W693" s="163">
        <v>0</v>
      </c>
      <c r="X693" s="163">
        <v>0</v>
      </c>
      <c r="Y693" s="163">
        <v>8</v>
      </c>
      <c r="Z693" s="163">
        <v>8</v>
      </c>
      <c r="AA693" s="163">
        <v>0</v>
      </c>
      <c r="AB693" s="163">
        <v>0</v>
      </c>
      <c r="AC693" s="163">
        <v>8</v>
      </c>
      <c r="AD693" s="163">
        <v>0</v>
      </c>
      <c r="AE693" s="165">
        <v>0.54360366585425957</v>
      </c>
      <c r="AF693" s="166">
        <v>0.54360366585425957</v>
      </c>
    </row>
    <row r="694" spans="1:32">
      <c r="A694" s="161">
        <v>15</v>
      </c>
      <c r="B694" s="162">
        <v>0.41666666666666669</v>
      </c>
      <c r="C694" s="163">
        <v>7.3751532936059938</v>
      </c>
      <c r="D694" s="163">
        <v>778.51829939707079</v>
      </c>
      <c r="E694" s="164">
        <v>0.88739999999999997</v>
      </c>
      <c r="F694" s="164">
        <v>0.88739999999999997</v>
      </c>
      <c r="G694" s="163">
        <v>8</v>
      </c>
      <c r="H694" s="163">
        <v>13.333333333333332</v>
      </c>
      <c r="I694" s="163">
        <v>5.3333333333333321</v>
      </c>
      <c r="J694" s="163">
        <v>6</v>
      </c>
      <c r="K694" s="163">
        <v>6.1978947368421053</v>
      </c>
      <c r="L694" s="163">
        <v>0.19789473684210535</v>
      </c>
      <c r="M694" s="163">
        <v>7</v>
      </c>
      <c r="N694" s="163">
        <v>11.929824561403509</v>
      </c>
      <c r="O694" s="163">
        <v>4.9298245614035086</v>
      </c>
      <c r="P694" s="163"/>
      <c r="Q694" s="163">
        <v>8</v>
      </c>
      <c r="R694" s="163">
        <v>0</v>
      </c>
      <c r="S694" s="163">
        <v>0</v>
      </c>
      <c r="T694" s="163">
        <v>0</v>
      </c>
      <c r="U694" s="163">
        <v>0</v>
      </c>
      <c r="V694" s="163">
        <v>0</v>
      </c>
      <c r="W694" s="163">
        <v>0</v>
      </c>
      <c r="X694" s="163">
        <v>0</v>
      </c>
      <c r="Y694" s="163">
        <v>8</v>
      </c>
      <c r="Z694" s="163">
        <v>8</v>
      </c>
      <c r="AA694" s="163">
        <v>0</v>
      </c>
      <c r="AB694" s="163">
        <v>0</v>
      </c>
      <c r="AC694" s="163">
        <v>8</v>
      </c>
      <c r="AD694" s="163">
        <v>0</v>
      </c>
      <c r="AE694" s="165">
        <v>0.51466327086487595</v>
      </c>
      <c r="AF694" s="166">
        <v>0.51466327086487595</v>
      </c>
    </row>
    <row r="695" spans="1:32">
      <c r="A695" s="161">
        <v>15</v>
      </c>
      <c r="B695" s="162">
        <v>0.4375</v>
      </c>
      <c r="C695" s="163">
        <v>7.6480996832125552</v>
      </c>
      <c r="D695" s="163">
        <v>771.44290156229852</v>
      </c>
      <c r="E695" s="164">
        <v>0.8751000000000001</v>
      </c>
      <c r="F695" s="164">
        <v>0.8751000000000001</v>
      </c>
      <c r="G695" s="163">
        <v>8</v>
      </c>
      <c r="H695" s="163">
        <v>13.333333333333332</v>
      </c>
      <c r="I695" s="163">
        <v>5.3333333333333321</v>
      </c>
      <c r="J695" s="163">
        <v>6</v>
      </c>
      <c r="K695" s="163">
        <v>6.1978947368421053</v>
      </c>
      <c r="L695" s="163">
        <v>0.19789473684210535</v>
      </c>
      <c r="M695" s="163">
        <v>7</v>
      </c>
      <c r="N695" s="163">
        <v>11.929824561403509</v>
      </c>
      <c r="O695" s="163">
        <v>4.9298245614035086</v>
      </c>
      <c r="P695" s="163"/>
      <c r="Q695" s="163">
        <v>8</v>
      </c>
      <c r="R695" s="163">
        <v>0</v>
      </c>
      <c r="S695" s="163">
        <v>0</v>
      </c>
      <c r="T695" s="163">
        <v>0</v>
      </c>
      <c r="U695" s="163">
        <v>0</v>
      </c>
      <c r="V695" s="163">
        <v>0</v>
      </c>
      <c r="W695" s="163">
        <v>0</v>
      </c>
      <c r="X695" s="163">
        <v>0</v>
      </c>
      <c r="Y695" s="163">
        <v>8</v>
      </c>
      <c r="Z695" s="163">
        <v>8</v>
      </c>
      <c r="AA695" s="163">
        <v>0</v>
      </c>
      <c r="AB695" s="163">
        <v>0</v>
      </c>
      <c r="AC695" s="163">
        <v>8</v>
      </c>
      <c r="AD695" s="163">
        <v>0</v>
      </c>
      <c r="AE695" s="165">
        <v>0.52885988455827571</v>
      </c>
      <c r="AF695" s="166">
        <v>0.52885988455827571</v>
      </c>
    </row>
    <row r="696" spans="1:32">
      <c r="A696" s="161">
        <v>15</v>
      </c>
      <c r="B696" s="162">
        <v>0.45833333333333331</v>
      </c>
      <c r="C696" s="163">
        <v>7.4786564035213852</v>
      </c>
      <c r="D696" s="163">
        <v>763.14133966137979</v>
      </c>
      <c r="E696" s="164">
        <v>0.8901</v>
      </c>
      <c r="F696" s="164">
        <v>0.8901</v>
      </c>
      <c r="G696" s="163">
        <v>8</v>
      </c>
      <c r="H696" s="163">
        <v>13.333333333333332</v>
      </c>
      <c r="I696" s="163">
        <v>5.3333333333333321</v>
      </c>
      <c r="J696" s="163">
        <v>6</v>
      </c>
      <c r="K696" s="163">
        <v>6.1978947368421053</v>
      </c>
      <c r="L696" s="163">
        <v>0.19789473684210535</v>
      </c>
      <c r="M696" s="163">
        <v>7</v>
      </c>
      <c r="N696" s="163">
        <v>11.929824561403509</v>
      </c>
      <c r="O696" s="163">
        <v>4.9298245614035086</v>
      </c>
      <c r="P696" s="163"/>
      <c r="Q696" s="163">
        <v>8</v>
      </c>
      <c r="R696" s="163">
        <v>0</v>
      </c>
      <c r="S696" s="163">
        <v>0</v>
      </c>
      <c r="T696" s="163">
        <v>0</v>
      </c>
      <c r="U696" s="163">
        <v>0</v>
      </c>
      <c r="V696" s="163">
        <v>0</v>
      </c>
      <c r="W696" s="163">
        <v>0</v>
      </c>
      <c r="X696" s="163">
        <v>0</v>
      </c>
      <c r="Y696" s="163">
        <v>8</v>
      </c>
      <c r="Z696" s="163">
        <v>8</v>
      </c>
      <c r="AA696" s="163">
        <v>0</v>
      </c>
      <c r="AB696" s="163">
        <v>0</v>
      </c>
      <c r="AC696" s="163">
        <v>8</v>
      </c>
      <c r="AD696" s="163">
        <v>0</v>
      </c>
      <c r="AE696" s="165">
        <v>0.51157799982242058</v>
      </c>
      <c r="AF696" s="166">
        <v>0.51157799982242058</v>
      </c>
    </row>
    <row r="697" spans="1:32">
      <c r="A697" s="161">
        <v>15</v>
      </c>
      <c r="B697" s="162">
        <v>0.47916666666666669</v>
      </c>
      <c r="C697" s="163">
        <v>6.803489266129672</v>
      </c>
      <c r="D697" s="163">
        <v>789.70752170463606</v>
      </c>
      <c r="E697" s="164">
        <v>0.91290000000000004</v>
      </c>
      <c r="F697" s="164">
        <v>0.91290000000000004</v>
      </c>
      <c r="G697" s="163">
        <v>8</v>
      </c>
      <c r="H697" s="163">
        <v>13.333333333333332</v>
      </c>
      <c r="I697" s="163">
        <v>5.3333333333333321</v>
      </c>
      <c r="J697" s="163">
        <v>6</v>
      </c>
      <c r="K697" s="163">
        <v>6.1978947368421053</v>
      </c>
      <c r="L697" s="163">
        <v>0.19789473684210535</v>
      </c>
      <c r="M697" s="163">
        <v>7</v>
      </c>
      <c r="N697" s="163">
        <v>11.929824561403509</v>
      </c>
      <c r="O697" s="163">
        <v>4.9298245614035086</v>
      </c>
      <c r="P697" s="163"/>
      <c r="Q697" s="163">
        <v>8</v>
      </c>
      <c r="R697" s="163">
        <v>0</v>
      </c>
      <c r="S697" s="163">
        <v>0</v>
      </c>
      <c r="T697" s="163">
        <v>0</v>
      </c>
      <c r="U697" s="163">
        <v>0</v>
      </c>
      <c r="V697" s="163">
        <v>0</v>
      </c>
      <c r="W697" s="163">
        <v>0</v>
      </c>
      <c r="X697" s="163">
        <v>0</v>
      </c>
      <c r="Y697" s="163">
        <v>8</v>
      </c>
      <c r="Z697" s="163">
        <v>8</v>
      </c>
      <c r="AA697" s="163">
        <v>0</v>
      </c>
      <c r="AB697" s="163">
        <v>0</v>
      </c>
      <c r="AC697" s="163">
        <v>8</v>
      </c>
      <c r="AD697" s="163">
        <v>0</v>
      </c>
      <c r="AE697" s="165">
        <v>0.48159423261382733</v>
      </c>
      <c r="AF697" s="166">
        <v>0.48159423261382733</v>
      </c>
    </row>
    <row r="698" spans="1:32">
      <c r="A698" s="161">
        <v>15</v>
      </c>
      <c r="B698" s="162">
        <v>0.5</v>
      </c>
      <c r="C698" s="163">
        <v>6.0413463306351289</v>
      </c>
      <c r="D698" s="163">
        <v>735.17828202096143</v>
      </c>
      <c r="E698" s="164">
        <v>0.96020000000000005</v>
      </c>
      <c r="F698" s="164">
        <v>0.96020000000000005</v>
      </c>
      <c r="G698" s="163">
        <v>7</v>
      </c>
      <c r="H698" s="163">
        <v>13.333333333333332</v>
      </c>
      <c r="I698" s="163">
        <v>6.3333333333333321</v>
      </c>
      <c r="J698" s="163">
        <v>5</v>
      </c>
      <c r="K698" s="163">
        <v>5.4231578947368426</v>
      </c>
      <c r="L698" s="163">
        <v>0.42315789473684262</v>
      </c>
      <c r="M698" s="163">
        <v>6</v>
      </c>
      <c r="N698" s="163">
        <v>11.929824561403509</v>
      </c>
      <c r="O698" s="163">
        <v>5.9298245614035086</v>
      </c>
      <c r="P698" s="163"/>
      <c r="Q698" s="163">
        <v>8</v>
      </c>
      <c r="R698" s="163">
        <v>0</v>
      </c>
      <c r="S698" s="163">
        <v>0</v>
      </c>
      <c r="T698" s="163">
        <v>0</v>
      </c>
      <c r="U698" s="163">
        <v>0</v>
      </c>
      <c r="V698" s="163">
        <v>0</v>
      </c>
      <c r="W698" s="163">
        <v>0</v>
      </c>
      <c r="X698" s="163">
        <v>0</v>
      </c>
      <c r="Y698" s="163">
        <v>8</v>
      </c>
      <c r="Z698" s="163">
        <v>8</v>
      </c>
      <c r="AA698" s="163">
        <v>0</v>
      </c>
      <c r="AB698" s="163">
        <v>0</v>
      </c>
      <c r="AC698" s="163">
        <v>8</v>
      </c>
      <c r="AD698" s="163">
        <v>0</v>
      </c>
      <c r="AE698" s="165">
        <v>0.39811606333290633</v>
      </c>
      <c r="AF698" s="166">
        <v>0.45498978666617862</v>
      </c>
    </row>
    <row r="699" spans="1:32">
      <c r="A699" s="161">
        <v>15</v>
      </c>
      <c r="B699" s="162">
        <v>0.52083333333333337</v>
      </c>
      <c r="C699" s="163">
        <v>6.0964356916539257</v>
      </c>
      <c r="D699" s="163">
        <v>731.89462223609337</v>
      </c>
      <c r="E699" s="164">
        <v>0.81656666666666666</v>
      </c>
      <c r="F699" s="164">
        <v>0.81656666666666666</v>
      </c>
      <c r="G699" s="163">
        <v>7</v>
      </c>
      <c r="H699" s="163">
        <v>12</v>
      </c>
      <c r="I699" s="163">
        <v>5</v>
      </c>
      <c r="J699" s="163">
        <v>5</v>
      </c>
      <c r="K699" s="163">
        <v>5.4231578947368426</v>
      </c>
      <c r="L699" s="163">
        <v>0.42315789473684262</v>
      </c>
      <c r="M699" s="163">
        <v>6</v>
      </c>
      <c r="N699" s="163">
        <v>10.736842105263158</v>
      </c>
      <c r="O699" s="163">
        <v>4.7368421052631575</v>
      </c>
      <c r="P699" s="163"/>
      <c r="Q699" s="163">
        <v>8</v>
      </c>
      <c r="R699" s="163">
        <v>0</v>
      </c>
      <c r="S699" s="163">
        <v>0</v>
      </c>
      <c r="T699" s="163">
        <v>0</v>
      </c>
      <c r="U699" s="163">
        <v>0</v>
      </c>
      <c r="V699" s="163">
        <v>0</v>
      </c>
      <c r="W699" s="163">
        <v>0</v>
      </c>
      <c r="X699" s="163">
        <v>0</v>
      </c>
      <c r="Y699" s="163">
        <v>8</v>
      </c>
      <c r="Z699" s="163">
        <v>8</v>
      </c>
      <c r="AA699" s="163">
        <v>0</v>
      </c>
      <c r="AB699" s="163">
        <v>0</v>
      </c>
      <c r="AC699" s="163">
        <v>8</v>
      </c>
      <c r="AD699" s="163">
        <v>0</v>
      </c>
      <c r="AE699" s="165">
        <v>0.39995198073796062</v>
      </c>
      <c r="AF699" s="166">
        <v>0.45708797798624073</v>
      </c>
    </row>
    <row r="700" spans="1:32">
      <c r="A700" s="161">
        <v>15</v>
      </c>
      <c r="B700" s="162">
        <v>0.54166666666666663</v>
      </c>
      <c r="C700" s="163">
        <v>5.4074126308159247</v>
      </c>
      <c r="D700" s="163">
        <v>741.16145228910977</v>
      </c>
      <c r="E700" s="164">
        <v>0.80640000000000001</v>
      </c>
      <c r="F700" s="164">
        <v>0.80640000000000001</v>
      </c>
      <c r="G700" s="163">
        <v>7</v>
      </c>
      <c r="H700" s="163">
        <v>10</v>
      </c>
      <c r="I700" s="163">
        <v>3</v>
      </c>
      <c r="J700" s="163">
        <v>5</v>
      </c>
      <c r="K700" s="163">
        <v>5.4231578947368426</v>
      </c>
      <c r="L700" s="163">
        <v>0.42315789473684262</v>
      </c>
      <c r="M700" s="163">
        <v>6</v>
      </c>
      <c r="N700" s="163">
        <v>8.9473684210526319</v>
      </c>
      <c r="O700" s="163">
        <v>2.9473684210526319</v>
      </c>
      <c r="P700" s="163"/>
      <c r="Q700" s="163">
        <v>6</v>
      </c>
      <c r="R700" s="163">
        <v>0</v>
      </c>
      <c r="S700" s="163">
        <v>0</v>
      </c>
      <c r="T700" s="163">
        <v>0</v>
      </c>
      <c r="U700" s="163">
        <v>0</v>
      </c>
      <c r="V700" s="163">
        <v>0</v>
      </c>
      <c r="W700" s="163">
        <v>0</v>
      </c>
      <c r="X700" s="163">
        <v>0</v>
      </c>
      <c r="Y700" s="163">
        <v>6</v>
      </c>
      <c r="Z700" s="163">
        <v>6</v>
      </c>
      <c r="AA700" s="163">
        <v>0</v>
      </c>
      <c r="AB700" s="163">
        <v>0</v>
      </c>
      <c r="AC700" s="163">
        <v>6</v>
      </c>
      <c r="AD700" s="163">
        <v>0</v>
      </c>
      <c r="AE700" s="165">
        <v>0.47898770992513412</v>
      </c>
      <c r="AF700" s="166">
        <v>0.41056089422154352</v>
      </c>
    </row>
    <row r="701" spans="1:32">
      <c r="A701" s="161">
        <v>15</v>
      </c>
      <c r="B701" s="162">
        <v>0.5625</v>
      </c>
      <c r="C701" s="163">
        <v>4.8872984919752334</v>
      </c>
      <c r="D701" s="163">
        <v>750.32207906659812</v>
      </c>
      <c r="E701" s="164">
        <v>0.84719999999999995</v>
      </c>
      <c r="F701" s="164">
        <v>0.84719999999999995</v>
      </c>
      <c r="G701" s="163">
        <v>6</v>
      </c>
      <c r="H701" s="163">
        <v>10</v>
      </c>
      <c r="I701" s="163">
        <v>4</v>
      </c>
      <c r="J701" s="163">
        <v>4</v>
      </c>
      <c r="K701" s="163">
        <v>4.648421052631579</v>
      </c>
      <c r="L701" s="163">
        <v>0.64842105263157901</v>
      </c>
      <c r="M701" s="163">
        <v>5</v>
      </c>
      <c r="N701" s="163">
        <v>8.9473684210526319</v>
      </c>
      <c r="O701" s="163">
        <v>3.9473684210526319</v>
      </c>
      <c r="P701" s="163"/>
      <c r="Q701" s="163">
        <v>6</v>
      </c>
      <c r="R701" s="163">
        <v>0</v>
      </c>
      <c r="S701" s="163">
        <v>0</v>
      </c>
      <c r="T701" s="163">
        <v>0</v>
      </c>
      <c r="U701" s="163">
        <v>0</v>
      </c>
      <c r="V701" s="163">
        <v>0</v>
      </c>
      <c r="W701" s="163">
        <v>0</v>
      </c>
      <c r="X701" s="163">
        <v>0</v>
      </c>
      <c r="Y701" s="163">
        <v>6</v>
      </c>
      <c r="Z701" s="163">
        <v>6</v>
      </c>
      <c r="AA701" s="163">
        <v>0</v>
      </c>
      <c r="AB701" s="163">
        <v>0</v>
      </c>
      <c r="AC701" s="163">
        <v>6</v>
      </c>
      <c r="AD701" s="163">
        <v>0</v>
      </c>
      <c r="AE701" s="165">
        <v>0.43826685376937541</v>
      </c>
      <c r="AF701" s="166">
        <v>0.43826685376937541</v>
      </c>
    </row>
    <row r="702" spans="1:32">
      <c r="A702" s="161">
        <v>15</v>
      </c>
      <c r="B702" s="162">
        <v>0.58333333333333337</v>
      </c>
      <c r="C702" s="163">
        <v>5.181458826362892</v>
      </c>
      <c r="D702" s="163">
        <v>762.84852455988528</v>
      </c>
      <c r="E702" s="164">
        <v>0.81300000000000006</v>
      </c>
      <c r="F702" s="164">
        <v>0.81300000000000006</v>
      </c>
      <c r="G702" s="163">
        <v>7</v>
      </c>
      <c r="H702" s="163">
        <v>10</v>
      </c>
      <c r="I702" s="163">
        <v>3</v>
      </c>
      <c r="J702" s="163">
        <v>5</v>
      </c>
      <c r="K702" s="163">
        <v>5.4231578947368426</v>
      </c>
      <c r="L702" s="163">
        <v>0.42315789473684262</v>
      </c>
      <c r="M702" s="163">
        <v>6</v>
      </c>
      <c r="N702" s="163">
        <v>8.9473684210526319</v>
      </c>
      <c r="O702" s="163">
        <v>2.9473684210526319</v>
      </c>
      <c r="P702" s="163"/>
      <c r="Q702" s="163">
        <v>6</v>
      </c>
      <c r="R702" s="163">
        <v>0</v>
      </c>
      <c r="S702" s="163">
        <v>0</v>
      </c>
      <c r="T702" s="163">
        <v>0</v>
      </c>
      <c r="U702" s="163">
        <v>0</v>
      </c>
      <c r="V702" s="163">
        <v>0</v>
      </c>
      <c r="W702" s="163">
        <v>0</v>
      </c>
      <c r="X702" s="163">
        <v>0</v>
      </c>
      <c r="Y702" s="163">
        <v>6</v>
      </c>
      <c r="Z702" s="163">
        <v>6</v>
      </c>
      <c r="AA702" s="163">
        <v>0</v>
      </c>
      <c r="AB702" s="163">
        <v>0</v>
      </c>
      <c r="AC702" s="163">
        <v>6</v>
      </c>
      <c r="AD702" s="163">
        <v>0</v>
      </c>
      <c r="AE702" s="165">
        <v>0.47240272867864208</v>
      </c>
      <c r="AF702" s="166">
        <v>0.40491662458169325</v>
      </c>
    </row>
    <row r="703" spans="1:32">
      <c r="A703" s="161">
        <v>15</v>
      </c>
      <c r="B703" s="162">
        <v>0.60416666666666663</v>
      </c>
      <c r="C703" s="163">
        <v>4.7675637729011715</v>
      </c>
      <c r="D703" s="163">
        <v>783.00181594449793</v>
      </c>
      <c r="E703" s="164">
        <v>0.83909999999999985</v>
      </c>
      <c r="F703" s="164">
        <v>0.83909999999999985</v>
      </c>
      <c r="G703" s="163">
        <v>6</v>
      </c>
      <c r="H703" s="163">
        <v>10</v>
      </c>
      <c r="I703" s="163">
        <v>4</v>
      </c>
      <c r="J703" s="163">
        <v>4</v>
      </c>
      <c r="K703" s="163">
        <v>4.648421052631579</v>
      </c>
      <c r="L703" s="163">
        <v>0.64842105263157901</v>
      </c>
      <c r="M703" s="163">
        <v>5</v>
      </c>
      <c r="N703" s="163">
        <v>8.9473684210526319</v>
      </c>
      <c r="O703" s="163">
        <v>3.9473684210526319</v>
      </c>
      <c r="P703" s="163"/>
      <c r="Q703" s="163">
        <v>6</v>
      </c>
      <c r="R703" s="163">
        <v>0</v>
      </c>
      <c r="S703" s="163">
        <v>0</v>
      </c>
      <c r="T703" s="163">
        <v>0</v>
      </c>
      <c r="U703" s="163">
        <v>0</v>
      </c>
      <c r="V703" s="163">
        <v>0</v>
      </c>
      <c r="W703" s="163">
        <v>0</v>
      </c>
      <c r="X703" s="163">
        <v>0</v>
      </c>
      <c r="Y703" s="163">
        <v>6</v>
      </c>
      <c r="Z703" s="163">
        <v>6</v>
      </c>
      <c r="AA703" s="163">
        <v>0</v>
      </c>
      <c r="AB703" s="163">
        <v>0</v>
      </c>
      <c r="AC703" s="163">
        <v>6</v>
      </c>
      <c r="AD703" s="163">
        <v>0</v>
      </c>
      <c r="AE703" s="165">
        <v>0.44615042990415893</v>
      </c>
      <c r="AF703" s="166">
        <v>0.44615042990415893</v>
      </c>
    </row>
    <row r="704" spans="1:32">
      <c r="A704" s="161">
        <v>15</v>
      </c>
      <c r="B704" s="162">
        <v>0.625</v>
      </c>
      <c r="C704" s="163">
        <v>4.6283297138349493</v>
      </c>
      <c r="D704" s="163">
        <v>790.83573065234782</v>
      </c>
      <c r="E704" s="164">
        <v>0.84740000000000004</v>
      </c>
      <c r="F704" s="164">
        <v>0.84740000000000004</v>
      </c>
      <c r="G704" s="163">
        <v>6</v>
      </c>
      <c r="H704" s="163">
        <v>10</v>
      </c>
      <c r="I704" s="163">
        <v>4</v>
      </c>
      <c r="J704" s="163">
        <v>4</v>
      </c>
      <c r="K704" s="163">
        <v>4.648421052631579</v>
      </c>
      <c r="L704" s="163">
        <v>0.64842105263157901</v>
      </c>
      <c r="M704" s="163">
        <v>5</v>
      </c>
      <c r="N704" s="163">
        <v>8.9473684210526319</v>
      </c>
      <c r="O704" s="163">
        <v>3.9473684210526319</v>
      </c>
      <c r="P704" s="163"/>
      <c r="Q704" s="163">
        <v>6</v>
      </c>
      <c r="R704" s="163">
        <v>0</v>
      </c>
      <c r="S704" s="163">
        <v>0</v>
      </c>
      <c r="T704" s="163">
        <v>0</v>
      </c>
      <c r="U704" s="163">
        <v>0</v>
      </c>
      <c r="V704" s="163">
        <v>0</v>
      </c>
      <c r="W704" s="163">
        <v>0</v>
      </c>
      <c r="X704" s="163">
        <v>0</v>
      </c>
      <c r="Y704" s="163">
        <v>6</v>
      </c>
      <c r="Z704" s="163">
        <v>6</v>
      </c>
      <c r="AA704" s="163">
        <v>0</v>
      </c>
      <c r="AB704" s="163">
        <v>0</v>
      </c>
      <c r="AC704" s="163">
        <v>6</v>
      </c>
      <c r="AD704" s="163">
        <v>0</v>
      </c>
      <c r="AE704" s="165">
        <v>0.43745421766727083</v>
      </c>
      <c r="AF704" s="166">
        <v>0.43745421766727083</v>
      </c>
    </row>
    <row r="705" spans="1:32">
      <c r="A705" s="161">
        <v>15</v>
      </c>
      <c r="B705" s="162">
        <v>0.64583333333333337</v>
      </c>
      <c r="C705" s="163">
        <v>4.4608230406274814</v>
      </c>
      <c r="D705" s="163">
        <v>789.5479382644736</v>
      </c>
      <c r="E705" s="164">
        <v>0.86269999999999991</v>
      </c>
      <c r="F705" s="164">
        <v>0.86269999999999991</v>
      </c>
      <c r="G705" s="163">
        <v>6</v>
      </c>
      <c r="H705" s="163">
        <v>10</v>
      </c>
      <c r="I705" s="163">
        <v>4</v>
      </c>
      <c r="J705" s="163">
        <v>4</v>
      </c>
      <c r="K705" s="163">
        <v>4.648421052631579</v>
      </c>
      <c r="L705" s="163">
        <v>0.64842105263157901</v>
      </c>
      <c r="M705" s="163">
        <v>5</v>
      </c>
      <c r="N705" s="163">
        <v>8.9473684210526319</v>
      </c>
      <c r="O705" s="163">
        <v>3.9473684210526319</v>
      </c>
      <c r="P705" s="163"/>
      <c r="Q705" s="163">
        <v>6</v>
      </c>
      <c r="R705" s="163">
        <v>0</v>
      </c>
      <c r="S705" s="163">
        <v>0</v>
      </c>
      <c r="T705" s="163">
        <v>0</v>
      </c>
      <c r="U705" s="163">
        <v>0</v>
      </c>
      <c r="V705" s="163">
        <v>0</v>
      </c>
      <c r="W705" s="163">
        <v>0</v>
      </c>
      <c r="X705" s="163">
        <v>0</v>
      </c>
      <c r="Y705" s="163">
        <v>6</v>
      </c>
      <c r="Z705" s="163">
        <v>6</v>
      </c>
      <c r="AA705" s="163">
        <v>0</v>
      </c>
      <c r="AB705" s="163">
        <v>0</v>
      </c>
      <c r="AC705" s="163">
        <v>6</v>
      </c>
      <c r="AD705" s="163">
        <v>0</v>
      </c>
      <c r="AE705" s="165">
        <v>0.42093548119912239</v>
      </c>
      <c r="AF705" s="166">
        <v>0.42093548119912239</v>
      </c>
    </row>
    <row r="706" spans="1:32">
      <c r="A706" s="161">
        <v>15</v>
      </c>
      <c r="B706" s="162">
        <v>0.66666666666666663</v>
      </c>
      <c r="C706" s="163">
        <v>4.2994148540810198</v>
      </c>
      <c r="D706" s="163">
        <v>786.6418121080419</v>
      </c>
      <c r="E706" s="164">
        <v>0.87729999999999997</v>
      </c>
      <c r="F706" s="164">
        <v>0.87729999999999997</v>
      </c>
      <c r="G706" s="163">
        <v>6</v>
      </c>
      <c r="H706" s="163">
        <v>10</v>
      </c>
      <c r="I706" s="163">
        <v>4</v>
      </c>
      <c r="J706" s="163">
        <v>4</v>
      </c>
      <c r="K706" s="163">
        <v>4.648421052631579</v>
      </c>
      <c r="L706" s="163">
        <v>0.64842105263157901</v>
      </c>
      <c r="M706" s="163">
        <v>5</v>
      </c>
      <c r="N706" s="163">
        <v>8.9473684210526319</v>
      </c>
      <c r="O706" s="163">
        <v>3.9473684210526319</v>
      </c>
      <c r="P706" s="163"/>
      <c r="Q706" s="163">
        <v>6</v>
      </c>
      <c r="R706" s="163">
        <v>0</v>
      </c>
      <c r="S706" s="163">
        <v>0</v>
      </c>
      <c r="T706" s="163">
        <v>0</v>
      </c>
      <c r="U706" s="163">
        <v>0</v>
      </c>
      <c r="V706" s="163">
        <v>0</v>
      </c>
      <c r="W706" s="163">
        <v>0</v>
      </c>
      <c r="X706" s="163">
        <v>0</v>
      </c>
      <c r="Y706" s="163">
        <v>6</v>
      </c>
      <c r="Z706" s="163">
        <v>6</v>
      </c>
      <c r="AA706" s="163">
        <v>0</v>
      </c>
      <c r="AB706" s="163">
        <v>0</v>
      </c>
      <c r="AC706" s="163">
        <v>6</v>
      </c>
      <c r="AD706" s="163">
        <v>0</v>
      </c>
      <c r="AE706" s="165">
        <v>0.40421126676071856</v>
      </c>
      <c r="AF706" s="166">
        <v>0.40421126676071856</v>
      </c>
    </row>
    <row r="707" spans="1:32">
      <c r="A707" s="161">
        <v>15</v>
      </c>
      <c r="B707" s="162">
        <v>0.6875</v>
      </c>
      <c r="C707" s="163">
        <v>4.1561440510745111</v>
      </c>
      <c r="D707" s="163">
        <v>781.56700612102702</v>
      </c>
      <c r="E707" s="164">
        <v>0.89059999999999995</v>
      </c>
      <c r="F707" s="164">
        <v>0.89059999999999995</v>
      </c>
      <c r="G707" s="163">
        <v>6</v>
      </c>
      <c r="H707" s="163">
        <v>10</v>
      </c>
      <c r="I707" s="163">
        <v>4</v>
      </c>
      <c r="J707" s="163">
        <v>4</v>
      </c>
      <c r="K707" s="163">
        <v>4.648421052631579</v>
      </c>
      <c r="L707" s="163">
        <v>0.64842105263157901</v>
      </c>
      <c r="M707" s="163">
        <v>5</v>
      </c>
      <c r="N707" s="163">
        <v>8.9473684210526319</v>
      </c>
      <c r="O707" s="163">
        <v>3.9473684210526319</v>
      </c>
      <c r="P707" s="163"/>
      <c r="Q707" s="163">
        <v>6</v>
      </c>
      <c r="R707" s="163">
        <v>0</v>
      </c>
      <c r="S707" s="163">
        <v>0</v>
      </c>
      <c r="T707" s="163">
        <v>0</v>
      </c>
      <c r="U707" s="163">
        <v>0</v>
      </c>
      <c r="V707" s="163">
        <v>0</v>
      </c>
      <c r="W707" s="163">
        <v>0</v>
      </c>
      <c r="X707" s="163">
        <v>0</v>
      </c>
      <c r="Y707" s="163">
        <v>6</v>
      </c>
      <c r="Z707" s="163">
        <v>6</v>
      </c>
      <c r="AA707" s="163">
        <v>0</v>
      </c>
      <c r="AB707" s="163">
        <v>0</v>
      </c>
      <c r="AC707" s="163">
        <v>6</v>
      </c>
      <c r="AD707" s="163">
        <v>0</v>
      </c>
      <c r="AE707" s="165">
        <v>0.38822083960544002</v>
      </c>
      <c r="AF707" s="166">
        <v>0.38822083960544002</v>
      </c>
    </row>
    <row r="708" spans="1:32">
      <c r="A708" s="161">
        <v>15</v>
      </c>
      <c r="B708" s="162">
        <v>0.70833333333333337</v>
      </c>
      <c r="C708" s="163">
        <v>4.0857692918807533</v>
      </c>
      <c r="D708" s="163">
        <v>762.9567593065135</v>
      </c>
      <c r="E708" s="164">
        <v>0.90280000000000005</v>
      </c>
      <c r="F708" s="164">
        <v>0.90280000000000005</v>
      </c>
      <c r="G708" s="163">
        <v>6</v>
      </c>
      <c r="H708" s="163">
        <v>10</v>
      </c>
      <c r="I708" s="163">
        <v>4</v>
      </c>
      <c r="J708" s="163">
        <v>4</v>
      </c>
      <c r="K708" s="163">
        <v>4.648421052631579</v>
      </c>
      <c r="L708" s="163">
        <v>0.64842105263157901</v>
      </c>
      <c r="M708" s="163">
        <v>5</v>
      </c>
      <c r="N708" s="163">
        <v>8.9473684210526319</v>
      </c>
      <c r="O708" s="163">
        <v>3.9473684210526319</v>
      </c>
      <c r="P708" s="163"/>
      <c r="Q708" s="163">
        <v>6</v>
      </c>
      <c r="R708" s="163">
        <v>0</v>
      </c>
      <c r="S708" s="163">
        <v>0</v>
      </c>
      <c r="T708" s="163">
        <v>0</v>
      </c>
      <c r="U708" s="163">
        <v>0</v>
      </c>
      <c r="V708" s="163">
        <v>0</v>
      </c>
      <c r="W708" s="163">
        <v>0</v>
      </c>
      <c r="X708" s="163">
        <v>0</v>
      </c>
      <c r="Y708" s="163">
        <v>6</v>
      </c>
      <c r="Z708" s="163">
        <v>6</v>
      </c>
      <c r="AA708" s="163">
        <v>0</v>
      </c>
      <c r="AB708" s="163">
        <v>0</v>
      </c>
      <c r="AC708" s="163">
        <v>6</v>
      </c>
      <c r="AD708" s="163">
        <v>0</v>
      </c>
      <c r="AE708" s="165">
        <v>0.37255963583145096</v>
      </c>
      <c r="AF708" s="166">
        <v>0.37255963583145096</v>
      </c>
    </row>
    <row r="709" spans="1:32">
      <c r="A709" s="161">
        <v>15</v>
      </c>
      <c r="B709" s="162">
        <v>0.72916666666666663</v>
      </c>
      <c r="C709" s="163">
        <v>3.8147007332245977</v>
      </c>
      <c r="D709" s="163">
        <v>745.77289037555522</v>
      </c>
      <c r="E709" s="164">
        <v>0.9716999999999999</v>
      </c>
      <c r="F709" s="164">
        <v>0.9716999999999999</v>
      </c>
      <c r="G709" s="163">
        <v>6</v>
      </c>
      <c r="H709" s="163">
        <v>11.333333333333332</v>
      </c>
      <c r="I709" s="163">
        <v>5.3333333333333321</v>
      </c>
      <c r="J709" s="163">
        <v>4</v>
      </c>
      <c r="K709" s="163">
        <v>4.648421052631579</v>
      </c>
      <c r="L709" s="163">
        <v>0.64842105263157901</v>
      </c>
      <c r="M709" s="163">
        <v>5</v>
      </c>
      <c r="N709" s="163">
        <v>10.140350877192981</v>
      </c>
      <c r="O709" s="163">
        <v>5.1403508771929811</v>
      </c>
      <c r="P709" s="163"/>
      <c r="Q709" s="163">
        <v>6</v>
      </c>
      <c r="R709" s="163">
        <v>0</v>
      </c>
      <c r="S709" s="163">
        <v>0</v>
      </c>
      <c r="T709" s="163">
        <v>0</v>
      </c>
      <c r="U709" s="163">
        <v>0</v>
      </c>
      <c r="V709" s="163">
        <v>0</v>
      </c>
      <c r="W709" s="163">
        <v>0</v>
      </c>
      <c r="X709" s="163">
        <v>0</v>
      </c>
      <c r="Y709" s="163">
        <v>6</v>
      </c>
      <c r="Z709" s="163">
        <v>6</v>
      </c>
      <c r="AA709" s="163">
        <v>0</v>
      </c>
      <c r="AB709" s="163">
        <v>0</v>
      </c>
      <c r="AC709" s="163">
        <v>6</v>
      </c>
      <c r="AD709" s="163">
        <v>0</v>
      </c>
      <c r="AE709" s="165">
        <v>0.34000797254276433</v>
      </c>
      <c r="AF709" s="166">
        <v>0.34000797254276433</v>
      </c>
    </row>
    <row r="710" spans="1:32">
      <c r="A710" s="161">
        <v>15</v>
      </c>
      <c r="B710" s="162">
        <v>0.75</v>
      </c>
      <c r="C710" s="163">
        <v>4.0247490205763174</v>
      </c>
      <c r="D710" s="163">
        <v>729.30884039470084</v>
      </c>
      <c r="E710" s="164">
        <v>0.99390000000000001</v>
      </c>
      <c r="F710" s="164">
        <v>0.99390000000000001</v>
      </c>
      <c r="G710" s="163">
        <v>6</v>
      </c>
      <c r="H710" s="163">
        <v>13.333333333333332</v>
      </c>
      <c r="I710" s="163">
        <v>7.3333333333333321</v>
      </c>
      <c r="J710" s="163">
        <v>4</v>
      </c>
      <c r="K710" s="163">
        <v>4.648421052631579</v>
      </c>
      <c r="L710" s="163">
        <v>0.64842105263157901</v>
      </c>
      <c r="M710" s="163">
        <v>5</v>
      </c>
      <c r="N710" s="163">
        <v>11.929824561403509</v>
      </c>
      <c r="O710" s="163">
        <v>6.9298245614035086</v>
      </c>
      <c r="P710" s="163"/>
      <c r="Q710" s="163">
        <v>8</v>
      </c>
      <c r="R710" s="163">
        <v>0</v>
      </c>
      <c r="S710" s="163">
        <v>0</v>
      </c>
      <c r="T710" s="163">
        <v>0</v>
      </c>
      <c r="U710" s="163">
        <v>0</v>
      </c>
      <c r="V710" s="163">
        <v>0</v>
      </c>
      <c r="W710" s="163">
        <v>0</v>
      </c>
      <c r="X710" s="163">
        <v>0</v>
      </c>
      <c r="Y710" s="163">
        <v>8</v>
      </c>
      <c r="Z710" s="163">
        <v>8</v>
      </c>
      <c r="AA710" s="163">
        <v>0</v>
      </c>
      <c r="AB710" s="163">
        <v>0</v>
      </c>
      <c r="AC710" s="163">
        <v>8</v>
      </c>
      <c r="AD710" s="163">
        <v>0</v>
      </c>
      <c r="AE710" s="165">
        <v>0.2631077133362027</v>
      </c>
      <c r="AF710" s="166">
        <v>0.35081028444827028</v>
      </c>
    </row>
    <row r="711" spans="1:32">
      <c r="A711" s="161">
        <v>15</v>
      </c>
      <c r="B711" s="162">
        <v>0.77083333333333337</v>
      </c>
      <c r="C711" s="163">
        <v>4.2910599693902336</v>
      </c>
      <c r="D711" s="163">
        <v>713.00062667424083</v>
      </c>
      <c r="E711" s="164">
        <v>0.99260000000000004</v>
      </c>
      <c r="F711" s="164">
        <v>0.99260000000000004</v>
      </c>
      <c r="G711" s="163">
        <v>6</v>
      </c>
      <c r="H711" s="163">
        <v>13.333333333333332</v>
      </c>
      <c r="I711" s="163">
        <v>7.3333333333333321</v>
      </c>
      <c r="J711" s="163">
        <v>4</v>
      </c>
      <c r="K711" s="163">
        <v>4.648421052631579</v>
      </c>
      <c r="L711" s="163">
        <v>0.64842105263157901</v>
      </c>
      <c r="M711" s="163">
        <v>5</v>
      </c>
      <c r="N711" s="163">
        <v>11.929824561403509</v>
      </c>
      <c r="O711" s="163">
        <v>6.9298245614035086</v>
      </c>
      <c r="P711" s="163"/>
      <c r="Q711" s="163">
        <v>8</v>
      </c>
      <c r="R711" s="163">
        <v>0</v>
      </c>
      <c r="S711" s="163">
        <v>0</v>
      </c>
      <c r="T711" s="163">
        <v>0</v>
      </c>
      <c r="U711" s="163">
        <v>0</v>
      </c>
      <c r="V711" s="163">
        <v>0</v>
      </c>
      <c r="W711" s="163">
        <v>0</v>
      </c>
      <c r="X711" s="163">
        <v>0</v>
      </c>
      <c r="Y711" s="163">
        <v>8</v>
      </c>
      <c r="Z711" s="163">
        <v>8</v>
      </c>
      <c r="AA711" s="163">
        <v>0</v>
      </c>
      <c r="AB711" s="163">
        <v>0</v>
      </c>
      <c r="AC711" s="163">
        <v>8</v>
      </c>
      <c r="AD711" s="163">
        <v>0</v>
      </c>
      <c r="AE711" s="165">
        <v>0.27424441660141019</v>
      </c>
      <c r="AF711" s="166">
        <v>0.36565922213521357</v>
      </c>
    </row>
    <row r="712" spans="1:32">
      <c r="A712" s="161">
        <v>15</v>
      </c>
      <c r="B712" s="162">
        <v>0.79166666666666663</v>
      </c>
      <c r="C712" s="163">
        <v>3.9995814121591788</v>
      </c>
      <c r="D712" s="163">
        <v>701.95715087100052</v>
      </c>
      <c r="E712" s="164">
        <v>0.99509999999999998</v>
      </c>
      <c r="F712" s="164">
        <v>0.99509999999999998</v>
      </c>
      <c r="G712" s="163">
        <v>6</v>
      </c>
      <c r="H712" s="163">
        <v>13.333333333333332</v>
      </c>
      <c r="I712" s="163">
        <v>7.3333333333333321</v>
      </c>
      <c r="J712" s="163">
        <v>4</v>
      </c>
      <c r="K712" s="163">
        <v>4.648421052631579</v>
      </c>
      <c r="L712" s="163">
        <v>0.64842105263157901</v>
      </c>
      <c r="M712" s="163">
        <v>5</v>
      </c>
      <c r="N712" s="163">
        <v>11.929824561403509</v>
      </c>
      <c r="O712" s="163">
        <v>6.9298245614035086</v>
      </c>
      <c r="P712" s="163"/>
      <c r="Q712" s="163">
        <v>8</v>
      </c>
      <c r="R712" s="163">
        <v>0</v>
      </c>
      <c r="S712" s="163">
        <v>0</v>
      </c>
      <c r="T712" s="163">
        <v>0</v>
      </c>
      <c r="U712" s="163">
        <v>0</v>
      </c>
      <c r="V712" s="163">
        <v>0</v>
      </c>
      <c r="W712" s="163">
        <v>0</v>
      </c>
      <c r="X712" s="163">
        <v>0</v>
      </c>
      <c r="Y712" s="163">
        <v>8</v>
      </c>
      <c r="Z712" s="163">
        <v>8</v>
      </c>
      <c r="AA712" s="163">
        <v>0</v>
      </c>
      <c r="AB712" s="163">
        <v>0</v>
      </c>
      <c r="AC712" s="163">
        <v>8</v>
      </c>
      <c r="AD712" s="163">
        <v>0</v>
      </c>
      <c r="AE712" s="165">
        <v>0.25165666837617717</v>
      </c>
      <c r="AF712" s="166">
        <v>0.33554222450156956</v>
      </c>
    </row>
    <row r="713" spans="1:32">
      <c r="A713" s="161">
        <v>15</v>
      </c>
      <c r="B713" s="162">
        <v>0.8125</v>
      </c>
      <c r="C713" s="163">
        <v>3.7286543976090014</v>
      </c>
      <c r="D713" s="163">
        <v>698.54860878026091</v>
      </c>
      <c r="E713" s="164">
        <v>0.99660000000000004</v>
      </c>
      <c r="F713" s="164">
        <v>0.99660000000000004</v>
      </c>
      <c r="G713" s="163">
        <v>6</v>
      </c>
      <c r="H713" s="163">
        <v>13.333333333333332</v>
      </c>
      <c r="I713" s="163">
        <v>7.3333333333333321</v>
      </c>
      <c r="J713" s="163">
        <v>4</v>
      </c>
      <c r="K713" s="163">
        <v>4.648421052631579</v>
      </c>
      <c r="L713" s="163">
        <v>0.64842105263157901</v>
      </c>
      <c r="M713" s="163">
        <v>5</v>
      </c>
      <c r="N713" s="163">
        <v>11.929824561403509</v>
      </c>
      <c r="O713" s="163">
        <v>6.9298245614035086</v>
      </c>
      <c r="P713" s="163"/>
      <c r="Q713" s="163">
        <v>8</v>
      </c>
      <c r="R713" s="163">
        <v>0</v>
      </c>
      <c r="S713" s="163">
        <v>0</v>
      </c>
      <c r="T713" s="163">
        <v>0</v>
      </c>
      <c r="U713" s="163">
        <v>0</v>
      </c>
      <c r="V713" s="163">
        <v>0</v>
      </c>
      <c r="W713" s="163">
        <v>0</v>
      </c>
      <c r="X713" s="163">
        <v>0</v>
      </c>
      <c r="Y713" s="163">
        <v>8</v>
      </c>
      <c r="Z713" s="163">
        <v>8</v>
      </c>
      <c r="AA713" s="163">
        <v>0</v>
      </c>
      <c r="AB713" s="163">
        <v>0</v>
      </c>
      <c r="AC713" s="163">
        <v>8</v>
      </c>
      <c r="AD713" s="163">
        <v>0</v>
      </c>
      <c r="AE713" s="165">
        <v>0.23347052620853725</v>
      </c>
      <c r="AF713" s="166">
        <v>0.31129403494471636</v>
      </c>
    </row>
    <row r="714" spans="1:32">
      <c r="A714" s="161">
        <v>15</v>
      </c>
      <c r="B714" s="162">
        <v>0.83333333333333337</v>
      </c>
      <c r="C714" s="163">
        <v>3.5463468057570773</v>
      </c>
      <c r="D714" s="163">
        <v>691.26570368388127</v>
      </c>
      <c r="E714" s="164">
        <v>0.96776666666666677</v>
      </c>
      <c r="F714" s="164">
        <v>0.96776666666666677</v>
      </c>
      <c r="G714" s="163">
        <v>4</v>
      </c>
      <c r="H714" s="163">
        <v>12</v>
      </c>
      <c r="I714" s="163">
        <v>8</v>
      </c>
      <c r="J714" s="163">
        <v>3</v>
      </c>
      <c r="K714" s="163">
        <v>3.0989473684210527</v>
      </c>
      <c r="L714" s="163">
        <v>9.8947368421052673E-2</v>
      </c>
      <c r="M714" s="163">
        <v>4</v>
      </c>
      <c r="N714" s="163">
        <v>10.736842105263158</v>
      </c>
      <c r="O714" s="163">
        <v>6.7368421052631575</v>
      </c>
      <c r="P714" s="163"/>
      <c r="Q714" s="163">
        <v>8</v>
      </c>
      <c r="R714" s="163">
        <v>0</v>
      </c>
      <c r="S714" s="163">
        <v>0</v>
      </c>
      <c r="T714" s="163">
        <v>0</v>
      </c>
      <c r="U714" s="163">
        <v>0</v>
      </c>
      <c r="V714" s="163">
        <v>0</v>
      </c>
      <c r="W714" s="163">
        <v>0</v>
      </c>
      <c r="X714" s="163">
        <v>0</v>
      </c>
      <c r="Y714" s="163">
        <v>8</v>
      </c>
      <c r="Z714" s="163">
        <v>8</v>
      </c>
      <c r="AA714" s="163">
        <v>0</v>
      </c>
      <c r="AB714" s="163">
        <v>0</v>
      </c>
      <c r="AC714" s="163">
        <v>8</v>
      </c>
      <c r="AD714" s="163">
        <v>0</v>
      </c>
      <c r="AE714" s="165">
        <v>0.21974019891486574</v>
      </c>
      <c r="AF714" s="166">
        <v>0.43948039782973147</v>
      </c>
    </row>
    <row r="715" spans="1:32">
      <c r="A715" s="161">
        <v>15</v>
      </c>
      <c r="B715" s="162">
        <v>0.85416666666666663</v>
      </c>
      <c r="C715" s="163">
        <v>3.180474041557777</v>
      </c>
      <c r="D715" s="163">
        <v>686.5457140911318</v>
      </c>
      <c r="E715" s="164">
        <v>0.89933333333333321</v>
      </c>
      <c r="F715" s="164">
        <v>0.89933333333333321</v>
      </c>
      <c r="G715" s="163">
        <v>4</v>
      </c>
      <c r="H715" s="163">
        <v>8.6666666666666661</v>
      </c>
      <c r="I715" s="163">
        <v>4.6666666666666661</v>
      </c>
      <c r="J715" s="163">
        <v>3</v>
      </c>
      <c r="K715" s="163">
        <v>3.0989473684210527</v>
      </c>
      <c r="L715" s="163">
        <v>9.8947368421052673E-2</v>
      </c>
      <c r="M715" s="163">
        <v>4</v>
      </c>
      <c r="N715" s="163">
        <v>7.7543859649122799</v>
      </c>
      <c r="O715" s="163">
        <v>3.7543859649122799</v>
      </c>
      <c r="P715" s="163"/>
      <c r="Q715" s="163">
        <v>6</v>
      </c>
      <c r="R715" s="163">
        <v>0</v>
      </c>
      <c r="S715" s="163">
        <v>0</v>
      </c>
      <c r="T715" s="163">
        <v>0</v>
      </c>
      <c r="U715" s="163">
        <v>0</v>
      </c>
      <c r="V715" s="163">
        <v>0</v>
      </c>
      <c r="W715" s="163">
        <v>0</v>
      </c>
      <c r="X715" s="163">
        <v>0</v>
      </c>
      <c r="Y715" s="163">
        <v>6</v>
      </c>
      <c r="Z715" s="163">
        <v>6</v>
      </c>
      <c r="AA715" s="163">
        <v>0</v>
      </c>
      <c r="AB715" s="163">
        <v>0</v>
      </c>
      <c r="AC715" s="163">
        <v>6</v>
      </c>
      <c r="AD715" s="163">
        <v>0</v>
      </c>
      <c r="AE715" s="165">
        <v>0.26096565279150469</v>
      </c>
      <c r="AF715" s="166">
        <v>0.391448479187257</v>
      </c>
    </row>
    <row r="716" spans="1:32">
      <c r="A716" s="161">
        <v>15</v>
      </c>
      <c r="B716" s="162">
        <v>0.875</v>
      </c>
      <c r="C716" s="163">
        <v>2.6580143374128657</v>
      </c>
      <c r="D716" s="163">
        <v>688.25634655737235</v>
      </c>
      <c r="E716" s="164">
        <v>0.9123</v>
      </c>
      <c r="F716" s="164">
        <v>0.9123</v>
      </c>
      <c r="G716" s="163">
        <v>4</v>
      </c>
      <c r="H716" s="163">
        <v>6.6666666666666661</v>
      </c>
      <c r="I716" s="163">
        <v>2.6666666666666661</v>
      </c>
      <c r="J716" s="163">
        <v>3</v>
      </c>
      <c r="K716" s="163">
        <v>3.0989473684210527</v>
      </c>
      <c r="L716" s="163">
        <v>9.8947368421052673E-2</v>
      </c>
      <c r="M716" s="163">
        <v>4</v>
      </c>
      <c r="N716" s="163">
        <v>5.9649122807017543</v>
      </c>
      <c r="O716" s="163">
        <v>1.9649122807017543</v>
      </c>
      <c r="P716" s="163"/>
      <c r="Q716" s="163">
        <v>4</v>
      </c>
      <c r="R716" s="163">
        <v>0</v>
      </c>
      <c r="S716" s="163">
        <v>0</v>
      </c>
      <c r="T716" s="163">
        <v>0</v>
      </c>
      <c r="U716" s="163">
        <v>0</v>
      </c>
      <c r="V716" s="163">
        <v>0</v>
      </c>
      <c r="W716" s="163">
        <v>0</v>
      </c>
      <c r="X716" s="163">
        <v>0</v>
      </c>
      <c r="Y716" s="163">
        <v>4</v>
      </c>
      <c r="Z716" s="163">
        <v>4</v>
      </c>
      <c r="AA716" s="163">
        <v>0</v>
      </c>
      <c r="AB716" s="163">
        <v>0</v>
      </c>
      <c r="AC716" s="163">
        <v>4</v>
      </c>
      <c r="AD716" s="163">
        <v>0</v>
      </c>
      <c r="AE716" s="165">
        <v>0.32795997039489899</v>
      </c>
      <c r="AF716" s="166">
        <v>0.32795997039489899</v>
      </c>
    </row>
    <row r="717" spans="1:32">
      <c r="A717" s="161">
        <v>15</v>
      </c>
      <c r="B717" s="162">
        <v>0.89583333333333337</v>
      </c>
      <c r="C717" s="163">
        <v>2.3247149793841912</v>
      </c>
      <c r="D717" s="163">
        <v>677.4693677069223</v>
      </c>
      <c r="E717" s="164">
        <v>0.93959999999999999</v>
      </c>
      <c r="F717" s="164">
        <v>0.93959999999999999</v>
      </c>
      <c r="G717" s="163">
        <v>4</v>
      </c>
      <c r="H717" s="163">
        <v>6.6666666666666661</v>
      </c>
      <c r="I717" s="163">
        <v>2.6666666666666661</v>
      </c>
      <c r="J717" s="163">
        <v>3</v>
      </c>
      <c r="K717" s="163">
        <v>3.0989473684210527</v>
      </c>
      <c r="L717" s="163">
        <v>9.8947368421052673E-2</v>
      </c>
      <c r="M717" s="163">
        <v>4</v>
      </c>
      <c r="N717" s="163">
        <v>5.9649122807017543</v>
      </c>
      <c r="O717" s="163">
        <v>1.9649122807017543</v>
      </c>
      <c r="P717" s="163"/>
      <c r="Q717" s="163">
        <v>4</v>
      </c>
      <c r="R717" s="163">
        <v>0</v>
      </c>
      <c r="S717" s="163">
        <v>0</v>
      </c>
      <c r="T717" s="163">
        <v>0</v>
      </c>
      <c r="U717" s="163">
        <v>0</v>
      </c>
      <c r="V717" s="163">
        <v>0</v>
      </c>
      <c r="W717" s="163">
        <v>0</v>
      </c>
      <c r="X717" s="163">
        <v>0</v>
      </c>
      <c r="Y717" s="163">
        <v>4</v>
      </c>
      <c r="Z717" s="163">
        <v>4</v>
      </c>
      <c r="AA717" s="163">
        <v>0</v>
      </c>
      <c r="AB717" s="163">
        <v>0</v>
      </c>
      <c r="AC717" s="163">
        <v>4</v>
      </c>
      <c r="AD717" s="163">
        <v>0</v>
      </c>
      <c r="AE717" s="165">
        <v>0.28234016980357562</v>
      </c>
      <c r="AF717" s="166">
        <v>0.28234016980357562</v>
      </c>
    </row>
    <row r="718" spans="1:32">
      <c r="A718" s="161">
        <v>15</v>
      </c>
      <c r="B718" s="162">
        <v>0.91666666666666663</v>
      </c>
      <c r="C718" s="163">
        <v>1.9910678670210551</v>
      </c>
      <c r="D718" s="163">
        <v>671.30308003123253</v>
      </c>
      <c r="E718" s="164">
        <v>0.60423333333333329</v>
      </c>
      <c r="F718" s="164">
        <v>0.60423333333333329</v>
      </c>
      <c r="G718" s="163">
        <v>3</v>
      </c>
      <c r="H718" s="163">
        <v>5.333333333333333</v>
      </c>
      <c r="I718" s="163">
        <v>2.333333333333333</v>
      </c>
      <c r="J718" s="163">
        <v>2</v>
      </c>
      <c r="K718" s="163">
        <v>2.3242105263157895</v>
      </c>
      <c r="L718" s="163">
        <v>0.3242105263157895</v>
      </c>
      <c r="M718" s="163">
        <v>3</v>
      </c>
      <c r="N718" s="163">
        <v>4.7719298245614032</v>
      </c>
      <c r="O718" s="163">
        <v>1.7719298245614032</v>
      </c>
      <c r="P718" s="163"/>
      <c r="Q718" s="163">
        <v>4</v>
      </c>
      <c r="R718" s="163">
        <v>0</v>
      </c>
      <c r="S718" s="163">
        <v>0</v>
      </c>
      <c r="T718" s="163">
        <v>0</v>
      </c>
      <c r="U718" s="163">
        <v>0</v>
      </c>
      <c r="V718" s="163">
        <v>0</v>
      </c>
      <c r="W718" s="163">
        <v>0</v>
      </c>
      <c r="X718" s="163">
        <v>0</v>
      </c>
      <c r="Y718" s="163">
        <v>4</v>
      </c>
      <c r="Z718" s="163">
        <v>4</v>
      </c>
      <c r="AA718" s="163">
        <v>0</v>
      </c>
      <c r="AB718" s="163">
        <v>0</v>
      </c>
      <c r="AC718" s="163">
        <v>4</v>
      </c>
      <c r="AD718" s="163">
        <v>0</v>
      </c>
      <c r="AE718" s="165">
        <v>0.23961720487966642</v>
      </c>
      <c r="AF718" s="166">
        <v>0.31948960650622188</v>
      </c>
    </row>
    <row r="719" spans="1:32">
      <c r="A719" s="161">
        <v>15</v>
      </c>
      <c r="B719" s="162">
        <v>0.9375</v>
      </c>
      <c r="C719" s="163">
        <v>1.733696375565204</v>
      </c>
      <c r="D719" s="163">
        <v>658.8960994972341</v>
      </c>
      <c r="E719" s="164">
        <v>0.49619999999999997</v>
      </c>
      <c r="F719" s="164">
        <v>0.49619999999999997</v>
      </c>
      <c r="G719" s="163">
        <v>3</v>
      </c>
      <c r="H719" s="163">
        <v>3.333333333333333</v>
      </c>
      <c r="I719" s="163">
        <v>0.33333333333333304</v>
      </c>
      <c r="J719" s="163">
        <v>2</v>
      </c>
      <c r="K719" s="163">
        <v>2.3242105263157895</v>
      </c>
      <c r="L719" s="163">
        <v>0.3242105263157895</v>
      </c>
      <c r="M719" s="163">
        <v>3</v>
      </c>
      <c r="N719" s="163">
        <v>2.9824561403508771</v>
      </c>
      <c r="O719" s="163">
        <v>-1.7543859649122862E-2</v>
      </c>
      <c r="P719" s="163"/>
      <c r="Q719" s="163">
        <v>2</v>
      </c>
      <c r="R719" s="163">
        <v>0</v>
      </c>
      <c r="S719" s="163">
        <v>0</v>
      </c>
      <c r="T719" s="163">
        <v>0</v>
      </c>
      <c r="U719" s="163">
        <v>0</v>
      </c>
      <c r="V719" s="163">
        <v>0</v>
      </c>
      <c r="W719" s="163">
        <v>0</v>
      </c>
      <c r="X719" s="163">
        <v>0</v>
      </c>
      <c r="Y719" s="163">
        <v>2</v>
      </c>
      <c r="Z719" s="163">
        <v>2</v>
      </c>
      <c r="AA719" s="163">
        <v>0</v>
      </c>
      <c r="AB719" s="163">
        <v>0</v>
      </c>
      <c r="AC719" s="163">
        <v>2</v>
      </c>
      <c r="AD719" s="163">
        <v>0</v>
      </c>
      <c r="AE719" s="165">
        <v>0.40957483793545607</v>
      </c>
      <c r="AF719" s="166">
        <v>0.27304989195697071</v>
      </c>
    </row>
    <row r="720" spans="1:32">
      <c r="A720" s="161">
        <v>15</v>
      </c>
      <c r="B720" s="162">
        <v>0.95833333333333337</v>
      </c>
      <c r="C720" s="163">
        <v>1.4660250306654115</v>
      </c>
      <c r="D720" s="163">
        <v>648.26970730636742</v>
      </c>
      <c r="E720" s="164">
        <v>0.56910000000000005</v>
      </c>
      <c r="F720" s="164">
        <v>0.56910000000000005</v>
      </c>
      <c r="G720" s="163">
        <v>3</v>
      </c>
      <c r="H720" s="163">
        <v>3.333333333333333</v>
      </c>
      <c r="I720" s="163">
        <v>0.33333333333333304</v>
      </c>
      <c r="J720" s="163">
        <v>2</v>
      </c>
      <c r="K720" s="163">
        <v>2.3242105263157895</v>
      </c>
      <c r="L720" s="163">
        <v>0.3242105263157895</v>
      </c>
      <c r="M720" s="163">
        <v>3</v>
      </c>
      <c r="N720" s="163">
        <v>2.9824561403508771</v>
      </c>
      <c r="O720" s="163">
        <v>-1.7543859649122862E-2</v>
      </c>
      <c r="P720" s="163"/>
      <c r="Q720" s="163">
        <v>2</v>
      </c>
      <c r="R720" s="163">
        <v>0</v>
      </c>
      <c r="S720" s="163">
        <v>0</v>
      </c>
      <c r="T720" s="163">
        <v>0</v>
      </c>
      <c r="U720" s="163">
        <v>0</v>
      </c>
      <c r="V720" s="163">
        <v>0</v>
      </c>
      <c r="W720" s="163">
        <v>0</v>
      </c>
      <c r="X720" s="163">
        <v>0</v>
      </c>
      <c r="Y720" s="163">
        <v>2</v>
      </c>
      <c r="Z720" s="163">
        <v>2</v>
      </c>
      <c r="AA720" s="163">
        <v>0</v>
      </c>
      <c r="AB720" s="163">
        <v>0</v>
      </c>
      <c r="AC720" s="163">
        <v>2</v>
      </c>
      <c r="AD720" s="163">
        <v>0</v>
      </c>
      <c r="AE720" s="165">
        <v>0.34075356154008557</v>
      </c>
      <c r="AF720" s="166">
        <v>0.22716904102672372</v>
      </c>
    </row>
    <row r="721" spans="1:32">
      <c r="A721" s="161">
        <v>15</v>
      </c>
      <c r="B721" s="162">
        <v>0.97916666666666663</v>
      </c>
      <c r="C721" s="163">
        <v>1.1248475954106973</v>
      </c>
      <c r="D721" s="163">
        <v>583.32438082649367</v>
      </c>
      <c r="E721" s="164">
        <v>0.69010000000000005</v>
      </c>
      <c r="F721" s="164">
        <v>0.69010000000000005</v>
      </c>
      <c r="G721" s="163">
        <v>3</v>
      </c>
      <c r="H721" s="163">
        <v>3.333333333333333</v>
      </c>
      <c r="I721" s="163">
        <v>0.33333333333333304</v>
      </c>
      <c r="J721" s="163">
        <v>2</v>
      </c>
      <c r="K721" s="163">
        <v>2.3242105263157895</v>
      </c>
      <c r="L721" s="163">
        <v>0.3242105263157895</v>
      </c>
      <c r="M721" s="163">
        <v>3</v>
      </c>
      <c r="N721" s="163">
        <v>2.9824561403508771</v>
      </c>
      <c r="O721" s="163">
        <v>-1.7543859649122862E-2</v>
      </c>
      <c r="P721" s="163"/>
      <c r="Q721" s="163">
        <v>2</v>
      </c>
      <c r="R721" s="163">
        <v>0</v>
      </c>
      <c r="S721" s="163">
        <v>0</v>
      </c>
      <c r="T721" s="163">
        <v>0</v>
      </c>
      <c r="U721" s="163">
        <v>0</v>
      </c>
      <c r="V721" s="163">
        <v>0</v>
      </c>
      <c r="W721" s="163">
        <v>0</v>
      </c>
      <c r="X721" s="163">
        <v>0</v>
      </c>
      <c r="Y721" s="163">
        <v>2</v>
      </c>
      <c r="Z721" s="163">
        <v>2</v>
      </c>
      <c r="AA721" s="163">
        <v>0</v>
      </c>
      <c r="AB721" s="163">
        <v>0</v>
      </c>
      <c r="AC721" s="163">
        <v>2</v>
      </c>
      <c r="AD721" s="163">
        <v>0</v>
      </c>
      <c r="AE721" s="165">
        <v>0.23525946397994396</v>
      </c>
      <c r="AF721" s="166">
        <v>0.15683964265329597</v>
      </c>
    </row>
    <row r="722" spans="1:32">
      <c r="A722" s="161">
        <v>16</v>
      </c>
      <c r="B722" s="162">
        <v>0</v>
      </c>
      <c r="C722" s="163">
        <v>0.60508181751433832</v>
      </c>
      <c r="D722" s="163">
        <v>637.84330090394178</v>
      </c>
      <c r="E722" s="164">
        <v>0.80889999999999995</v>
      </c>
      <c r="F722" s="164">
        <v>0.80889999999999995</v>
      </c>
      <c r="G722" s="163">
        <v>3</v>
      </c>
      <c r="H722" s="163">
        <v>3.333333333333333</v>
      </c>
      <c r="I722" s="163">
        <v>0.33333333333333304</v>
      </c>
      <c r="J722" s="163">
        <v>2</v>
      </c>
      <c r="K722" s="163">
        <v>2.3242105263157895</v>
      </c>
      <c r="L722" s="163">
        <v>0.3242105263157895</v>
      </c>
      <c r="M722" s="163">
        <v>3</v>
      </c>
      <c r="N722" s="163">
        <v>2.9824561403508771</v>
      </c>
      <c r="O722" s="163">
        <v>-1.7543859649122862E-2</v>
      </c>
      <c r="P722" s="163"/>
      <c r="Q722" s="163">
        <v>2</v>
      </c>
      <c r="R722" s="163">
        <v>0</v>
      </c>
      <c r="S722" s="163">
        <v>0</v>
      </c>
      <c r="T722" s="163">
        <v>0</v>
      </c>
      <c r="U722" s="163">
        <v>0</v>
      </c>
      <c r="V722" s="163">
        <v>0</v>
      </c>
      <c r="W722" s="163">
        <v>0</v>
      </c>
      <c r="X722" s="163">
        <v>0</v>
      </c>
      <c r="Y722" s="163">
        <v>2</v>
      </c>
      <c r="Z722" s="163">
        <v>2</v>
      </c>
      <c r="AA722" s="163">
        <v>0</v>
      </c>
      <c r="AB722" s="163">
        <v>0</v>
      </c>
      <c r="AC722" s="163">
        <v>2</v>
      </c>
      <c r="AD722" s="163">
        <v>0</v>
      </c>
      <c r="AE722" s="165">
        <v>0.13837938353347182</v>
      </c>
      <c r="AF722" s="166">
        <v>9.2252922355647873E-2</v>
      </c>
    </row>
    <row r="723" spans="1:32">
      <c r="A723" s="161">
        <v>16</v>
      </c>
      <c r="B723" s="162">
        <v>2.0833333333333332E-2</v>
      </c>
      <c r="C723" s="163">
        <v>0.38441477669734414</v>
      </c>
      <c r="D723" s="163">
        <v>637.6846368818824</v>
      </c>
      <c r="E723" s="164">
        <v>0.87570000000000003</v>
      </c>
      <c r="F723" s="164">
        <v>0.87570000000000003</v>
      </c>
      <c r="G723" s="163">
        <v>2</v>
      </c>
      <c r="H723" s="163">
        <v>3.333333333333333</v>
      </c>
      <c r="I723" s="163">
        <v>1.333333333333333</v>
      </c>
      <c r="J723" s="163">
        <v>1</v>
      </c>
      <c r="K723" s="163">
        <v>1.5494736842105263</v>
      </c>
      <c r="L723" s="163">
        <v>0.54947368421052634</v>
      </c>
      <c r="M723" s="163">
        <v>2</v>
      </c>
      <c r="N723" s="163">
        <v>2.9824561403508771</v>
      </c>
      <c r="O723" s="163">
        <v>0.98245614035087714</v>
      </c>
      <c r="P723" s="163"/>
      <c r="Q723" s="163">
        <v>2</v>
      </c>
      <c r="R723" s="163">
        <v>0</v>
      </c>
      <c r="S723" s="163">
        <v>0</v>
      </c>
      <c r="T723" s="163">
        <v>0</v>
      </c>
      <c r="U723" s="163">
        <v>0</v>
      </c>
      <c r="V723" s="163">
        <v>0</v>
      </c>
      <c r="W723" s="163">
        <v>0</v>
      </c>
      <c r="X723" s="163">
        <v>0</v>
      </c>
      <c r="Y723" s="163">
        <v>2</v>
      </c>
      <c r="Z723" s="163">
        <v>2</v>
      </c>
      <c r="AA723" s="163">
        <v>0</v>
      </c>
      <c r="AB723" s="163">
        <v>0</v>
      </c>
      <c r="AC723" s="163">
        <v>2</v>
      </c>
      <c r="AD723" s="163">
        <v>0</v>
      </c>
      <c r="AE723" s="165">
        <v>8.7891994046558716E-2</v>
      </c>
      <c r="AF723" s="166">
        <v>8.7891994046558716E-2</v>
      </c>
    </row>
    <row r="724" spans="1:32">
      <c r="A724" s="161">
        <v>16</v>
      </c>
      <c r="B724" s="162">
        <v>4.1666666666666664E-2</v>
      </c>
      <c r="C724" s="163">
        <v>0.53039141224026731</v>
      </c>
      <c r="D724" s="163">
        <v>595.89698705496448</v>
      </c>
      <c r="E724" s="164">
        <v>0.84209999999999996</v>
      </c>
      <c r="F724" s="164">
        <v>0.84209999999999996</v>
      </c>
      <c r="G724" s="163">
        <v>2</v>
      </c>
      <c r="H724" s="163">
        <v>3.333333333333333</v>
      </c>
      <c r="I724" s="163">
        <v>1.333333333333333</v>
      </c>
      <c r="J724" s="163">
        <v>1</v>
      </c>
      <c r="K724" s="163">
        <v>1.5494736842105263</v>
      </c>
      <c r="L724" s="163">
        <v>0.54947368421052634</v>
      </c>
      <c r="M724" s="163">
        <v>2</v>
      </c>
      <c r="N724" s="163">
        <v>2.9824561403508771</v>
      </c>
      <c r="O724" s="163">
        <v>0.98245614035087714</v>
      </c>
      <c r="P724" s="163"/>
      <c r="Q724" s="163">
        <v>2</v>
      </c>
      <c r="R724" s="163">
        <v>0</v>
      </c>
      <c r="S724" s="163">
        <v>0</v>
      </c>
      <c r="T724" s="163">
        <v>0</v>
      </c>
      <c r="U724" s="163">
        <v>0</v>
      </c>
      <c r="V724" s="163">
        <v>0</v>
      </c>
      <c r="W724" s="163">
        <v>0</v>
      </c>
      <c r="X724" s="163">
        <v>0</v>
      </c>
      <c r="Y724" s="163">
        <v>2</v>
      </c>
      <c r="Z724" s="163">
        <v>2</v>
      </c>
      <c r="AA724" s="163">
        <v>0</v>
      </c>
      <c r="AB724" s="163">
        <v>0</v>
      </c>
      <c r="AC724" s="163">
        <v>2</v>
      </c>
      <c r="AD724" s="163">
        <v>0</v>
      </c>
      <c r="AE724" s="165">
        <v>0.11332114745173336</v>
      </c>
      <c r="AF724" s="166">
        <v>0.11332114745173336</v>
      </c>
    </row>
    <row r="725" spans="1:32">
      <c r="A725" s="161">
        <v>16</v>
      </c>
      <c r="B725" s="162">
        <v>6.25E-2</v>
      </c>
      <c r="C725" s="163">
        <v>0.41473838219201947</v>
      </c>
      <c r="D725" s="163">
        <v>645.19995323455146</v>
      </c>
      <c r="E725" s="164">
        <v>0.86480000000000012</v>
      </c>
      <c r="F725" s="164">
        <v>0.86480000000000012</v>
      </c>
      <c r="G725" s="163">
        <v>2</v>
      </c>
      <c r="H725" s="163">
        <v>3.333333333333333</v>
      </c>
      <c r="I725" s="163">
        <v>1.333333333333333</v>
      </c>
      <c r="J725" s="163">
        <v>1</v>
      </c>
      <c r="K725" s="163">
        <v>1.5494736842105263</v>
      </c>
      <c r="L725" s="163">
        <v>0.54947368421052634</v>
      </c>
      <c r="M725" s="163">
        <v>2</v>
      </c>
      <c r="N725" s="163">
        <v>2.9824561403508771</v>
      </c>
      <c r="O725" s="163">
        <v>0.98245614035087714</v>
      </c>
      <c r="P725" s="163"/>
      <c r="Q725" s="163">
        <v>2</v>
      </c>
      <c r="R725" s="163">
        <v>0</v>
      </c>
      <c r="S725" s="163">
        <v>0</v>
      </c>
      <c r="T725" s="163">
        <v>0</v>
      </c>
      <c r="U725" s="163">
        <v>0</v>
      </c>
      <c r="V725" s="163">
        <v>0</v>
      </c>
      <c r="W725" s="163">
        <v>0</v>
      </c>
      <c r="X725" s="163">
        <v>0</v>
      </c>
      <c r="Y725" s="163">
        <v>2</v>
      </c>
      <c r="Z725" s="163">
        <v>2</v>
      </c>
      <c r="AA725" s="163">
        <v>0</v>
      </c>
      <c r="AB725" s="163">
        <v>0</v>
      </c>
      <c r="AC725" s="163">
        <v>2</v>
      </c>
      <c r="AD725" s="163">
        <v>0</v>
      </c>
      <c r="AE725" s="165">
        <v>9.5942680236685257E-2</v>
      </c>
      <c r="AF725" s="166">
        <v>9.5942680236685257E-2</v>
      </c>
    </row>
    <row r="726" spans="1:32">
      <c r="A726" s="161">
        <v>16</v>
      </c>
      <c r="B726" s="162">
        <v>8.3333333333333329E-2</v>
      </c>
      <c r="C726" s="163">
        <v>0.31779246903761171</v>
      </c>
      <c r="D726" s="163">
        <v>607.71055008914414</v>
      </c>
      <c r="E726" s="164">
        <v>0.90140000000000009</v>
      </c>
      <c r="F726" s="164">
        <v>0.90140000000000009</v>
      </c>
      <c r="G726" s="163">
        <v>2</v>
      </c>
      <c r="H726" s="163">
        <v>3.333333333333333</v>
      </c>
      <c r="I726" s="163">
        <v>1.333333333333333</v>
      </c>
      <c r="J726" s="163">
        <v>1</v>
      </c>
      <c r="K726" s="163">
        <v>1.5494736842105263</v>
      </c>
      <c r="L726" s="163">
        <v>0.54947368421052634</v>
      </c>
      <c r="M726" s="163">
        <v>2</v>
      </c>
      <c r="N726" s="163">
        <v>2.9824561403508771</v>
      </c>
      <c r="O726" s="163">
        <v>0.98245614035087714</v>
      </c>
      <c r="P726" s="163"/>
      <c r="Q726" s="163">
        <v>2</v>
      </c>
      <c r="R726" s="163">
        <v>0</v>
      </c>
      <c r="S726" s="163">
        <v>0</v>
      </c>
      <c r="T726" s="163">
        <v>0</v>
      </c>
      <c r="U726" s="163">
        <v>0</v>
      </c>
      <c r="V726" s="163">
        <v>0</v>
      </c>
      <c r="W726" s="163">
        <v>0</v>
      </c>
      <c r="X726" s="163">
        <v>0</v>
      </c>
      <c r="Y726" s="163">
        <v>2</v>
      </c>
      <c r="Z726" s="163">
        <v>2</v>
      </c>
      <c r="AA726" s="163">
        <v>0</v>
      </c>
      <c r="AB726" s="163">
        <v>0</v>
      </c>
      <c r="AC726" s="163">
        <v>2</v>
      </c>
      <c r="AD726" s="163">
        <v>0</v>
      </c>
      <c r="AE726" s="165">
        <v>6.9244242287282071E-2</v>
      </c>
      <c r="AF726" s="166">
        <v>6.9244242287282071E-2</v>
      </c>
    </row>
    <row r="727" spans="1:32">
      <c r="A727" s="161">
        <v>16</v>
      </c>
      <c r="B727" s="162">
        <v>0.10416666666666667</v>
      </c>
      <c r="C727" s="163">
        <v>0.23366182711871369</v>
      </c>
      <c r="D727" s="163">
        <v>639.61187987822234</v>
      </c>
      <c r="E727" s="164">
        <v>0.92289999999999994</v>
      </c>
      <c r="F727" s="164">
        <v>0.92289999999999994</v>
      </c>
      <c r="G727" s="163">
        <v>2</v>
      </c>
      <c r="H727" s="163">
        <v>3.333333333333333</v>
      </c>
      <c r="I727" s="163">
        <v>1.333333333333333</v>
      </c>
      <c r="J727" s="163">
        <v>1</v>
      </c>
      <c r="K727" s="163">
        <v>1.5494736842105263</v>
      </c>
      <c r="L727" s="163">
        <v>0.54947368421052634</v>
      </c>
      <c r="M727" s="163">
        <v>2</v>
      </c>
      <c r="N727" s="163">
        <v>2.9824561403508771</v>
      </c>
      <c r="O727" s="163">
        <v>0.98245614035087714</v>
      </c>
      <c r="P727" s="163"/>
      <c r="Q727" s="163">
        <v>2</v>
      </c>
      <c r="R727" s="163">
        <v>0</v>
      </c>
      <c r="S727" s="163">
        <v>0</v>
      </c>
      <c r="T727" s="163">
        <v>0</v>
      </c>
      <c r="U727" s="163">
        <v>0</v>
      </c>
      <c r="V727" s="163">
        <v>0</v>
      </c>
      <c r="W727" s="163">
        <v>0</v>
      </c>
      <c r="X727" s="163">
        <v>0</v>
      </c>
      <c r="Y727" s="163">
        <v>2</v>
      </c>
      <c r="Z727" s="163">
        <v>2</v>
      </c>
      <c r="AA727" s="163">
        <v>0</v>
      </c>
      <c r="AB727" s="163">
        <v>0</v>
      </c>
      <c r="AC727" s="163">
        <v>2</v>
      </c>
      <c r="AD727" s="163">
        <v>0</v>
      </c>
      <c r="AE727" s="165">
        <v>5.3585536108930257E-2</v>
      </c>
      <c r="AF727" s="166">
        <v>5.3585536108930257E-2</v>
      </c>
    </row>
    <row r="728" spans="1:32">
      <c r="A728" s="161">
        <v>16</v>
      </c>
      <c r="B728" s="162">
        <v>0.125</v>
      </c>
      <c r="C728" s="163">
        <v>0.2016811033902895</v>
      </c>
      <c r="D728" s="163">
        <v>575.89585066803636</v>
      </c>
      <c r="E728" s="164">
        <v>0.94010000000000005</v>
      </c>
      <c r="F728" s="164">
        <v>0.94010000000000005</v>
      </c>
      <c r="G728" s="163">
        <v>2</v>
      </c>
      <c r="H728" s="163">
        <v>3.333333333333333</v>
      </c>
      <c r="I728" s="163">
        <v>1.333333333333333</v>
      </c>
      <c r="J728" s="163">
        <v>1</v>
      </c>
      <c r="K728" s="163">
        <v>1.5494736842105263</v>
      </c>
      <c r="L728" s="163">
        <v>0.54947368421052634</v>
      </c>
      <c r="M728" s="163">
        <v>2</v>
      </c>
      <c r="N728" s="163">
        <v>2.9824561403508771</v>
      </c>
      <c r="O728" s="163">
        <v>0.98245614035087714</v>
      </c>
      <c r="P728" s="163"/>
      <c r="Q728" s="163">
        <v>2</v>
      </c>
      <c r="R728" s="163">
        <v>0</v>
      </c>
      <c r="S728" s="163">
        <v>0</v>
      </c>
      <c r="T728" s="163">
        <v>0</v>
      </c>
      <c r="U728" s="163">
        <v>0</v>
      </c>
      <c r="V728" s="163">
        <v>0</v>
      </c>
      <c r="W728" s="163">
        <v>0</v>
      </c>
      <c r="X728" s="163">
        <v>0</v>
      </c>
      <c r="Y728" s="163">
        <v>2</v>
      </c>
      <c r="Z728" s="163">
        <v>2</v>
      </c>
      <c r="AA728" s="163">
        <v>0</v>
      </c>
      <c r="AB728" s="163">
        <v>0</v>
      </c>
      <c r="AC728" s="163">
        <v>2</v>
      </c>
      <c r="AD728" s="163">
        <v>0</v>
      </c>
      <c r="AE728" s="165">
        <v>4.1644001007921191E-2</v>
      </c>
      <c r="AF728" s="166">
        <v>4.1644001007921191E-2</v>
      </c>
    </row>
    <row r="729" spans="1:32">
      <c r="A729" s="161">
        <v>16</v>
      </c>
      <c r="B729" s="162">
        <v>0.14583333333333334</v>
      </c>
      <c r="C729" s="163">
        <v>0.20218297437485711</v>
      </c>
      <c r="D729" s="163">
        <v>645.0231594990247</v>
      </c>
      <c r="E729" s="164">
        <v>0.93259999999999998</v>
      </c>
      <c r="F729" s="164">
        <v>0.93259999999999998</v>
      </c>
      <c r="G729" s="163">
        <v>2</v>
      </c>
      <c r="H729" s="163">
        <v>3.333333333333333</v>
      </c>
      <c r="I729" s="163">
        <v>1.333333333333333</v>
      </c>
      <c r="J729" s="163">
        <v>1</v>
      </c>
      <c r="K729" s="163">
        <v>1.5494736842105263</v>
      </c>
      <c r="L729" s="163">
        <v>0.54947368421052634</v>
      </c>
      <c r="M729" s="163">
        <v>2</v>
      </c>
      <c r="N729" s="163">
        <v>2.9824561403508771</v>
      </c>
      <c r="O729" s="163">
        <v>0.98245614035087714</v>
      </c>
      <c r="P729" s="163"/>
      <c r="Q729" s="163">
        <v>2</v>
      </c>
      <c r="R729" s="163">
        <v>0</v>
      </c>
      <c r="S729" s="163">
        <v>0</v>
      </c>
      <c r="T729" s="163">
        <v>0</v>
      </c>
      <c r="U729" s="163">
        <v>0</v>
      </c>
      <c r="V729" s="163">
        <v>0</v>
      </c>
      <c r="W729" s="163">
        <v>0</v>
      </c>
      <c r="X729" s="163">
        <v>0</v>
      </c>
      <c r="Y729" s="163">
        <v>2</v>
      </c>
      <c r="Z729" s="163">
        <v>2</v>
      </c>
      <c r="AA729" s="163">
        <v>0</v>
      </c>
      <c r="AB729" s="163">
        <v>0</v>
      </c>
      <c r="AC729" s="163">
        <v>2</v>
      </c>
      <c r="AD729" s="163">
        <v>0</v>
      </c>
      <c r="AE729" s="165">
        <v>4.6758780903446429E-2</v>
      </c>
      <c r="AF729" s="166">
        <v>4.6758780903446429E-2</v>
      </c>
    </row>
    <row r="730" spans="1:32">
      <c r="A730" s="161">
        <v>16</v>
      </c>
      <c r="B730" s="162">
        <v>0.16666666666666666</v>
      </c>
      <c r="C730" s="163">
        <v>0.17358716948471228</v>
      </c>
      <c r="D730" s="163">
        <v>672.99657390094148</v>
      </c>
      <c r="E730" s="164">
        <v>0.93929999999999991</v>
      </c>
      <c r="F730" s="164">
        <v>0.93929999999999991</v>
      </c>
      <c r="G730" s="163">
        <v>2</v>
      </c>
      <c r="H730" s="163">
        <v>3.333333333333333</v>
      </c>
      <c r="I730" s="163">
        <v>1.333333333333333</v>
      </c>
      <c r="J730" s="163">
        <v>1</v>
      </c>
      <c r="K730" s="163">
        <v>1.5494736842105263</v>
      </c>
      <c r="L730" s="163">
        <v>0.54947368421052634</v>
      </c>
      <c r="M730" s="163">
        <v>2</v>
      </c>
      <c r="N730" s="163">
        <v>2.9824561403508771</v>
      </c>
      <c r="O730" s="163">
        <v>0.98245614035087714</v>
      </c>
      <c r="P730" s="163"/>
      <c r="Q730" s="163">
        <v>2</v>
      </c>
      <c r="R730" s="163">
        <v>0</v>
      </c>
      <c r="S730" s="163">
        <v>0</v>
      </c>
      <c r="T730" s="163">
        <v>0</v>
      </c>
      <c r="U730" s="163">
        <v>0</v>
      </c>
      <c r="V730" s="163">
        <v>0</v>
      </c>
      <c r="W730" s="163">
        <v>0</v>
      </c>
      <c r="X730" s="163">
        <v>0</v>
      </c>
      <c r="Y730" s="163">
        <v>2</v>
      </c>
      <c r="Z730" s="163">
        <v>2</v>
      </c>
      <c r="AA730" s="163">
        <v>0</v>
      </c>
      <c r="AB730" s="163">
        <v>0</v>
      </c>
      <c r="AC730" s="163">
        <v>2</v>
      </c>
      <c r="AD730" s="163">
        <v>0</v>
      </c>
      <c r="AE730" s="165">
        <v>4.1886470342525191E-2</v>
      </c>
      <c r="AF730" s="166">
        <v>4.1886470342525191E-2</v>
      </c>
    </row>
    <row r="731" spans="1:32">
      <c r="A731" s="161">
        <v>16</v>
      </c>
      <c r="B731" s="162">
        <v>0.1875</v>
      </c>
      <c r="C731" s="163">
        <v>0.20460768662949469</v>
      </c>
      <c r="D731" s="163">
        <v>666.52842223143875</v>
      </c>
      <c r="E731" s="164">
        <v>0.92939999999999989</v>
      </c>
      <c r="F731" s="164">
        <v>0.92939999999999989</v>
      </c>
      <c r="G731" s="163">
        <v>2</v>
      </c>
      <c r="H731" s="163">
        <v>3.333333333333333</v>
      </c>
      <c r="I731" s="163">
        <v>1.333333333333333</v>
      </c>
      <c r="J731" s="163">
        <v>1</v>
      </c>
      <c r="K731" s="163">
        <v>1.5494736842105263</v>
      </c>
      <c r="L731" s="163">
        <v>0.54947368421052634</v>
      </c>
      <c r="M731" s="163">
        <v>2</v>
      </c>
      <c r="N731" s="163">
        <v>2.9824561403508771</v>
      </c>
      <c r="O731" s="163">
        <v>0.98245614035087714</v>
      </c>
      <c r="P731" s="163"/>
      <c r="Q731" s="163">
        <v>2</v>
      </c>
      <c r="R731" s="163">
        <v>0</v>
      </c>
      <c r="S731" s="163">
        <v>0</v>
      </c>
      <c r="T731" s="163">
        <v>0</v>
      </c>
      <c r="U731" s="163">
        <v>0</v>
      </c>
      <c r="V731" s="163">
        <v>0</v>
      </c>
      <c r="W731" s="163">
        <v>0</v>
      </c>
      <c r="X731" s="163">
        <v>0</v>
      </c>
      <c r="Y731" s="163">
        <v>2</v>
      </c>
      <c r="Z731" s="163">
        <v>2</v>
      </c>
      <c r="AA731" s="163">
        <v>0</v>
      </c>
      <c r="AB731" s="163">
        <v>0</v>
      </c>
      <c r="AC731" s="163">
        <v>2</v>
      </c>
      <c r="AD731" s="163">
        <v>0</v>
      </c>
      <c r="AE731" s="165">
        <v>4.8897190752680654E-2</v>
      </c>
      <c r="AF731" s="166">
        <v>4.8897190752680654E-2</v>
      </c>
    </row>
    <row r="732" spans="1:32">
      <c r="A732" s="161">
        <v>16</v>
      </c>
      <c r="B732" s="162">
        <v>0.20833333333333334</v>
      </c>
      <c r="C732" s="163">
        <v>0.28777812196475089</v>
      </c>
      <c r="D732" s="163">
        <v>624.40914795013509</v>
      </c>
      <c r="E732" s="164">
        <v>0.90800000000000003</v>
      </c>
      <c r="F732" s="164">
        <v>0.90800000000000003</v>
      </c>
      <c r="G732" s="163">
        <v>2</v>
      </c>
      <c r="H732" s="163">
        <v>3.333333333333333</v>
      </c>
      <c r="I732" s="163">
        <v>1.333333333333333</v>
      </c>
      <c r="J732" s="163">
        <v>1</v>
      </c>
      <c r="K732" s="163">
        <v>1.5494736842105263</v>
      </c>
      <c r="L732" s="163">
        <v>0.54947368421052634</v>
      </c>
      <c r="M732" s="163">
        <v>2</v>
      </c>
      <c r="N732" s="163">
        <v>2.9824561403508771</v>
      </c>
      <c r="O732" s="163">
        <v>0.98245614035087714</v>
      </c>
      <c r="P732" s="163"/>
      <c r="Q732" s="163">
        <v>2</v>
      </c>
      <c r="R732" s="163">
        <v>0</v>
      </c>
      <c r="S732" s="163">
        <v>0</v>
      </c>
      <c r="T732" s="163">
        <v>0</v>
      </c>
      <c r="U732" s="163">
        <v>0</v>
      </c>
      <c r="V732" s="163">
        <v>0</v>
      </c>
      <c r="W732" s="163">
        <v>0</v>
      </c>
      <c r="X732" s="163">
        <v>0</v>
      </c>
      <c r="Y732" s="163">
        <v>2</v>
      </c>
      <c r="Z732" s="163">
        <v>2</v>
      </c>
      <c r="AA732" s="163">
        <v>0</v>
      </c>
      <c r="AB732" s="163">
        <v>0</v>
      </c>
      <c r="AC732" s="163">
        <v>2</v>
      </c>
      <c r="AD732" s="163">
        <v>0</v>
      </c>
      <c r="AE732" s="165">
        <v>6.4427357841925242E-2</v>
      </c>
      <c r="AF732" s="166">
        <v>6.4427357841925242E-2</v>
      </c>
    </row>
    <row r="733" spans="1:32">
      <c r="A733" s="161">
        <v>16</v>
      </c>
      <c r="B733" s="162">
        <v>0.22916666666666666</v>
      </c>
      <c r="C733" s="163">
        <v>0.44357484575377132</v>
      </c>
      <c r="D733" s="163">
        <v>644.09050652972678</v>
      </c>
      <c r="E733" s="164">
        <v>0.85609999999999997</v>
      </c>
      <c r="F733" s="164">
        <v>0.85609999999999997</v>
      </c>
      <c r="G733" s="163">
        <v>2</v>
      </c>
      <c r="H733" s="163">
        <v>3.333333333333333</v>
      </c>
      <c r="I733" s="163">
        <v>1.333333333333333</v>
      </c>
      <c r="J733" s="163">
        <v>1</v>
      </c>
      <c r="K733" s="163">
        <v>1.5494736842105263</v>
      </c>
      <c r="L733" s="163">
        <v>0.54947368421052634</v>
      </c>
      <c r="M733" s="163">
        <v>2</v>
      </c>
      <c r="N733" s="163">
        <v>2.9824561403508771</v>
      </c>
      <c r="O733" s="163">
        <v>0.98245614035087714</v>
      </c>
      <c r="P733" s="163"/>
      <c r="Q733" s="163">
        <v>2</v>
      </c>
      <c r="R733" s="163">
        <v>0</v>
      </c>
      <c r="S733" s="163">
        <v>0</v>
      </c>
      <c r="T733" s="163">
        <v>0</v>
      </c>
      <c r="U733" s="163">
        <v>0</v>
      </c>
      <c r="V733" s="163">
        <v>0</v>
      </c>
      <c r="W733" s="163">
        <v>0</v>
      </c>
      <c r="X733" s="163">
        <v>0</v>
      </c>
      <c r="Y733" s="163">
        <v>2</v>
      </c>
      <c r="Z733" s="163">
        <v>2</v>
      </c>
      <c r="AA733" s="163">
        <v>0</v>
      </c>
      <c r="AB733" s="163">
        <v>0</v>
      </c>
      <c r="AC733" s="163">
        <v>2</v>
      </c>
      <c r="AD733" s="163">
        <v>0</v>
      </c>
      <c r="AE733" s="165">
        <v>0.10243705832243448</v>
      </c>
      <c r="AF733" s="166">
        <v>0.10243705832243448</v>
      </c>
    </row>
    <row r="734" spans="1:32">
      <c r="A734" s="161">
        <v>16</v>
      </c>
      <c r="B734" s="162">
        <v>0.25</v>
      </c>
      <c r="C734" s="163">
        <v>0.66938087866137708</v>
      </c>
      <c r="D734" s="163">
        <v>731.90710055135048</v>
      </c>
      <c r="E734" s="164">
        <v>0.76029999999999998</v>
      </c>
      <c r="F734" s="164">
        <v>0.76029999999999998</v>
      </c>
      <c r="G734" s="163">
        <v>3</v>
      </c>
      <c r="H734" s="163">
        <v>3.333333333333333</v>
      </c>
      <c r="I734" s="163">
        <v>0.33333333333333304</v>
      </c>
      <c r="J734" s="163">
        <v>2</v>
      </c>
      <c r="K734" s="163">
        <v>2.3242105263157895</v>
      </c>
      <c r="L734" s="163">
        <v>0.3242105263157895</v>
      </c>
      <c r="M734" s="163">
        <v>3</v>
      </c>
      <c r="N734" s="163">
        <v>2.9824561403508771</v>
      </c>
      <c r="O734" s="163">
        <v>-1.7543859649122862E-2</v>
      </c>
      <c r="P734" s="163"/>
      <c r="Q734" s="163">
        <v>2</v>
      </c>
      <c r="R734" s="163">
        <v>0</v>
      </c>
      <c r="S734" s="163">
        <v>0</v>
      </c>
      <c r="T734" s="163">
        <v>0</v>
      </c>
      <c r="U734" s="163">
        <v>0</v>
      </c>
      <c r="V734" s="163">
        <v>0</v>
      </c>
      <c r="W734" s="163">
        <v>0</v>
      </c>
      <c r="X734" s="163">
        <v>0</v>
      </c>
      <c r="Y734" s="163">
        <v>2</v>
      </c>
      <c r="Z734" s="163">
        <v>2</v>
      </c>
      <c r="AA734" s="163">
        <v>0</v>
      </c>
      <c r="AB734" s="163">
        <v>0</v>
      </c>
      <c r="AC734" s="163">
        <v>2</v>
      </c>
      <c r="AD734" s="163">
        <v>0</v>
      </c>
      <c r="AE734" s="165">
        <v>0.17565986834325392</v>
      </c>
      <c r="AF734" s="166">
        <v>0.11710657889550262</v>
      </c>
    </row>
    <row r="735" spans="1:32">
      <c r="A735" s="161">
        <v>16</v>
      </c>
      <c r="B735" s="162">
        <v>0.27083333333333331</v>
      </c>
      <c r="C735" s="163">
        <v>1.0236527847499546</v>
      </c>
      <c r="D735" s="163">
        <v>741.21074780501215</v>
      </c>
      <c r="E735" s="164">
        <v>0.64429999999999998</v>
      </c>
      <c r="F735" s="164">
        <v>0.64429999999999998</v>
      </c>
      <c r="G735" s="163">
        <v>3</v>
      </c>
      <c r="H735" s="163">
        <v>3.333333333333333</v>
      </c>
      <c r="I735" s="163">
        <v>0.33333333333333304</v>
      </c>
      <c r="J735" s="163">
        <v>2</v>
      </c>
      <c r="K735" s="163">
        <v>2.3242105263157895</v>
      </c>
      <c r="L735" s="163">
        <v>0.3242105263157895</v>
      </c>
      <c r="M735" s="163">
        <v>3</v>
      </c>
      <c r="N735" s="163">
        <v>2.9824561403508771</v>
      </c>
      <c r="O735" s="163">
        <v>-1.7543859649122862E-2</v>
      </c>
      <c r="P735" s="163"/>
      <c r="Q735" s="163">
        <v>2</v>
      </c>
      <c r="R735" s="163">
        <v>0</v>
      </c>
      <c r="S735" s="163">
        <v>0</v>
      </c>
      <c r="T735" s="163">
        <v>0</v>
      </c>
      <c r="U735" s="163">
        <v>0</v>
      </c>
      <c r="V735" s="163">
        <v>0</v>
      </c>
      <c r="W735" s="163">
        <v>0</v>
      </c>
      <c r="X735" s="163">
        <v>0</v>
      </c>
      <c r="Y735" s="163">
        <v>2</v>
      </c>
      <c r="Z735" s="163">
        <v>2</v>
      </c>
      <c r="AA735" s="163">
        <v>0</v>
      </c>
      <c r="AB735" s="163">
        <v>0</v>
      </c>
      <c r="AC735" s="163">
        <v>2</v>
      </c>
      <c r="AD735" s="163">
        <v>0</v>
      </c>
      <c r="AE735" s="165">
        <v>0.27204307207628969</v>
      </c>
      <c r="AF735" s="166">
        <v>0.18136204805085979</v>
      </c>
    </row>
    <row r="736" spans="1:32">
      <c r="A736" s="161">
        <v>16</v>
      </c>
      <c r="B736" s="162">
        <v>0.29166666666666669</v>
      </c>
      <c r="C736" s="163">
        <v>1.4883159242667103</v>
      </c>
      <c r="D736" s="163">
        <v>795.31515982221435</v>
      </c>
      <c r="E736" s="164">
        <v>0.47859999999999997</v>
      </c>
      <c r="F736" s="164">
        <v>0.47859999999999997</v>
      </c>
      <c r="G736" s="163">
        <v>3</v>
      </c>
      <c r="H736" s="163">
        <v>3.333333333333333</v>
      </c>
      <c r="I736" s="163">
        <v>0.33333333333333304</v>
      </c>
      <c r="J736" s="163">
        <v>2</v>
      </c>
      <c r="K736" s="163">
        <v>2.3242105263157895</v>
      </c>
      <c r="L736" s="163">
        <v>0.3242105263157895</v>
      </c>
      <c r="M736" s="163">
        <v>3</v>
      </c>
      <c r="N736" s="163">
        <v>2.9824561403508771</v>
      </c>
      <c r="O736" s="163">
        <v>-1.7543859649122862E-2</v>
      </c>
      <c r="P736" s="163"/>
      <c r="Q736" s="163">
        <v>2</v>
      </c>
      <c r="R736" s="163">
        <v>0</v>
      </c>
      <c r="S736" s="163">
        <v>0</v>
      </c>
      <c r="T736" s="163">
        <v>0</v>
      </c>
      <c r="U736" s="163">
        <v>0</v>
      </c>
      <c r="V736" s="163">
        <v>0</v>
      </c>
      <c r="W736" s="163">
        <v>0</v>
      </c>
      <c r="X736" s="163">
        <v>0</v>
      </c>
      <c r="Y736" s="163">
        <v>2</v>
      </c>
      <c r="Z736" s="163">
        <v>2</v>
      </c>
      <c r="AA736" s="163">
        <v>0</v>
      </c>
      <c r="AB736" s="163">
        <v>0</v>
      </c>
      <c r="AC736" s="163">
        <v>2</v>
      </c>
      <c r="AD736" s="163">
        <v>0</v>
      </c>
      <c r="AE736" s="165">
        <v>0.42440225177967211</v>
      </c>
      <c r="AF736" s="166">
        <v>0.28293483451978141</v>
      </c>
    </row>
    <row r="737" spans="1:32">
      <c r="A737" s="161">
        <v>16</v>
      </c>
      <c r="B737" s="162">
        <v>0.3125</v>
      </c>
      <c r="C737" s="163">
        <v>2.0023813964822814</v>
      </c>
      <c r="D737" s="163">
        <v>797.61657249000962</v>
      </c>
      <c r="E737" s="164">
        <v>0.93689999999999996</v>
      </c>
      <c r="F737" s="164">
        <v>0.93689999999999996</v>
      </c>
      <c r="G737" s="163">
        <v>4</v>
      </c>
      <c r="H737" s="163">
        <v>6.6666666666666661</v>
      </c>
      <c r="I737" s="163">
        <v>2.6666666666666661</v>
      </c>
      <c r="J737" s="163">
        <v>3</v>
      </c>
      <c r="K737" s="163">
        <v>3.0989473684210527</v>
      </c>
      <c r="L737" s="163">
        <v>9.8947368421052673E-2</v>
      </c>
      <c r="M737" s="163">
        <v>4</v>
      </c>
      <c r="N737" s="163">
        <v>5.9649122807017543</v>
      </c>
      <c r="O737" s="163">
        <v>1.9649122807017543</v>
      </c>
      <c r="P737" s="163"/>
      <c r="Q737" s="163">
        <v>4</v>
      </c>
      <c r="R737" s="163">
        <v>0</v>
      </c>
      <c r="S737" s="163">
        <v>0</v>
      </c>
      <c r="T737" s="163">
        <v>0</v>
      </c>
      <c r="U737" s="163">
        <v>0</v>
      </c>
      <c r="V737" s="163">
        <v>0</v>
      </c>
      <c r="W737" s="163">
        <v>0</v>
      </c>
      <c r="X737" s="163">
        <v>0</v>
      </c>
      <c r="Y737" s="163">
        <v>4</v>
      </c>
      <c r="Z737" s="163">
        <v>4</v>
      </c>
      <c r="AA737" s="163">
        <v>0</v>
      </c>
      <c r="AB737" s="163">
        <v>0</v>
      </c>
      <c r="AC737" s="163">
        <v>4</v>
      </c>
      <c r="AD737" s="163">
        <v>0</v>
      </c>
      <c r="AE737" s="165">
        <v>0.28632170081634178</v>
      </c>
      <c r="AF737" s="166">
        <v>0.28632170081634178</v>
      </c>
    </row>
    <row r="738" spans="1:32">
      <c r="A738" s="161">
        <v>16</v>
      </c>
      <c r="B738" s="162">
        <v>0.33333333333333331</v>
      </c>
      <c r="C738" s="163">
        <v>2.6224494413186163</v>
      </c>
      <c r="D738" s="163">
        <v>782.54289620405405</v>
      </c>
      <c r="E738" s="164">
        <v>0.88319999999999999</v>
      </c>
      <c r="F738" s="164">
        <v>0.88319999999999999</v>
      </c>
      <c r="G738" s="163">
        <v>4</v>
      </c>
      <c r="H738" s="163">
        <v>6.6666666666666661</v>
      </c>
      <c r="I738" s="163">
        <v>2.6666666666666661</v>
      </c>
      <c r="J738" s="163">
        <v>3</v>
      </c>
      <c r="K738" s="163">
        <v>3.0989473684210527</v>
      </c>
      <c r="L738" s="163">
        <v>9.8947368421052673E-2</v>
      </c>
      <c r="M738" s="163">
        <v>4</v>
      </c>
      <c r="N738" s="163">
        <v>5.9649122807017543</v>
      </c>
      <c r="O738" s="163">
        <v>1.9649122807017543</v>
      </c>
      <c r="P738" s="163"/>
      <c r="Q738" s="163">
        <v>4</v>
      </c>
      <c r="R738" s="163">
        <v>0</v>
      </c>
      <c r="S738" s="163">
        <v>0</v>
      </c>
      <c r="T738" s="163">
        <v>0</v>
      </c>
      <c r="U738" s="163">
        <v>0</v>
      </c>
      <c r="V738" s="163">
        <v>0</v>
      </c>
      <c r="W738" s="163">
        <v>0</v>
      </c>
      <c r="X738" s="163">
        <v>0</v>
      </c>
      <c r="Y738" s="163">
        <v>4</v>
      </c>
      <c r="Z738" s="163">
        <v>4</v>
      </c>
      <c r="AA738" s="163">
        <v>0</v>
      </c>
      <c r="AB738" s="163">
        <v>0</v>
      </c>
      <c r="AC738" s="163">
        <v>4</v>
      </c>
      <c r="AD738" s="163">
        <v>0</v>
      </c>
      <c r="AE738" s="165">
        <v>0.3678989700162788</v>
      </c>
      <c r="AF738" s="166">
        <v>0.3678989700162788</v>
      </c>
    </row>
    <row r="739" spans="1:32">
      <c r="A739" s="161">
        <v>16</v>
      </c>
      <c r="B739" s="162">
        <v>0.35416666666666669</v>
      </c>
      <c r="C739" s="163">
        <v>3.1797085123622857</v>
      </c>
      <c r="D739" s="163">
        <v>765.16567350655396</v>
      </c>
      <c r="E739" s="164">
        <v>0.82550000000000001</v>
      </c>
      <c r="F739" s="164">
        <v>0.82550000000000001</v>
      </c>
      <c r="G739" s="163">
        <v>4</v>
      </c>
      <c r="H739" s="163">
        <v>6.6666666666666661</v>
      </c>
      <c r="I739" s="163">
        <v>2.6666666666666661</v>
      </c>
      <c r="J739" s="163">
        <v>3</v>
      </c>
      <c r="K739" s="163">
        <v>3.0989473684210527</v>
      </c>
      <c r="L739" s="163">
        <v>9.8947368421052673E-2</v>
      </c>
      <c r="M739" s="163">
        <v>4</v>
      </c>
      <c r="N739" s="163">
        <v>5.9649122807017543</v>
      </c>
      <c r="O739" s="163">
        <v>1.9649122807017543</v>
      </c>
      <c r="P739" s="163"/>
      <c r="Q739" s="163">
        <v>4</v>
      </c>
      <c r="R739" s="163">
        <v>0</v>
      </c>
      <c r="S739" s="163">
        <v>0</v>
      </c>
      <c r="T739" s="163">
        <v>0</v>
      </c>
      <c r="U739" s="163">
        <v>0</v>
      </c>
      <c r="V739" s="163">
        <v>0</v>
      </c>
      <c r="W739" s="163">
        <v>0</v>
      </c>
      <c r="X739" s="163">
        <v>0</v>
      </c>
      <c r="Y739" s="163">
        <v>4</v>
      </c>
      <c r="Z739" s="163">
        <v>4</v>
      </c>
      <c r="AA739" s="163">
        <v>0</v>
      </c>
      <c r="AB739" s="163">
        <v>0</v>
      </c>
      <c r="AC739" s="163">
        <v>4</v>
      </c>
      <c r="AD739" s="163">
        <v>0</v>
      </c>
      <c r="AE739" s="165">
        <v>0.43617029271312657</v>
      </c>
      <c r="AF739" s="166">
        <v>0.43617029271312657</v>
      </c>
    </row>
    <row r="740" spans="1:32">
      <c r="A740" s="161">
        <v>16</v>
      </c>
      <c r="B740" s="162">
        <v>0.375</v>
      </c>
      <c r="C740" s="163">
        <v>3.6661976190926282</v>
      </c>
      <c r="D740" s="163">
        <v>769.17976617237889</v>
      </c>
      <c r="E740" s="164">
        <v>0.9274</v>
      </c>
      <c r="F740" s="164">
        <v>0.9274</v>
      </c>
      <c r="G740" s="163">
        <v>6</v>
      </c>
      <c r="H740" s="163">
        <v>10</v>
      </c>
      <c r="I740" s="163">
        <v>4</v>
      </c>
      <c r="J740" s="163">
        <v>4</v>
      </c>
      <c r="K740" s="163">
        <v>4.648421052631579</v>
      </c>
      <c r="L740" s="163">
        <v>0.64842105263157901</v>
      </c>
      <c r="M740" s="163">
        <v>5</v>
      </c>
      <c r="N740" s="163">
        <v>8.9473684210526319</v>
      </c>
      <c r="O740" s="163">
        <v>3.9473684210526319</v>
      </c>
      <c r="P740" s="163"/>
      <c r="Q740" s="163">
        <v>6</v>
      </c>
      <c r="R740" s="163">
        <v>0</v>
      </c>
      <c r="S740" s="163">
        <v>0</v>
      </c>
      <c r="T740" s="163">
        <v>0</v>
      </c>
      <c r="U740" s="163">
        <v>0</v>
      </c>
      <c r="V740" s="163">
        <v>0</v>
      </c>
      <c r="W740" s="163">
        <v>0</v>
      </c>
      <c r="X740" s="163">
        <v>0</v>
      </c>
      <c r="Y740" s="163">
        <v>6</v>
      </c>
      <c r="Z740" s="163">
        <v>6</v>
      </c>
      <c r="AA740" s="163">
        <v>0</v>
      </c>
      <c r="AB740" s="163">
        <v>0</v>
      </c>
      <c r="AC740" s="163">
        <v>6</v>
      </c>
      <c r="AD740" s="163">
        <v>0</v>
      </c>
      <c r="AE740" s="165">
        <v>0.33702782508373968</v>
      </c>
      <c r="AF740" s="166">
        <v>0.33702782508373968</v>
      </c>
    </row>
    <row r="741" spans="1:32">
      <c r="A741" s="161">
        <v>16</v>
      </c>
      <c r="B741" s="162">
        <v>0.39583333333333331</v>
      </c>
      <c r="C741" s="163">
        <v>4.0972873511562691</v>
      </c>
      <c r="D741" s="163">
        <v>806.22943947609974</v>
      </c>
      <c r="E741" s="164">
        <v>0.88490000000000002</v>
      </c>
      <c r="F741" s="164">
        <v>0.88490000000000002</v>
      </c>
      <c r="G741" s="163">
        <v>6</v>
      </c>
      <c r="H741" s="163">
        <v>10</v>
      </c>
      <c r="I741" s="163">
        <v>4</v>
      </c>
      <c r="J741" s="163">
        <v>4</v>
      </c>
      <c r="K741" s="163">
        <v>4.648421052631579</v>
      </c>
      <c r="L741" s="163">
        <v>0.64842105263157901</v>
      </c>
      <c r="M741" s="163">
        <v>5</v>
      </c>
      <c r="N741" s="163">
        <v>8.9473684210526319</v>
      </c>
      <c r="O741" s="163">
        <v>3.9473684210526319</v>
      </c>
      <c r="P741" s="163"/>
      <c r="Q741" s="163">
        <v>6</v>
      </c>
      <c r="R741" s="163">
        <v>0</v>
      </c>
      <c r="S741" s="163">
        <v>0</v>
      </c>
      <c r="T741" s="163">
        <v>0</v>
      </c>
      <c r="U741" s="163">
        <v>0</v>
      </c>
      <c r="V741" s="163">
        <v>0</v>
      </c>
      <c r="W741" s="163">
        <v>0</v>
      </c>
      <c r="X741" s="163">
        <v>0</v>
      </c>
      <c r="Y741" s="163">
        <v>6</v>
      </c>
      <c r="Z741" s="163">
        <v>6</v>
      </c>
      <c r="AA741" s="163">
        <v>0</v>
      </c>
      <c r="AB741" s="163">
        <v>0</v>
      </c>
      <c r="AC741" s="163">
        <v>6</v>
      </c>
      <c r="AD741" s="163">
        <v>0</v>
      </c>
      <c r="AE741" s="165">
        <v>0.39479996984078991</v>
      </c>
      <c r="AF741" s="166">
        <v>0.39479996984078991</v>
      </c>
    </row>
    <row r="742" spans="1:32">
      <c r="A742" s="161">
        <v>16</v>
      </c>
      <c r="B742" s="162">
        <v>0.41666666666666669</v>
      </c>
      <c r="C742" s="163">
        <v>4.3778167462040356</v>
      </c>
      <c r="D742" s="163">
        <v>791.7641499638446</v>
      </c>
      <c r="E742" s="164">
        <v>0.86860000000000015</v>
      </c>
      <c r="F742" s="164">
        <v>0.86860000000000015</v>
      </c>
      <c r="G742" s="163">
        <v>6</v>
      </c>
      <c r="H742" s="163">
        <v>10</v>
      </c>
      <c r="I742" s="163">
        <v>4</v>
      </c>
      <c r="J742" s="163">
        <v>4</v>
      </c>
      <c r="K742" s="163">
        <v>4.648421052631579</v>
      </c>
      <c r="L742" s="163">
        <v>0.64842105263157901</v>
      </c>
      <c r="M742" s="163">
        <v>5</v>
      </c>
      <c r="N742" s="163">
        <v>8.9473684210526319</v>
      </c>
      <c r="O742" s="163">
        <v>3.9473684210526319</v>
      </c>
      <c r="P742" s="163"/>
      <c r="Q742" s="163">
        <v>6</v>
      </c>
      <c r="R742" s="163">
        <v>0</v>
      </c>
      <c r="S742" s="163">
        <v>0</v>
      </c>
      <c r="T742" s="163">
        <v>0</v>
      </c>
      <c r="U742" s="163">
        <v>0</v>
      </c>
      <c r="V742" s="163">
        <v>0</v>
      </c>
      <c r="W742" s="163">
        <v>0</v>
      </c>
      <c r="X742" s="163">
        <v>0</v>
      </c>
      <c r="Y742" s="163">
        <v>6</v>
      </c>
      <c r="Z742" s="163">
        <v>6</v>
      </c>
      <c r="AA742" s="163">
        <v>0</v>
      </c>
      <c r="AB742" s="163">
        <v>0</v>
      </c>
      <c r="AC742" s="163">
        <v>6</v>
      </c>
      <c r="AD742" s="163">
        <v>0</v>
      </c>
      <c r="AE742" s="165">
        <v>0.41426233356203906</v>
      </c>
      <c r="AF742" s="166">
        <v>0.41426233356203906</v>
      </c>
    </row>
    <row r="743" spans="1:32">
      <c r="A743" s="161">
        <v>16</v>
      </c>
      <c r="B743" s="162">
        <v>0.4375</v>
      </c>
      <c r="C743" s="163">
        <v>4.5653099996643789</v>
      </c>
      <c r="D743" s="163">
        <v>756.18220803047689</v>
      </c>
      <c r="E743" s="164">
        <v>0.87050000000000016</v>
      </c>
      <c r="F743" s="164">
        <v>0.87050000000000016</v>
      </c>
      <c r="G743" s="163">
        <v>6</v>
      </c>
      <c r="H743" s="163">
        <v>10</v>
      </c>
      <c r="I743" s="163">
        <v>4</v>
      </c>
      <c r="J743" s="163">
        <v>4</v>
      </c>
      <c r="K743" s="163">
        <v>4.648421052631579</v>
      </c>
      <c r="L743" s="163">
        <v>0.64842105263157901</v>
      </c>
      <c r="M743" s="163">
        <v>5</v>
      </c>
      <c r="N743" s="163">
        <v>8.9473684210526319</v>
      </c>
      <c r="O743" s="163">
        <v>3.9473684210526319</v>
      </c>
      <c r="P743" s="163"/>
      <c r="Q743" s="163">
        <v>6</v>
      </c>
      <c r="R743" s="163">
        <v>0</v>
      </c>
      <c r="S743" s="163">
        <v>0</v>
      </c>
      <c r="T743" s="163">
        <v>0</v>
      </c>
      <c r="U743" s="163">
        <v>0</v>
      </c>
      <c r="V743" s="163">
        <v>0</v>
      </c>
      <c r="W743" s="163">
        <v>0</v>
      </c>
      <c r="X743" s="163">
        <v>0</v>
      </c>
      <c r="Y743" s="163">
        <v>6</v>
      </c>
      <c r="Z743" s="163">
        <v>6</v>
      </c>
      <c r="AA743" s="163">
        <v>0</v>
      </c>
      <c r="AB743" s="163">
        <v>0</v>
      </c>
      <c r="AC743" s="163">
        <v>6</v>
      </c>
      <c r="AD743" s="163">
        <v>0</v>
      </c>
      <c r="AE743" s="165">
        <v>0.41259006215973903</v>
      </c>
      <c r="AF743" s="166">
        <v>0.41259006215973903</v>
      </c>
    </row>
    <row r="744" spans="1:32">
      <c r="A744" s="161">
        <v>16</v>
      </c>
      <c r="B744" s="162">
        <v>0.45833333333333331</v>
      </c>
      <c r="C744" s="163">
        <v>4.8744221645563393</v>
      </c>
      <c r="D744" s="163">
        <v>755.52336132327684</v>
      </c>
      <c r="E744" s="164">
        <v>0.84530000000000005</v>
      </c>
      <c r="F744" s="164">
        <v>0.84530000000000005</v>
      </c>
      <c r="G744" s="163">
        <v>6</v>
      </c>
      <c r="H744" s="163">
        <v>10</v>
      </c>
      <c r="I744" s="163">
        <v>4</v>
      </c>
      <c r="J744" s="163">
        <v>4</v>
      </c>
      <c r="K744" s="163">
        <v>4.648421052631579</v>
      </c>
      <c r="L744" s="163">
        <v>0.64842105263157901</v>
      </c>
      <c r="M744" s="163">
        <v>5</v>
      </c>
      <c r="N744" s="163">
        <v>8.9473684210526319</v>
      </c>
      <c r="O744" s="163">
        <v>3.9473684210526319</v>
      </c>
      <c r="P744" s="163"/>
      <c r="Q744" s="163">
        <v>6</v>
      </c>
      <c r="R744" s="163">
        <v>0</v>
      </c>
      <c r="S744" s="163">
        <v>0</v>
      </c>
      <c r="T744" s="163">
        <v>0</v>
      </c>
      <c r="U744" s="163">
        <v>0</v>
      </c>
      <c r="V744" s="163">
        <v>0</v>
      </c>
      <c r="W744" s="163">
        <v>0</v>
      </c>
      <c r="X744" s="163">
        <v>0</v>
      </c>
      <c r="Y744" s="163">
        <v>6</v>
      </c>
      <c r="Z744" s="163">
        <v>6</v>
      </c>
      <c r="AA744" s="163">
        <v>0</v>
      </c>
      <c r="AB744" s="163">
        <v>0</v>
      </c>
      <c r="AC744" s="163">
        <v>6</v>
      </c>
      <c r="AD744" s="163">
        <v>0</v>
      </c>
      <c r="AE744" s="165">
        <v>0.44014226390908984</v>
      </c>
      <c r="AF744" s="166">
        <v>0.44014226390908984</v>
      </c>
    </row>
    <row r="745" spans="1:32">
      <c r="A745" s="161">
        <v>16</v>
      </c>
      <c r="B745" s="162">
        <v>0.47916666666666669</v>
      </c>
      <c r="C745" s="163">
        <v>4.6396668623076707</v>
      </c>
      <c r="D745" s="163">
        <v>742.032490218009</v>
      </c>
      <c r="E745" s="164">
        <v>0.87160000000000004</v>
      </c>
      <c r="F745" s="164">
        <v>0.87160000000000004</v>
      </c>
      <c r="G745" s="163">
        <v>6</v>
      </c>
      <c r="H745" s="163">
        <v>10</v>
      </c>
      <c r="I745" s="163">
        <v>4</v>
      </c>
      <c r="J745" s="163">
        <v>4</v>
      </c>
      <c r="K745" s="163">
        <v>4.648421052631579</v>
      </c>
      <c r="L745" s="163">
        <v>0.64842105263157901</v>
      </c>
      <c r="M745" s="163">
        <v>5</v>
      </c>
      <c r="N745" s="163">
        <v>8.9473684210526319</v>
      </c>
      <c r="O745" s="163">
        <v>3.9473684210526319</v>
      </c>
      <c r="P745" s="163"/>
      <c r="Q745" s="163">
        <v>6</v>
      </c>
      <c r="R745" s="163">
        <v>0</v>
      </c>
      <c r="S745" s="163">
        <v>0</v>
      </c>
      <c r="T745" s="163">
        <v>0</v>
      </c>
      <c r="U745" s="163">
        <v>0</v>
      </c>
      <c r="V745" s="163">
        <v>0</v>
      </c>
      <c r="W745" s="163">
        <v>0</v>
      </c>
      <c r="X745" s="163">
        <v>0</v>
      </c>
      <c r="Y745" s="163">
        <v>6</v>
      </c>
      <c r="Z745" s="163">
        <v>6</v>
      </c>
      <c r="AA745" s="163">
        <v>0</v>
      </c>
      <c r="AB745" s="163">
        <v>0</v>
      </c>
      <c r="AC745" s="163">
        <v>6</v>
      </c>
      <c r="AD745" s="163">
        <v>0</v>
      </c>
      <c r="AE745" s="165">
        <v>0.411463916294174</v>
      </c>
      <c r="AF745" s="166">
        <v>0.411463916294174</v>
      </c>
    </row>
    <row r="746" spans="1:32">
      <c r="A746" s="161">
        <v>16</v>
      </c>
      <c r="B746" s="162">
        <v>0.5</v>
      </c>
      <c r="C746" s="163">
        <v>4.4917464863711132</v>
      </c>
      <c r="D746" s="163">
        <v>738.11894010970707</v>
      </c>
      <c r="E746" s="164">
        <v>0.88449999999999995</v>
      </c>
      <c r="F746" s="164">
        <v>0.88449999999999995</v>
      </c>
      <c r="G746" s="163">
        <v>6</v>
      </c>
      <c r="H746" s="163">
        <v>10</v>
      </c>
      <c r="I746" s="163">
        <v>4</v>
      </c>
      <c r="J746" s="163">
        <v>4</v>
      </c>
      <c r="K746" s="163">
        <v>4.648421052631579</v>
      </c>
      <c r="L746" s="163">
        <v>0.64842105263157901</v>
      </c>
      <c r="M746" s="163">
        <v>5</v>
      </c>
      <c r="N746" s="163">
        <v>8.9473684210526319</v>
      </c>
      <c r="O746" s="163">
        <v>3.9473684210526319</v>
      </c>
      <c r="P746" s="163"/>
      <c r="Q746" s="163">
        <v>6</v>
      </c>
      <c r="R746" s="163">
        <v>0</v>
      </c>
      <c r="S746" s="163">
        <v>0</v>
      </c>
      <c r="T746" s="163">
        <v>0</v>
      </c>
      <c r="U746" s="163">
        <v>0</v>
      </c>
      <c r="V746" s="163">
        <v>0</v>
      </c>
      <c r="W746" s="163">
        <v>0</v>
      </c>
      <c r="X746" s="163">
        <v>0</v>
      </c>
      <c r="Y746" s="163">
        <v>6</v>
      </c>
      <c r="Z746" s="163">
        <v>6</v>
      </c>
      <c r="AA746" s="163">
        <v>0</v>
      </c>
      <c r="AB746" s="163">
        <v>0</v>
      </c>
      <c r="AC746" s="163">
        <v>6</v>
      </c>
      <c r="AD746" s="163">
        <v>0</v>
      </c>
      <c r="AE746" s="165">
        <v>0.3962448417338037</v>
      </c>
      <c r="AF746" s="166">
        <v>0.3962448417338037</v>
      </c>
    </row>
    <row r="747" spans="1:32">
      <c r="A747" s="161">
        <v>16</v>
      </c>
      <c r="B747" s="162">
        <v>0.52083333333333337</v>
      </c>
      <c r="C747" s="163">
        <v>4.0330254445753297</v>
      </c>
      <c r="D747" s="163">
        <v>747.3147676276144</v>
      </c>
      <c r="E747" s="164">
        <v>0.91200000000000003</v>
      </c>
      <c r="F747" s="164">
        <v>0.91200000000000003</v>
      </c>
      <c r="G747" s="163">
        <v>6</v>
      </c>
      <c r="H747" s="163">
        <v>10</v>
      </c>
      <c r="I747" s="163">
        <v>4</v>
      </c>
      <c r="J747" s="163">
        <v>4</v>
      </c>
      <c r="K747" s="163">
        <v>4.648421052631579</v>
      </c>
      <c r="L747" s="163">
        <v>0.64842105263157901</v>
      </c>
      <c r="M747" s="163">
        <v>5</v>
      </c>
      <c r="N747" s="163">
        <v>8.9473684210526319</v>
      </c>
      <c r="O747" s="163">
        <v>3.9473684210526319</v>
      </c>
      <c r="P747" s="163"/>
      <c r="Q747" s="163">
        <v>6</v>
      </c>
      <c r="R747" s="163">
        <v>0</v>
      </c>
      <c r="S747" s="163">
        <v>0</v>
      </c>
      <c r="T747" s="163">
        <v>0</v>
      </c>
      <c r="U747" s="163">
        <v>0</v>
      </c>
      <c r="V747" s="163">
        <v>0</v>
      </c>
      <c r="W747" s="163">
        <v>0</v>
      </c>
      <c r="X747" s="163">
        <v>0</v>
      </c>
      <c r="Y747" s="163">
        <v>6</v>
      </c>
      <c r="Z747" s="163">
        <v>6</v>
      </c>
      <c r="AA747" s="163">
        <v>0</v>
      </c>
      <c r="AB747" s="163">
        <v>0</v>
      </c>
      <c r="AC747" s="163">
        <v>6</v>
      </c>
      <c r="AD747" s="163">
        <v>0</v>
      </c>
      <c r="AE747" s="165">
        <v>0.36021066064080304</v>
      </c>
      <c r="AF747" s="166">
        <v>0.36021066064080304</v>
      </c>
    </row>
    <row r="748" spans="1:32">
      <c r="A748" s="161">
        <v>16</v>
      </c>
      <c r="B748" s="162">
        <v>0.54166666666666663</v>
      </c>
      <c r="C748" s="163">
        <v>3.8880503450477542</v>
      </c>
      <c r="D748" s="163">
        <v>746.18709906647769</v>
      </c>
      <c r="E748" s="164">
        <v>0.92130000000000001</v>
      </c>
      <c r="F748" s="164">
        <v>0.92130000000000001</v>
      </c>
      <c r="G748" s="163">
        <v>6</v>
      </c>
      <c r="H748" s="163">
        <v>10</v>
      </c>
      <c r="I748" s="163">
        <v>4</v>
      </c>
      <c r="J748" s="163">
        <v>4</v>
      </c>
      <c r="K748" s="163">
        <v>4.648421052631579</v>
      </c>
      <c r="L748" s="163">
        <v>0.64842105263157901</v>
      </c>
      <c r="M748" s="163">
        <v>5</v>
      </c>
      <c r="N748" s="163">
        <v>8.9473684210526319</v>
      </c>
      <c r="O748" s="163">
        <v>3.9473684210526319</v>
      </c>
      <c r="P748" s="163"/>
      <c r="Q748" s="163">
        <v>6</v>
      </c>
      <c r="R748" s="163">
        <v>0</v>
      </c>
      <c r="S748" s="163">
        <v>0</v>
      </c>
      <c r="T748" s="163">
        <v>0</v>
      </c>
      <c r="U748" s="163">
        <v>0</v>
      </c>
      <c r="V748" s="163">
        <v>0</v>
      </c>
      <c r="W748" s="163">
        <v>0</v>
      </c>
      <c r="X748" s="163">
        <v>0</v>
      </c>
      <c r="Y748" s="163">
        <v>6</v>
      </c>
      <c r="Z748" s="163">
        <v>6</v>
      </c>
      <c r="AA748" s="163">
        <v>0</v>
      </c>
      <c r="AB748" s="163">
        <v>0</v>
      </c>
      <c r="AC748" s="163">
        <v>6</v>
      </c>
      <c r="AD748" s="163">
        <v>0</v>
      </c>
      <c r="AE748" s="165">
        <v>0.34673816898095577</v>
      </c>
      <c r="AF748" s="166">
        <v>0.34673816898095577</v>
      </c>
    </row>
    <row r="749" spans="1:32">
      <c r="A749" s="161">
        <v>16</v>
      </c>
      <c r="B749" s="162">
        <v>0.5625</v>
      </c>
      <c r="C749" s="163">
        <v>3.7465041938877395</v>
      </c>
      <c r="D749" s="163">
        <v>747.9174680709026</v>
      </c>
      <c r="E749" s="164">
        <v>0.92889999999999995</v>
      </c>
      <c r="F749" s="164">
        <v>0.92889999999999995</v>
      </c>
      <c r="G749" s="163">
        <v>6</v>
      </c>
      <c r="H749" s="163">
        <v>10</v>
      </c>
      <c r="I749" s="163">
        <v>4</v>
      </c>
      <c r="J749" s="163">
        <v>4</v>
      </c>
      <c r="K749" s="163">
        <v>4.648421052631579</v>
      </c>
      <c r="L749" s="163">
        <v>0.64842105263157901</v>
      </c>
      <c r="M749" s="163">
        <v>5</v>
      </c>
      <c r="N749" s="163">
        <v>8.9473684210526319</v>
      </c>
      <c r="O749" s="163">
        <v>3.9473684210526319</v>
      </c>
      <c r="P749" s="163"/>
      <c r="Q749" s="163">
        <v>6</v>
      </c>
      <c r="R749" s="163">
        <v>0</v>
      </c>
      <c r="S749" s="163">
        <v>0</v>
      </c>
      <c r="T749" s="163">
        <v>0</v>
      </c>
      <c r="U749" s="163">
        <v>0</v>
      </c>
      <c r="V749" s="163">
        <v>0</v>
      </c>
      <c r="W749" s="163">
        <v>0</v>
      </c>
      <c r="X749" s="163">
        <v>0</v>
      </c>
      <c r="Y749" s="163">
        <v>6</v>
      </c>
      <c r="Z749" s="163">
        <v>6</v>
      </c>
      <c r="AA749" s="163">
        <v>0</v>
      </c>
      <c r="AB749" s="163">
        <v>0</v>
      </c>
      <c r="AC749" s="163">
        <v>6</v>
      </c>
      <c r="AD749" s="163">
        <v>0</v>
      </c>
      <c r="AE749" s="165">
        <v>0.33488981157772985</v>
      </c>
      <c r="AF749" s="166">
        <v>0.33488981157772985</v>
      </c>
    </row>
    <row r="750" spans="1:32">
      <c r="A750" s="161">
        <v>16</v>
      </c>
      <c r="B750" s="162">
        <v>0.58333333333333337</v>
      </c>
      <c r="C750" s="163">
        <v>3.1581050782817397</v>
      </c>
      <c r="D750" s="163">
        <v>757.11926123152409</v>
      </c>
      <c r="E750" s="164">
        <v>0.95599999999999996</v>
      </c>
      <c r="F750" s="164">
        <v>0.95599999999999996</v>
      </c>
      <c r="G750" s="163">
        <v>4</v>
      </c>
      <c r="H750" s="163">
        <v>10</v>
      </c>
      <c r="I750" s="163">
        <v>6</v>
      </c>
      <c r="J750" s="163">
        <v>3</v>
      </c>
      <c r="K750" s="163">
        <v>3.0989473684210527</v>
      </c>
      <c r="L750" s="163">
        <v>9.8947368421052673E-2</v>
      </c>
      <c r="M750" s="163">
        <v>4</v>
      </c>
      <c r="N750" s="163">
        <v>8.9473684210526319</v>
      </c>
      <c r="O750" s="163">
        <v>4.9473684210526319</v>
      </c>
      <c r="P750" s="163"/>
      <c r="Q750" s="163">
        <v>6</v>
      </c>
      <c r="R750" s="163">
        <v>0</v>
      </c>
      <c r="S750" s="163">
        <v>0</v>
      </c>
      <c r="T750" s="163">
        <v>0</v>
      </c>
      <c r="U750" s="163">
        <v>0</v>
      </c>
      <c r="V750" s="163">
        <v>0</v>
      </c>
      <c r="W750" s="163">
        <v>0</v>
      </c>
      <c r="X750" s="163">
        <v>0</v>
      </c>
      <c r="Y750" s="163">
        <v>6</v>
      </c>
      <c r="Z750" s="163">
        <v>6</v>
      </c>
      <c r="AA750" s="163">
        <v>0</v>
      </c>
      <c r="AB750" s="163">
        <v>0</v>
      </c>
      <c r="AC750" s="163">
        <v>6</v>
      </c>
      <c r="AD750" s="163">
        <v>0</v>
      </c>
      <c r="AE750" s="165">
        <v>0.28576754661989051</v>
      </c>
      <c r="AF750" s="166">
        <v>0.42865131992983574</v>
      </c>
    </row>
    <row r="751" spans="1:32">
      <c r="A751" s="161">
        <v>16</v>
      </c>
      <c r="B751" s="162">
        <v>0.60416666666666663</v>
      </c>
      <c r="C751" s="163">
        <v>2.9681943968751172</v>
      </c>
      <c r="D751" s="163">
        <v>757.77408460434128</v>
      </c>
      <c r="E751" s="164">
        <v>0.96360000000000001</v>
      </c>
      <c r="F751" s="164">
        <v>0.96360000000000001</v>
      </c>
      <c r="G751" s="163">
        <v>4</v>
      </c>
      <c r="H751" s="163">
        <v>10</v>
      </c>
      <c r="I751" s="163">
        <v>6</v>
      </c>
      <c r="J751" s="163">
        <v>3</v>
      </c>
      <c r="K751" s="163">
        <v>3.0989473684210527</v>
      </c>
      <c r="L751" s="163">
        <v>9.8947368421052673E-2</v>
      </c>
      <c r="M751" s="163">
        <v>4</v>
      </c>
      <c r="N751" s="163">
        <v>8.9473684210526319</v>
      </c>
      <c r="O751" s="163">
        <v>4.9473684210526319</v>
      </c>
      <c r="P751" s="163"/>
      <c r="Q751" s="163">
        <v>6</v>
      </c>
      <c r="R751" s="163">
        <v>0</v>
      </c>
      <c r="S751" s="163">
        <v>0</v>
      </c>
      <c r="T751" s="163">
        <v>0</v>
      </c>
      <c r="U751" s="163">
        <v>0</v>
      </c>
      <c r="V751" s="163">
        <v>0</v>
      </c>
      <c r="W751" s="163">
        <v>0</v>
      </c>
      <c r="X751" s="163">
        <v>0</v>
      </c>
      <c r="Y751" s="163">
        <v>6</v>
      </c>
      <c r="Z751" s="163">
        <v>6</v>
      </c>
      <c r="AA751" s="163">
        <v>0</v>
      </c>
      <c r="AB751" s="163">
        <v>0</v>
      </c>
      <c r="AC751" s="163">
        <v>6</v>
      </c>
      <c r="AD751" s="163">
        <v>0</v>
      </c>
      <c r="AE751" s="165">
        <v>0.2688153875325569</v>
      </c>
      <c r="AF751" s="166">
        <v>0.40322308129883533</v>
      </c>
    </row>
    <row r="752" spans="1:32">
      <c r="A752" s="161">
        <v>16</v>
      </c>
      <c r="B752" s="162">
        <v>0.625</v>
      </c>
      <c r="C752" s="163">
        <v>2.7973278588612591</v>
      </c>
      <c r="D752" s="163">
        <v>751.98982435535333</v>
      </c>
      <c r="E752" s="164">
        <v>0.93913333333333338</v>
      </c>
      <c r="F752" s="164">
        <v>0.93913333333333338</v>
      </c>
      <c r="G752" s="163">
        <v>4</v>
      </c>
      <c r="H752" s="163">
        <v>9.3333333333333339</v>
      </c>
      <c r="I752" s="163">
        <v>5.3333333333333339</v>
      </c>
      <c r="J752" s="163">
        <v>3</v>
      </c>
      <c r="K752" s="163">
        <v>3.0989473684210527</v>
      </c>
      <c r="L752" s="163">
        <v>9.8947368421052673E-2</v>
      </c>
      <c r="M752" s="163">
        <v>4</v>
      </c>
      <c r="N752" s="163">
        <v>8.3508771929824572</v>
      </c>
      <c r="O752" s="163">
        <v>4.3508771929824572</v>
      </c>
      <c r="P752" s="163"/>
      <c r="Q752" s="163">
        <v>6</v>
      </c>
      <c r="R752" s="163">
        <v>0</v>
      </c>
      <c r="S752" s="163">
        <v>0</v>
      </c>
      <c r="T752" s="163">
        <v>0</v>
      </c>
      <c r="U752" s="163">
        <v>0</v>
      </c>
      <c r="V752" s="163">
        <v>0</v>
      </c>
      <c r="W752" s="163">
        <v>0</v>
      </c>
      <c r="X752" s="163">
        <v>0</v>
      </c>
      <c r="Y752" s="163">
        <v>6</v>
      </c>
      <c r="Z752" s="163">
        <v>6</v>
      </c>
      <c r="AA752" s="163">
        <v>0</v>
      </c>
      <c r="AB752" s="163">
        <v>0</v>
      </c>
      <c r="AC752" s="163">
        <v>6</v>
      </c>
      <c r="AD752" s="163">
        <v>0</v>
      </c>
      <c r="AE752" s="165">
        <v>0.25140700243897746</v>
      </c>
      <c r="AF752" s="166">
        <v>0.37711050365846621</v>
      </c>
    </row>
    <row r="753" spans="1:32">
      <c r="A753" s="161">
        <v>16</v>
      </c>
      <c r="B753" s="162">
        <v>0.64583333333333337</v>
      </c>
      <c r="C753" s="163">
        <v>2.8862502366420371</v>
      </c>
      <c r="D753" s="163">
        <v>753.03291289398555</v>
      </c>
      <c r="E753" s="164">
        <v>0.86619999999999997</v>
      </c>
      <c r="F753" s="164">
        <v>0.86619999999999997</v>
      </c>
      <c r="G753" s="163">
        <v>4</v>
      </c>
      <c r="H753" s="163">
        <v>6.6666666666666661</v>
      </c>
      <c r="I753" s="163">
        <v>2.6666666666666661</v>
      </c>
      <c r="J753" s="163">
        <v>3</v>
      </c>
      <c r="K753" s="163">
        <v>3.0989473684210527</v>
      </c>
      <c r="L753" s="163">
        <v>9.8947368421052673E-2</v>
      </c>
      <c r="M753" s="163">
        <v>4</v>
      </c>
      <c r="N753" s="163">
        <v>5.9649122807017543</v>
      </c>
      <c r="O753" s="163">
        <v>1.9649122807017543</v>
      </c>
      <c r="P753" s="163"/>
      <c r="Q753" s="163">
        <v>4</v>
      </c>
      <c r="R753" s="163">
        <v>0</v>
      </c>
      <c r="S753" s="163">
        <v>0</v>
      </c>
      <c r="T753" s="163">
        <v>0</v>
      </c>
      <c r="U753" s="163">
        <v>0</v>
      </c>
      <c r="V753" s="163">
        <v>0</v>
      </c>
      <c r="W753" s="163">
        <v>0</v>
      </c>
      <c r="X753" s="163">
        <v>0</v>
      </c>
      <c r="Y753" s="163">
        <v>4</v>
      </c>
      <c r="Z753" s="163">
        <v>4</v>
      </c>
      <c r="AA753" s="163">
        <v>0</v>
      </c>
      <c r="AB753" s="163">
        <v>0</v>
      </c>
      <c r="AC753" s="163">
        <v>4</v>
      </c>
      <c r="AD753" s="163">
        <v>0</v>
      </c>
      <c r="AE753" s="165">
        <v>0.38963793627104709</v>
      </c>
      <c r="AF753" s="166">
        <v>0.38963793627104709</v>
      </c>
    </row>
    <row r="754" spans="1:32">
      <c r="A754" s="161">
        <v>16</v>
      </c>
      <c r="B754" s="162">
        <v>0.66666666666666663</v>
      </c>
      <c r="C754" s="163">
        <v>2.8464318442410708</v>
      </c>
      <c r="D754" s="163">
        <v>757.24784294823189</v>
      </c>
      <c r="E754" s="164">
        <v>0.86879999999999991</v>
      </c>
      <c r="F754" s="164">
        <v>0.86879999999999991</v>
      </c>
      <c r="G754" s="163">
        <v>4</v>
      </c>
      <c r="H754" s="163">
        <v>6.6666666666666661</v>
      </c>
      <c r="I754" s="163">
        <v>2.6666666666666661</v>
      </c>
      <c r="J754" s="163">
        <v>3</v>
      </c>
      <c r="K754" s="163">
        <v>3.0989473684210527</v>
      </c>
      <c r="L754" s="163">
        <v>9.8947368421052673E-2</v>
      </c>
      <c r="M754" s="163">
        <v>4</v>
      </c>
      <c r="N754" s="163">
        <v>5.9649122807017543</v>
      </c>
      <c r="O754" s="163">
        <v>1.9649122807017543</v>
      </c>
      <c r="P754" s="163"/>
      <c r="Q754" s="163">
        <v>4</v>
      </c>
      <c r="R754" s="163">
        <v>0</v>
      </c>
      <c r="S754" s="163">
        <v>0</v>
      </c>
      <c r="T754" s="163">
        <v>0</v>
      </c>
      <c r="U754" s="163">
        <v>0</v>
      </c>
      <c r="V754" s="163">
        <v>0</v>
      </c>
      <c r="W754" s="163">
        <v>0</v>
      </c>
      <c r="X754" s="163">
        <v>0</v>
      </c>
      <c r="Y754" s="163">
        <v>4</v>
      </c>
      <c r="Z754" s="163">
        <v>4</v>
      </c>
      <c r="AA754" s="163">
        <v>0</v>
      </c>
      <c r="AB754" s="163">
        <v>0</v>
      </c>
      <c r="AC754" s="163">
        <v>4</v>
      </c>
      <c r="AD754" s="163">
        <v>0</v>
      </c>
      <c r="AE754" s="165">
        <v>0.38641335587318332</v>
      </c>
      <c r="AF754" s="166">
        <v>0.38641335587318332</v>
      </c>
    </row>
    <row r="755" spans="1:32">
      <c r="A755" s="161">
        <v>16</v>
      </c>
      <c r="B755" s="162">
        <v>0.6875</v>
      </c>
      <c r="C755" s="163">
        <v>2.9863947865788179</v>
      </c>
      <c r="D755" s="163">
        <v>759.56911721745087</v>
      </c>
      <c r="E755" s="164">
        <v>0.85189999999999999</v>
      </c>
      <c r="F755" s="164">
        <v>0.85189999999999999</v>
      </c>
      <c r="G755" s="163">
        <v>4</v>
      </c>
      <c r="H755" s="163">
        <v>6.6666666666666661</v>
      </c>
      <c r="I755" s="163">
        <v>2.6666666666666661</v>
      </c>
      <c r="J755" s="163">
        <v>3</v>
      </c>
      <c r="K755" s="163">
        <v>3.0989473684210527</v>
      </c>
      <c r="L755" s="163">
        <v>9.8947368421052673E-2</v>
      </c>
      <c r="M755" s="163">
        <v>4</v>
      </c>
      <c r="N755" s="163">
        <v>5.9649122807017543</v>
      </c>
      <c r="O755" s="163">
        <v>1.9649122807017543</v>
      </c>
      <c r="P755" s="163"/>
      <c r="Q755" s="163">
        <v>4</v>
      </c>
      <c r="R755" s="163">
        <v>0</v>
      </c>
      <c r="S755" s="163">
        <v>0</v>
      </c>
      <c r="T755" s="163">
        <v>0</v>
      </c>
      <c r="U755" s="163">
        <v>0</v>
      </c>
      <c r="V755" s="163">
        <v>0</v>
      </c>
      <c r="W755" s="163">
        <v>0</v>
      </c>
      <c r="X755" s="163">
        <v>0</v>
      </c>
      <c r="Y755" s="163">
        <v>4</v>
      </c>
      <c r="Z755" s="163">
        <v>4</v>
      </c>
      <c r="AA755" s="163">
        <v>0</v>
      </c>
      <c r="AB755" s="163">
        <v>0</v>
      </c>
      <c r="AC755" s="163">
        <v>4</v>
      </c>
      <c r="AD755" s="163">
        <v>0</v>
      </c>
      <c r="AE755" s="165">
        <v>0.40665658762063073</v>
      </c>
      <c r="AF755" s="166">
        <v>0.40665658762063073</v>
      </c>
    </row>
    <row r="756" spans="1:32">
      <c r="A756" s="161">
        <v>16</v>
      </c>
      <c r="B756" s="162">
        <v>0.70833333333333337</v>
      </c>
      <c r="C756" s="163">
        <v>2.9546956339121486</v>
      </c>
      <c r="D756" s="163">
        <v>752.82053100766473</v>
      </c>
      <c r="E756" s="164">
        <v>0.85870000000000013</v>
      </c>
      <c r="F756" s="164">
        <v>0.85870000000000013</v>
      </c>
      <c r="G756" s="163">
        <v>4</v>
      </c>
      <c r="H756" s="163">
        <v>6.6666666666666661</v>
      </c>
      <c r="I756" s="163">
        <v>2.6666666666666661</v>
      </c>
      <c r="J756" s="163">
        <v>3</v>
      </c>
      <c r="K756" s="163">
        <v>3.0989473684210527</v>
      </c>
      <c r="L756" s="163">
        <v>9.8947368421052673E-2</v>
      </c>
      <c r="M756" s="163">
        <v>4</v>
      </c>
      <c r="N756" s="163">
        <v>5.9649122807017543</v>
      </c>
      <c r="O756" s="163">
        <v>1.9649122807017543</v>
      </c>
      <c r="P756" s="163"/>
      <c r="Q756" s="163">
        <v>4</v>
      </c>
      <c r="R756" s="163">
        <v>0</v>
      </c>
      <c r="S756" s="163">
        <v>0</v>
      </c>
      <c r="T756" s="163">
        <v>0</v>
      </c>
      <c r="U756" s="163">
        <v>0</v>
      </c>
      <c r="V756" s="163">
        <v>0</v>
      </c>
      <c r="W756" s="163">
        <v>0</v>
      </c>
      <c r="X756" s="163">
        <v>0</v>
      </c>
      <c r="Y756" s="163">
        <v>4</v>
      </c>
      <c r="Z756" s="163">
        <v>4</v>
      </c>
      <c r="AA756" s="163">
        <v>0</v>
      </c>
      <c r="AB756" s="163">
        <v>0</v>
      </c>
      <c r="AC756" s="163">
        <v>4</v>
      </c>
      <c r="AD756" s="163">
        <v>0</v>
      </c>
      <c r="AE756" s="165">
        <v>0.39876542860873027</v>
      </c>
      <c r="AF756" s="166">
        <v>0.39876542860873027</v>
      </c>
    </row>
    <row r="757" spans="1:32">
      <c r="A757" s="161">
        <v>16</v>
      </c>
      <c r="B757" s="162">
        <v>0.72916666666666663</v>
      </c>
      <c r="C757" s="163">
        <v>2.9964395693675017</v>
      </c>
      <c r="D757" s="163">
        <v>708.45440125478228</v>
      </c>
      <c r="E757" s="164">
        <v>0.93789999999999996</v>
      </c>
      <c r="F757" s="164">
        <v>0.93789999999999996</v>
      </c>
      <c r="G757" s="163">
        <v>4</v>
      </c>
      <c r="H757" s="163">
        <v>8</v>
      </c>
      <c r="I757" s="163">
        <v>4</v>
      </c>
      <c r="J757" s="163">
        <v>3</v>
      </c>
      <c r="K757" s="163">
        <v>3.0989473684210527</v>
      </c>
      <c r="L757" s="163">
        <v>9.8947368421052673E-2</v>
      </c>
      <c r="M757" s="163">
        <v>4</v>
      </c>
      <c r="N757" s="163">
        <v>7.1578947368421053</v>
      </c>
      <c r="O757" s="163">
        <v>3.1578947368421053</v>
      </c>
      <c r="P757" s="163"/>
      <c r="Q757" s="163">
        <v>4</v>
      </c>
      <c r="R757" s="163">
        <v>0</v>
      </c>
      <c r="S757" s="163">
        <v>0</v>
      </c>
      <c r="T757" s="163">
        <v>0</v>
      </c>
      <c r="U757" s="163">
        <v>0</v>
      </c>
      <c r="V757" s="163">
        <v>0</v>
      </c>
      <c r="W757" s="163">
        <v>0</v>
      </c>
      <c r="X757" s="163">
        <v>0</v>
      </c>
      <c r="Y757" s="163">
        <v>4</v>
      </c>
      <c r="Z757" s="163">
        <v>4</v>
      </c>
      <c r="AA757" s="163">
        <v>0</v>
      </c>
      <c r="AB757" s="163">
        <v>0</v>
      </c>
      <c r="AC757" s="163">
        <v>4</v>
      </c>
      <c r="AD757" s="163">
        <v>0</v>
      </c>
      <c r="AE757" s="165">
        <v>0.38056664420323283</v>
      </c>
      <c r="AF757" s="166">
        <v>0.38056664420323283</v>
      </c>
    </row>
    <row r="758" spans="1:32">
      <c r="A758" s="161">
        <v>16</v>
      </c>
      <c r="B758" s="162">
        <v>0.75</v>
      </c>
      <c r="C758" s="163">
        <v>3.2576377047188267</v>
      </c>
      <c r="D758" s="163">
        <v>742.13792243991077</v>
      </c>
      <c r="E758" s="164">
        <v>0.95450000000000002</v>
      </c>
      <c r="F758" s="164">
        <v>0.95450000000000002</v>
      </c>
      <c r="G758" s="163">
        <v>4</v>
      </c>
      <c r="H758" s="163">
        <v>10</v>
      </c>
      <c r="I758" s="163">
        <v>6</v>
      </c>
      <c r="J758" s="163">
        <v>3</v>
      </c>
      <c r="K758" s="163">
        <v>3.0989473684210527</v>
      </c>
      <c r="L758" s="163">
        <v>9.8947368421052673E-2</v>
      </c>
      <c r="M758" s="163">
        <v>4</v>
      </c>
      <c r="N758" s="163">
        <v>8.9473684210526319</v>
      </c>
      <c r="O758" s="163">
        <v>4.9473684210526319</v>
      </c>
      <c r="P758" s="163"/>
      <c r="Q758" s="163">
        <v>6</v>
      </c>
      <c r="R758" s="163">
        <v>0</v>
      </c>
      <c r="S758" s="163">
        <v>0</v>
      </c>
      <c r="T758" s="163">
        <v>0</v>
      </c>
      <c r="U758" s="163">
        <v>0</v>
      </c>
      <c r="V758" s="163">
        <v>0</v>
      </c>
      <c r="W758" s="163">
        <v>0</v>
      </c>
      <c r="X758" s="163">
        <v>0</v>
      </c>
      <c r="Y758" s="163">
        <v>6</v>
      </c>
      <c r="Z758" s="163">
        <v>6</v>
      </c>
      <c r="AA758" s="163">
        <v>0</v>
      </c>
      <c r="AB758" s="163">
        <v>0</v>
      </c>
      <c r="AC758" s="163">
        <v>6</v>
      </c>
      <c r="AD758" s="163">
        <v>0</v>
      </c>
      <c r="AE758" s="165">
        <v>0.28894118034544236</v>
      </c>
      <c r="AF758" s="166">
        <v>0.43341177051816354</v>
      </c>
    </row>
    <row r="759" spans="1:32">
      <c r="A759" s="161">
        <v>16</v>
      </c>
      <c r="B759" s="162">
        <v>0.77083333333333337</v>
      </c>
      <c r="C759" s="163">
        <v>3.3719544071497731</v>
      </c>
      <c r="D759" s="163">
        <v>737.04572426879452</v>
      </c>
      <c r="E759" s="164">
        <v>0.9506</v>
      </c>
      <c r="F759" s="164">
        <v>0.9506</v>
      </c>
      <c r="G759" s="163">
        <v>4</v>
      </c>
      <c r="H759" s="163">
        <v>10</v>
      </c>
      <c r="I759" s="163">
        <v>6</v>
      </c>
      <c r="J759" s="163">
        <v>3</v>
      </c>
      <c r="K759" s="163">
        <v>3.0989473684210527</v>
      </c>
      <c r="L759" s="163">
        <v>9.8947368421052673E-2</v>
      </c>
      <c r="M759" s="163">
        <v>4</v>
      </c>
      <c r="N759" s="163">
        <v>8.9473684210526319</v>
      </c>
      <c r="O759" s="163">
        <v>4.9473684210526319</v>
      </c>
      <c r="P759" s="163"/>
      <c r="Q759" s="163">
        <v>6</v>
      </c>
      <c r="R759" s="163">
        <v>0</v>
      </c>
      <c r="S759" s="163">
        <v>0</v>
      </c>
      <c r="T759" s="163">
        <v>0</v>
      </c>
      <c r="U759" s="163">
        <v>0</v>
      </c>
      <c r="V759" s="163">
        <v>0</v>
      </c>
      <c r="W759" s="163">
        <v>0</v>
      </c>
      <c r="X759" s="163">
        <v>0</v>
      </c>
      <c r="Y759" s="163">
        <v>6</v>
      </c>
      <c r="Z759" s="163">
        <v>6</v>
      </c>
      <c r="AA759" s="163">
        <v>0</v>
      </c>
      <c r="AB759" s="163">
        <v>0</v>
      </c>
      <c r="AC759" s="163">
        <v>6</v>
      </c>
      <c r="AD759" s="163">
        <v>0</v>
      </c>
      <c r="AE759" s="165">
        <v>0.29702852623139409</v>
      </c>
      <c r="AF759" s="166">
        <v>0.44554278934709113</v>
      </c>
    </row>
    <row r="760" spans="1:32">
      <c r="A760" s="161">
        <v>16</v>
      </c>
      <c r="B760" s="162">
        <v>0.79166666666666663</v>
      </c>
      <c r="C760" s="163">
        <v>3.1538142645113334</v>
      </c>
      <c r="D760" s="163">
        <v>723.52735039233971</v>
      </c>
      <c r="E760" s="164">
        <v>0.85019999999999996</v>
      </c>
      <c r="F760" s="164">
        <v>0.85019999999999996</v>
      </c>
      <c r="G760" s="163">
        <v>4</v>
      </c>
      <c r="H760" s="163">
        <v>6.6666666666666661</v>
      </c>
      <c r="I760" s="163">
        <v>2.6666666666666661</v>
      </c>
      <c r="J760" s="163">
        <v>3</v>
      </c>
      <c r="K760" s="163">
        <v>3.0989473684210527</v>
      </c>
      <c r="L760" s="163">
        <v>9.8947368421052673E-2</v>
      </c>
      <c r="M760" s="163">
        <v>4</v>
      </c>
      <c r="N760" s="163">
        <v>5.9649122807017543</v>
      </c>
      <c r="O760" s="163">
        <v>1.9649122807017543</v>
      </c>
      <c r="P760" s="163"/>
      <c r="Q760" s="163">
        <v>4</v>
      </c>
      <c r="R760" s="163">
        <v>0</v>
      </c>
      <c r="S760" s="163">
        <v>0</v>
      </c>
      <c r="T760" s="163">
        <v>0</v>
      </c>
      <c r="U760" s="163">
        <v>0</v>
      </c>
      <c r="V760" s="163">
        <v>0</v>
      </c>
      <c r="W760" s="163">
        <v>0</v>
      </c>
      <c r="X760" s="163">
        <v>0</v>
      </c>
      <c r="Y760" s="163">
        <v>4</v>
      </c>
      <c r="Z760" s="163">
        <v>4</v>
      </c>
      <c r="AA760" s="163">
        <v>0</v>
      </c>
      <c r="AB760" s="163">
        <v>0</v>
      </c>
      <c r="AC760" s="163">
        <v>4</v>
      </c>
      <c r="AD760" s="163">
        <v>0</v>
      </c>
      <c r="AE760" s="165">
        <v>0.40907633878885075</v>
      </c>
      <c r="AF760" s="166">
        <v>0.40907633878885075</v>
      </c>
    </row>
    <row r="761" spans="1:32">
      <c r="A761" s="161">
        <v>16</v>
      </c>
      <c r="B761" s="162">
        <v>0.8125</v>
      </c>
      <c r="C761" s="163">
        <v>3.1525723569375632</v>
      </c>
      <c r="D761" s="163">
        <v>722.16550603326937</v>
      </c>
      <c r="E761" s="164">
        <v>0.85099999999999998</v>
      </c>
      <c r="F761" s="164">
        <v>0.85099999999999998</v>
      </c>
      <c r="G761" s="163">
        <v>4</v>
      </c>
      <c r="H761" s="163">
        <v>6.6666666666666661</v>
      </c>
      <c r="I761" s="163">
        <v>2.6666666666666661</v>
      </c>
      <c r="J761" s="163">
        <v>3</v>
      </c>
      <c r="K761" s="163">
        <v>3.0989473684210527</v>
      </c>
      <c r="L761" s="163">
        <v>9.8947368421052673E-2</v>
      </c>
      <c r="M761" s="163">
        <v>4</v>
      </c>
      <c r="N761" s="163">
        <v>5.9649122807017543</v>
      </c>
      <c r="O761" s="163">
        <v>1.9649122807017543</v>
      </c>
      <c r="P761" s="163"/>
      <c r="Q761" s="163">
        <v>4</v>
      </c>
      <c r="R761" s="163">
        <v>0</v>
      </c>
      <c r="S761" s="163">
        <v>0</v>
      </c>
      <c r="T761" s="163">
        <v>0</v>
      </c>
      <c r="U761" s="163">
        <v>0</v>
      </c>
      <c r="V761" s="163">
        <v>0</v>
      </c>
      <c r="W761" s="163">
        <v>0</v>
      </c>
      <c r="X761" s="163">
        <v>0</v>
      </c>
      <c r="Y761" s="163">
        <v>4</v>
      </c>
      <c r="Z761" s="163">
        <v>4</v>
      </c>
      <c r="AA761" s="163">
        <v>0</v>
      </c>
      <c r="AB761" s="163">
        <v>0</v>
      </c>
      <c r="AC761" s="163">
        <v>4</v>
      </c>
      <c r="AD761" s="163">
        <v>0</v>
      </c>
      <c r="AE761" s="165">
        <v>0.40814558063133988</v>
      </c>
      <c r="AF761" s="166">
        <v>0.40814558063133988</v>
      </c>
    </row>
    <row r="762" spans="1:32">
      <c r="A762" s="161">
        <v>16</v>
      </c>
      <c r="B762" s="162">
        <v>0.83333333333333337</v>
      </c>
      <c r="C762" s="163">
        <v>3.0396487868424078</v>
      </c>
      <c r="D762" s="163">
        <v>733.32059833582139</v>
      </c>
      <c r="E762" s="164">
        <v>0.38393333333333329</v>
      </c>
      <c r="F762" s="164">
        <v>0.38393333333333329</v>
      </c>
      <c r="G762" s="163">
        <v>4</v>
      </c>
      <c r="H762" s="163">
        <v>5.333333333333333</v>
      </c>
      <c r="I762" s="163">
        <v>1.333333333333333</v>
      </c>
      <c r="J762" s="163">
        <v>3</v>
      </c>
      <c r="K762" s="163">
        <v>3.0989473684210527</v>
      </c>
      <c r="L762" s="163">
        <v>9.8947368421052673E-2</v>
      </c>
      <c r="M762" s="163">
        <v>4</v>
      </c>
      <c r="N762" s="163">
        <v>4.7719298245614032</v>
      </c>
      <c r="O762" s="163">
        <v>0.77192982456140324</v>
      </c>
      <c r="P762" s="163"/>
      <c r="Q762" s="163">
        <v>4</v>
      </c>
      <c r="R762" s="163">
        <v>0</v>
      </c>
      <c r="S762" s="163">
        <v>0</v>
      </c>
      <c r="T762" s="163">
        <v>0</v>
      </c>
      <c r="U762" s="163">
        <v>0</v>
      </c>
      <c r="V762" s="163">
        <v>0</v>
      </c>
      <c r="W762" s="163">
        <v>0</v>
      </c>
      <c r="X762" s="163">
        <v>0</v>
      </c>
      <c r="Y762" s="163">
        <v>4</v>
      </c>
      <c r="Z762" s="163">
        <v>4</v>
      </c>
      <c r="AA762" s="163">
        <v>0</v>
      </c>
      <c r="AB762" s="163">
        <v>0</v>
      </c>
      <c r="AC762" s="163">
        <v>4</v>
      </c>
      <c r="AD762" s="163">
        <v>0</v>
      </c>
      <c r="AE762" s="165">
        <v>0.39960469764174333</v>
      </c>
      <c r="AF762" s="166">
        <v>0.39960469764174333</v>
      </c>
    </row>
    <row r="763" spans="1:32">
      <c r="A763" s="161">
        <v>16</v>
      </c>
      <c r="B763" s="162">
        <v>0.85416666666666663</v>
      </c>
      <c r="C763" s="163">
        <v>2.8497997663598458</v>
      </c>
      <c r="D763" s="163">
        <v>727.82182767835525</v>
      </c>
      <c r="E763" s="164">
        <v>0.19089999999999999</v>
      </c>
      <c r="F763" s="164">
        <v>0.19089999999999999</v>
      </c>
      <c r="G763" s="163">
        <v>4</v>
      </c>
      <c r="H763" s="163">
        <v>3.333333333333333</v>
      </c>
      <c r="I763" s="163">
        <v>-0.66666666666666696</v>
      </c>
      <c r="J763" s="163">
        <v>3</v>
      </c>
      <c r="K763" s="163">
        <v>3.0989473684210527</v>
      </c>
      <c r="L763" s="163">
        <v>9.8947368421052673E-2</v>
      </c>
      <c r="M763" s="163">
        <v>4</v>
      </c>
      <c r="N763" s="163">
        <v>2.9824561403508771</v>
      </c>
      <c r="O763" s="163">
        <v>-1.0175438596491229</v>
      </c>
      <c r="P763" s="163"/>
      <c r="Q763" s="163">
        <v>2</v>
      </c>
      <c r="R763" s="163">
        <v>0</v>
      </c>
      <c r="S763" s="163">
        <v>0</v>
      </c>
      <c r="T763" s="163">
        <v>0</v>
      </c>
      <c r="U763" s="163">
        <v>0</v>
      </c>
      <c r="V763" s="163">
        <v>0</v>
      </c>
      <c r="W763" s="163">
        <v>0</v>
      </c>
      <c r="X763" s="163">
        <v>0</v>
      </c>
      <c r="Y763" s="163">
        <v>2</v>
      </c>
      <c r="Z763" s="163">
        <v>2</v>
      </c>
      <c r="AA763" s="163">
        <v>0</v>
      </c>
      <c r="AB763" s="163">
        <v>0</v>
      </c>
      <c r="AC763" s="163">
        <v>2</v>
      </c>
      <c r="AD763" s="163">
        <v>0</v>
      </c>
      <c r="AE763" s="165">
        <v>0.74367419638658827</v>
      </c>
      <c r="AF763" s="166">
        <v>0.37183709819329414</v>
      </c>
    </row>
    <row r="764" spans="1:32">
      <c r="A764" s="161">
        <v>16</v>
      </c>
      <c r="B764" s="162">
        <v>0.875</v>
      </c>
      <c r="C764" s="163">
        <v>2.5461310582253334</v>
      </c>
      <c r="D764" s="163">
        <v>689.93670569188805</v>
      </c>
      <c r="E764" s="164">
        <v>0.28699999999999998</v>
      </c>
      <c r="F764" s="164">
        <v>0.28699999999999998</v>
      </c>
      <c r="G764" s="163">
        <v>4</v>
      </c>
      <c r="H764" s="163">
        <v>3.333333333333333</v>
      </c>
      <c r="I764" s="163">
        <v>-0.66666666666666696</v>
      </c>
      <c r="J764" s="163">
        <v>3</v>
      </c>
      <c r="K764" s="163">
        <v>3.0989473684210527</v>
      </c>
      <c r="L764" s="163">
        <v>9.8947368421052673E-2</v>
      </c>
      <c r="M764" s="163">
        <v>4</v>
      </c>
      <c r="N764" s="163">
        <v>2.9824561403508771</v>
      </c>
      <c r="O764" s="163">
        <v>-1.0175438596491229</v>
      </c>
      <c r="P764" s="163"/>
      <c r="Q764" s="163">
        <v>2</v>
      </c>
      <c r="R764" s="163">
        <v>0</v>
      </c>
      <c r="S764" s="163">
        <v>0</v>
      </c>
      <c r="T764" s="163">
        <v>0</v>
      </c>
      <c r="U764" s="163">
        <v>0</v>
      </c>
      <c r="V764" s="163">
        <v>0</v>
      </c>
      <c r="W764" s="163">
        <v>0</v>
      </c>
      <c r="X764" s="163">
        <v>0</v>
      </c>
      <c r="Y764" s="163">
        <v>2</v>
      </c>
      <c r="Z764" s="163">
        <v>2</v>
      </c>
      <c r="AA764" s="163">
        <v>0</v>
      </c>
      <c r="AB764" s="163">
        <v>0</v>
      </c>
      <c r="AC764" s="163">
        <v>2</v>
      </c>
      <c r="AD764" s="163">
        <v>0</v>
      </c>
      <c r="AE764" s="165">
        <v>0.62984443344021657</v>
      </c>
      <c r="AF764" s="166">
        <v>0.31492221672010828</v>
      </c>
    </row>
    <row r="765" spans="1:32">
      <c r="A765" s="161">
        <v>16</v>
      </c>
      <c r="B765" s="162">
        <v>0.89583333333333337</v>
      </c>
      <c r="C765" s="163">
        <v>2.3078834470130909</v>
      </c>
      <c r="D765" s="163">
        <v>730.45108924307567</v>
      </c>
      <c r="E765" s="164">
        <v>0.30859999999999999</v>
      </c>
      <c r="F765" s="164">
        <v>0.30859999999999999</v>
      </c>
      <c r="G765" s="163">
        <v>4</v>
      </c>
      <c r="H765" s="163">
        <v>3.333333333333333</v>
      </c>
      <c r="I765" s="163">
        <v>-0.66666666666666696</v>
      </c>
      <c r="J765" s="163">
        <v>3</v>
      </c>
      <c r="K765" s="163">
        <v>3.0989473684210527</v>
      </c>
      <c r="L765" s="163">
        <v>9.8947368421052673E-2</v>
      </c>
      <c r="M765" s="163">
        <v>4</v>
      </c>
      <c r="N765" s="163">
        <v>2.9824561403508771</v>
      </c>
      <c r="O765" s="163">
        <v>-1.0175438596491229</v>
      </c>
      <c r="P765" s="163"/>
      <c r="Q765" s="163">
        <v>2</v>
      </c>
      <c r="R765" s="163">
        <v>0</v>
      </c>
      <c r="S765" s="163">
        <v>0</v>
      </c>
      <c r="T765" s="163">
        <v>0</v>
      </c>
      <c r="U765" s="163">
        <v>0</v>
      </c>
      <c r="V765" s="163">
        <v>0</v>
      </c>
      <c r="W765" s="163">
        <v>0</v>
      </c>
      <c r="X765" s="163">
        <v>0</v>
      </c>
      <c r="Y765" s="163">
        <v>2</v>
      </c>
      <c r="Z765" s="163">
        <v>2</v>
      </c>
      <c r="AA765" s="163">
        <v>0</v>
      </c>
      <c r="AB765" s="163">
        <v>0</v>
      </c>
      <c r="AC765" s="163">
        <v>2</v>
      </c>
      <c r="AD765" s="163">
        <v>0</v>
      </c>
      <c r="AE765" s="165">
        <v>0.60443318947423674</v>
      </c>
      <c r="AF765" s="166">
        <v>0.30221659473711837</v>
      </c>
    </row>
    <row r="766" spans="1:32">
      <c r="A766" s="161">
        <v>16</v>
      </c>
      <c r="B766" s="162">
        <v>0.91666666666666663</v>
      </c>
      <c r="C766" s="163">
        <v>1.9845885226838031</v>
      </c>
      <c r="D766" s="163">
        <v>734.35481095026137</v>
      </c>
      <c r="E766" s="164">
        <v>0.38350000000000001</v>
      </c>
      <c r="F766" s="164">
        <v>0.38350000000000001</v>
      </c>
      <c r="G766" s="163">
        <v>4</v>
      </c>
      <c r="H766" s="163">
        <v>3.333333333333333</v>
      </c>
      <c r="I766" s="163">
        <v>-0.66666666666666696</v>
      </c>
      <c r="J766" s="163">
        <v>3</v>
      </c>
      <c r="K766" s="163">
        <v>3.0989473684210527</v>
      </c>
      <c r="L766" s="163">
        <v>9.8947368421052673E-2</v>
      </c>
      <c r="M766" s="163">
        <v>4</v>
      </c>
      <c r="N766" s="163">
        <v>2.9824561403508771</v>
      </c>
      <c r="O766" s="163">
        <v>-1.0175438596491229</v>
      </c>
      <c r="P766" s="163"/>
      <c r="Q766" s="163">
        <v>2</v>
      </c>
      <c r="R766" s="163">
        <v>0</v>
      </c>
      <c r="S766" s="163">
        <v>0</v>
      </c>
      <c r="T766" s="163">
        <v>0</v>
      </c>
      <c r="U766" s="163">
        <v>0</v>
      </c>
      <c r="V766" s="163">
        <v>0</v>
      </c>
      <c r="W766" s="163">
        <v>0</v>
      </c>
      <c r="X766" s="163">
        <v>0</v>
      </c>
      <c r="Y766" s="163">
        <v>2</v>
      </c>
      <c r="Z766" s="163">
        <v>2</v>
      </c>
      <c r="AA766" s="163">
        <v>0</v>
      </c>
      <c r="AB766" s="163">
        <v>0</v>
      </c>
      <c r="AC766" s="163">
        <v>2</v>
      </c>
      <c r="AD766" s="163">
        <v>0</v>
      </c>
      <c r="AE766" s="165">
        <v>0.52254020339675666</v>
      </c>
      <c r="AF766" s="166">
        <v>0.26127010169837833</v>
      </c>
    </row>
    <row r="767" spans="1:32">
      <c r="A767" s="161">
        <v>16</v>
      </c>
      <c r="B767" s="162">
        <v>0.9375</v>
      </c>
      <c r="C767" s="163">
        <v>1.4319768309299381</v>
      </c>
      <c r="D767" s="163">
        <v>683.66676825079833</v>
      </c>
      <c r="E767" s="164">
        <v>0.55730000000000002</v>
      </c>
      <c r="F767" s="164">
        <v>0.55730000000000002</v>
      </c>
      <c r="G767" s="163">
        <v>3</v>
      </c>
      <c r="H767" s="163">
        <v>3.333333333333333</v>
      </c>
      <c r="I767" s="163">
        <v>0.33333333333333304</v>
      </c>
      <c r="J767" s="163">
        <v>2</v>
      </c>
      <c r="K767" s="163">
        <v>2.3242105263157895</v>
      </c>
      <c r="L767" s="163">
        <v>0.3242105263157895</v>
      </c>
      <c r="M767" s="163">
        <v>3</v>
      </c>
      <c r="N767" s="163">
        <v>2.9824561403508771</v>
      </c>
      <c r="O767" s="163">
        <v>-1.7543859649122862E-2</v>
      </c>
      <c r="P767" s="163"/>
      <c r="Q767" s="163">
        <v>2</v>
      </c>
      <c r="R767" s="163">
        <v>0</v>
      </c>
      <c r="S767" s="163">
        <v>0</v>
      </c>
      <c r="T767" s="163">
        <v>0</v>
      </c>
      <c r="U767" s="163">
        <v>0</v>
      </c>
      <c r="V767" s="163">
        <v>0</v>
      </c>
      <c r="W767" s="163">
        <v>0</v>
      </c>
      <c r="X767" s="163">
        <v>0</v>
      </c>
      <c r="Y767" s="163">
        <v>2</v>
      </c>
      <c r="Z767" s="163">
        <v>2</v>
      </c>
      <c r="AA767" s="163">
        <v>0</v>
      </c>
      <c r="AB767" s="163">
        <v>0</v>
      </c>
      <c r="AC767" s="163">
        <v>2</v>
      </c>
      <c r="AD767" s="163">
        <v>0</v>
      </c>
      <c r="AE767" s="165">
        <v>0.35101344489783215</v>
      </c>
      <c r="AF767" s="166">
        <v>0.23400896326522144</v>
      </c>
    </row>
    <row r="768" spans="1:32">
      <c r="A768" s="161">
        <v>16</v>
      </c>
      <c r="B768" s="162">
        <v>0.95833333333333337</v>
      </c>
      <c r="C768" s="163">
        <v>1.0042060350845685</v>
      </c>
      <c r="D768" s="163">
        <v>638.33620990784891</v>
      </c>
      <c r="E768" s="164">
        <v>0.69539999999999991</v>
      </c>
      <c r="F768" s="164">
        <v>0.69539999999999991</v>
      </c>
      <c r="G768" s="163">
        <v>3</v>
      </c>
      <c r="H768" s="163">
        <v>3.333333333333333</v>
      </c>
      <c r="I768" s="163">
        <v>0.33333333333333304</v>
      </c>
      <c r="J768" s="163">
        <v>2</v>
      </c>
      <c r="K768" s="163">
        <v>2.3242105263157895</v>
      </c>
      <c r="L768" s="163">
        <v>0.3242105263157895</v>
      </c>
      <c r="M768" s="163">
        <v>3</v>
      </c>
      <c r="N768" s="163">
        <v>2.9824561403508771</v>
      </c>
      <c r="O768" s="163">
        <v>-1.7543859649122862E-2</v>
      </c>
      <c r="P768" s="163"/>
      <c r="Q768" s="163">
        <v>2</v>
      </c>
      <c r="R768" s="163">
        <v>0</v>
      </c>
      <c r="S768" s="163">
        <v>0</v>
      </c>
      <c r="T768" s="163">
        <v>0</v>
      </c>
      <c r="U768" s="163">
        <v>0</v>
      </c>
      <c r="V768" s="163">
        <v>0</v>
      </c>
      <c r="W768" s="163">
        <v>0</v>
      </c>
      <c r="X768" s="163">
        <v>0</v>
      </c>
      <c r="Y768" s="163">
        <v>2</v>
      </c>
      <c r="Z768" s="163">
        <v>2</v>
      </c>
      <c r="AA768" s="163">
        <v>0</v>
      </c>
      <c r="AB768" s="163">
        <v>0</v>
      </c>
      <c r="AC768" s="163">
        <v>2</v>
      </c>
      <c r="AD768" s="163">
        <v>0</v>
      </c>
      <c r="AE768" s="165">
        <v>0.22983469983482346</v>
      </c>
      <c r="AF768" s="166">
        <v>0.15322313322321562</v>
      </c>
    </row>
    <row r="769" spans="1:32">
      <c r="A769" s="161">
        <v>16</v>
      </c>
      <c r="B769" s="162">
        <v>0.97916666666666663</v>
      </c>
      <c r="C769" s="163">
        <v>0.7705301295441529</v>
      </c>
      <c r="D769" s="163">
        <v>510.55664964389445</v>
      </c>
      <c r="E769" s="164">
        <v>0.8075</v>
      </c>
      <c r="F769" s="164">
        <v>0.8075</v>
      </c>
      <c r="G769" s="163">
        <v>3</v>
      </c>
      <c r="H769" s="163">
        <v>3.333333333333333</v>
      </c>
      <c r="I769" s="163">
        <v>0.33333333333333304</v>
      </c>
      <c r="J769" s="163">
        <v>2</v>
      </c>
      <c r="K769" s="163">
        <v>2.3242105263157895</v>
      </c>
      <c r="L769" s="163">
        <v>0.3242105263157895</v>
      </c>
      <c r="M769" s="163">
        <v>3</v>
      </c>
      <c r="N769" s="163">
        <v>2.9824561403508771</v>
      </c>
      <c r="O769" s="163">
        <v>-1.7543859649122862E-2</v>
      </c>
      <c r="P769" s="163"/>
      <c r="Q769" s="163">
        <v>2</v>
      </c>
      <c r="R769" s="163">
        <v>0</v>
      </c>
      <c r="S769" s="163">
        <v>0</v>
      </c>
      <c r="T769" s="163">
        <v>0</v>
      </c>
      <c r="U769" s="163">
        <v>0</v>
      </c>
      <c r="V769" s="163">
        <v>0</v>
      </c>
      <c r="W769" s="163">
        <v>0</v>
      </c>
      <c r="X769" s="163">
        <v>0</v>
      </c>
      <c r="Y769" s="163">
        <v>2</v>
      </c>
      <c r="Z769" s="163">
        <v>2</v>
      </c>
      <c r="AA769" s="163">
        <v>0</v>
      </c>
      <c r="AB769" s="163">
        <v>0</v>
      </c>
      <c r="AC769" s="163">
        <v>2</v>
      </c>
      <c r="AD769" s="163">
        <v>0</v>
      </c>
      <c r="AE769" s="165">
        <v>0.14105122181470853</v>
      </c>
      <c r="AF769" s="166">
        <v>9.4034147876472338E-2</v>
      </c>
    </row>
    <row r="770" spans="1:32">
      <c r="A770" s="161">
        <v>17</v>
      </c>
      <c r="B770" s="162">
        <v>0</v>
      </c>
      <c r="C770" s="163">
        <v>1.3289514918198035</v>
      </c>
      <c r="D770" s="163">
        <v>636.42656763723335</v>
      </c>
      <c r="E770" s="164">
        <v>0.98850000000000005</v>
      </c>
      <c r="F770" s="164">
        <v>0.98850000000000005</v>
      </c>
      <c r="G770" s="163">
        <v>3</v>
      </c>
      <c r="H770" s="163">
        <v>6.6666666666666661</v>
      </c>
      <c r="I770" s="163">
        <v>3.6666666666666661</v>
      </c>
      <c r="J770" s="163">
        <v>2</v>
      </c>
      <c r="K770" s="163">
        <v>2.445506072874494</v>
      </c>
      <c r="L770" s="163">
        <v>0.44550607287449395</v>
      </c>
      <c r="M770" s="163">
        <v>3</v>
      </c>
      <c r="N770" s="163">
        <v>6.0908681961313533</v>
      </c>
      <c r="O770" s="163">
        <v>3.0908681961313533</v>
      </c>
      <c r="P770" s="163"/>
      <c r="Q770" s="163">
        <v>4</v>
      </c>
      <c r="R770" s="163">
        <v>0</v>
      </c>
      <c r="S770" s="163">
        <v>0</v>
      </c>
      <c r="T770" s="163">
        <v>0</v>
      </c>
      <c r="U770" s="163">
        <v>0</v>
      </c>
      <c r="V770" s="163">
        <v>0</v>
      </c>
      <c r="W770" s="163">
        <v>0</v>
      </c>
      <c r="X770" s="163">
        <v>0</v>
      </c>
      <c r="Y770" s="163">
        <v>4</v>
      </c>
      <c r="Z770" s="163">
        <v>4</v>
      </c>
      <c r="AA770" s="163">
        <v>0</v>
      </c>
      <c r="AB770" s="163">
        <v>0</v>
      </c>
      <c r="AC770" s="163">
        <v>4</v>
      </c>
      <c r="AD770" s="163">
        <v>0</v>
      </c>
      <c r="AE770" s="165">
        <v>0.14410446673946042</v>
      </c>
      <c r="AF770" s="166">
        <v>0.1921392889859472</v>
      </c>
    </row>
    <row r="771" spans="1:32">
      <c r="A771" s="161">
        <v>17</v>
      </c>
      <c r="B771" s="162">
        <v>2.0833333333333332E-2</v>
      </c>
      <c r="C771" s="163">
        <v>0.92942875132306724</v>
      </c>
      <c r="D771" s="163">
        <v>636.29789813659465</v>
      </c>
      <c r="E771" s="164">
        <v>0.99569999999999992</v>
      </c>
      <c r="F771" s="164">
        <v>0.99569999999999992</v>
      </c>
      <c r="G771" s="163">
        <v>3</v>
      </c>
      <c r="H771" s="163">
        <v>6.6666666666666661</v>
      </c>
      <c r="I771" s="163">
        <v>3.6666666666666661</v>
      </c>
      <c r="J771" s="163">
        <v>2</v>
      </c>
      <c r="K771" s="163">
        <v>2.445506072874494</v>
      </c>
      <c r="L771" s="163">
        <v>0.44550607287449395</v>
      </c>
      <c r="M771" s="163">
        <v>3</v>
      </c>
      <c r="N771" s="163">
        <v>6.0908681961313533</v>
      </c>
      <c r="O771" s="163">
        <v>3.0908681961313533</v>
      </c>
      <c r="P771" s="163"/>
      <c r="Q771" s="163">
        <v>4</v>
      </c>
      <c r="R771" s="163">
        <v>0</v>
      </c>
      <c r="S771" s="163">
        <v>0</v>
      </c>
      <c r="T771" s="163">
        <v>0</v>
      </c>
      <c r="U771" s="163">
        <v>0</v>
      </c>
      <c r="V771" s="163">
        <v>0</v>
      </c>
      <c r="W771" s="163">
        <v>0</v>
      </c>
      <c r="X771" s="163">
        <v>0</v>
      </c>
      <c r="Y771" s="163">
        <v>4</v>
      </c>
      <c r="Z771" s="163">
        <v>4</v>
      </c>
      <c r="AA771" s="163">
        <v>0</v>
      </c>
      <c r="AB771" s="163">
        <v>0</v>
      </c>
      <c r="AC771" s="163">
        <v>4</v>
      </c>
      <c r="AD771" s="163">
        <v>0</v>
      </c>
      <c r="AE771" s="165">
        <v>0.10076195943897417</v>
      </c>
      <c r="AF771" s="166">
        <v>0.13434927925196555</v>
      </c>
    </row>
    <row r="772" spans="1:32">
      <c r="A772" s="161">
        <v>17</v>
      </c>
      <c r="B772" s="162">
        <v>4.1666666666666664E-2</v>
      </c>
      <c r="C772" s="163">
        <v>0.70763004541528074</v>
      </c>
      <c r="D772" s="163">
        <v>603.00524377756335</v>
      </c>
      <c r="E772" s="164">
        <v>0.99829999999999997</v>
      </c>
      <c r="F772" s="164">
        <v>0.99829999999999997</v>
      </c>
      <c r="G772" s="163">
        <v>3</v>
      </c>
      <c r="H772" s="163">
        <v>6.6666666666666661</v>
      </c>
      <c r="I772" s="163">
        <v>3.6666666666666661</v>
      </c>
      <c r="J772" s="163">
        <v>2</v>
      </c>
      <c r="K772" s="163">
        <v>2.445506072874494</v>
      </c>
      <c r="L772" s="163">
        <v>0.44550607287449395</v>
      </c>
      <c r="M772" s="163">
        <v>3</v>
      </c>
      <c r="N772" s="163">
        <v>6.0908681961313533</v>
      </c>
      <c r="O772" s="163">
        <v>3.0908681961313533</v>
      </c>
      <c r="P772" s="163"/>
      <c r="Q772" s="163">
        <v>4</v>
      </c>
      <c r="R772" s="163">
        <v>0</v>
      </c>
      <c r="S772" s="163">
        <v>0</v>
      </c>
      <c r="T772" s="163">
        <v>0</v>
      </c>
      <c r="U772" s="163">
        <v>0</v>
      </c>
      <c r="V772" s="163">
        <v>0</v>
      </c>
      <c r="W772" s="163">
        <v>0</v>
      </c>
      <c r="X772" s="163">
        <v>0</v>
      </c>
      <c r="Y772" s="163">
        <v>4</v>
      </c>
      <c r="Z772" s="163">
        <v>4</v>
      </c>
      <c r="AA772" s="163">
        <v>0</v>
      </c>
      <c r="AB772" s="163">
        <v>0</v>
      </c>
      <c r="AC772" s="163">
        <v>4</v>
      </c>
      <c r="AD772" s="163">
        <v>0</v>
      </c>
      <c r="AE772" s="165">
        <v>7.2702168679414508E-2</v>
      </c>
      <c r="AF772" s="166">
        <v>9.6936224905886006E-2</v>
      </c>
    </row>
    <row r="773" spans="1:32">
      <c r="A773" s="161">
        <v>17</v>
      </c>
      <c r="B773" s="162">
        <v>6.25E-2</v>
      </c>
      <c r="C773" s="163">
        <v>0.56072237409598336</v>
      </c>
      <c r="D773" s="163">
        <v>587.15124013671038</v>
      </c>
      <c r="E773" s="164">
        <v>0.99919999999999998</v>
      </c>
      <c r="F773" s="164">
        <v>0.99919999999999998</v>
      </c>
      <c r="G773" s="163">
        <v>2</v>
      </c>
      <c r="H773" s="163">
        <v>6.6666666666666661</v>
      </c>
      <c r="I773" s="163">
        <v>4.6666666666666661</v>
      </c>
      <c r="J773" s="163">
        <v>1</v>
      </c>
      <c r="K773" s="163">
        <v>1.6303373819163294</v>
      </c>
      <c r="L773" s="163">
        <v>0.63033738191632938</v>
      </c>
      <c r="M773" s="163">
        <v>2</v>
      </c>
      <c r="N773" s="163">
        <v>6.0908681961313533</v>
      </c>
      <c r="O773" s="163">
        <v>4.0908681961313533</v>
      </c>
      <c r="P773" s="163"/>
      <c r="Q773" s="163">
        <v>4</v>
      </c>
      <c r="R773" s="163">
        <v>0</v>
      </c>
      <c r="S773" s="163">
        <v>0</v>
      </c>
      <c r="T773" s="163">
        <v>0</v>
      </c>
      <c r="U773" s="163">
        <v>0</v>
      </c>
      <c r="V773" s="163">
        <v>0</v>
      </c>
      <c r="W773" s="163">
        <v>0</v>
      </c>
      <c r="X773" s="163">
        <v>0</v>
      </c>
      <c r="Y773" s="163">
        <v>4</v>
      </c>
      <c r="Z773" s="163">
        <v>4</v>
      </c>
      <c r="AA773" s="163">
        <v>0</v>
      </c>
      <c r="AB773" s="163">
        <v>0</v>
      </c>
      <c r="AC773" s="163">
        <v>4</v>
      </c>
      <c r="AD773" s="163">
        <v>0</v>
      </c>
      <c r="AE773" s="165">
        <v>5.6094189967238445E-2</v>
      </c>
      <c r="AF773" s="166">
        <v>0.11218837993447689</v>
      </c>
    </row>
    <row r="774" spans="1:32">
      <c r="A774" s="161">
        <v>17</v>
      </c>
      <c r="B774" s="162">
        <v>8.3333333333333329E-2</v>
      </c>
      <c r="C774" s="163">
        <v>0.45132330594427505</v>
      </c>
      <c r="D774" s="163">
        <v>604.53569356622154</v>
      </c>
      <c r="E774" s="164">
        <v>0.99949999999999994</v>
      </c>
      <c r="F774" s="164">
        <v>0.99949999999999994</v>
      </c>
      <c r="G774" s="163">
        <v>2</v>
      </c>
      <c r="H774" s="163">
        <v>6.6666666666666661</v>
      </c>
      <c r="I774" s="163">
        <v>4.6666666666666661</v>
      </c>
      <c r="J774" s="163">
        <v>1</v>
      </c>
      <c r="K774" s="163">
        <v>1.6303373819163294</v>
      </c>
      <c r="L774" s="163">
        <v>0.63033738191632938</v>
      </c>
      <c r="M774" s="163">
        <v>2</v>
      </c>
      <c r="N774" s="163">
        <v>6.0908681961313533</v>
      </c>
      <c r="O774" s="163">
        <v>4.0908681961313533</v>
      </c>
      <c r="P774" s="163"/>
      <c r="Q774" s="163">
        <v>4</v>
      </c>
      <c r="R774" s="163">
        <v>0</v>
      </c>
      <c r="S774" s="163">
        <v>0</v>
      </c>
      <c r="T774" s="163">
        <v>0</v>
      </c>
      <c r="U774" s="163">
        <v>0</v>
      </c>
      <c r="V774" s="163">
        <v>0</v>
      </c>
      <c r="W774" s="163">
        <v>0</v>
      </c>
      <c r="X774" s="163">
        <v>0</v>
      </c>
      <c r="Y774" s="163">
        <v>4</v>
      </c>
      <c r="Z774" s="163">
        <v>4</v>
      </c>
      <c r="AA774" s="163">
        <v>0</v>
      </c>
      <c r="AB774" s="163">
        <v>0</v>
      </c>
      <c r="AC774" s="163">
        <v>4</v>
      </c>
      <c r="AD774" s="163">
        <v>0</v>
      </c>
      <c r="AE774" s="165">
        <v>4.6486807442429806E-2</v>
      </c>
      <c r="AF774" s="166">
        <v>9.2973614884859612E-2</v>
      </c>
    </row>
    <row r="775" spans="1:32">
      <c r="A775" s="161">
        <v>17</v>
      </c>
      <c r="B775" s="162">
        <v>0.10416666666666667</v>
      </c>
      <c r="C775" s="163">
        <v>0.35929086423344492</v>
      </c>
      <c r="D775" s="163">
        <v>575.3151867755588</v>
      </c>
      <c r="E775" s="164">
        <v>0.99980000000000002</v>
      </c>
      <c r="F775" s="164">
        <v>0.99980000000000002</v>
      </c>
      <c r="G775" s="163">
        <v>2</v>
      </c>
      <c r="H775" s="163">
        <v>6.6666666666666661</v>
      </c>
      <c r="I775" s="163">
        <v>4.6666666666666661</v>
      </c>
      <c r="J775" s="163">
        <v>1</v>
      </c>
      <c r="K775" s="163">
        <v>1.6303373819163294</v>
      </c>
      <c r="L775" s="163">
        <v>0.63033738191632938</v>
      </c>
      <c r="M775" s="163">
        <v>2</v>
      </c>
      <c r="N775" s="163">
        <v>6.0908681961313533</v>
      </c>
      <c r="O775" s="163">
        <v>4.0908681961313533</v>
      </c>
      <c r="P775" s="163"/>
      <c r="Q775" s="163">
        <v>4</v>
      </c>
      <c r="R775" s="163">
        <v>0</v>
      </c>
      <c r="S775" s="163">
        <v>0</v>
      </c>
      <c r="T775" s="163">
        <v>0</v>
      </c>
      <c r="U775" s="163">
        <v>0</v>
      </c>
      <c r="V775" s="163">
        <v>0</v>
      </c>
      <c r="W775" s="163">
        <v>0</v>
      </c>
      <c r="X775" s="163">
        <v>0</v>
      </c>
      <c r="Y775" s="163">
        <v>4</v>
      </c>
      <c r="Z775" s="163">
        <v>4</v>
      </c>
      <c r="AA775" s="163">
        <v>0</v>
      </c>
      <c r="AB775" s="163">
        <v>0</v>
      </c>
      <c r="AC775" s="163">
        <v>4</v>
      </c>
      <c r="AD775" s="163">
        <v>0</v>
      </c>
      <c r="AE775" s="165">
        <v>3.5218594928739834E-2</v>
      </c>
      <c r="AF775" s="166">
        <v>7.0437189857479668E-2</v>
      </c>
    </row>
    <row r="776" spans="1:32">
      <c r="A776" s="161">
        <v>17</v>
      </c>
      <c r="B776" s="162">
        <v>0.125</v>
      </c>
      <c r="C776" s="163">
        <v>0.32397436518090911</v>
      </c>
      <c r="D776" s="163">
        <v>575.21864839295324</v>
      </c>
      <c r="E776" s="164">
        <v>0.99980000000000002</v>
      </c>
      <c r="F776" s="164">
        <v>0.99980000000000002</v>
      </c>
      <c r="G776" s="163">
        <v>2</v>
      </c>
      <c r="H776" s="163">
        <v>6.6666666666666661</v>
      </c>
      <c r="I776" s="163">
        <v>4.6666666666666661</v>
      </c>
      <c r="J776" s="163">
        <v>1</v>
      </c>
      <c r="K776" s="163">
        <v>1.6303373819163294</v>
      </c>
      <c r="L776" s="163">
        <v>0.63033738191632938</v>
      </c>
      <c r="M776" s="163">
        <v>2</v>
      </c>
      <c r="N776" s="163">
        <v>6.0908681961313533</v>
      </c>
      <c r="O776" s="163">
        <v>4.0908681961313533</v>
      </c>
      <c r="P776" s="163"/>
      <c r="Q776" s="163">
        <v>4</v>
      </c>
      <c r="R776" s="163">
        <v>0</v>
      </c>
      <c r="S776" s="163">
        <v>0</v>
      </c>
      <c r="T776" s="163">
        <v>0</v>
      </c>
      <c r="U776" s="163">
        <v>0</v>
      </c>
      <c r="V776" s="163">
        <v>0</v>
      </c>
      <c r="W776" s="163">
        <v>0</v>
      </c>
      <c r="X776" s="163">
        <v>0</v>
      </c>
      <c r="Y776" s="163">
        <v>4</v>
      </c>
      <c r="Z776" s="163">
        <v>4</v>
      </c>
      <c r="AA776" s="163">
        <v>0</v>
      </c>
      <c r="AB776" s="163">
        <v>0</v>
      </c>
      <c r="AC776" s="163">
        <v>4</v>
      </c>
      <c r="AD776" s="163">
        <v>0</v>
      </c>
      <c r="AE776" s="165">
        <v>3.1751453976538474E-2</v>
      </c>
      <c r="AF776" s="166">
        <v>6.3502907953076948E-2</v>
      </c>
    </row>
    <row r="777" spans="1:32">
      <c r="A777" s="161">
        <v>17</v>
      </c>
      <c r="B777" s="162">
        <v>0.14583333333333334</v>
      </c>
      <c r="C777" s="163">
        <v>0.32640856859542872</v>
      </c>
      <c r="D777" s="163">
        <v>609.10251979119346</v>
      </c>
      <c r="E777" s="164">
        <v>0.99980000000000002</v>
      </c>
      <c r="F777" s="164">
        <v>0.99980000000000002</v>
      </c>
      <c r="G777" s="163">
        <v>2</v>
      </c>
      <c r="H777" s="163">
        <v>6.6666666666666661</v>
      </c>
      <c r="I777" s="163">
        <v>4.6666666666666661</v>
      </c>
      <c r="J777" s="163">
        <v>1</v>
      </c>
      <c r="K777" s="163">
        <v>1.6303373819163294</v>
      </c>
      <c r="L777" s="163">
        <v>0.63033738191632938</v>
      </c>
      <c r="M777" s="163">
        <v>2</v>
      </c>
      <c r="N777" s="163">
        <v>6.0908681961313533</v>
      </c>
      <c r="O777" s="163">
        <v>4.0908681961313533</v>
      </c>
      <c r="P777" s="163"/>
      <c r="Q777" s="163">
        <v>4</v>
      </c>
      <c r="R777" s="163">
        <v>0</v>
      </c>
      <c r="S777" s="163">
        <v>0</v>
      </c>
      <c r="T777" s="163">
        <v>0</v>
      </c>
      <c r="U777" s="163">
        <v>0</v>
      </c>
      <c r="V777" s="163">
        <v>0</v>
      </c>
      <c r="W777" s="163">
        <v>0</v>
      </c>
      <c r="X777" s="163">
        <v>0</v>
      </c>
      <c r="Y777" s="163">
        <v>4</v>
      </c>
      <c r="Z777" s="163">
        <v>4</v>
      </c>
      <c r="AA777" s="163">
        <v>0</v>
      </c>
      <c r="AB777" s="163">
        <v>0</v>
      </c>
      <c r="AC777" s="163">
        <v>4</v>
      </c>
      <c r="AD777" s="163">
        <v>0</v>
      </c>
      <c r="AE777" s="165">
        <v>3.3874427161549266E-2</v>
      </c>
      <c r="AF777" s="166">
        <v>6.7748854323098531E-2</v>
      </c>
    </row>
    <row r="778" spans="1:32">
      <c r="A778" s="161">
        <v>17</v>
      </c>
      <c r="B778" s="162">
        <v>0.16666666666666666</v>
      </c>
      <c r="C778" s="163">
        <v>0.3671106991255807</v>
      </c>
      <c r="D778" s="163">
        <v>609.09978033921152</v>
      </c>
      <c r="E778" s="164">
        <v>0.99970000000000014</v>
      </c>
      <c r="F778" s="164">
        <v>0.99970000000000014</v>
      </c>
      <c r="G778" s="163">
        <v>2</v>
      </c>
      <c r="H778" s="163">
        <v>6.6666666666666661</v>
      </c>
      <c r="I778" s="163">
        <v>4.6666666666666661</v>
      </c>
      <c r="J778" s="163">
        <v>1</v>
      </c>
      <c r="K778" s="163">
        <v>1.6303373819163294</v>
      </c>
      <c r="L778" s="163">
        <v>0.63033738191632938</v>
      </c>
      <c r="M778" s="163">
        <v>2</v>
      </c>
      <c r="N778" s="163">
        <v>6.0908681961313533</v>
      </c>
      <c r="O778" s="163">
        <v>4.0908681961313533</v>
      </c>
      <c r="P778" s="163"/>
      <c r="Q778" s="163">
        <v>4</v>
      </c>
      <c r="R778" s="163">
        <v>0</v>
      </c>
      <c r="S778" s="163">
        <v>0</v>
      </c>
      <c r="T778" s="163">
        <v>0</v>
      </c>
      <c r="U778" s="163">
        <v>0</v>
      </c>
      <c r="V778" s="163">
        <v>0</v>
      </c>
      <c r="W778" s="163">
        <v>0</v>
      </c>
      <c r="X778" s="163">
        <v>0</v>
      </c>
      <c r="Y778" s="163">
        <v>4</v>
      </c>
      <c r="Z778" s="163">
        <v>4</v>
      </c>
      <c r="AA778" s="163">
        <v>0</v>
      </c>
      <c r="AB778" s="163">
        <v>0</v>
      </c>
      <c r="AC778" s="163">
        <v>4</v>
      </c>
      <c r="AD778" s="163">
        <v>0</v>
      </c>
      <c r="AE778" s="165">
        <v>3.809829123540294E-2</v>
      </c>
      <c r="AF778" s="166">
        <v>7.6196582470805879E-2</v>
      </c>
    </row>
    <row r="779" spans="1:32">
      <c r="A779" s="161">
        <v>17</v>
      </c>
      <c r="B779" s="162">
        <v>0.1875</v>
      </c>
      <c r="C779" s="163">
        <v>0.5412318667988969</v>
      </c>
      <c r="D779" s="163">
        <v>647.1550725640941</v>
      </c>
      <c r="E779" s="164">
        <v>0.999</v>
      </c>
      <c r="F779" s="164">
        <v>0.999</v>
      </c>
      <c r="G779" s="163">
        <v>2</v>
      </c>
      <c r="H779" s="163">
        <v>6.6666666666666661</v>
      </c>
      <c r="I779" s="163">
        <v>4.6666666666666661</v>
      </c>
      <c r="J779" s="163">
        <v>1</v>
      </c>
      <c r="K779" s="163">
        <v>1.6303373819163294</v>
      </c>
      <c r="L779" s="163">
        <v>0.63033738191632938</v>
      </c>
      <c r="M779" s="163">
        <v>2</v>
      </c>
      <c r="N779" s="163">
        <v>6.0908681961313533</v>
      </c>
      <c r="O779" s="163">
        <v>4.0908681961313533</v>
      </c>
      <c r="P779" s="163"/>
      <c r="Q779" s="163">
        <v>4</v>
      </c>
      <c r="R779" s="163">
        <v>0</v>
      </c>
      <c r="S779" s="163">
        <v>0</v>
      </c>
      <c r="T779" s="163">
        <v>0</v>
      </c>
      <c r="U779" s="163">
        <v>0</v>
      </c>
      <c r="V779" s="163">
        <v>0</v>
      </c>
      <c r="W779" s="163">
        <v>0</v>
      </c>
      <c r="X779" s="163">
        <v>0</v>
      </c>
      <c r="Y779" s="163">
        <v>4</v>
      </c>
      <c r="Z779" s="163">
        <v>4</v>
      </c>
      <c r="AA779" s="163">
        <v>0</v>
      </c>
      <c r="AB779" s="163">
        <v>0</v>
      </c>
      <c r="AC779" s="163">
        <v>4</v>
      </c>
      <c r="AD779" s="163">
        <v>0</v>
      </c>
      <c r="AE779" s="165">
        <v>5.967765253126403E-2</v>
      </c>
      <c r="AF779" s="166">
        <v>0.11935530506252806</v>
      </c>
    </row>
    <row r="780" spans="1:32">
      <c r="A780" s="161">
        <v>17</v>
      </c>
      <c r="B780" s="162">
        <v>0.20833333333333334</v>
      </c>
      <c r="C780" s="163">
        <v>0.94920169251432107</v>
      </c>
      <c r="D780" s="163">
        <v>680.50941710271593</v>
      </c>
      <c r="E780" s="164">
        <v>0.99450000000000005</v>
      </c>
      <c r="F780" s="164">
        <v>0.99450000000000005</v>
      </c>
      <c r="G780" s="163">
        <v>3</v>
      </c>
      <c r="H780" s="163">
        <v>6.6666666666666661</v>
      </c>
      <c r="I780" s="163">
        <v>3.6666666666666661</v>
      </c>
      <c r="J780" s="163">
        <v>2</v>
      </c>
      <c r="K780" s="163">
        <v>2.445506072874494</v>
      </c>
      <c r="L780" s="163">
        <v>0.44550607287449395</v>
      </c>
      <c r="M780" s="163">
        <v>3</v>
      </c>
      <c r="N780" s="163">
        <v>6.0908681961313533</v>
      </c>
      <c r="O780" s="163">
        <v>3.0908681961313533</v>
      </c>
      <c r="P780" s="163"/>
      <c r="Q780" s="163">
        <v>4</v>
      </c>
      <c r="R780" s="163">
        <v>0</v>
      </c>
      <c r="S780" s="163">
        <v>0</v>
      </c>
      <c r="T780" s="163">
        <v>0</v>
      </c>
      <c r="U780" s="163">
        <v>0</v>
      </c>
      <c r="V780" s="163">
        <v>0</v>
      </c>
      <c r="W780" s="163">
        <v>0</v>
      </c>
      <c r="X780" s="163">
        <v>0</v>
      </c>
      <c r="Y780" s="163">
        <v>4</v>
      </c>
      <c r="Z780" s="163">
        <v>4</v>
      </c>
      <c r="AA780" s="163">
        <v>0</v>
      </c>
      <c r="AB780" s="163">
        <v>0</v>
      </c>
      <c r="AC780" s="163">
        <v>4</v>
      </c>
      <c r="AD780" s="163">
        <v>0</v>
      </c>
      <c r="AE780" s="165">
        <v>0.11005572930462698</v>
      </c>
      <c r="AF780" s="166">
        <v>0.14674097240616929</v>
      </c>
    </row>
    <row r="781" spans="1:32">
      <c r="A781" s="161">
        <v>17</v>
      </c>
      <c r="B781" s="162">
        <v>0.22916666666666666</v>
      </c>
      <c r="C781" s="163">
        <v>1.5880863621019006</v>
      </c>
      <c r="D781" s="163">
        <v>695.547322159175</v>
      </c>
      <c r="E781" s="164">
        <v>0.97619999999999996</v>
      </c>
      <c r="F781" s="164">
        <v>0.97619999999999996</v>
      </c>
      <c r="G781" s="163">
        <v>3</v>
      </c>
      <c r="H781" s="163">
        <v>6.6666666666666661</v>
      </c>
      <c r="I781" s="163">
        <v>3.6666666666666661</v>
      </c>
      <c r="J781" s="163">
        <v>2</v>
      </c>
      <c r="K781" s="163">
        <v>2.445506072874494</v>
      </c>
      <c r="L781" s="163">
        <v>0.44550607287449395</v>
      </c>
      <c r="M781" s="163">
        <v>3</v>
      </c>
      <c r="N781" s="163">
        <v>6.0908681961313533</v>
      </c>
      <c r="O781" s="163">
        <v>3.0908681961313533</v>
      </c>
      <c r="P781" s="163"/>
      <c r="Q781" s="163">
        <v>4</v>
      </c>
      <c r="R781" s="163">
        <v>0</v>
      </c>
      <c r="S781" s="163">
        <v>0</v>
      </c>
      <c r="T781" s="163">
        <v>0</v>
      </c>
      <c r="U781" s="163">
        <v>0</v>
      </c>
      <c r="V781" s="163">
        <v>0</v>
      </c>
      <c r="W781" s="163">
        <v>0</v>
      </c>
      <c r="X781" s="163">
        <v>0</v>
      </c>
      <c r="Y781" s="163">
        <v>4</v>
      </c>
      <c r="Z781" s="163">
        <v>4</v>
      </c>
      <c r="AA781" s="163">
        <v>0</v>
      </c>
      <c r="AB781" s="163">
        <v>0</v>
      </c>
      <c r="AC781" s="163">
        <v>4</v>
      </c>
      <c r="AD781" s="163">
        <v>0</v>
      </c>
      <c r="AE781" s="165">
        <v>0.18820051685306316</v>
      </c>
      <c r="AF781" s="166">
        <v>0.25093402247075086</v>
      </c>
    </row>
    <row r="782" spans="1:32">
      <c r="A782" s="161">
        <v>17</v>
      </c>
      <c r="B782" s="162">
        <v>0.25</v>
      </c>
      <c r="C782" s="163">
        <v>2.4399052092140634</v>
      </c>
      <c r="D782" s="163">
        <v>702.8260124817557</v>
      </c>
      <c r="E782" s="164">
        <v>0.92700000000000005</v>
      </c>
      <c r="F782" s="164">
        <v>0.92700000000000005</v>
      </c>
      <c r="G782" s="163">
        <v>4</v>
      </c>
      <c r="H782" s="163">
        <v>6.6666666666666661</v>
      </c>
      <c r="I782" s="163">
        <v>2.6666666666666661</v>
      </c>
      <c r="J782" s="163">
        <v>3</v>
      </c>
      <c r="K782" s="163">
        <v>3.2606747638326588</v>
      </c>
      <c r="L782" s="163">
        <v>0.26067476383265875</v>
      </c>
      <c r="M782" s="163">
        <v>4</v>
      </c>
      <c r="N782" s="163">
        <v>6.0908681961313533</v>
      </c>
      <c r="O782" s="163">
        <v>2.0908681961313533</v>
      </c>
      <c r="P782" s="163"/>
      <c r="Q782" s="163">
        <v>4</v>
      </c>
      <c r="R782" s="163">
        <v>0</v>
      </c>
      <c r="S782" s="163">
        <v>0</v>
      </c>
      <c r="T782" s="163">
        <v>0</v>
      </c>
      <c r="U782" s="163">
        <v>0</v>
      </c>
      <c r="V782" s="163">
        <v>0</v>
      </c>
      <c r="W782" s="163">
        <v>0</v>
      </c>
      <c r="X782" s="163">
        <v>0</v>
      </c>
      <c r="Y782" s="163">
        <v>4</v>
      </c>
      <c r="Z782" s="163">
        <v>4</v>
      </c>
      <c r="AA782" s="163">
        <v>0</v>
      </c>
      <c r="AB782" s="163">
        <v>0</v>
      </c>
      <c r="AC782" s="163">
        <v>4</v>
      </c>
      <c r="AD782" s="163">
        <v>0</v>
      </c>
      <c r="AE782" s="165">
        <v>0.29217348030847146</v>
      </c>
      <c r="AF782" s="166">
        <v>0.29217348030847146</v>
      </c>
    </row>
    <row r="783" spans="1:32">
      <c r="A783" s="161">
        <v>17</v>
      </c>
      <c r="B783" s="162">
        <v>0.27083333333333331</v>
      </c>
      <c r="C783" s="163">
        <v>3.5266233097342017</v>
      </c>
      <c r="D783" s="163">
        <v>770.28035572556826</v>
      </c>
      <c r="E783" s="164">
        <v>0.78390000000000004</v>
      </c>
      <c r="F783" s="164">
        <v>0.78390000000000004</v>
      </c>
      <c r="G783" s="163">
        <v>5</v>
      </c>
      <c r="H783" s="163">
        <v>6.6666666666666661</v>
      </c>
      <c r="I783" s="163">
        <v>1.6666666666666661</v>
      </c>
      <c r="J783" s="163">
        <v>4</v>
      </c>
      <c r="K783" s="163">
        <v>4.0758434547908236</v>
      </c>
      <c r="L783" s="163">
        <v>7.584345479082355E-2</v>
      </c>
      <c r="M783" s="163">
        <v>5</v>
      </c>
      <c r="N783" s="163">
        <v>6.0908681961313533</v>
      </c>
      <c r="O783" s="163">
        <v>1.0908681961313533</v>
      </c>
      <c r="P783" s="163"/>
      <c r="Q783" s="163">
        <v>4</v>
      </c>
      <c r="R783" s="163">
        <v>0</v>
      </c>
      <c r="S783" s="163">
        <v>0</v>
      </c>
      <c r="T783" s="163">
        <v>0</v>
      </c>
      <c r="U783" s="163">
        <v>0</v>
      </c>
      <c r="V783" s="163">
        <v>0</v>
      </c>
      <c r="W783" s="163">
        <v>0</v>
      </c>
      <c r="X783" s="163">
        <v>0</v>
      </c>
      <c r="Y783" s="163">
        <v>4</v>
      </c>
      <c r="Z783" s="163">
        <v>4</v>
      </c>
      <c r="AA783" s="163">
        <v>0</v>
      </c>
      <c r="AB783" s="163">
        <v>0</v>
      </c>
      <c r="AC783" s="163">
        <v>4</v>
      </c>
      <c r="AD783" s="163">
        <v>0</v>
      </c>
      <c r="AE783" s="165">
        <v>0.46283682814220289</v>
      </c>
      <c r="AF783" s="166">
        <v>0.37026946251376236</v>
      </c>
    </row>
    <row r="784" spans="1:32">
      <c r="A784" s="161">
        <v>17</v>
      </c>
      <c r="B784" s="162">
        <v>0.29166666666666669</v>
      </c>
      <c r="C784" s="163">
        <v>9.2928140753634949</v>
      </c>
      <c r="D784" s="163">
        <v>805.82898978574906</v>
      </c>
      <c r="E784" s="164">
        <v>0.51859999999999995</v>
      </c>
      <c r="F784" s="164">
        <v>0.51859999999999995</v>
      </c>
      <c r="G784" s="163">
        <v>9</v>
      </c>
      <c r="H784" s="163">
        <v>11.666666666666668</v>
      </c>
      <c r="I784" s="163">
        <v>2.6666666666666679</v>
      </c>
      <c r="J784" s="163">
        <v>7</v>
      </c>
      <c r="K784" s="163">
        <v>7.3365182186234819</v>
      </c>
      <c r="L784" s="163">
        <v>0.33651821862348186</v>
      </c>
      <c r="M784" s="163">
        <v>8</v>
      </c>
      <c r="N784" s="163">
        <v>10.65901934322987</v>
      </c>
      <c r="O784" s="163">
        <v>2.6590193432298701</v>
      </c>
      <c r="P784" s="163"/>
      <c r="Q784" s="163">
        <v>7</v>
      </c>
      <c r="R784" s="163">
        <v>0</v>
      </c>
      <c r="S784" s="163">
        <v>0</v>
      </c>
      <c r="T784" s="163">
        <v>0</v>
      </c>
      <c r="U784" s="163">
        <v>0</v>
      </c>
      <c r="V784" s="163">
        <v>0</v>
      </c>
      <c r="W784" s="163">
        <v>0</v>
      </c>
      <c r="X784" s="163">
        <v>0</v>
      </c>
      <c r="Y784" s="163">
        <v>7</v>
      </c>
      <c r="Z784" s="163">
        <v>7</v>
      </c>
      <c r="AA784" s="163">
        <v>0</v>
      </c>
      <c r="AB784" s="163">
        <v>0</v>
      </c>
      <c r="AC784" s="163">
        <v>4</v>
      </c>
      <c r="AD784" s="163">
        <v>3</v>
      </c>
      <c r="AE784" s="165">
        <v>0.72907481991037626</v>
      </c>
      <c r="AF784" s="166">
        <v>0.56705819326362594</v>
      </c>
    </row>
    <row r="785" spans="1:32">
      <c r="A785" s="161">
        <v>17</v>
      </c>
      <c r="B785" s="162">
        <v>0.3125</v>
      </c>
      <c r="C785" s="163">
        <v>10.895768723491807</v>
      </c>
      <c r="D785" s="163">
        <v>776.49512876644258</v>
      </c>
      <c r="E785" s="164">
        <v>0.89970000000000006</v>
      </c>
      <c r="F785" s="164">
        <v>0.89970000000000006</v>
      </c>
      <c r="G785" s="163">
        <v>10</v>
      </c>
      <c r="H785" s="163">
        <v>18.333333333333332</v>
      </c>
      <c r="I785" s="163">
        <v>8.3333333333333321</v>
      </c>
      <c r="J785" s="163">
        <v>8</v>
      </c>
      <c r="K785" s="163">
        <v>8.1516869095816471</v>
      </c>
      <c r="L785" s="163">
        <v>0.1516869095816471</v>
      </c>
      <c r="M785" s="163">
        <v>9</v>
      </c>
      <c r="N785" s="163">
        <v>16.749887539361222</v>
      </c>
      <c r="O785" s="163">
        <v>7.7498875393612217</v>
      </c>
      <c r="P785" s="163"/>
      <c r="Q785" s="163">
        <v>11</v>
      </c>
      <c r="R785" s="163">
        <v>0</v>
      </c>
      <c r="S785" s="163">
        <v>0</v>
      </c>
      <c r="T785" s="163">
        <v>0</v>
      </c>
      <c r="U785" s="163">
        <v>0</v>
      </c>
      <c r="V785" s="163">
        <v>0</v>
      </c>
      <c r="W785" s="163">
        <v>0</v>
      </c>
      <c r="X785" s="163">
        <v>0</v>
      </c>
      <c r="Y785" s="163">
        <v>11</v>
      </c>
      <c r="Z785" s="163">
        <v>11</v>
      </c>
      <c r="AA785" s="163">
        <v>0</v>
      </c>
      <c r="AB785" s="163">
        <v>0</v>
      </c>
      <c r="AC785" s="163">
        <v>8</v>
      </c>
      <c r="AD785" s="163">
        <v>3</v>
      </c>
      <c r="AE785" s="165">
        <v>0.52418420525918807</v>
      </c>
      <c r="AF785" s="166">
        <v>0.5766026257851069</v>
      </c>
    </row>
    <row r="786" spans="1:32">
      <c r="A786" s="161">
        <v>17</v>
      </c>
      <c r="B786" s="162">
        <v>0.33333333333333331</v>
      </c>
      <c r="C786" s="163">
        <v>16.066125989768274</v>
      </c>
      <c r="D786" s="163">
        <v>818.60392023043255</v>
      </c>
      <c r="E786" s="164">
        <v>0.77439999999999998</v>
      </c>
      <c r="F786" s="164">
        <v>0.77439999999999998</v>
      </c>
      <c r="G786" s="163">
        <v>14</v>
      </c>
      <c r="H786" s="163">
        <v>21.666666666666664</v>
      </c>
      <c r="I786" s="163">
        <v>7.6666666666666643</v>
      </c>
      <c r="J786" s="163">
        <v>11</v>
      </c>
      <c r="K786" s="163">
        <v>11.412361673414306</v>
      </c>
      <c r="L786" s="163">
        <v>0.4123616734143063</v>
      </c>
      <c r="M786" s="163">
        <v>13</v>
      </c>
      <c r="N786" s="163">
        <v>19.795321637426898</v>
      </c>
      <c r="O786" s="163">
        <v>6.7953216374268983</v>
      </c>
      <c r="P786" s="163"/>
      <c r="Q786" s="163">
        <v>13</v>
      </c>
      <c r="R786" s="163">
        <v>0</v>
      </c>
      <c r="S786" s="163">
        <v>0</v>
      </c>
      <c r="T786" s="163">
        <v>0</v>
      </c>
      <c r="U786" s="163">
        <v>0</v>
      </c>
      <c r="V786" s="163">
        <v>0</v>
      </c>
      <c r="W786" s="163">
        <v>0</v>
      </c>
      <c r="X786" s="163">
        <v>0</v>
      </c>
      <c r="Y786" s="163">
        <v>13</v>
      </c>
      <c r="Z786" s="163">
        <v>13</v>
      </c>
      <c r="AA786" s="163">
        <v>0</v>
      </c>
      <c r="AB786" s="163">
        <v>0</v>
      </c>
      <c r="AC786" s="163">
        <v>10</v>
      </c>
      <c r="AD786" s="163">
        <v>3</v>
      </c>
      <c r="AE786" s="165">
        <v>0.68947994791919576</v>
      </c>
      <c r="AF786" s="166">
        <v>0.64023138021068171</v>
      </c>
    </row>
    <row r="787" spans="1:32">
      <c r="A787" s="161">
        <v>17</v>
      </c>
      <c r="B787" s="162">
        <v>0.35416666666666669</v>
      </c>
      <c r="C787" s="163">
        <v>18.559323900659358</v>
      </c>
      <c r="D787" s="163">
        <v>907.12372757138166</v>
      </c>
      <c r="E787" s="164">
        <v>0.70879999999999999</v>
      </c>
      <c r="F787" s="164">
        <v>0.70879999999999999</v>
      </c>
      <c r="G787" s="163">
        <v>16</v>
      </c>
      <c r="H787" s="163">
        <v>25</v>
      </c>
      <c r="I787" s="163">
        <v>9</v>
      </c>
      <c r="J787" s="163">
        <v>13</v>
      </c>
      <c r="K787" s="163">
        <v>13.042699055330635</v>
      </c>
      <c r="L787" s="163">
        <v>4.2699055330635005E-2</v>
      </c>
      <c r="M787" s="163">
        <v>15</v>
      </c>
      <c r="N787" s="163">
        <v>22.840755735492575</v>
      </c>
      <c r="O787" s="163">
        <v>7.840755735492575</v>
      </c>
      <c r="P787" s="163"/>
      <c r="Q787" s="163">
        <v>15</v>
      </c>
      <c r="R787" s="163">
        <v>0</v>
      </c>
      <c r="S787" s="163">
        <v>0</v>
      </c>
      <c r="T787" s="163">
        <v>0</v>
      </c>
      <c r="U787" s="163">
        <v>0</v>
      </c>
      <c r="V787" s="163">
        <v>0</v>
      </c>
      <c r="W787" s="163">
        <v>0</v>
      </c>
      <c r="X787" s="163">
        <v>0</v>
      </c>
      <c r="Y787" s="163">
        <v>15</v>
      </c>
      <c r="Z787" s="163">
        <v>15</v>
      </c>
      <c r="AA787" s="163">
        <v>0</v>
      </c>
      <c r="AB787" s="163">
        <v>0</v>
      </c>
      <c r="AC787" s="163">
        <v>10</v>
      </c>
      <c r="AD787" s="163">
        <v>5</v>
      </c>
      <c r="AE787" s="165">
        <v>0.76492247758771958</v>
      </c>
      <c r="AF787" s="166">
        <v>0.71711482273848715</v>
      </c>
    </row>
    <row r="788" spans="1:32">
      <c r="A788" s="161">
        <v>17</v>
      </c>
      <c r="B788" s="162">
        <v>0.375</v>
      </c>
      <c r="C788" s="163">
        <v>22.18543263520532</v>
      </c>
      <c r="D788" s="163">
        <v>873.4964989555873</v>
      </c>
      <c r="E788" s="164">
        <v>0.6673</v>
      </c>
      <c r="F788" s="164">
        <v>0.6673</v>
      </c>
      <c r="G788" s="163">
        <v>19</v>
      </c>
      <c r="H788" s="163">
        <v>28.333333333333336</v>
      </c>
      <c r="I788" s="163">
        <v>9.3333333333333357</v>
      </c>
      <c r="J788" s="163">
        <v>15</v>
      </c>
      <c r="K788" s="163">
        <v>15.488205128205129</v>
      </c>
      <c r="L788" s="163">
        <v>0.48820512820512896</v>
      </c>
      <c r="M788" s="163">
        <v>17</v>
      </c>
      <c r="N788" s="163">
        <v>25.886189833558255</v>
      </c>
      <c r="O788" s="163">
        <v>8.8861898335582552</v>
      </c>
      <c r="P788" s="163"/>
      <c r="Q788" s="163">
        <v>17</v>
      </c>
      <c r="R788" s="163">
        <v>0</v>
      </c>
      <c r="S788" s="163">
        <v>0</v>
      </c>
      <c r="T788" s="163">
        <v>0</v>
      </c>
      <c r="U788" s="163">
        <v>0</v>
      </c>
      <c r="V788" s="163">
        <v>0</v>
      </c>
      <c r="W788" s="163">
        <v>0</v>
      </c>
      <c r="X788" s="163">
        <v>0</v>
      </c>
      <c r="Y788" s="163">
        <v>17</v>
      </c>
      <c r="Z788" s="163">
        <v>17</v>
      </c>
      <c r="AA788" s="163">
        <v>0</v>
      </c>
      <c r="AB788" s="163">
        <v>0</v>
      </c>
      <c r="AC788" s="163">
        <v>12</v>
      </c>
      <c r="AD788" s="163">
        <v>5</v>
      </c>
      <c r="AE788" s="165">
        <v>0.77689111298672564</v>
      </c>
      <c r="AF788" s="166">
        <v>0.69511310109338609</v>
      </c>
    </row>
    <row r="789" spans="1:32">
      <c r="A789" s="161">
        <v>17</v>
      </c>
      <c r="B789" s="162">
        <v>0.39583333333333331</v>
      </c>
      <c r="C789" s="163">
        <v>24.816350356897569</v>
      </c>
      <c r="D789" s="163">
        <v>891.0977472694027</v>
      </c>
      <c r="E789" s="164">
        <v>0.68889999999999996</v>
      </c>
      <c r="F789" s="164">
        <v>0.68889999999999996</v>
      </c>
      <c r="G789" s="163">
        <v>21</v>
      </c>
      <c r="H789" s="163">
        <v>31.666666666666664</v>
      </c>
      <c r="I789" s="163">
        <v>10.666666666666664</v>
      </c>
      <c r="J789" s="163">
        <v>17</v>
      </c>
      <c r="K789" s="163">
        <v>17.118542510121458</v>
      </c>
      <c r="L789" s="163">
        <v>0.11854251012145767</v>
      </c>
      <c r="M789" s="163">
        <v>19</v>
      </c>
      <c r="N789" s="163">
        <v>28.931623931623928</v>
      </c>
      <c r="O789" s="163">
        <v>9.9316239316239283</v>
      </c>
      <c r="P789" s="163"/>
      <c r="Q789" s="163">
        <v>19</v>
      </c>
      <c r="R789" s="163">
        <v>0</v>
      </c>
      <c r="S789" s="163">
        <v>0</v>
      </c>
      <c r="T789" s="163">
        <v>0</v>
      </c>
      <c r="U789" s="163">
        <v>0</v>
      </c>
      <c r="V789" s="163">
        <v>0</v>
      </c>
      <c r="W789" s="163">
        <v>0</v>
      </c>
      <c r="X789" s="163">
        <v>0</v>
      </c>
      <c r="Y789" s="163">
        <v>19</v>
      </c>
      <c r="Z789" s="163">
        <v>19</v>
      </c>
      <c r="AA789" s="163">
        <v>0</v>
      </c>
      <c r="AB789" s="163">
        <v>0</v>
      </c>
      <c r="AC789" s="163">
        <v>14</v>
      </c>
      <c r="AD789" s="163">
        <v>5</v>
      </c>
      <c r="AE789" s="165">
        <v>0.79321270302252489</v>
      </c>
      <c r="AF789" s="166">
        <v>0.7176686360679988</v>
      </c>
    </row>
    <row r="790" spans="1:32">
      <c r="A790" s="161">
        <v>17</v>
      </c>
      <c r="B790" s="162">
        <v>0.41666666666666669</v>
      </c>
      <c r="C790" s="163">
        <v>25.923054069593789</v>
      </c>
      <c r="D790" s="163">
        <v>902.20751420349427</v>
      </c>
      <c r="E790" s="164">
        <v>0.57599999999999996</v>
      </c>
      <c r="F790" s="164">
        <v>0.57599999999999996</v>
      </c>
      <c r="G790" s="163">
        <v>21</v>
      </c>
      <c r="H790" s="163">
        <v>31.666666666666664</v>
      </c>
      <c r="I790" s="163">
        <v>10.666666666666664</v>
      </c>
      <c r="J790" s="163">
        <v>17</v>
      </c>
      <c r="K790" s="163">
        <v>17.118542510121458</v>
      </c>
      <c r="L790" s="163">
        <v>0.11854251012145767</v>
      </c>
      <c r="M790" s="163">
        <v>19</v>
      </c>
      <c r="N790" s="163">
        <v>28.931623931623928</v>
      </c>
      <c r="O790" s="163">
        <v>9.9316239316239283</v>
      </c>
      <c r="P790" s="163"/>
      <c r="Q790" s="163">
        <v>19</v>
      </c>
      <c r="R790" s="163">
        <v>0</v>
      </c>
      <c r="S790" s="163">
        <v>0</v>
      </c>
      <c r="T790" s="163">
        <v>0</v>
      </c>
      <c r="U790" s="163">
        <v>0</v>
      </c>
      <c r="V790" s="163">
        <v>0</v>
      </c>
      <c r="W790" s="163">
        <v>0</v>
      </c>
      <c r="X790" s="163">
        <v>0</v>
      </c>
      <c r="Y790" s="163">
        <v>19</v>
      </c>
      <c r="Z790" s="163">
        <v>19</v>
      </c>
      <c r="AA790" s="163">
        <v>0</v>
      </c>
      <c r="AB790" s="163">
        <v>0</v>
      </c>
      <c r="AC790" s="163">
        <v>14</v>
      </c>
      <c r="AD790" s="163">
        <v>5</v>
      </c>
      <c r="AE790" s="165">
        <v>0.83891702603851515</v>
      </c>
      <c r="AF790" s="166">
        <v>0.7590201664157995</v>
      </c>
    </row>
    <row r="791" spans="1:32">
      <c r="A791" s="161">
        <v>17</v>
      </c>
      <c r="B791" s="162">
        <v>0.4375</v>
      </c>
      <c r="C791" s="163">
        <v>25.863599871036364</v>
      </c>
      <c r="D791" s="163">
        <v>857.60436191591498</v>
      </c>
      <c r="E791" s="164">
        <v>0.68440000000000001</v>
      </c>
      <c r="F791" s="164">
        <v>0.68440000000000001</v>
      </c>
      <c r="G791" s="163">
        <v>21</v>
      </c>
      <c r="H791" s="163">
        <v>31.666666666666664</v>
      </c>
      <c r="I791" s="163">
        <v>10.666666666666664</v>
      </c>
      <c r="J791" s="163">
        <v>17</v>
      </c>
      <c r="K791" s="163">
        <v>17.118542510121458</v>
      </c>
      <c r="L791" s="163">
        <v>0.11854251012145767</v>
      </c>
      <c r="M791" s="163">
        <v>19</v>
      </c>
      <c r="N791" s="163">
        <v>28.931623931623928</v>
      </c>
      <c r="O791" s="163">
        <v>9.9316239316239283</v>
      </c>
      <c r="P791" s="163"/>
      <c r="Q791" s="163">
        <v>19</v>
      </c>
      <c r="R791" s="163">
        <v>0</v>
      </c>
      <c r="S791" s="163">
        <v>0</v>
      </c>
      <c r="T791" s="163">
        <v>0</v>
      </c>
      <c r="U791" s="163">
        <v>0</v>
      </c>
      <c r="V791" s="163">
        <v>0</v>
      </c>
      <c r="W791" s="163">
        <v>0</v>
      </c>
      <c r="X791" s="163">
        <v>0</v>
      </c>
      <c r="Y791" s="163">
        <v>19</v>
      </c>
      <c r="Z791" s="163">
        <v>19</v>
      </c>
      <c r="AA791" s="163">
        <v>0</v>
      </c>
      <c r="AB791" s="163">
        <v>0</v>
      </c>
      <c r="AC791" s="163">
        <v>14</v>
      </c>
      <c r="AD791" s="163">
        <v>5</v>
      </c>
      <c r="AE791" s="165">
        <v>0.79561389100951607</v>
      </c>
      <c r="AF791" s="166">
        <v>0.71984113948480033</v>
      </c>
    </row>
    <row r="792" spans="1:32">
      <c r="A792" s="161">
        <v>17</v>
      </c>
      <c r="B792" s="162">
        <v>0.45833333333333331</v>
      </c>
      <c r="C792" s="163">
        <v>28.554742786010248</v>
      </c>
      <c r="D792" s="163">
        <v>849.25675387553395</v>
      </c>
      <c r="E792" s="164">
        <v>0.48869999999999997</v>
      </c>
      <c r="F792" s="164">
        <v>0.48869999999999997</v>
      </c>
      <c r="G792" s="163">
        <v>23</v>
      </c>
      <c r="H792" s="163">
        <v>31.666666666666664</v>
      </c>
      <c r="I792" s="163">
        <v>8.6666666666666643</v>
      </c>
      <c r="J792" s="163">
        <v>18</v>
      </c>
      <c r="K792" s="163">
        <v>18.748879892037788</v>
      </c>
      <c r="L792" s="163">
        <v>0.74887989203778815</v>
      </c>
      <c r="M792" s="163">
        <v>21</v>
      </c>
      <c r="N792" s="163">
        <v>28.931623931623928</v>
      </c>
      <c r="O792" s="163">
        <v>7.9316239316239283</v>
      </c>
      <c r="P792" s="163"/>
      <c r="Q792" s="163">
        <v>19</v>
      </c>
      <c r="R792" s="163">
        <v>0</v>
      </c>
      <c r="S792" s="163">
        <v>0</v>
      </c>
      <c r="T792" s="163">
        <v>0</v>
      </c>
      <c r="U792" s="163">
        <v>0</v>
      </c>
      <c r="V792" s="163">
        <v>0</v>
      </c>
      <c r="W792" s="163">
        <v>0</v>
      </c>
      <c r="X792" s="163">
        <v>0</v>
      </c>
      <c r="Y792" s="163">
        <v>19</v>
      </c>
      <c r="Z792" s="163">
        <v>19</v>
      </c>
      <c r="AA792" s="163">
        <v>0</v>
      </c>
      <c r="AB792" s="163">
        <v>0</v>
      </c>
      <c r="AC792" s="163">
        <v>14</v>
      </c>
      <c r="AD792" s="163">
        <v>5</v>
      </c>
      <c r="AE792" s="165">
        <v>0.86984859214779497</v>
      </c>
      <c r="AF792" s="166">
        <v>0.71857057612209152</v>
      </c>
    </row>
    <row r="793" spans="1:32">
      <c r="A793" s="161">
        <v>17</v>
      </c>
      <c r="B793" s="162">
        <v>0.47916666666666669</v>
      </c>
      <c r="C793" s="163">
        <v>26.454562698835765</v>
      </c>
      <c r="D793" s="163">
        <v>817.65325371881204</v>
      </c>
      <c r="E793" s="164">
        <v>0.72779999999999989</v>
      </c>
      <c r="F793" s="164">
        <v>0.72779999999999989</v>
      </c>
      <c r="G793" s="163">
        <v>20</v>
      </c>
      <c r="H793" s="163">
        <v>31.666666666666664</v>
      </c>
      <c r="I793" s="163">
        <v>11.666666666666664</v>
      </c>
      <c r="J793" s="163">
        <v>16</v>
      </c>
      <c r="K793" s="163">
        <v>16.303373819163294</v>
      </c>
      <c r="L793" s="163">
        <v>0.3033738191632942</v>
      </c>
      <c r="M793" s="163">
        <v>18</v>
      </c>
      <c r="N793" s="163">
        <v>28.931623931623928</v>
      </c>
      <c r="O793" s="163">
        <v>10.931623931623928</v>
      </c>
      <c r="P793" s="163"/>
      <c r="Q793" s="163">
        <v>19</v>
      </c>
      <c r="R793" s="163">
        <v>0</v>
      </c>
      <c r="S793" s="163">
        <v>0</v>
      </c>
      <c r="T793" s="163">
        <v>0</v>
      </c>
      <c r="U793" s="163">
        <v>0</v>
      </c>
      <c r="V793" s="163">
        <v>0</v>
      </c>
      <c r="W793" s="163">
        <v>0</v>
      </c>
      <c r="X793" s="163">
        <v>0</v>
      </c>
      <c r="Y793" s="163">
        <v>19</v>
      </c>
      <c r="Z793" s="163">
        <v>19</v>
      </c>
      <c r="AA793" s="163">
        <v>0</v>
      </c>
      <c r="AB793" s="163">
        <v>0</v>
      </c>
      <c r="AC793" s="163">
        <v>14</v>
      </c>
      <c r="AD793" s="163">
        <v>5</v>
      </c>
      <c r="AE793" s="165">
        <v>0.77588286223690461</v>
      </c>
      <c r="AF793" s="166">
        <v>0.73708871912505958</v>
      </c>
    </row>
    <row r="794" spans="1:32">
      <c r="A794" s="161">
        <v>17</v>
      </c>
      <c r="B794" s="162">
        <v>0.5</v>
      </c>
      <c r="C794" s="163">
        <v>26.524595065331248</v>
      </c>
      <c r="D794" s="163">
        <v>869.08085310730803</v>
      </c>
      <c r="E794" s="164">
        <v>0.60870000000000002</v>
      </c>
      <c r="F794" s="164">
        <v>0.60870000000000002</v>
      </c>
      <c r="G794" s="163">
        <v>21</v>
      </c>
      <c r="H794" s="163">
        <v>31.666666666666664</v>
      </c>
      <c r="I794" s="163">
        <v>10.666666666666664</v>
      </c>
      <c r="J794" s="163">
        <v>17</v>
      </c>
      <c r="K794" s="163">
        <v>17.118542510121458</v>
      </c>
      <c r="L794" s="163">
        <v>0.11854251012145767</v>
      </c>
      <c r="M794" s="163">
        <v>19</v>
      </c>
      <c r="N794" s="163">
        <v>28.931623931623928</v>
      </c>
      <c r="O794" s="163">
        <v>9.9316239316239283</v>
      </c>
      <c r="P794" s="163"/>
      <c r="Q794" s="163">
        <v>19</v>
      </c>
      <c r="R794" s="163">
        <v>0</v>
      </c>
      <c r="S794" s="163">
        <v>0</v>
      </c>
      <c r="T794" s="163">
        <v>0</v>
      </c>
      <c r="U794" s="163">
        <v>0</v>
      </c>
      <c r="V794" s="163">
        <v>0</v>
      </c>
      <c r="W794" s="163">
        <v>0</v>
      </c>
      <c r="X794" s="163">
        <v>0</v>
      </c>
      <c r="Y794" s="163">
        <v>19</v>
      </c>
      <c r="Z794" s="163">
        <v>19</v>
      </c>
      <c r="AA794" s="163">
        <v>0</v>
      </c>
      <c r="AB794" s="163">
        <v>0</v>
      </c>
      <c r="AC794" s="163">
        <v>14</v>
      </c>
      <c r="AD794" s="163">
        <v>5</v>
      </c>
      <c r="AE794" s="165">
        <v>0.82686640564684366</v>
      </c>
      <c r="AF794" s="166">
        <v>0.74811722415666815</v>
      </c>
    </row>
    <row r="795" spans="1:32">
      <c r="A795" s="161">
        <v>17</v>
      </c>
      <c r="B795" s="162">
        <v>0.52083333333333337</v>
      </c>
      <c r="C795" s="163">
        <v>23.959023325547388</v>
      </c>
      <c r="D795" s="163">
        <v>818.42956203623305</v>
      </c>
      <c r="E795" s="164">
        <v>0.71626666666666672</v>
      </c>
      <c r="F795" s="164">
        <v>0.71626666666666672</v>
      </c>
      <c r="G795" s="163">
        <v>19</v>
      </c>
      <c r="H795" s="163">
        <v>30.333333333333336</v>
      </c>
      <c r="I795" s="163">
        <v>11.333333333333336</v>
      </c>
      <c r="J795" s="163">
        <v>15</v>
      </c>
      <c r="K795" s="163">
        <v>15.488205128205129</v>
      </c>
      <c r="L795" s="163">
        <v>0.48820512820512896</v>
      </c>
      <c r="M795" s="163">
        <v>17</v>
      </c>
      <c r="N795" s="163">
        <v>27.713450292397663</v>
      </c>
      <c r="O795" s="163">
        <v>10.713450292397663</v>
      </c>
      <c r="P795" s="163"/>
      <c r="Q795" s="163">
        <v>19</v>
      </c>
      <c r="R795" s="163">
        <v>0</v>
      </c>
      <c r="S795" s="163">
        <v>0</v>
      </c>
      <c r="T795" s="163">
        <v>0</v>
      </c>
      <c r="U795" s="163">
        <v>0</v>
      </c>
      <c r="V795" s="163">
        <v>0</v>
      </c>
      <c r="W795" s="163">
        <v>0</v>
      </c>
      <c r="X795" s="163">
        <v>0</v>
      </c>
      <c r="Y795" s="163">
        <v>19</v>
      </c>
      <c r="Z795" s="163">
        <v>19</v>
      </c>
      <c r="AA795" s="163">
        <v>0</v>
      </c>
      <c r="AB795" s="163">
        <v>0</v>
      </c>
      <c r="AC795" s="163">
        <v>14</v>
      </c>
      <c r="AD795" s="163">
        <v>5</v>
      </c>
      <c r="AE795" s="165">
        <v>0.70335863125197917</v>
      </c>
      <c r="AF795" s="166">
        <v>0.70335863125197917</v>
      </c>
    </row>
    <row r="796" spans="1:32">
      <c r="A796" s="161">
        <v>17</v>
      </c>
      <c r="B796" s="162">
        <v>0.54166666666666663</v>
      </c>
      <c r="C796" s="163">
        <v>23.868109054338579</v>
      </c>
      <c r="D796" s="163">
        <v>814.16426118365575</v>
      </c>
      <c r="E796" s="164">
        <v>0.66449999999999998</v>
      </c>
      <c r="F796" s="164">
        <v>0.66449999999999998</v>
      </c>
      <c r="G796" s="163">
        <v>19</v>
      </c>
      <c r="H796" s="163">
        <v>28.333333333333336</v>
      </c>
      <c r="I796" s="163">
        <v>9.3333333333333357</v>
      </c>
      <c r="J796" s="163">
        <v>15</v>
      </c>
      <c r="K796" s="163">
        <v>15.488205128205129</v>
      </c>
      <c r="L796" s="163">
        <v>0.48820512820512896</v>
      </c>
      <c r="M796" s="163">
        <v>17</v>
      </c>
      <c r="N796" s="163">
        <v>25.886189833558255</v>
      </c>
      <c r="O796" s="163">
        <v>8.8861898335582552</v>
      </c>
      <c r="P796" s="163"/>
      <c r="Q796" s="163">
        <v>17</v>
      </c>
      <c r="R796" s="163">
        <v>0</v>
      </c>
      <c r="S796" s="163">
        <v>0</v>
      </c>
      <c r="T796" s="163">
        <v>0</v>
      </c>
      <c r="U796" s="163">
        <v>0</v>
      </c>
      <c r="V796" s="163">
        <v>0</v>
      </c>
      <c r="W796" s="163">
        <v>0</v>
      </c>
      <c r="X796" s="163">
        <v>0</v>
      </c>
      <c r="Y796" s="163">
        <v>17</v>
      </c>
      <c r="Z796" s="163">
        <v>17</v>
      </c>
      <c r="AA796" s="163">
        <v>0</v>
      </c>
      <c r="AB796" s="163">
        <v>0</v>
      </c>
      <c r="AC796" s="163">
        <v>12</v>
      </c>
      <c r="AD796" s="163">
        <v>5</v>
      </c>
      <c r="AE796" s="165">
        <v>0.77904246365272745</v>
      </c>
      <c r="AF796" s="166">
        <v>0.69703799379454556</v>
      </c>
    </row>
    <row r="797" spans="1:32">
      <c r="A797" s="161">
        <v>17</v>
      </c>
      <c r="B797" s="162">
        <v>0.5625</v>
      </c>
      <c r="C797" s="163">
        <v>22.017752537843375</v>
      </c>
      <c r="D797" s="163">
        <v>788.09588778244029</v>
      </c>
      <c r="E797" s="164">
        <v>0.81540000000000001</v>
      </c>
      <c r="F797" s="164">
        <v>0.81540000000000001</v>
      </c>
      <c r="G797" s="163">
        <v>18</v>
      </c>
      <c r="H797" s="163">
        <v>28.333333333333336</v>
      </c>
      <c r="I797" s="163">
        <v>10.333333333333336</v>
      </c>
      <c r="J797" s="163">
        <v>14</v>
      </c>
      <c r="K797" s="163">
        <v>14.673036437246964</v>
      </c>
      <c r="L797" s="163">
        <v>0.67303643724696371</v>
      </c>
      <c r="M797" s="163">
        <v>16</v>
      </c>
      <c r="N797" s="163">
        <v>25.886189833558255</v>
      </c>
      <c r="O797" s="163">
        <v>9.8861898335582552</v>
      </c>
      <c r="P797" s="163"/>
      <c r="Q797" s="163">
        <v>17</v>
      </c>
      <c r="R797" s="163">
        <v>0</v>
      </c>
      <c r="S797" s="163">
        <v>0</v>
      </c>
      <c r="T797" s="163">
        <v>0</v>
      </c>
      <c r="U797" s="163">
        <v>0</v>
      </c>
      <c r="V797" s="163">
        <v>0</v>
      </c>
      <c r="W797" s="163">
        <v>0</v>
      </c>
      <c r="X797" s="163">
        <v>0</v>
      </c>
      <c r="Y797" s="163">
        <v>17</v>
      </c>
      <c r="Z797" s="163">
        <v>17</v>
      </c>
      <c r="AA797" s="163">
        <v>0</v>
      </c>
      <c r="AB797" s="163">
        <v>0</v>
      </c>
      <c r="AC797" s="163">
        <v>12</v>
      </c>
      <c r="AD797" s="163">
        <v>5</v>
      </c>
      <c r="AE797" s="165">
        <v>0.69563773169508003</v>
      </c>
      <c r="AF797" s="166">
        <v>0.65699119104535331</v>
      </c>
    </row>
    <row r="798" spans="1:32">
      <c r="A798" s="161">
        <v>17</v>
      </c>
      <c r="B798" s="162">
        <v>0.58333333333333337</v>
      </c>
      <c r="C798" s="163">
        <v>23.124084259951925</v>
      </c>
      <c r="D798" s="163">
        <v>813.15633607203165</v>
      </c>
      <c r="E798" s="164">
        <v>0.7158000000000001</v>
      </c>
      <c r="F798" s="164">
        <v>0.7158000000000001</v>
      </c>
      <c r="G798" s="163">
        <v>19</v>
      </c>
      <c r="H798" s="163">
        <v>28.333333333333336</v>
      </c>
      <c r="I798" s="163">
        <v>9.3333333333333357</v>
      </c>
      <c r="J798" s="163">
        <v>15</v>
      </c>
      <c r="K798" s="163">
        <v>15.488205128205129</v>
      </c>
      <c r="L798" s="163">
        <v>0.48820512820512896</v>
      </c>
      <c r="M798" s="163">
        <v>17</v>
      </c>
      <c r="N798" s="163">
        <v>25.886189833558255</v>
      </c>
      <c r="O798" s="163">
        <v>8.8861898335582552</v>
      </c>
      <c r="P798" s="163"/>
      <c r="Q798" s="163">
        <v>17</v>
      </c>
      <c r="R798" s="163">
        <v>0</v>
      </c>
      <c r="S798" s="163">
        <v>0</v>
      </c>
      <c r="T798" s="163">
        <v>0</v>
      </c>
      <c r="U798" s="163">
        <v>0</v>
      </c>
      <c r="V798" s="163">
        <v>0</v>
      </c>
      <c r="W798" s="163">
        <v>0</v>
      </c>
      <c r="X798" s="163">
        <v>0</v>
      </c>
      <c r="Y798" s="163">
        <v>17</v>
      </c>
      <c r="Z798" s="163">
        <v>17</v>
      </c>
      <c r="AA798" s="163">
        <v>0</v>
      </c>
      <c r="AB798" s="163">
        <v>0</v>
      </c>
      <c r="AC798" s="163">
        <v>12</v>
      </c>
      <c r="AD798" s="163">
        <v>5</v>
      </c>
      <c r="AE798" s="165">
        <v>0.7538235068618574</v>
      </c>
      <c r="AF798" s="166">
        <v>0.67447366403429343</v>
      </c>
    </row>
    <row r="799" spans="1:32">
      <c r="A799" s="161">
        <v>17</v>
      </c>
      <c r="B799" s="162">
        <v>0.60416666666666663</v>
      </c>
      <c r="C799" s="163">
        <v>21.9005650410055</v>
      </c>
      <c r="D799" s="163">
        <v>796.30764696122822</v>
      </c>
      <c r="E799" s="164">
        <v>0.89180000000000004</v>
      </c>
      <c r="F799" s="164">
        <v>0.89180000000000004</v>
      </c>
      <c r="G799" s="163">
        <v>18</v>
      </c>
      <c r="H799" s="163">
        <v>29.666666666666664</v>
      </c>
      <c r="I799" s="163">
        <v>11.666666666666664</v>
      </c>
      <c r="J799" s="163">
        <v>14</v>
      </c>
      <c r="K799" s="163">
        <v>14.673036437246964</v>
      </c>
      <c r="L799" s="163">
        <v>0.67303643724696371</v>
      </c>
      <c r="M799" s="163">
        <v>16</v>
      </c>
      <c r="N799" s="163">
        <v>27.104363472784524</v>
      </c>
      <c r="O799" s="163">
        <v>11.104363472784524</v>
      </c>
      <c r="P799" s="163"/>
      <c r="Q799" s="163">
        <v>17</v>
      </c>
      <c r="R799" s="163">
        <v>0</v>
      </c>
      <c r="S799" s="163">
        <v>0</v>
      </c>
      <c r="T799" s="163">
        <v>0</v>
      </c>
      <c r="U799" s="163">
        <v>0</v>
      </c>
      <c r="V799" s="163">
        <v>0</v>
      </c>
      <c r="W799" s="163">
        <v>0</v>
      </c>
      <c r="X799" s="163">
        <v>0</v>
      </c>
      <c r="Y799" s="163">
        <v>17</v>
      </c>
      <c r="Z799" s="163">
        <v>17</v>
      </c>
      <c r="AA799" s="163">
        <v>0</v>
      </c>
      <c r="AB799" s="163">
        <v>0</v>
      </c>
      <c r="AC799" s="163">
        <v>12</v>
      </c>
      <c r="AD799" s="163">
        <v>5</v>
      </c>
      <c r="AE799" s="165">
        <v>0.69914505264005578</v>
      </c>
      <c r="AF799" s="166">
        <v>0.66030366082671932</v>
      </c>
    </row>
    <row r="800" spans="1:32">
      <c r="A800" s="161">
        <v>17</v>
      </c>
      <c r="B800" s="162">
        <v>0.625</v>
      </c>
      <c r="C800" s="163">
        <v>22.22395356192261</v>
      </c>
      <c r="D800" s="163">
        <v>826.97724753223179</v>
      </c>
      <c r="E800" s="164">
        <v>0.65406666666666669</v>
      </c>
      <c r="F800" s="164">
        <v>0.65406666666666669</v>
      </c>
      <c r="G800" s="163">
        <v>18</v>
      </c>
      <c r="H800" s="163">
        <v>29</v>
      </c>
      <c r="I800" s="163">
        <v>11</v>
      </c>
      <c r="J800" s="163">
        <v>14</v>
      </c>
      <c r="K800" s="163">
        <v>14.673036437246964</v>
      </c>
      <c r="L800" s="163">
        <v>0.67303643724696371</v>
      </c>
      <c r="M800" s="163">
        <v>16</v>
      </c>
      <c r="N800" s="163">
        <v>26.495276653171388</v>
      </c>
      <c r="O800" s="163">
        <v>10.495276653171388</v>
      </c>
      <c r="P800" s="163"/>
      <c r="Q800" s="163">
        <v>19</v>
      </c>
      <c r="R800" s="163">
        <v>0</v>
      </c>
      <c r="S800" s="163">
        <v>0</v>
      </c>
      <c r="T800" s="163">
        <v>0</v>
      </c>
      <c r="U800" s="163">
        <v>0</v>
      </c>
      <c r="V800" s="163">
        <v>0</v>
      </c>
      <c r="W800" s="163">
        <v>0</v>
      </c>
      <c r="X800" s="163">
        <v>0</v>
      </c>
      <c r="Y800" s="163">
        <v>19</v>
      </c>
      <c r="Z800" s="163">
        <v>19</v>
      </c>
      <c r="AA800" s="163">
        <v>0</v>
      </c>
      <c r="AB800" s="163">
        <v>0</v>
      </c>
      <c r="AC800" s="163">
        <v>12</v>
      </c>
      <c r="AD800" s="163">
        <v>7</v>
      </c>
      <c r="AE800" s="165">
        <v>0.65923656076031845</v>
      </c>
      <c r="AF800" s="166">
        <v>0.69586081413589174</v>
      </c>
    </row>
    <row r="801" spans="1:32">
      <c r="A801" s="161">
        <v>17</v>
      </c>
      <c r="B801" s="162">
        <v>0.64583333333333337</v>
      </c>
      <c r="C801" s="163">
        <v>20.904643684252839</v>
      </c>
      <c r="D801" s="163">
        <v>831.514201471776</v>
      </c>
      <c r="E801" s="164">
        <v>0.49059999999999998</v>
      </c>
      <c r="F801" s="164">
        <v>0.49059999999999998</v>
      </c>
      <c r="G801" s="163">
        <v>18</v>
      </c>
      <c r="H801" s="163">
        <v>23.333333333333336</v>
      </c>
      <c r="I801" s="163">
        <v>5.3333333333333357</v>
      </c>
      <c r="J801" s="163">
        <v>14</v>
      </c>
      <c r="K801" s="163">
        <v>14.673036437246964</v>
      </c>
      <c r="L801" s="163">
        <v>0.67303643724696371</v>
      </c>
      <c r="M801" s="163">
        <v>16</v>
      </c>
      <c r="N801" s="163">
        <v>21.31803868645974</v>
      </c>
      <c r="O801" s="163">
        <v>5.3180386864597402</v>
      </c>
      <c r="P801" s="163"/>
      <c r="Q801" s="163">
        <v>14</v>
      </c>
      <c r="R801" s="163">
        <v>0</v>
      </c>
      <c r="S801" s="163">
        <v>0</v>
      </c>
      <c r="T801" s="163">
        <v>0</v>
      </c>
      <c r="U801" s="163">
        <v>0</v>
      </c>
      <c r="V801" s="163">
        <v>0</v>
      </c>
      <c r="W801" s="163">
        <v>0</v>
      </c>
      <c r="X801" s="163">
        <v>0</v>
      </c>
      <c r="Y801" s="163">
        <v>14</v>
      </c>
      <c r="Z801" s="163">
        <v>14</v>
      </c>
      <c r="AA801" s="163">
        <v>0</v>
      </c>
      <c r="AB801" s="163">
        <v>0</v>
      </c>
      <c r="AC801" s="163">
        <v>10</v>
      </c>
      <c r="AD801" s="163">
        <v>4</v>
      </c>
      <c r="AE801" s="165">
        <v>0.84618321964257825</v>
      </c>
      <c r="AF801" s="166">
        <v>0.6581425041664497</v>
      </c>
    </row>
    <row r="802" spans="1:32">
      <c r="A802" s="161">
        <v>17</v>
      </c>
      <c r="B802" s="162">
        <v>0.66666666666666663</v>
      </c>
      <c r="C802" s="163">
        <v>20.765293460294515</v>
      </c>
      <c r="D802" s="163">
        <v>829.23880869844652</v>
      </c>
      <c r="E802" s="164">
        <v>0.51119999999999999</v>
      </c>
      <c r="F802" s="164">
        <v>0.51119999999999999</v>
      </c>
      <c r="G802" s="163">
        <v>18</v>
      </c>
      <c r="H802" s="163">
        <v>23.333333333333336</v>
      </c>
      <c r="I802" s="163">
        <v>5.3333333333333357</v>
      </c>
      <c r="J802" s="163">
        <v>14</v>
      </c>
      <c r="K802" s="163">
        <v>14.673036437246964</v>
      </c>
      <c r="L802" s="163">
        <v>0.67303643724696371</v>
      </c>
      <c r="M802" s="163">
        <v>16</v>
      </c>
      <c r="N802" s="163">
        <v>21.31803868645974</v>
      </c>
      <c r="O802" s="163">
        <v>5.3180386864597402</v>
      </c>
      <c r="P802" s="163"/>
      <c r="Q802" s="163">
        <v>14</v>
      </c>
      <c r="R802" s="163">
        <v>0</v>
      </c>
      <c r="S802" s="163">
        <v>0</v>
      </c>
      <c r="T802" s="163">
        <v>0</v>
      </c>
      <c r="U802" s="163">
        <v>0</v>
      </c>
      <c r="V802" s="163">
        <v>0</v>
      </c>
      <c r="W802" s="163">
        <v>0</v>
      </c>
      <c r="X802" s="163">
        <v>0</v>
      </c>
      <c r="Y802" s="163">
        <v>14</v>
      </c>
      <c r="Z802" s="163">
        <v>14</v>
      </c>
      <c r="AA802" s="163">
        <v>0</v>
      </c>
      <c r="AB802" s="163">
        <v>0</v>
      </c>
      <c r="AC802" s="163">
        <v>10</v>
      </c>
      <c r="AD802" s="163">
        <v>4</v>
      </c>
      <c r="AE802" s="165">
        <v>0.83824246919712853</v>
      </c>
      <c r="AF802" s="166">
        <v>0.65196636493109994</v>
      </c>
    </row>
    <row r="803" spans="1:32">
      <c r="A803" s="161">
        <v>17</v>
      </c>
      <c r="B803" s="162">
        <v>0.6875</v>
      </c>
      <c r="C803" s="163">
        <v>19.633971435883957</v>
      </c>
      <c r="D803" s="163">
        <v>863.70267084553382</v>
      </c>
      <c r="E803" s="164">
        <v>0.25370000000000004</v>
      </c>
      <c r="F803" s="164">
        <v>0.25370000000000004</v>
      </c>
      <c r="G803" s="163">
        <v>16</v>
      </c>
      <c r="H803" s="163">
        <v>22</v>
      </c>
      <c r="I803" s="163">
        <v>6</v>
      </c>
      <c r="J803" s="163">
        <v>13</v>
      </c>
      <c r="K803" s="163">
        <v>13.042699055330635</v>
      </c>
      <c r="L803" s="163">
        <v>4.2699055330635005E-2</v>
      </c>
      <c r="M803" s="163">
        <v>15</v>
      </c>
      <c r="N803" s="163">
        <v>20.099865047233468</v>
      </c>
      <c r="O803" s="163">
        <v>5.0998650472334681</v>
      </c>
      <c r="P803" s="163"/>
      <c r="Q803" s="163">
        <v>14</v>
      </c>
      <c r="R803" s="163">
        <v>0</v>
      </c>
      <c r="S803" s="163">
        <v>0</v>
      </c>
      <c r="T803" s="163">
        <v>0</v>
      </c>
      <c r="U803" s="163">
        <v>0</v>
      </c>
      <c r="V803" s="163">
        <v>0</v>
      </c>
      <c r="W803" s="163">
        <v>0</v>
      </c>
      <c r="X803" s="163">
        <v>0</v>
      </c>
      <c r="Y803" s="163">
        <v>14</v>
      </c>
      <c r="Z803" s="163">
        <v>14</v>
      </c>
      <c r="AA803" s="163">
        <v>0</v>
      </c>
      <c r="AB803" s="163">
        <v>0</v>
      </c>
      <c r="AC803" s="163">
        <v>10</v>
      </c>
      <c r="AD803" s="163">
        <v>4</v>
      </c>
      <c r="AE803" s="165">
        <v>0.82551389126982266</v>
      </c>
      <c r="AF803" s="166">
        <v>0.72232465486109487</v>
      </c>
    </row>
    <row r="804" spans="1:32">
      <c r="A804" s="161">
        <v>17</v>
      </c>
      <c r="B804" s="162">
        <v>0.70833333333333337</v>
      </c>
      <c r="C804" s="163">
        <v>19.632241580136597</v>
      </c>
      <c r="D804" s="163">
        <v>837.42391803307294</v>
      </c>
      <c r="E804" s="164">
        <v>0.19339999999999999</v>
      </c>
      <c r="F804" s="164">
        <v>0.19339999999999999</v>
      </c>
      <c r="G804" s="163">
        <v>16</v>
      </c>
      <c r="H804" s="163">
        <v>20</v>
      </c>
      <c r="I804" s="163">
        <v>4</v>
      </c>
      <c r="J804" s="163">
        <v>13</v>
      </c>
      <c r="K804" s="163">
        <v>13.042699055330635</v>
      </c>
      <c r="L804" s="163">
        <v>4.2699055330635005E-2</v>
      </c>
      <c r="M804" s="163">
        <v>15</v>
      </c>
      <c r="N804" s="163">
        <v>18.27260458839406</v>
      </c>
      <c r="O804" s="163">
        <v>3.27260458839406</v>
      </c>
      <c r="P804" s="163"/>
      <c r="Q804" s="163">
        <v>12</v>
      </c>
      <c r="R804" s="163">
        <v>0</v>
      </c>
      <c r="S804" s="163">
        <v>0</v>
      </c>
      <c r="T804" s="163">
        <v>0</v>
      </c>
      <c r="U804" s="163">
        <v>0</v>
      </c>
      <c r="V804" s="163">
        <v>0</v>
      </c>
      <c r="W804" s="163">
        <v>0</v>
      </c>
      <c r="X804" s="163">
        <v>0</v>
      </c>
      <c r="Y804" s="163">
        <v>12</v>
      </c>
      <c r="Z804" s="163">
        <v>12</v>
      </c>
      <c r="AA804" s="163">
        <v>0</v>
      </c>
      <c r="AB804" s="163">
        <v>0</v>
      </c>
      <c r="AC804" s="163">
        <v>10</v>
      </c>
      <c r="AD804" s="163">
        <v>2</v>
      </c>
      <c r="AE804" s="165">
        <v>0.93371429595377675</v>
      </c>
      <c r="AF804" s="166">
        <v>0.70028572196533267</v>
      </c>
    </row>
    <row r="805" spans="1:32">
      <c r="A805" s="161">
        <v>17</v>
      </c>
      <c r="B805" s="162">
        <v>0.72916666666666663</v>
      </c>
      <c r="C805" s="163">
        <v>19.491967111871958</v>
      </c>
      <c r="D805" s="163">
        <v>821.58795133207332</v>
      </c>
      <c r="E805" s="164">
        <v>0.66520000000000001</v>
      </c>
      <c r="F805" s="164">
        <v>0.66520000000000001</v>
      </c>
      <c r="G805" s="163">
        <v>16</v>
      </c>
      <c r="H805" s="163">
        <v>22.666666666666664</v>
      </c>
      <c r="I805" s="163">
        <v>6.6666666666666643</v>
      </c>
      <c r="J805" s="163">
        <v>13</v>
      </c>
      <c r="K805" s="163">
        <v>13.042699055330635</v>
      </c>
      <c r="L805" s="163">
        <v>4.2699055330635005E-2</v>
      </c>
      <c r="M805" s="163">
        <v>15</v>
      </c>
      <c r="N805" s="163">
        <v>20.708951866846601</v>
      </c>
      <c r="O805" s="163">
        <v>5.7089518668466006</v>
      </c>
      <c r="P805" s="163"/>
      <c r="Q805" s="163">
        <v>12</v>
      </c>
      <c r="R805" s="163">
        <v>0</v>
      </c>
      <c r="S805" s="163">
        <v>0</v>
      </c>
      <c r="T805" s="163">
        <v>0</v>
      </c>
      <c r="U805" s="163">
        <v>0</v>
      </c>
      <c r="V805" s="163">
        <v>0</v>
      </c>
      <c r="W805" s="163">
        <v>0</v>
      </c>
      <c r="X805" s="163">
        <v>0</v>
      </c>
      <c r="Y805" s="163">
        <v>12</v>
      </c>
      <c r="Z805" s="163">
        <v>12</v>
      </c>
      <c r="AA805" s="163">
        <v>0</v>
      </c>
      <c r="AB805" s="163">
        <v>0</v>
      </c>
      <c r="AC805" s="163">
        <v>10</v>
      </c>
      <c r="AD805" s="163">
        <v>2</v>
      </c>
      <c r="AE805" s="165">
        <v>0.90951211742280957</v>
      </c>
      <c r="AF805" s="166">
        <v>0.68213408806710718</v>
      </c>
    </row>
    <row r="806" spans="1:32">
      <c r="A806" s="161">
        <v>17</v>
      </c>
      <c r="B806" s="162">
        <v>0.75</v>
      </c>
      <c r="C806" s="163">
        <v>18.780173232552876</v>
      </c>
      <c r="D806" s="163">
        <v>825.66329672199242</v>
      </c>
      <c r="E806" s="164">
        <v>0.89180000000000004</v>
      </c>
      <c r="F806" s="164">
        <v>0.89180000000000004</v>
      </c>
      <c r="G806" s="163">
        <v>15</v>
      </c>
      <c r="H806" s="163">
        <v>26.666666666666664</v>
      </c>
      <c r="I806" s="163">
        <v>11.666666666666664</v>
      </c>
      <c r="J806" s="163">
        <v>12</v>
      </c>
      <c r="K806" s="163">
        <v>12.22753036437247</v>
      </c>
      <c r="L806" s="163">
        <v>0.22753036437246976</v>
      </c>
      <c r="M806" s="163">
        <v>14</v>
      </c>
      <c r="N806" s="163">
        <v>24.363472784525413</v>
      </c>
      <c r="O806" s="163">
        <v>10.363472784525413</v>
      </c>
      <c r="P806" s="163"/>
      <c r="Q806" s="163">
        <v>16</v>
      </c>
      <c r="R806" s="163">
        <v>0</v>
      </c>
      <c r="S806" s="163">
        <v>0</v>
      </c>
      <c r="T806" s="163">
        <v>0</v>
      </c>
      <c r="U806" s="163">
        <v>0</v>
      </c>
      <c r="V806" s="163">
        <v>0</v>
      </c>
      <c r="W806" s="163">
        <v>0</v>
      </c>
      <c r="X806" s="163">
        <v>0</v>
      </c>
      <c r="Y806" s="163">
        <v>16</v>
      </c>
      <c r="Z806" s="163">
        <v>16</v>
      </c>
      <c r="AA806" s="163">
        <v>0</v>
      </c>
      <c r="AB806" s="163">
        <v>0</v>
      </c>
      <c r="AC806" s="163">
        <v>14</v>
      </c>
      <c r="AD806" s="163">
        <v>2</v>
      </c>
      <c r="AE806" s="165">
        <v>0.66048444584542765</v>
      </c>
      <c r="AF806" s="166">
        <v>0.70451674223512273</v>
      </c>
    </row>
    <row r="807" spans="1:32">
      <c r="A807" s="161">
        <v>17</v>
      </c>
      <c r="B807" s="162">
        <v>0.77083333333333337</v>
      </c>
      <c r="C807" s="163">
        <v>18.257774162202793</v>
      </c>
      <c r="D807" s="163">
        <v>774.99041814222119</v>
      </c>
      <c r="E807" s="164">
        <v>0.94089999999999996</v>
      </c>
      <c r="F807" s="164">
        <v>0.94089999999999996</v>
      </c>
      <c r="G807" s="163">
        <v>15</v>
      </c>
      <c r="H807" s="163">
        <v>26.666666666666664</v>
      </c>
      <c r="I807" s="163">
        <v>11.666666666666664</v>
      </c>
      <c r="J807" s="163">
        <v>12</v>
      </c>
      <c r="K807" s="163">
        <v>12.22753036437247</v>
      </c>
      <c r="L807" s="163">
        <v>0.22753036437246976</v>
      </c>
      <c r="M807" s="163">
        <v>14</v>
      </c>
      <c r="N807" s="163">
        <v>24.363472784525413</v>
      </c>
      <c r="O807" s="163">
        <v>10.363472784525413</v>
      </c>
      <c r="P807" s="163"/>
      <c r="Q807" s="163">
        <v>16</v>
      </c>
      <c r="R807" s="163">
        <v>0</v>
      </c>
      <c r="S807" s="163">
        <v>0</v>
      </c>
      <c r="T807" s="163">
        <v>0</v>
      </c>
      <c r="U807" s="163">
        <v>0</v>
      </c>
      <c r="V807" s="163">
        <v>0</v>
      </c>
      <c r="W807" s="163">
        <v>0</v>
      </c>
      <c r="X807" s="163">
        <v>0</v>
      </c>
      <c r="Y807" s="163">
        <v>16</v>
      </c>
      <c r="Z807" s="163">
        <v>16</v>
      </c>
      <c r="AA807" s="163">
        <v>0</v>
      </c>
      <c r="AB807" s="163">
        <v>0</v>
      </c>
      <c r="AC807" s="163">
        <v>14</v>
      </c>
      <c r="AD807" s="163">
        <v>2</v>
      </c>
      <c r="AE807" s="165">
        <v>0.60270415452291548</v>
      </c>
      <c r="AF807" s="166">
        <v>0.64288443149110985</v>
      </c>
    </row>
    <row r="808" spans="1:32">
      <c r="A808" s="161">
        <v>17</v>
      </c>
      <c r="B808" s="162">
        <v>0.79166666666666663</v>
      </c>
      <c r="C808" s="163">
        <v>16.230566160611591</v>
      </c>
      <c r="D808" s="163">
        <v>771.20166832678831</v>
      </c>
      <c r="E808" s="164">
        <v>0.90140000000000009</v>
      </c>
      <c r="F808" s="164">
        <v>0.90140000000000009</v>
      </c>
      <c r="G808" s="163">
        <v>13</v>
      </c>
      <c r="H808" s="163">
        <v>23.333333333333336</v>
      </c>
      <c r="I808" s="163">
        <v>10.333333333333336</v>
      </c>
      <c r="J808" s="163">
        <v>10</v>
      </c>
      <c r="K808" s="163">
        <v>10.597192982456141</v>
      </c>
      <c r="L808" s="163">
        <v>0.59719298245614105</v>
      </c>
      <c r="M808" s="163">
        <v>12</v>
      </c>
      <c r="N808" s="163">
        <v>21.31803868645974</v>
      </c>
      <c r="O808" s="163">
        <v>9.3180386864597402</v>
      </c>
      <c r="P808" s="163"/>
      <c r="Q808" s="163">
        <v>14</v>
      </c>
      <c r="R808" s="163">
        <v>0</v>
      </c>
      <c r="S808" s="163">
        <v>0</v>
      </c>
      <c r="T808" s="163">
        <v>0</v>
      </c>
      <c r="U808" s="163">
        <v>0</v>
      </c>
      <c r="V808" s="163">
        <v>0</v>
      </c>
      <c r="W808" s="163">
        <v>0</v>
      </c>
      <c r="X808" s="163">
        <v>0</v>
      </c>
      <c r="Y808" s="163">
        <v>14</v>
      </c>
      <c r="Z808" s="163">
        <v>14</v>
      </c>
      <c r="AA808" s="163">
        <v>0</v>
      </c>
      <c r="AB808" s="163">
        <v>0</v>
      </c>
      <c r="AC808" s="163">
        <v>12</v>
      </c>
      <c r="AD808" s="163">
        <v>2</v>
      </c>
      <c r="AE808" s="165">
        <v>0.60933145513367482</v>
      </c>
      <c r="AF808" s="166">
        <v>0.65620310552857297</v>
      </c>
    </row>
    <row r="809" spans="1:32">
      <c r="A809" s="161">
        <v>17</v>
      </c>
      <c r="B809" s="162">
        <v>0.8125</v>
      </c>
      <c r="C809" s="163">
        <v>14.725123540164221</v>
      </c>
      <c r="D809" s="163">
        <v>778.71630680875603</v>
      </c>
      <c r="E809" s="164">
        <v>0.94069999999999998</v>
      </c>
      <c r="F809" s="164">
        <v>0.94069999999999998</v>
      </c>
      <c r="G809" s="163">
        <v>13</v>
      </c>
      <c r="H809" s="163">
        <v>23.333333333333336</v>
      </c>
      <c r="I809" s="163">
        <v>10.333333333333336</v>
      </c>
      <c r="J809" s="163">
        <v>10</v>
      </c>
      <c r="K809" s="163">
        <v>10.597192982456141</v>
      </c>
      <c r="L809" s="163">
        <v>0.59719298245614105</v>
      </c>
      <c r="M809" s="163">
        <v>12</v>
      </c>
      <c r="N809" s="163">
        <v>21.31803868645974</v>
      </c>
      <c r="O809" s="163">
        <v>9.3180386864597402</v>
      </c>
      <c r="P809" s="163"/>
      <c r="Q809" s="163">
        <v>14</v>
      </c>
      <c r="R809" s="163">
        <v>0</v>
      </c>
      <c r="S809" s="163">
        <v>0</v>
      </c>
      <c r="T809" s="163">
        <v>0</v>
      </c>
      <c r="U809" s="163">
        <v>0</v>
      </c>
      <c r="V809" s="163">
        <v>0</v>
      </c>
      <c r="W809" s="163">
        <v>0</v>
      </c>
      <c r="X809" s="163">
        <v>0</v>
      </c>
      <c r="Y809" s="163">
        <v>14</v>
      </c>
      <c r="Z809" s="163">
        <v>14</v>
      </c>
      <c r="AA809" s="163">
        <v>0</v>
      </c>
      <c r="AB809" s="163">
        <v>0</v>
      </c>
      <c r="AC809" s="163">
        <v>12</v>
      </c>
      <c r="AD809" s="163">
        <v>2</v>
      </c>
      <c r="AE809" s="165">
        <v>0.55820045299415311</v>
      </c>
      <c r="AF809" s="166">
        <v>0.6011389493783188</v>
      </c>
    </row>
    <row r="810" spans="1:32">
      <c r="A810" s="161">
        <v>17</v>
      </c>
      <c r="B810" s="162">
        <v>0.83333333333333337</v>
      </c>
      <c r="C810" s="163">
        <v>15.111558825912429</v>
      </c>
      <c r="D810" s="163">
        <v>756.35051925554421</v>
      </c>
      <c r="E810" s="164">
        <v>0.70916666666666683</v>
      </c>
      <c r="F810" s="164">
        <v>0.70916666666666683</v>
      </c>
      <c r="G810" s="163">
        <v>13</v>
      </c>
      <c r="H810" s="163">
        <v>20.666666666666668</v>
      </c>
      <c r="I810" s="163">
        <v>7.6666666666666679</v>
      </c>
      <c r="J810" s="163">
        <v>10</v>
      </c>
      <c r="K810" s="163">
        <v>10.597192982456141</v>
      </c>
      <c r="L810" s="163">
        <v>0.59719298245614105</v>
      </c>
      <c r="M810" s="163">
        <v>12</v>
      </c>
      <c r="N810" s="163">
        <v>18.881691408007196</v>
      </c>
      <c r="O810" s="163">
        <v>6.881691408007196</v>
      </c>
      <c r="P810" s="163"/>
      <c r="Q810" s="163">
        <v>14</v>
      </c>
      <c r="R810" s="163">
        <v>0</v>
      </c>
      <c r="S810" s="163">
        <v>0</v>
      </c>
      <c r="T810" s="163">
        <v>0</v>
      </c>
      <c r="U810" s="163">
        <v>0</v>
      </c>
      <c r="V810" s="163">
        <v>0</v>
      </c>
      <c r="W810" s="163">
        <v>0</v>
      </c>
      <c r="X810" s="163">
        <v>0</v>
      </c>
      <c r="Y810" s="163">
        <v>14</v>
      </c>
      <c r="Z810" s="163">
        <v>14</v>
      </c>
      <c r="AA810" s="163">
        <v>0</v>
      </c>
      <c r="AB810" s="163">
        <v>0</v>
      </c>
      <c r="AC810" s="163">
        <v>12</v>
      </c>
      <c r="AD810" s="163">
        <v>2</v>
      </c>
      <c r="AE810" s="165">
        <v>0.55639644155753498</v>
      </c>
      <c r="AF810" s="166">
        <v>0.59919616783119156</v>
      </c>
    </row>
    <row r="811" spans="1:32">
      <c r="A811" s="161">
        <v>17</v>
      </c>
      <c r="B811" s="162">
        <v>0.85416666666666663</v>
      </c>
      <c r="C811" s="163">
        <v>14.280926111860609</v>
      </c>
      <c r="D811" s="163">
        <v>750.0011943662613</v>
      </c>
      <c r="E811" s="164">
        <v>0.36870000000000003</v>
      </c>
      <c r="F811" s="164">
        <v>0.36870000000000003</v>
      </c>
      <c r="G811" s="163">
        <v>12</v>
      </c>
      <c r="H811" s="163">
        <v>15.333333333333332</v>
      </c>
      <c r="I811" s="163">
        <v>3.3333333333333321</v>
      </c>
      <c r="J811" s="163">
        <v>9</v>
      </c>
      <c r="K811" s="163">
        <v>9.7820242914979758</v>
      </c>
      <c r="L811" s="163">
        <v>0.78202429149797581</v>
      </c>
      <c r="M811" s="163">
        <v>11</v>
      </c>
      <c r="N811" s="163">
        <v>14.008996851102113</v>
      </c>
      <c r="O811" s="163">
        <v>3.008996851102113</v>
      </c>
      <c r="P811" s="163"/>
      <c r="Q811" s="163">
        <v>10</v>
      </c>
      <c r="R811" s="163">
        <v>0</v>
      </c>
      <c r="S811" s="163">
        <v>0</v>
      </c>
      <c r="T811" s="163">
        <v>0</v>
      </c>
      <c r="U811" s="163">
        <v>0</v>
      </c>
      <c r="V811" s="163">
        <v>0</v>
      </c>
      <c r="W811" s="163">
        <v>0</v>
      </c>
      <c r="X811" s="163">
        <v>0</v>
      </c>
      <c r="Y811" s="163">
        <v>10</v>
      </c>
      <c r="Z811" s="163">
        <v>10</v>
      </c>
      <c r="AA811" s="163">
        <v>0</v>
      </c>
      <c r="AB811" s="163">
        <v>0</v>
      </c>
      <c r="AC811" s="163">
        <v>8</v>
      </c>
      <c r="AD811" s="163">
        <v>2</v>
      </c>
      <c r="AE811" s="165">
        <v>0.72995877072608084</v>
      </c>
      <c r="AF811" s="166">
        <v>0.60829897560506729</v>
      </c>
    </row>
    <row r="812" spans="1:32">
      <c r="A812" s="161">
        <v>17</v>
      </c>
      <c r="B812" s="162">
        <v>0.875</v>
      </c>
      <c r="C812" s="163">
        <v>12.611873284703309</v>
      </c>
      <c r="D812" s="163">
        <v>745.96418723271813</v>
      </c>
      <c r="E812" s="164">
        <v>0.44880000000000003</v>
      </c>
      <c r="F812" s="164">
        <v>0.44880000000000003</v>
      </c>
      <c r="G812" s="163">
        <v>10</v>
      </c>
      <c r="H812" s="163">
        <v>13.333333333333332</v>
      </c>
      <c r="I812" s="163">
        <v>3.3333333333333321</v>
      </c>
      <c r="J812" s="163">
        <v>8</v>
      </c>
      <c r="K812" s="163">
        <v>8.1516869095816471</v>
      </c>
      <c r="L812" s="163">
        <v>0.1516869095816471</v>
      </c>
      <c r="M812" s="163">
        <v>9</v>
      </c>
      <c r="N812" s="163">
        <v>12.181736392262707</v>
      </c>
      <c r="O812" s="163">
        <v>3.1817363922627067</v>
      </c>
      <c r="P812" s="163"/>
      <c r="Q812" s="163">
        <v>8</v>
      </c>
      <c r="R812" s="163">
        <v>0</v>
      </c>
      <c r="S812" s="163">
        <v>0</v>
      </c>
      <c r="T812" s="163">
        <v>0</v>
      </c>
      <c r="U812" s="163">
        <v>0</v>
      </c>
      <c r="V812" s="163">
        <v>0</v>
      </c>
      <c r="W812" s="163">
        <v>0</v>
      </c>
      <c r="X812" s="163">
        <v>0</v>
      </c>
      <c r="Y812" s="163">
        <v>8</v>
      </c>
      <c r="Z812" s="163">
        <v>8</v>
      </c>
      <c r="AA812" s="163">
        <v>0</v>
      </c>
      <c r="AB812" s="163">
        <v>0</v>
      </c>
      <c r="AC812" s="163">
        <v>6</v>
      </c>
      <c r="AD812" s="163">
        <v>2</v>
      </c>
      <c r="AE812" s="165">
        <v>0.80147059578819169</v>
      </c>
      <c r="AF812" s="166">
        <v>0.64117647663055333</v>
      </c>
    </row>
    <row r="813" spans="1:32">
      <c r="A813" s="161">
        <v>17</v>
      </c>
      <c r="B813" s="162">
        <v>0.89583333333333337</v>
      </c>
      <c r="C813" s="163">
        <v>10.44704498174009</v>
      </c>
      <c r="D813" s="163">
        <v>712.87385608394618</v>
      </c>
      <c r="E813" s="164">
        <v>0.73340000000000005</v>
      </c>
      <c r="F813" s="164">
        <v>0.73340000000000005</v>
      </c>
      <c r="G813" s="163">
        <v>9</v>
      </c>
      <c r="H813" s="163">
        <v>13.333333333333332</v>
      </c>
      <c r="I813" s="163">
        <v>4.3333333333333321</v>
      </c>
      <c r="J813" s="163">
        <v>7</v>
      </c>
      <c r="K813" s="163">
        <v>7.3365182186234819</v>
      </c>
      <c r="L813" s="163">
        <v>0.33651821862348186</v>
      </c>
      <c r="M813" s="163">
        <v>8</v>
      </c>
      <c r="N813" s="163">
        <v>12.181736392262707</v>
      </c>
      <c r="O813" s="163">
        <v>4.1817363922627067</v>
      </c>
      <c r="P813" s="163"/>
      <c r="Q813" s="163">
        <v>8</v>
      </c>
      <c r="R813" s="163">
        <v>0</v>
      </c>
      <c r="S813" s="163">
        <v>0</v>
      </c>
      <c r="T813" s="163">
        <v>0</v>
      </c>
      <c r="U813" s="163">
        <v>0</v>
      </c>
      <c r="V813" s="163">
        <v>0</v>
      </c>
      <c r="W813" s="163">
        <v>0</v>
      </c>
      <c r="X813" s="163">
        <v>0</v>
      </c>
      <c r="Y813" s="163">
        <v>8</v>
      </c>
      <c r="Z813" s="163">
        <v>8</v>
      </c>
      <c r="AA813" s="163">
        <v>0</v>
      </c>
      <c r="AB813" s="163">
        <v>0</v>
      </c>
      <c r="AC813" s="163">
        <v>6</v>
      </c>
      <c r="AD813" s="163">
        <v>2</v>
      </c>
      <c r="AE813" s="165">
        <v>0.63444819965062604</v>
      </c>
      <c r="AF813" s="166">
        <v>0.56395395524500092</v>
      </c>
    </row>
    <row r="814" spans="1:32">
      <c r="A814" s="161">
        <v>17</v>
      </c>
      <c r="B814" s="162">
        <v>0.91666666666666663</v>
      </c>
      <c r="C814" s="163">
        <v>5.1042446062298099</v>
      </c>
      <c r="D814" s="163">
        <v>672.99887061639834</v>
      </c>
      <c r="E814" s="164">
        <v>0.91449999999999998</v>
      </c>
      <c r="F814" s="164">
        <v>0.91449999999999998</v>
      </c>
      <c r="G814" s="163">
        <v>5</v>
      </c>
      <c r="H814" s="163">
        <v>12</v>
      </c>
      <c r="I814" s="163">
        <v>7</v>
      </c>
      <c r="J814" s="163">
        <v>4</v>
      </c>
      <c r="K814" s="163">
        <v>4.0758434547908236</v>
      </c>
      <c r="L814" s="163">
        <v>7.584345479082355E-2</v>
      </c>
      <c r="M814" s="163">
        <v>5</v>
      </c>
      <c r="N814" s="163">
        <v>10.963562753036436</v>
      </c>
      <c r="O814" s="163">
        <v>5.9635627530364363</v>
      </c>
      <c r="P814" s="163"/>
      <c r="Q814" s="163">
        <v>8</v>
      </c>
      <c r="R814" s="163">
        <v>0</v>
      </c>
      <c r="S814" s="163">
        <v>0</v>
      </c>
      <c r="T814" s="163">
        <v>0</v>
      </c>
      <c r="U814" s="163">
        <v>0</v>
      </c>
      <c r="V814" s="163">
        <v>0</v>
      </c>
      <c r="W814" s="163">
        <v>0</v>
      </c>
      <c r="X814" s="163">
        <v>0</v>
      </c>
      <c r="Y814" s="163">
        <v>8</v>
      </c>
      <c r="Z814" s="163">
        <v>8</v>
      </c>
      <c r="AA814" s="163">
        <v>0</v>
      </c>
      <c r="AB814" s="163">
        <v>0</v>
      </c>
      <c r="AC814" s="163">
        <v>6</v>
      </c>
      <c r="AD814" s="163">
        <v>2</v>
      </c>
      <c r="AE814" s="165">
        <v>0.29264144388533825</v>
      </c>
      <c r="AF814" s="166">
        <v>0.46822631021654121</v>
      </c>
    </row>
    <row r="815" spans="1:32">
      <c r="A815" s="161">
        <v>17</v>
      </c>
      <c r="B815" s="162">
        <v>0.9375</v>
      </c>
      <c r="C815" s="163">
        <v>4.0764647040504061</v>
      </c>
      <c r="D815" s="163">
        <v>670.08901552944485</v>
      </c>
      <c r="E815" s="164">
        <v>0.88526666666666676</v>
      </c>
      <c r="F815" s="164">
        <v>0.88526666666666676</v>
      </c>
      <c r="G815" s="163">
        <v>5</v>
      </c>
      <c r="H815" s="163">
        <v>9.3333333333333339</v>
      </c>
      <c r="I815" s="163">
        <v>4.3333333333333339</v>
      </c>
      <c r="J815" s="163">
        <v>4</v>
      </c>
      <c r="K815" s="163">
        <v>4.0758434547908236</v>
      </c>
      <c r="L815" s="163">
        <v>7.584345479082355E-2</v>
      </c>
      <c r="M815" s="163">
        <v>5</v>
      </c>
      <c r="N815" s="163">
        <v>8.5272154745838957</v>
      </c>
      <c r="O815" s="163">
        <v>3.5272154745838957</v>
      </c>
      <c r="P815" s="163"/>
      <c r="Q815" s="163">
        <v>6</v>
      </c>
      <c r="R815" s="163">
        <v>0</v>
      </c>
      <c r="S815" s="163">
        <v>0</v>
      </c>
      <c r="T815" s="163">
        <v>0</v>
      </c>
      <c r="U815" s="163">
        <v>0</v>
      </c>
      <c r="V815" s="163">
        <v>0</v>
      </c>
      <c r="W815" s="163">
        <v>0</v>
      </c>
      <c r="X815" s="163">
        <v>0</v>
      </c>
      <c r="Y815" s="163">
        <v>6</v>
      </c>
      <c r="Z815" s="163">
        <v>6</v>
      </c>
      <c r="AA815" s="163">
        <v>0</v>
      </c>
      <c r="AB815" s="163">
        <v>0</v>
      </c>
      <c r="AC815" s="163">
        <v>4</v>
      </c>
      <c r="AD815" s="163">
        <v>2</v>
      </c>
      <c r="AE815" s="165">
        <v>0.31027368148599593</v>
      </c>
      <c r="AF815" s="166">
        <v>0.37232841778319514</v>
      </c>
    </row>
    <row r="816" spans="1:32">
      <c r="A816" s="161">
        <v>17</v>
      </c>
      <c r="B816" s="162">
        <v>0.95833333333333337</v>
      </c>
      <c r="C816" s="163">
        <v>2.9941432742038012</v>
      </c>
      <c r="D816" s="163">
        <v>636.82796898592244</v>
      </c>
      <c r="E816" s="164">
        <v>0.90600000000000003</v>
      </c>
      <c r="F816" s="164">
        <v>0.90600000000000003</v>
      </c>
      <c r="G816" s="163">
        <v>4</v>
      </c>
      <c r="H816" s="163">
        <v>6.6666666666666661</v>
      </c>
      <c r="I816" s="163">
        <v>2.6666666666666661</v>
      </c>
      <c r="J816" s="163">
        <v>3</v>
      </c>
      <c r="K816" s="163">
        <v>3.2606747638326588</v>
      </c>
      <c r="L816" s="163">
        <v>0.26067476383265875</v>
      </c>
      <c r="M816" s="163">
        <v>4</v>
      </c>
      <c r="N816" s="163">
        <v>6.0908681961313533</v>
      </c>
      <c r="O816" s="163">
        <v>2.0908681961313533</v>
      </c>
      <c r="P816" s="163"/>
      <c r="Q816" s="163">
        <v>4</v>
      </c>
      <c r="R816" s="163">
        <v>0</v>
      </c>
      <c r="S816" s="163">
        <v>0</v>
      </c>
      <c r="T816" s="163">
        <v>0</v>
      </c>
      <c r="U816" s="163">
        <v>0</v>
      </c>
      <c r="V816" s="163">
        <v>0</v>
      </c>
      <c r="W816" s="163">
        <v>0</v>
      </c>
      <c r="X816" s="163">
        <v>0</v>
      </c>
      <c r="Y816" s="163">
        <v>4</v>
      </c>
      <c r="Z816" s="163">
        <v>4</v>
      </c>
      <c r="AA816" s="163">
        <v>0</v>
      </c>
      <c r="AB816" s="163">
        <v>0</v>
      </c>
      <c r="AC816" s="163">
        <v>4</v>
      </c>
      <c r="AD816" s="163">
        <v>0</v>
      </c>
      <c r="AE816" s="165">
        <v>0.32487382354681565</v>
      </c>
      <c r="AF816" s="166">
        <v>0.32487382354681565</v>
      </c>
    </row>
    <row r="817" spans="1:32">
      <c r="A817" s="161">
        <v>17</v>
      </c>
      <c r="B817" s="162">
        <v>0.97916666666666663</v>
      </c>
      <c r="C817" s="163">
        <v>2.2301201084335243</v>
      </c>
      <c r="D817" s="163">
        <v>636.71313627755126</v>
      </c>
      <c r="E817" s="164">
        <v>0.95479999999999998</v>
      </c>
      <c r="F817" s="164">
        <v>0.95479999999999998</v>
      </c>
      <c r="G817" s="163">
        <v>4</v>
      </c>
      <c r="H817" s="163">
        <v>6.6666666666666661</v>
      </c>
      <c r="I817" s="163">
        <v>2.6666666666666661</v>
      </c>
      <c r="J817" s="163">
        <v>3</v>
      </c>
      <c r="K817" s="163">
        <v>3.2606747638326588</v>
      </c>
      <c r="L817" s="163">
        <v>0.26067476383265875</v>
      </c>
      <c r="M817" s="163">
        <v>4</v>
      </c>
      <c r="N817" s="163">
        <v>6.0908681961313533</v>
      </c>
      <c r="O817" s="163">
        <v>2.0908681961313533</v>
      </c>
      <c r="P817" s="163"/>
      <c r="Q817" s="163">
        <v>4</v>
      </c>
      <c r="R817" s="163">
        <v>0</v>
      </c>
      <c r="S817" s="163">
        <v>0</v>
      </c>
      <c r="T817" s="163">
        <v>0</v>
      </c>
      <c r="U817" s="163">
        <v>0</v>
      </c>
      <c r="V817" s="163">
        <v>0</v>
      </c>
      <c r="W817" s="163">
        <v>0</v>
      </c>
      <c r="X817" s="163">
        <v>0</v>
      </c>
      <c r="Y817" s="163">
        <v>4</v>
      </c>
      <c r="Z817" s="163">
        <v>4</v>
      </c>
      <c r="AA817" s="163">
        <v>0</v>
      </c>
      <c r="AB817" s="163">
        <v>0</v>
      </c>
      <c r="AC817" s="163">
        <v>4</v>
      </c>
      <c r="AD817" s="163">
        <v>0</v>
      </c>
      <c r="AE817" s="165">
        <v>0.2419313096149375</v>
      </c>
      <c r="AF817" s="166">
        <v>0.2419313096149375</v>
      </c>
    </row>
    <row r="818" spans="1:32">
      <c r="A818" s="161">
        <v>18</v>
      </c>
      <c r="B818" s="162">
        <v>0</v>
      </c>
      <c r="C818" s="163">
        <v>1.2898651289338086</v>
      </c>
      <c r="D818" s="163">
        <v>644.4908958018874</v>
      </c>
      <c r="E818" s="164">
        <v>0.98899999999999999</v>
      </c>
      <c r="F818" s="164">
        <v>0.98899999999999999</v>
      </c>
      <c r="G818" s="163">
        <v>3</v>
      </c>
      <c r="H818" s="163">
        <v>6.6666666666666661</v>
      </c>
      <c r="I818" s="163">
        <v>3.6666666666666661</v>
      </c>
      <c r="J818" s="163">
        <v>2</v>
      </c>
      <c r="K818" s="163">
        <v>2.445506072874494</v>
      </c>
      <c r="L818" s="163">
        <v>0.44550607287449395</v>
      </c>
      <c r="M818" s="163">
        <v>3</v>
      </c>
      <c r="N818" s="163">
        <v>6.0908681961313533</v>
      </c>
      <c r="O818" s="163">
        <v>3.0908681961313533</v>
      </c>
      <c r="P818" s="163"/>
      <c r="Q818" s="163">
        <v>4</v>
      </c>
      <c r="R818" s="163">
        <v>0</v>
      </c>
      <c r="S818" s="163">
        <v>0</v>
      </c>
      <c r="T818" s="163">
        <v>0</v>
      </c>
      <c r="U818" s="163">
        <v>0</v>
      </c>
      <c r="V818" s="163">
        <v>0</v>
      </c>
      <c r="W818" s="163">
        <v>0</v>
      </c>
      <c r="X818" s="163">
        <v>0</v>
      </c>
      <c r="Y818" s="163">
        <v>4</v>
      </c>
      <c r="Z818" s="163">
        <v>4</v>
      </c>
      <c r="AA818" s="163">
        <v>0</v>
      </c>
      <c r="AB818" s="163">
        <v>0</v>
      </c>
      <c r="AC818" s="163">
        <v>4</v>
      </c>
      <c r="AD818" s="163">
        <v>0</v>
      </c>
      <c r="AE818" s="165">
        <v>0.14163842909500429</v>
      </c>
      <c r="AF818" s="166">
        <v>0.18885123879333904</v>
      </c>
    </row>
    <row r="819" spans="1:32">
      <c r="A819" s="161">
        <v>18</v>
      </c>
      <c r="B819" s="162">
        <v>2.0833333333333332E-2</v>
      </c>
      <c r="C819" s="163">
        <v>0.90230827008009629</v>
      </c>
      <c r="D819" s="163">
        <v>644.35446079397695</v>
      </c>
      <c r="E819" s="164">
        <v>0.99590000000000012</v>
      </c>
      <c r="F819" s="164">
        <v>0.99590000000000012</v>
      </c>
      <c r="G819" s="163">
        <v>3</v>
      </c>
      <c r="H819" s="163">
        <v>6.6666666666666661</v>
      </c>
      <c r="I819" s="163">
        <v>3.6666666666666661</v>
      </c>
      <c r="J819" s="163">
        <v>2</v>
      </c>
      <c r="K819" s="163">
        <v>2.445506072874494</v>
      </c>
      <c r="L819" s="163">
        <v>0.44550607287449395</v>
      </c>
      <c r="M819" s="163">
        <v>3</v>
      </c>
      <c r="N819" s="163">
        <v>6.0908681961313533</v>
      </c>
      <c r="O819" s="163">
        <v>3.0908681961313533</v>
      </c>
      <c r="P819" s="163"/>
      <c r="Q819" s="163">
        <v>4</v>
      </c>
      <c r="R819" s="163">
        <v>0</v>
      </c>
      <c r="S819" s="163">
        <v>0</v>
      </c>
      <c r="T819" s="163">
        <v>0</v>
      </c>
      <c r="U819" s="163">
        <v>0</v>
      </c>
      <c r="V819" s="163">
        <v>0</v>
      </c>
      <c r="W819" s="163">
        <v>0</v>
      </c>
      <c r="X819" s="163">
        <v>0</v>
      </c>
      <c r="Y819" s="163">
        <v>4</v>
      </c>
      <c r="Z819" s="163">
        <v>4</v>
      </c>
      <c r="AA819" s="163">
        <v>0</v>
      </c>
      <c r="AB819" s="163">
        <v>0</v>
      </c>
      <c r="AC819" s="163">
        <v>4</v>
      </c>
      <c r="AD819" s="163">
        <v>0</v>
      </c>
      <c r="AE819" s="165">
        <v>9.906033446518403E-2</v>
      </c>
      <c r="AF819" s="166">
        <v>0.13208044595357868</v>
      </c>
    </row>
    <row r="820" spans="1:32">
      <c r="A820" s="161">
        <v>18</v>
      </c>
      <c r="B820" s="162">
        <v>4.1666666666666664E-2</v>
      </c>
      <c r="C820" s="163">
        <v>0.68671701044470546</v>
      </c>
      <c r="D820" s="163">
        <v>610.6496792176539</v>
      </c>
      <c r="E820" s="164">
        <v>0.99839999999999984</v>
      </c>
      <c r="F820" s="164">
        <v>0.99839999999999984</v>
      </c>
      <c r="G820" s="163">
        <v>3</v>
      </c>
      <c r="H820" s="163">
        <v>6.6666666666666661</v>
      </c>
      <c r="I820" s="163">
        <v>3.6666666666666661</v>
      </c>
      <c r="J820" s="163">
        <v>2</v>
      </c>
      <c r="K820" s="163">
        <v>2.445506072874494</v>
      </c>
      <c r="L820" s="163">
        <v>0.44550607287449395</v>
      </c>
      <c r="M820" s="163">
        <v>3</v>
      </c>
      <c r="N820" s="163">
        <v>6.0908681961313533</v>
      </c>
      <c r="O820" s="163">
        <v>3.0908681961313533</v>
      </c>
      <c r="P820" s="163"/>
      <c r="Q820" s="163">
        <v>4</v>
      </c>
      <c r="R820" s="163">
        <v>0</v>
      </c>
      <c r="S820" s="163">
        <v>0</v>
      </c>
      <c r="T820" s="163">
        <v>0</v>
      </c>
      <c r="U820" s="163">
        <v>0</v>
      </c>
      <c r="V820" s="163">
        <v>0</v>
      </c>
      <c r="W820" s="163">
        <v>0</v>
      </c>
      <c r="X820" s="163">
        <v>0</v>
      </c>
      <c r="Y820" s="163">
        <v>4</v>
      </c>
      <c r="Z820" s="163">
        <v>4</v>
      </c>
      <c r="AA820" s="163">
        <v>0</v>
      </c>
      <c r="AB820" s="163">
        <v>0</v>
      </c>
      <c r="AC820" s="163">
        <v>4</v>
      </c>
      <c r="AD820" s="163">
        <v>0</v>
      </c>
      <c r="AE820" s="165">
        <v>7.1447979417006952E-2</v>
      </c>
      <c r="AF820" s="166">
        <v>9.5263972556009269E-2</v>
      </c>
    </row>
    <row r="821" spans="1:32">
      <c r="A821" s="161">
        <v>18</v>
      </c>
      <c r="B821" s="162">
        <v>6.25E-2</v>
      </c>
      <c r="C821" s="163">
        <v>0.54406953384157108</v>
      </c>
      <c r="D821" s="163">
        <v>594.59906218129527</v>
      </c>
      <c r="E821" s="164">
        <v>0.99919999999999998</v>
      </c>
      <c r="F821" s="164">
        <v>0.99919999999999998</v>
      </c>
      <c r="G821" s="163">
        <v>2</v>
      </c>
      <c r="H821" s="163">
        <v>6.6666666666666661</v>
      </c>
      <c r="I821" s="163">
        <v>4.6666666666666661</v>
      </c>
      <c r="J821" s="163">
        <v>1</v>
      </c>
      <c r="K821" s="163">
        <v>1.6303373819163294</v>
      </c>
      <c r="L821" s="163">
        <v>0.63033738191632938</v>
      </c>
      <c r="M821" s="163">
        <v>2</v>
      </c>
      <c r="N821" s="163">
        <v>6.0908681961313533</v>
      </c>
      <c r="O821" s="163">
        <v>4.0908681961313533</v>
      </c>
      <c r="P821" s="163"/>
      <c r="Q821" s="163">
        <v>4</v>
      </c>
      <c r="R821" s="163">
        <v>0</v>
      </c>
      <c r="S821" s="163">
        <v>0</v>
      </c>
      <c r="T821" s="163">
        <v>0</v>
      </c>
      <c r="U821" s="163">
        <v>0</v>
      </c>
      <c r="V821" s="163">
        <v>0</v>
      </c>
      <c r="W821" s="163">
        <v>0</v>
      </c>
      <c r="X821" s="163">
        <v>0</v>
      </c>
      <c r="Y821" s="163">
        <v>4</v>
      </c>
      <c r="Z821" s="163">
        <v>4</v>
      </c>
      <c r="AA821" s="163">
        <v>0</v>
      </c>
      <c r="AB821" s="163">
        <v>0</v>
      </c>
      <c r="AC821" s="163">
        <v>4</v>
      </c>
      <c r="AD821" s="163">
        <v>0</v>
      </c>
      <c r="AE821" s="165">
        <v>5.5118658630604167E-2</v>
      </c>
      <c r="AF821" s="166">
        <v>0.11023731726120833</v>
      </c>
    </row>
    <row r="822" spans="1:32">
      <c r="A822" s="161">
        <v>18</v>
      </c>
      <c r="B822" s="162">
        <v>8.3333333333333329E-2</v>
      </c>
      <c r="C822" s="163">
        <v>0.43770145055511345</v>
      </c>
      <c r="D822" s="163">
        <v>612.1881425335622</v>
      </c>
      <c r="E822" s="164">
        <v>0.99949999999999994</v>
      </c>
      <c r="F822" s="164">
        <v>0.99949999999999994</v>
      </c>
      <c r="G822" s="163">
        <v>2</v>
      </c>
      <c r="H822" s="163">
        <v>6.6666666666666661</v>
      </c>
      <c r="I822" s="163">
        <v>4.6666666666666661</v>
      </c>
      <c r="J822" s="163">
        <v>1</v>
      </c>
      <c r="K822" s="163">
        <v>1.6303373819163294</v>
      </c>
      <c r="L822" s="163">
        <v>0.63033738191632938</v>
      </c>
      <c r="M822" s="163">
        <v>2</v>
      </c>
      <c r="N822" s="163">
        <v>6.0908681961313533</v>
      </c>
      <c r="O822" s="163">
        <v>4.0908681961313533</v>
      </c>
      <c r="P822" s="163"/>
      <c r="Q822" s="163">
        <v>4</v>
      </c>
      <c r="R822" s="163">
        <v>0</v>
      </c>
      <c r="S822" s="163">
        <v>0</v>
      </c>
      <c r="T822" s="163">
        <v>0</v>
      </c>
      <c r="U822" s="163">
        <v>0</v>
      </c>
      <c r="V822" s="163">
        <v>0</v>
      </c>
      <c r="W822" s="163">
        <v>0</v>
      </c>
      <c r="X822" s="163">
        <v>0</v>
      </c>
      <c r="Y822" s="163">
        <v>4</v>
      </c>
      <c r="Z822" s="163">
        <v>4</v>
      </c>
      <c r="AA822" s="163">
        <v>0</v>
      </c>
      <c r="AB822" s="163">
        <v>0</v>
      </c>
      <c r="AC822" s="163">
        <v>4</v>
      </c>
      <c r="AD822" s="163">
        <v>0</v>
      </c>
      <c r="AE822" s="165">
        <v>4.5654428642899224E-2</v>
      </c>
      <c r="AF822" s="166">
        <v>9.1308857285798448E-2</v>
      </c>
    </row>
    <row r="823" spans="1:32">
      <c r="A823" s="161">
        <v>18</v>
      </c>
      <c r="B823" s="162">
        <v>0.10416666666666667</v>
      </c>
      <c r="C823" s="163">
        <v>0.34802598749507424</v>
      </c>
      <c r="D823" s="163">
        <v>582.54642683696193</v>
      </c>
      <c r="E823" s="164">
        <v>0.99980000000000002</v>
      </c>
      <c r="F823" s="164">
        <v>0.99980000000000002</v>
      </c>
      <c r="G823" s="163">
        <v>2</v>
      </c>
      <c r="H823" s="163">
        <v>6.6666666666666661</v>
      </c>
      <c r="I823" s="163">
        <v>4.6666666666666661</v>
      </c>
      <c r="J823" s="163">
        <v>1</v>
      </c>
      <c r="K823" s="163">
        <v>1.6303373819163294</v>
      </c>
      <c r="L823" s="163">
        <v>0.63033738191632938</v>
      </c>
      <c r="M823" s="163">
        <v>2</v>
      </c>
      <c r="N823" s="163">
        <v>6.0908681961313533</v>
      </c>
      <c r="O823" s="163">
        <v>4.0908681961313533</v>
      </c>
      <c r="P823" s="163"/>
      <c r="Q823" s="163">
        <v>4</v>
      </c>
      <c r="R823" s="163">
        <v>0</v>
      </c>
      <c r="S823" s="163">
        <v>0</v>
      </c>
      <c r="T823" s="163">
        <v>0</v>
      </c>
      <c r="U823" s="163">
        <v>0</v>
      </c>
      <c r="V823" s="163">
        <v>0</v>
      </c>
      <c r="W823" s="163">
        <v>0</v>
      </c>
      <c r="X823" s="163">
        <v>0</v>
      </c>
      <c r="Y823" s="163">
        <v>4</v>
      </c>
      <c r="Z823" s="163">
        <v>4</v>
      </c>
      <c r="AA823" s="163">
        <v>0</v>
      </c>
      <c r="AB823" s="163">
        <v>0</v>
      </c>
      <c r="AC823" s="163">
        <v>4</v>
      </c>
      <c r="AD823" s="163">
        <v>0</v>
      </c>
      <c r="AE823" s="165">
        <v>3.4543173174948531E-2</v>
      </c>
      <c r="AF823" s="166">
        <v>6.9086346349897063E-2</v>
      </c>
    </row>
    <row r="824" spans="1:32">
      <c r="A824" s="161">
        <v>18</v>
      </c>
      <c r="B824" s="162">
        <v>0.125</v>
      </c>
      <c r="C824" s="163">
        <v>0.31386746064617216</v>
      </c>
      <c r="D824" s="163">
        <v>582.44424645379286</v>
      </c>
      <c r="E824" s="164">
        <v>0.99980000000000002</v>
      </c>
      <c r="F824" s="164">
        <v>0.99980000000000002</v>
      </c>
      <c r="G824" s="163">
        <v>2</v>
      </c>
      <c r="H824" s="163">
        <v>6.6666666666666661</v>
      </c>
      <c r="I824" s="163">
        <v>4.6666666666666661</v>
      </c>
      <c r="J824" s="163">
        <v>1</v>
      </c>
      <c r="K824" s="163">
        <v>1.6303373819163294</v>
      </c>
      <c r="L824" s="163">
        <v>0.63033738191632938</v>
      </c>
      <c r="M824" s="163">
        <v>2</v>
      </c>
      <c r="N824" s="163">
        <v>6.0908681961313533</v>
      </c>
      <c r="O824" s="163">
        <v>4.0908681961313533</v>
      </c>
      <c r="P824" s="163"/>
      <c r="Q824" s="163">
        <v>4</v>
      </c>
      <c r="R824" s="163">
        <v>0</v>
      </c>
      <c r="S824" s="163">
        <v>0</v>
      </c>
      <c r="T824" s="163">
        <v>0</v>
      </c>
      <c r="U824" s="163">
        <v>0</v>
      </c>
      <c r="V824" s="163">
        <v>0</v>
      </c>
      <c r="W824" s="163">
        <v>0</v>
      </c>
      <c r="X824" s="163">
        <v>0</v>
      </c>
      <c r="Y824" s="163">
        <v>4</v>
      </c>
      <c r="Z824" s="163">
        <v>4</v>
      </c>
      <c r="AA824" s="163">
        <v>0</v>
      </c>
      <c r="AB824" s="163">
        <v>0</v>
      </c>
      <c r="AC824" s="163">
        <v>4</v>
      </c>
      <c r="AD824" s="163">
        <v>0</v>
      </c>
      <c r="AE824" s="165">
        <v>3.1147318652185719E-2</v>
      </c>
      <c r="AF824" s="166">
        <v>6.2294637304371438E-2</v>
      </c>
    </row>
    <row r="825" spans="1:32">
      <c r="A825" s="161">
        <v>18</v>
      </c>
      <c r="B825" s="162">
        <v>0.14583333333333334</v>
      </c>
      <c r="C825" s="163">
        <v>0.31620200201321019</v>
      </c>
      <c r="D825" s="163">
        <v>616.75592358143194</v>
      </c>
      <c r="E825" s="164">
        <v>0.99980000000000002</v>
      </c>
      <c r="F825" s="164">
        <v>0.99980000000000002</v>
      </c>
      <c r="G825" s="163">
        <v>2</v>
      </c>
      <c r="H825" s="163">
        <v>6.6666666666666661</v>
      </c>
      <c r="I825" s="163">
        <v>4.6666666666666661</v>
      </c>
      <c r="J825" s="163">
        <v>1</v>
      </c>
      <c r="K825" s="163">
        <v>1.6303373819163294</v>
      </c>
      <c r="L825" s="163">
        <v>0.63033738191632938</v>
      </c>
      <c r="M825" s="163">
        <v>2</v>
      </c>
      <c r="N825" s="163">
        <v>6.0908681961313533</v>
      </c>
      <c r="O825" s="163">
        <v>4.0908681961313533</v>
      </c>
      <c r="P825" s="163"/>
      <c r="Q825" s="163">
        <v>4</v>
      </c>
      <c r="R825" s="163">
        <v>0</v>
      </c>
      <c r="S825" s="163">
        <v>0</v>
      </c>
      <c r="T825" s="163">
        <v>0</v>
      </c>
      <c r="U825" s="163">
        <v>0</v>
      </c>
      <c r="V825" s="163">
        <v>0</v>
      </c>
      <c r="W825" s="163">
        <v>0</v>
      </c>
      <c r="X825" s="163">
        <v>0</v>
      </c>
      <c r="Y825" s="163">
        <v>4</v>
      </c>
      <c r="Z825" s="163">
        <v>4</v>
      </c>
      <c r="AA825" s="163">
        <v>0</v>
      </c>
      <c r="AB825" s="163">
        <v>0</v>
      </c>
      <c r="AC825" s="163">
        <v>4</v>
      </c>
      <c r="AD825" s="163">
        <v>0</v>
      </c>
      <c r="AE825" s="165">
        <v>3.3227522235088562E-2</v>
      </c>
      <c r="AF825" s="166">
        <v>6.6455044470177124E-2</v>
      </c>
    </row>
    <row r="826" spans="1:32">
      <c r="A826" s="161">
        <v>18</v>
      </c>
      <c r="B826" s="162">
        <v>0.16666666666666666</v>
      </c>
      <c r="C826" s="163">
        <v>0.35595144233072579</v>
      </c>
      <c r="D826" s="163">
        <v>616.71473808565622</v>
      </c>
      <c r="E826" s="164">
        <v>0.99970000000000014</v>
      </c>
      <c r="F826" s="164">
        <v>0.99970000000000014</v>
      </c>
      <c r="G826" s="163">
        <v>2</v>
      </c>
      <c r="H826" s="163">
        <v>6.6666666666666661</v>
      </c>
      <c r="I826" s="163">
        <v>4.6666666666666661</v>
      </c>
      <c r="J826" s="163">
        <v>1</v>
      </c>
      <c r="K826" s="163">
        <v>1.6303373819163294</v>
      </c>
      <c r="L826" s="163">
        <v>0.63033738191632938</v>
      </c>
      <c r="M826" s="163">
        <v>2</v>
      </c>
      <c r="N826" s="163">
        <v>6.0908681961313533</v>
      </c>
      <c r="O826" s="163">
        <v>4.0908681961313533</v>
      </c>
      <c r="P826" s="163"/>
      <c r="Q826" s="163">
        <v>4</v>
      </c>
      <c r="R826" s="163">
        <v>0</v>
      </c>
      <c r="S826" s="163">
        <v>0</v>
      </c>
      <c r="T826" s="163">
        <v>0</v>
      </c>
      <c r="U826" s="163">
        <v>0</v>
      </c>
      <c r="V826" s="163">
        <v>0</v>
      </c>
      <c r="W826" s="163">
        <v>0</v>
      </c>
      <c r="X826" s="163">
        <v>0</v>
      </c>
      <c r="Y826" s="163">
        <v>4</v>
      </c>
      <c r="Z826" s="163">
        <v>4</v>
      </c>
      <c r="AA826" s="163">
        <v>0</v>
      </c>
      <c r="AB826" s="163">
        <v>0</v>
      </c>
      <c r="AC826" s="163">
        <v>4</v>
      </c>
      <c r="AD826" s="163">
        <v>0</v>
      </c>
      <c r="AE826" s="165">
        <v>3.7402023341767281E-2</v>
      </c>
      <c r="AF826" s="166">
        <v>7.4804046683534561E-2</v>
      </c>
    </row>
    <row r="827" spans="1:32">
      <c r="A827" s="161">
        <v>18</v>
      </c>
      <c r="B827" s="162">
        <v>0.1875</v>
      </c>
      <c r="C827" s="163">
        <v>0.52514046820463944</v>
      </c>
      <c r="D827" s="163">
        <v>655.21681489019636</v>
      </c>
      <c r="E827" s="164">
        <v>0.99909999999999999</v>
      </c>
      <c r="F827" s="164">
        <v>0.99909999999999999</v>
      </c>
      <c r="G827" s="163">
        <v>2</v>
      </c>
      <c r="H827" s="163">
        <v>6.6666666666666661</v>
      </c>
      <c r="I827" s="163">
        <v>4.6666666666666661</v>
      </c>
      <c r="J827" s="163">
        <v>1</v>
      </c>
      <c r="K827" s="163">
        <v>1.6303373819163294</v>
      </c>
      <c r="L827" s="163">
        <v>0.63033738191632938</v>
      </c>
      <c r="M827" s="163">
        <v>2</v>
      </c>
      <c r="N827" s="163">
        <v>6.0908681961313533</v>
      </c>
      <c r="O827" s="163">
        <v>4.0908681961313533</v>
      </c>
      <c r="P827" s="163"/>
      <c r="Q827" s="163">
        <v>4</v>
      </c>
      <c r="R827" s="163">
        <v>0</v>
      </c>
      <c r="S827" s="163">
        <v>0</v>
      </c>
      <c r="T827" s="163">
        <v>0</v>
      </c>
      <c r="U827" s="163">
        <v>0</v>
      </c>
      <c r="V827" s="163">
        <v>0</v>
      </c>
      <c r="W827" s="163">
        <v>0</v>
      </c>
      <c r="X827" s="163">
        <v>0</v>
      </c>
      <c r="Y827" s="163">
        <v>4</v>
      </c>
      <c r="Z827" s="163">
        <v>4</v>
      </c>
      <c r="AA827" s="163">
        <v>0</v>
      </c>
      <c r="AB827" s="163">
        <v>0</v>
      </c>
      <c r="AC827" s="163">
        <v>4</v>
      </c>
      <c r="AD827" s="163">
        <v>0</v>
      </c>
      <c r="AE827" s="165">
        <v>5.8624686583881452E-2</v>
      </c>
      <c r="AF827" s="166">
        <v>0.1172493731677629</v>
      </c>
    </row>
    <row r="828" spans="1:32">
      <c r="A828" s="161">
        <v>18</v>
      </c>
      <c r="B828" s="162">
        <v>0.20833333333333334</v>
      </c>
      <c r="C828" s="163">
        <v>0.92091786999425529</v>
      </c>
      <c r="D828" s="163">
        <v>689.0522461768677</v>
      </c>
      <c r="E828" s="164">
        <v>0.99470000000000003</v>
      </c>
      <c r="F828" s="164">
        <v>0.99470000000000003</v>
      </c>
      <c r="G828" s="163">
        <v>3</v>
      </c>
      <c r="H828" s="163">
        <v>6.6666666666666661</v>
      </c>
      <c r="I828" s="163">
        <v>3.6666666666666661</v>
      </c>
      <c r="J828" s="163">
        <v>2</v>
      </c>
      <c r="K828" s="163">
        <v>2.445506072874494</v>
      </c>
      <c r="L828" s="163">
        <v>0.44550607287449395</v>
      </c>
      <c r="M828" s="163">
        <v>3</v>
      </c>
      <c r="N828" s="163">
        <v>6.0908681961313533</v>
      </c>
      <c r="O828" s="163">
        <v>3.0908681961313533</v>
      </c>
      <c r="P828" s="163"/>
      <c r="Q828" s="163">
        <v>4</v>
      </c>
      <c r="R828" s="163">
        <v>0</v>
      </c>
      <c r="S828" s="163">
        <v>0</v>
      </c>
      <c r="T828" s="163">
        <v>0</v>
      </c>
      <c r="U828" s="163">
        <v>0</v>
      </c>
      <c r="V828" s="163">
        <v>0</v>
      </c>
      <c r="W828" s="163">
        <v>0</v>
      </c>
      <c r="X828" s="163">
        <v>0</v>
      </c>
      <c r="Y828" s="163">
        <v>4</v>
      </c>
      <c r="Z828" s="163">
        <v>4</v>
      </c>
      <c r="AA828" s="163">
        <v>0</v>
      </c>
      <c r="AB828" s="163">
        <v>0</v>
      </c>
      <c r="AC828" s="163">
        <v>4</v>
      </c>
      <c r="AD828" s="163">
        <v>0</v>
      </c>
      <c r="AE828" s="165">
        <v>0.10811677078187268</v>
      </c>
      <c r="AF828" s="166">
        <v>0.14415569437583023</v>
      </c>
    </row>
    <row r="829" spans="1:32">
      <c r="A829" s="161">
        <v>18</v>
      </c>
      <c r="B829" s="162">
        <v>0.22916666666666666</v>
      </c>
      <c r="C829" s="163">
        <v>1.5402909987638698</v>
      </c>
      <c r="D829" s="163">
        <v>704.29763867640941</v>
      </c>
      <c r="E829" s="164">
        <v>0.97729999999999995</v>
      </c>
      <c r="F829" s="164">
        <v>0.97729999999999995</v>
      </c>
      <c r="G829" s="163">
        <v>3</v>
      </c>
      <c r="H829" s="163">
        <v>6.6666666666666661</v>
      </c>
      <c r="I829" s="163">
        <v>3.6666666666666661</v>
      </c>
      <c r="J829" s="163">
        <v>2</v>
      </c>
      <c r="K829" s="163">
        <v>2.445506072874494</v>
      </c>
      <c r="L829" s="163">
        <v>0.44550607287449395</v>
      </c>
      <c r="M829" s="163">
        <v>3</v>
      </c>
      <c r="N829" s="163">
        <v>6.0908681961313533</v>
      </c>
      <c r="O829" s="163">
        <v>3.0908681961313533</v>
      </c>
      <c r="P829" s="163"/>
      <c r="Q829" s="163">
        <v>4</v>
      </c>
      <c r="R829" s="163">
        <v>0</v>
      </c>
      <c r="S829" s="163">
        <v>0</v>
      </c>
      <c r="T829" s="163">
        <v>0</v>
      </c>
      <c r="U829" s="163">
        <v>0</v>
      </c>
      <c r="V829" s="163">
        <v>0</v>
      </c>
      <c r="W829" s="163">
        <v>0</v>
      </c>
      <c r="X829" s="163">
        <v>0</v>
      </c>
      <c r="Y829" s="163">
        <v>4</v>
      </c>
      <c r="Z829" s="163">
        <v>4</v>
      </c>
      <c r="AA829" s="163">
        <v>0</v>
      </c>
      <c r="AB829" s="163">
        <v>0</v>
      </c>
      <c r="AC829" s="163">
        <v>4</v>
      </c>
      <c r="AD829" s="163">
        <v>0</v>
      </c>
      <c r="AE829" s="165">
        <v>0.18483279141700651</v>
      </c>
      <c r="AF829" s="166">
        <v>0.24644372188934199</v>
      </c>
    </row>
    <row r="830" spans="1:32">
      <c r="A830" s="161">
        <v>18</v>
      </c>
      <c r="B830" s="162">
        <v>0.25</v>
      </c>
      <c r="C830" s="163">
        <v>2.3664699385612176</v>
      </c>
      <c r="D830" s="163">
        <v>711.72061729513985</v>
      </c>
      <c r="E830" s="164">
        <v>0.93</v>
      </c>
      <c r="F830" s="164">
        <v>0.93</v>
      </c>
      <c r="G830" s="163">
        <v>4</v>
      </c>
      <c r="H830" s="163">
        <v>6.6666666666666661</v>
      </c>
      <c r="I830" s="163">
        <v>2.6666666666666661</v>
      </c>
      <c r="J830" s="163">
        <v>3</v>
      </c>
      <c r="K830" s="163">
        <v>3.2606747638326588</v>
      </c>
      <c r="L830" s="163">
        <v>0.26067476383265875</v>
      </c>
      <c r="M830" s="163">
        <v>4</v>
      </c>
      <c r="N830" s="163">
        <v>6.0908681961313533</v>
      </c>
      <c r="O830" s="163">
        <v>2.0908681961313533</v>
      </c>
      <c r="P830" s="163"/>
      <c r="Q830" s="163">
        <v>4</v>
      </c>
      <c r="R830" s="163">
        <v>0</v>
      </c>
      <c r="S830" s="163">
        <v>0</v>
      </c>
      <c r="T830" s="163">
        <v>0</v>
      </c>
      <c r="U830" s="163">
        <v>0</v>
      </c>
      <c r="V830" s="163">
        <v>0</v>
      </c>
      <c r="W830" s="163">
        <v>0</v>
      </c>
      <c r="X830" s="163">
        <v>0</v>
      </c>
      <c r="Y830" s="163">
        <v>4</v>
      </c>
      <c r="Z830" s="163">
        <v>4</v>
      </c>
      <c r="AA830" s="163">
        <v>0</v>
      </c>
      <c r="AB830" s="163">
        <v>0</v>
      </c>
      <c r="AC830" s="163">
        <v>4</v>
      </c>
      <c r="AD830" s="163">
        <v>0</v>
      </c>
      <c r="AE830" s="165">
        <v>0.28696607084129766</v>
      </c>
      <c r="AF830" s="166">
        <v>0.28696607084129766</v>
      </c>
    </row>
    <row r="831" spans="1:32">
      <c r="A831" s="161">
        <v>18</v>
      </c>
      <c r="B831" s="162">
        <v>0.27083333333333331</v>
      </c>
      <c r="C831" s="163">
        <v>3.4213226619787238</v>
      </c>
      <c r="D831" s="163">
        <v>780.04121280837455</v>
      </c>
      <c r="E831" s="164">
        <v>0.79210000000000003</v>
      </c>
      <c r="F831" s="164">
        <v>0.79210000000000003</v>
      </c>
      <c r="G831" s="163">
        <v>5</v>
      </c>
      <c r="H831" s="163">
        <v>6.6666666666666661</v>
      </c>
      <c r="I831" s="163">
        <v>1.6666666666666661</v>
      </c>
      <c r="J831" s="163">
        <v>4</v>
      </c>
      <c r="K831" s="163">
        <v>4.0758434547908236</v>
      </c>
      <c r="L831" s="163">
        <v>7.584345479082355E-2</v>
      </c>
      <c r="M831" s="163">
        <v>5</v>
      </c>
      <c r="N831" s="163">
        <v>6.0908681961313533</v>
      </c>
      <c r="O831" s="163">
        <v>1.0908681961313533</v>
      </c>
      <c r="P831" s="163"/>
      <c r="Q831" s="163">
        <v>4</v>
      </c>
      <c r="R831" s="163">
        <v>0</v>
      </c>
      <c r="S831" s="163">
        <v>0</v>
      </c>
      <c r="T831" s="163">
        <v>0</v>
      </c>
      <c r="U831" s="163">
        <v>0</v>
      </c>
      <c r="V831" s="163">
        <v>0</v>
      </c>
      <c r="W831" s="163">
        <v>0</v>
      </c>
      <c r="X831" s="163">
        <v>0</v>
      </c>
      <c r="Y831" s="163">
        <v>4</v>
      </c>
      <c r="Z831" s="163">
        <v>4</v>
      </c>
      <c r="AA831" s="163">
        <v>0</v>
      </c>
      <c r="AB831" s="163">
        <v>0</v>
      </c>
      <c r="AC831" s="163">
        <v>4</v>
      </c>
      <c r="AD831" s="163">
        <v>0</v>
      </c>
      <c r="AE831" s="165">
        <v>0.45470695347761814</v>
      </c>
      <c r="AF831" s="166">
        <v>0.36376556278209454</v>
      </c>
    </row>
    <row r="832" spans="1:32">
      <c r="A832" s="161">
        <v>18</v>
      </c>
      <c r="B832" s="162">
        <v>0.29166666666666669</v>
      </c>
      <c r="C832" s="163">
        <v>8.1455136773689354</v>
      </c>
      <c r="D832" s="163">
        <v>761.50793577696379</v>
      </c>
      <c r="E832" s="164">
        <v>0.7107</v>
      </c>
      <c r="F832" s="164">
        <v>0.7107</v>
      </c>
      <c r="G832" s="163">
        <v>8</v>
      </c>
      <c r="H832" s="163">
        <v>11.666666666666668</v>
      </c>
      <c r="I832" s="163">
        <v>3.6666666666666679</v>
      </c>
      <c r="J832" s="163">
        <v>6</v>
      </c>
      <c r="K832" s="163">
        <v>6.5213495276653175</v>
      </c>
      <c r="L832" s="163">
        <v>0.5213495276653175</v>
      </c>
      <c r="M832" s="163">
        <v>7</v>
      </c>
      <c r="N832" s="163">
        <v>10.65901934322987</v>
      </c>
      <c r="O832" s="163">
        <v>3.6590193432298701</v>
      </c>
      <c r="P832" s="163"/>
      <c r="Q832" s="163">
        <v>7</v>
      </c>
      <c r="R832" s="163">
        <v>0</v>
      </c>
      <c r="S832" s="163">
        <v>0</v>
      </c>
      <c r="T832" s="163">
        <v>0</v>
      </c>
      <c r="U832" s="163">
        <v>0</v>
      </c>
      <c r="V832" s="163">
        <v>0</v>
      </c>
      <c r="W832" s="163">
        <v>0</v>
      </c>
      <c r="X832" s="163">
        <v>0</v>
      </c>
      <c r="Y832" s="163">
        <v>7</v>
      </c>
      <c r="Z832" s="163">
        <v>7</v>
      </c>
      <c r="AA832" s="163">
        <v>0</v>
      </c>
      <c r="AB832" s="163">
        <v>0</v>
      </c>
      <c r="AC832" s="163">
        <v>4</v>
      </c>
      <c r="AD832" s="163">
        <v>3</v>
      </c>
      <c r="AE832" s="165">
        <v>0.60391369014318363</v>
      </c>
      <c r="AF832" s="166">
        <v>0.52842447887528576</v>
      </c>
    </row>
    <row r="833" spans="1:32">
      <c r="A833" s="161">
        <v>18</v>
      </c>
      <c r="B833" s="162">
        <v>0.3125</v>
      </c>
      <c r="C833" s="163">
        <v>9.9292762514239428</v>
      </c>
      <c r="D833" s="163">
        <v>808.86397510516224</v>
      </c>
      <c r="E833" s="164">
        <v>0.9204</v>
      </c>
      <c r="F833" s="164">
        <v>0.9204</v>
      </c>
      <c r="G833" s="163">
        <v>9</v>
      </c>
      <c r="H833" s="163">
        <v>18.333333333333332</v>
      </c>
      <c r="I833" s="163">
        <v>9.3333333333333321</v>
      </c>
      <c r="J833" s="163">
        <v>7</v>
      </c>
      <c r="K833" s="163">
        <v>7.3365182186234819</v>
      </c>
      <c r="L833" s="163">
        <v>0.33651821862348186</v>
      </c>
      <c r="M833" s="163">
        <v>8</v>
      </c>
      <c r="N833" s="163">
        <v>16.749887539361222</v>
      </c>
      <c r="O833" s="163">
        <v>8.7498875393612217</v>
      </c>
      <c r="P833" s="163"/>
      <c r="Q833" s="163">
        <v>11</v>
      </c>
      <c r="R833" s="163">
        <v>0</v>
      </c>
      <c r="S833" s="163">
        <v>0</v>
      </c>
      <c r="T833" s="163">
        <v>0</v>
      </c>
      <c r="U833" s="163">
        <v>0</v>
      </c>
      <c r="V833" s="163">
        <v>0</v>
      </c>
      <c r="W833" s="163">
        <v>0</v>
      </c>
      <c r="X833" s="163">
        <v>0</v>
      </c>
      <c r="Y833" s="163">
        <v>11</v>
      </c>
      <c r="Z833" s="163">
        <v>11</v>
      </c>
      <c r="AA833" s="163">
        <v>0</v>
      </c>
      <c r="AB833" s="163">
        <v>0</v>
      </c>
      <c r="AC833" s="163">
        <v>8</v>
      </c>
      <c r="AD833" s="163">
        <v>3</v>
      </c>
      <c r="AE833" s="165">
        <v>0.49760003930230429</v>
      </c>
      <c r="AF833" s="166">
        <v>0.60817782581392743</v>
      </c>
    </row>
    <row r="834" spans="1:32">
      <c r="A834" s="161">
        <v>18</v>
      </c>
      <c r="B834" s="162">
        <v>0.33333333333333331</v>
      </c>
      <c r="C834" s="163">
        <v>14.25401594830597</v>
      </c>
      <c r="D834" s="163">
        <v>815.72230033391418</v>
      </c>
      <c r="E834" s="164">
        <v>0.87629999999999997</v>
      </c>
      <c r="F834" s="164">
        <v>0.87629999999999997</v>
      </c>
      <c r="G834" s="163">
        <v>13</v>
      </c>
      <c r="H834" s="163">
        <v>21.666666666666664</v>
      </c>
      <c r="I834" s="163">
        <v>8.6666666666666643</v>
      </c>
      <c r="J834" s="163">
        <v>10</v>
      </c>
      <c r="K834" s="163">
        <v>10.597192982456141</v>
      </c>
      <c r="L834" s="163">
        <v>0.59719298245614105</v>
      </c>
      <c r="M834" s="163">
        <v>12</v>
      </c>
      <c r="N834" s="163">
        <v>19.795321637426898</v>
      </c>
      <c r="O834" s="163">
        <v>7.7953216374268983</v>
      </c>
      <c r="P834" s="163"/>
      <c r="Q834" s="163">
        <v>13</v>
      </c>
      <c r="R834" s="163">
        <v>0</v>
      </c>
      <c r="S834" s="163">
        <v>0</v>
      </c>
      <c r="T834" s="163">
        <v>0</v>
      </c>
      <c r="U834" s="163">
        <v>0</v>
      </c>
      <c r="V834" s="163">
        <v>0</v>
      </c>
      <c r="W834" s="163">
        <v>0</v>
      </c>
      <c r="X834" s="163">
        <v>0</v>
      </c>
      <c r="Y834" s="163">
        <v>13</v>
      </c>
      <c r="Z834" s="163">
        <v>13</v>
      </c>
      <c r="AA834" s="163">
        <v>0</v>
      </c>
      <c r="AB834" s="163">
        <v>0</v>
      </c>
      <c r="AC834" s="163">
        <v>10</v>
      </c>
      <c r="AD834" s="163">
        <v>3</v>
      </c>
      <c r="AE834" s="165">
        <v>0.60955967289313195</v>
      </c>
      <c r="AF834" s="166">
        <v>0.60955967289313195</v>
      </c>
    </row>
    <row r="835" spans="1:32">
      <c r="A835" s="161">
        <v>18</v>
      </c>
      <c r="B835" s="162">
        <v>0.35416666666666669</v>
      </c>
      <c r="C835" s="163">
        <v>16.978152367012221</v>
      </c>
      <c r="D835" s="163">
        <v>868.91493343073739</v>
      </c>
      <c r="E835" s="164">
        <v>0.85860000000000003</v>
      </c>
      <c r="F835" s="164">
        <v>0.85860000000000003</v>
      </c>
      <c r="G835" s="163">
        <v>15</v>
      </c>
      <c r="H835" s="163">
        <v>25</v>
      </c>
      <c r="I835" s="163">
        <v>10</v>
      </c>
      <c r="J835" s="163">
        <v>12</v>
      </c>
      <c r="K835" s="163">
        <v>12.22753036437247</v>
      </c>
      <c r="L835" s="163">
        <v>0.22753036437246976</v>
      </c>
      <c r="M835" s="163">
        <v>14</v>
      </c>
      <c r="N835" s="163">
        <v>22.840755735492575</v>
      </c>
      <c r="O835" s="163">
        <v>8.840755735492575</v>
      </c>
      <c r="P835" s="163"/>
      <c r="Q835" s="163">
        <v>15</v>
      </c>
      <c r="R835" s="163">
        <v>0</v>
      </c>
      <c r="S835" s="163">
        <v>0</v>
      </c>
      <c r="T835" s="163">
        <v>0</v>
      </c>
      <c r="U835" s="163">
        <v>0</v>
      </c>
      <c r="V835" s="163">
        <v>0</v>
      </c>
      <c r="W835" s="163">
        <v>0</v>
      </c>
      <c r="X835" s="163">
        <v>0</v>
      </c>
      <c r="Y835" s="163">
        <v>15</v>
      </c>
      <c r="Z835" s="163">
        <v>15</v>
      </c>
      <c r="AA835" s="163">
        <v>0</v>
      </c>
      <c r="AB835" s="163">
        <v>0</v>
      </c>
      <c r="AC835" s="163">
        <v>10</v>
      </c>
      <c r="AD835" s="163">
        <v>5</v>
      </c>
      <c r="AE835" s="165">
        <v>0.67028026529489537</v>
      </c>
      <c r="AF835" s="166">
        <v>0.67028026529489537</v>
      </c>
    </row>
    <row r="836" spans="1:32">
      <c r="A836" s="161">
        <v>18</v>
      </c>
      <c r="B836" s="162">
        <v>0.375</v>
      </c>
      <c r="C836" s="163">
        <v>19.631430067836007</v>
      </c>
      <c r="D836" s="163">
        <v>861.40401340705455</v>
      </c>
      <c r="E836" s="164">
        <v>0.83869999999999989</v>
      </c>
      <c r="F836" s="164">
        <v>0.83869999999999989</v>
      </c>
      <c r="G836" s="163">
        <v>16</v>
      </c>
      <c r="H836" s="163">
        <v>28.333333333333336</v>
      </c>
      <c r="I836" s="163">
        <v>12.333333333333336</v>
      </c>
      <c r="J836" s="163">
        <v>13</v>
      </c>
      <c r="K836" s="163">
        <v>13.042699055330635</v>
      </c>
      <c r="L836" s="163">
        <v>4.2699055330635005E-2</v>
      </c>
      <c r="M836" s="163">
        <v>15</v>
      </c>
      <c r="N836" s="163">
        <v>25.886189833558255</v>
      </c>
      <c r="O836" s="163">
        <v>10.886189833558255</v>
      </c>
      <c r="P836" s="163"/>
      <c r="Q836" s="163">
        <v>17</v>
      </c>
      <c r="R836" s="163">
        <v>0</v>
      </c>
      <c r="S836" s="163">
        <v>0</v>
      </c>
      <c r="T836" s="163">
        <v>0</v>
      </c>
      <c r="U836" s="163">
        <v>0</v>
      </c>
      <c r="V836" s="163">
        <v>0</v>
      </c>
      <c r="W836" s="163">
        <v>0</v>
      </c>
      <c r="X836" s="163">
        <v>0</v>
      </c>
      <c r="Y836" s="163">
        <v>17</v>
      </c>
      <c r="Z836" s="163">
        <v>17</v>
      </c>
      <c r="AA836" s="163">
        <v>0</v>
      </c>
      <c r="AB836" s="163">
        <v>0</v>
      </c>
      <c r="AC836" s="163">
        <v>12</v>
      </c>
      <c r="AD836" s="163">
        <v>5</v>
      </c>
      <c r="AE836" s="165">
        <v>0.67793789535922244</v>
      </c>
      <c r="AF836" s="166">
        <v>0.72030901381917378</v>
      </c>
    </row>
    <row r="837" spans="1:32">
      <c r="A837" s="161">
        <v>18</v>
      </c>
      <c r="B837" s="162">
        <v>0.39583333333333331</v>
      </c>
      <c r="C837" s="163">
        <v>20.619113922091898</v>
      </c>
      <c r="D837" s="163">
        <v>905.52462026427304</v>
      </c>
      <c r="E837" s="164">
        <v>0.89029999999999998</v>
      </c>
      <c r="F837" s="164">
        <v>0.89029999999999998</v>
      </c>
      <c r="G837" s="163">
        <v>18</v>
      </c>
      <c r="H837" s="163">
        <v>31.666666666666664</v>
      </c>
      <c r="I837" s="163">
        <v>13.666666666666664</v>
      </c>
      <c r="J837" s="163">
        <v>14</v>
      </c>
      <c r="K837" s="163">
        <v>14.673036437246964</v>
      </c>
      <c r="L837" s="163">
        <v>0.67303643724696371</v>
      </c>
      <c r="M837" s="163">
        <v>16</v>
      </c>
      <c r="N837" s="163">
        <v>28.931623931623928</v>
      </c>
      <c r="O837" s="163">
        <v>12.931623931623928</v>
      </c>
      <c r="P837" s="163"/>
      <c r="Q837" s="163">
        <v>19</v>
      </c>
      <c r="R837" s="163">
        <v>0</v>
      </c>
      <c r="S837" s="163">
        <v>0</v>
      </c>
      <c r="T837" s="163">
        <v>0</v>
      </c>
      <c r="U837" s="163">
        <v>0</v>
      </c>
      <c r="V837" s="163">
        <v>0</v>
      </c>
      <c r="W837" s="163">
        <v>0</v>
      </c>
      <c r="X837" s="163">
        <v>0</v>
      </c>
      <c r="Y837" s="163">
        <v>19</v>
      </c>
      <c r="Z837" s="163">
        <v>19</v>
      </c>
      <c r="AA837" s="163">
        <v>0</v>
      </c>
      <c r="AB837" s="163">
        <v>0</v>
      </c>
      <c r="AC837" s="163">
        <v>14</v>
      </c>
      <c r="AD837" s="163">
        <v>5</v>
      </c>
      <c r="AE837" s="165">
        <v>0.66972523607251355</v>
      </c>
      <c r="AF837" s="166">
        <v>0.70693219363209769</v>
      </c>
    </row>
    <row r="838" spans="1:32">
      <c r="A838" s="161">
        <v>18</v>
      </c>
      <c r="B838" s="162">
        <v>0.41666666666666669</v>
      </c>
      <c r="C838" s="163">
        <v>22.677253745408034</v>
      </c>
      <c r="D838" s="163">
        <v>927.25515099404845</v>
      </c>
      <c r="E838" s="164">
        <v>0.7671</v>
      </c>
      <c r="F838" s="164">
        <v>0.7671</v>
      </c>
      <c r="G838" s="163">
        <v>20</v>
      </c>
      <c r="H838" s="163">
        <v>31.666666666666664</v>
      </c>
      <c r="I838" s="163">
        <v>11.666666666666664</v>
      </c>
      <c r="J838" s="163">
        <v>16</v>
      </c>
      <c r="K838" s="163">
        <v>16.303373819163294</v>
      </c>
      <c r="L838" s="163">
        <v>0.3033738191632942</v>
      </c>
      <c r="M838" s="163">
        <v>18</v>
      </c>
      <c r="N838" s="163">
        <v>28.931623931623928</v>
      </c>
      <c r="O838" s="163">
        <v>10.931623931623928</v>
      </c>
      <c r="P838" s="163"/>
      <c r="Q838" s="163">
        <v>19</v>
      </c>
      <c r="R838" s="163">
        <v>0</v>
      </c>
      <c r="S838" s="163">
        <v>0</v>
      </c>
      <c r="T838" s="163">
        <v>0</v>
      </c>
      <c r="U838" s="163">
        <v>0</v>
      </c>
      <c r="V838" s="163">
        <v>0</v>
      </c>
      <c r="W838" s="163">
        <v>0</v>
      </c>
      <c r="X838" s="163">
        <v>0</v>
      </c>
      <c r="Y838" s="163">
        <v>19</v>
      </c>
      <c r="Z838" s="163">
        <v>19</v>
      </c>
      <c r="AA838" s="163">
        <v>0</v>
      </c>
      <c r="AB838" s="163">
        <v>0</v>
      </c>
      <c r="AC838" s="163">
        <v>14</v>
      </c>
      <c r="AD838" s="163">
        <v>5</v>
      </c>
      <c r="AE838" s="165">
        <v>0.75425138648591916</v>
      </c>
      <c r="AF838" s="166">
        <v>0.71653881716162338</v>
      </c>
    </row>
    <row r="839" spans="1:32">
      <c r="A839" s="161">
        <v>18</v>
      </c>
      <c r="B839" s="162">
        <v>0.4375</v>
      </c>
      <c r="C839" s="163">
        <v>22.571913980312139</v>
      </c>
      <c r="D839" s="163">
        <v>881.77199493255898</v>
      </c>
      <c r="E839" s="164">
        <v>0.83449999999999991</v>
      </c>
      <c r="F839" s="164">
        <v>0.83449999999999991</v>
      </c>
      <c r="G839" s="163">
        <v>19</v>
      </c>
      <c r="H839" s="163">
        <v>31.666666666666664</v>
      </c>
      <c r="I839" s="163">
        <v>12.666666666666664</v>
      </c>
      <c r="J839" s="163">
        <v>15</v>
      </c>
      <c r="K839" s="163">
        <v>15.488205128205129</v>
      </c>
      <c r="L839" s="163">
        <v>0.48820512820512896</v>
      </c>
      <c r="M839" s="163">
        <v>17</v>
      </c>
      <c r="N839" s="163">
        <v>28.931623931623928</v>
      </c>
      <c r="O839" s="163">
        <v>11.931623931623928</v>
      </c>
      <c r="P839" s="163"/>
      <c r="Q839" s="163">
        <v>19</v>
      </c>
      <c r="R839" s="163">
        <v>0</v>
      </c>
      <c r="S839" s="163">
        <v>0</v>
      </c>
      <c r="T839" s="163">
        <v>0</v>
      </c>
      <c r="U839" s="163">
        <v>0</v>
      </c>
      <c r="V839" s="163">
        <v>0</v>
      </c>
      <c r="W839" s="163">
        <v>0</v>
      </c>
      <c r="X839" s="163">
        <v>0</v>
      </c>
      <c r="Y839" s="163">
        <v>19</v>
      </c>
      <c r="Z839" s="163">
        <v>19</v>
      </c>
      <c r="AA839" s="163">
        <v>0</v>
      </c>
      <c r="AB839" s="163">
        <v>0</v>
      </c>
      <c r="AC839" s="163">
        <v>14</v>
      </c>
      <c r="AD839" s="163">
        <v>5</v>
      </c>
      <c r="AE839" s="165">
        <v>0.71392253564404506</v>
      </c>
      <c r="AF839" s="166">
        <v>0.71392253564404506</v>
      </c>
    </row>
    <row r="840" spans="1:32">
      <c r="A840" s="161">
        <v>18</v>
      </c>
      <c r="B840" s="162">
        <v>0.45833333333333331</v>
      </c>
      <c r="C840" s="163">
        <v>24.792580249600043</v>
      </c>
      <c r="D840" s="163">
        <v>852.85871744716201</v>
      </c>
      <c r="E840" s="164">
        <v>0.76100000000000001</v>
      </c>
      <c r="F840" s="164">
        <v>0.76100000000000001</v>
      </c>
      <c r="G840" s="163">
        <v>20</v>
      </c>
      <c r="H840" s="163">
        <v>31.666666666666664</v>
      </c>
      <c r="I840" s="163">
        <v>11.666666666666664</v>
      </c>
      <c r="J840" s="163">
        <v>16</v>
      </c>
      <c r="K840" s="163">
        <v>16.303373819163294</v>
      </c>
      <c r="L840" s="163">
        <v>0.3033738191632942</v>
      </c>
      <c r="M840" s="163">
        <v>18</v>
      </c>
      <c r="N840" s="163">
        <v>28.931623931623928</v>
      </c>
      <c r="O840" s="163">
        <v>10.931623931623928</v>
      </c>
      <c r="P840" s="163"/>
      <c r="Q840" s="163">
        <v>19</v>
      </c>
      <c r="R840" s="163">
        <v>0</v>
      </c>
      <c r="S840" s="163">
        <v>0</v>
      </c>
      <c r="T840" s="163">
        <v>0</v>
      </c>
      <c r="U840" s="163">
        <v>0</v>
      </c>
      <c r="V840" s="163">
        <v>0</v>
      </c>
      <c r="W840" s="163">
        <v>0</v>
      </c>
      <c r="X840" s="163">
        <v>0</v>
      </c>
      <c r="Y840" s="163">
        <v>19</v>
      </c>
      <c r="Z840" s="163">
        <v>19</v>
      </c>
      <c r="AA840" s="163">
        <v>0</v>
      </c>
      <c r="AB840" s="163">
        <v>0</v>
      </c>
      <c r="AC840" s="163">
        <v>14</v>
      </c>
      <c r="AD840" s="163">
        <v>5</v>
      </c>
      <c r="AE840" s="165">
        <v>0.75844697514633819</v>
      </c>
      <c r="AF840" s="166">
        <v>0.72052462638902137</v>
      </c>
    </row>
    <row r="841" spans="1:32">
      <c r="A841" s="161">
        <v>18</v>
      </c>
      <c r="B841" s="162">
        <v>0.47916666666666669</v>
      </c>
      <c r="C841" s="163">
        <v>22.514177940787278</v>
      </c>
      <c r="D841" s="163">
        <v>806.58872337063667</v>
      </c>
      <c r="E841" s="164">
        <v>0.91039999999999999</v>
      </c>
      <c r="F841" s="164">
        <v>0.91039999999999999</v>
      </c>
      <c r="G841" s="163">
        <v>18</v>
      </c>
      <c r="H841" s="163">
        <v>31.666666666666664</v>
      </c>
      <c r="I841" s="163">
        <v>13.666666666666664</v>
      </c>
      <c r="J841" s="163">
        <v>14</v>
      </c>
      <c r="K841" s="163">
        <v>14.673036437246964</v>
      </c>
      <c r="L841" s="163">
        <v>0.67303643724696371</v>
      </c>
      <c r="M841" s="163">
        <v>16</v>
      </c>
      <c r="N841" s="163">
        <v>28.931623931623928</v>
      </c>
      <c r="O841" s="163">
        <v>12.931623931623928</v>
      </c>
      <c r="P841" s="163"/>
      <c r="Q841" s="163">
        <v>19</v>
      </c>
      <c r="R841" s="163">
        <v>0</v>
      </c>
      <c r="S841" s="163">
        <v>0</v>
      </c>
      <c r="T841" s="163">
        <v>0</v>
      </c>
      <c r="U841" s="163">
        <v>0</v>
      </c>
      <c r="V841" s="163">
        <v>0</v>
      </c>
      <c r="W841" s="163">
        <v>0</v>
      </c>
      <c r="X841" s="163">
        <v>0</v>
      </c>
      <c r="Y841" s="163">
        <v>19</v>
      </c>
      <c r="Z841" s="163">
        <v>19</v>
      </c>
      <c r="AA841" s="163">
        <v>0</v>
      </c>
      <c r="AB841" s="163">
        <v>0</v>
      </c>
      <c r="AC841" s="163">
        <v>14</v>
      </c>
      <c r="AD841" s="163">
        <v>5</v>
      </c>
      <c r="AE841" s="165">
        <v>0.65138033507435067</v>
      </c>
      <c r="AF841" s="166">
        <v>0.68756813146737017</v>
      </c>
    </row>
    <row r="842" spans="1:32">
      <c r="A842" s="161">
        <v>18</v>
      </c>
      <c r="B842" s="162">
        <v>0.5</v>
      </c>
      <c r="C842" s="163">
        <v>23.332472000465781</v>
      </c>
      <c r="D842" s="163">
        <v>830.63633575901576</v>
      </c>
      <c r="E842" s="164">
        <v>0.86119999999999985</v>
      </c>
      <c r="F842" s="164">
        <v>0.86119999999999985</v>
      </c>
      <c r="G842" s="163">
        <v>19</v>
      </c>
      <c r="H842" s="163">
        <v>31.666666666666664</v>
      </c>
      <c r="I842" s="163">
        <v>12.666666666666664</v>
      </c>
      <c r="J842" s="163">
        <v>15</v>
      </c>
      <c r="K842" s="163">
        <v>15.488205128205129</v>
      </c>
      <c r="L842" s="163">
        <v>0.48820512820512896</v>
      </c>
      <c r="M842" s="163">
        <v>17</v>
      </c>
      <c r="N842" s="163">
        <v>28.931623931623928</v>
      </c>
      <c r="O842" s="163">
        <v>11.931623931623928</v>
      </c>
      <c r="P842" s="163"/>
      <c r="Q842" s="163">
        <v>19</v>
      </c>
      <c r="R842" s="163">
        <v>0</v>
      </c>
      <c r="S842" s="163">
        <v>0</v>
      </c>
      <c r="T842" s="163">
        <v>0</v>
      </c>
      <c r="U842" s="163">
        <v>0</v>
      </c>
      <c r="V842" s="163">
        <v>0</v>
      </c>
      <c r="W842" s="163">
        <v>0</v>
      </c>
      <c r="X842" s="163">
        <v>0</v>
      </c>
      <c r="Y842" s="163">
        <v>19</v>
      </c>
      <c r="Z842" s="163">
        <v>19</v>
      </c>
      <c r="AA842" s="163">
        <v>0</v>
      </c>
      <c r="AB842" s="163">
        <v>0</v>
      </c>
      <c r="AC842" s="163">
        <v>14</v>
      </c>
      <c r="AD842" s="163">
        <v>5</v>
      </c>
      <c r="AE842" s="165">
        <v>0.69518130037378167</v>
      </c>
      <c r="AF842" s="166">
        <v>0.69518130037378167</v>
      </c>
    </row>
    <row r="843" spans="1:32">
      <c r="A843" s="161">
        <v>18</v>
      </c>
      <c r="B843" s="162">
        <v>0.52083333333333337</v>
      </c>
      <c r="C843" s="163">
        <v>21.329484273143912</v>
      </c>
      <c r="D843" s="163">
        <v>832.12423543123066</v>
      </c>
      <c r="E843" s="164">
        <v>0.83433333333333337</v>
      </c>
      <c r="F843" s="164">
        <v>0.83433333333333337</v>
      </c>
      <c r="G843" s="163">
        <v>18</v>
      </c>
      <c r="H843" s="163">
        <v>30.333333333333336</v>
      </c>
      <c r="I843" s="163">
        <v>12.333333333333336</v>
      </c>
      <c r="J843" s="163">
        <v>14</v>
      </c>
      <c r="K843" s="163">
        <v>14.673036437246964</v>
      </c>
      <c r="L843" s="163">
        <v>0.67303643724696371</v>
      </c>
      <c r="M843" s="163">
        <v>16</v>
      </c>
      <c r="N843" s="163">
        <v>27.713450292397663</v>
      </c>
      <c r="O843" s="163">
        <v>11.713450292397663</v>
      </c>
      <c r="P843" s="163"/>
      <c r="Q843" s="163">
        <v>19</v>
      </c>
      <c r="R843" s="163">
        <v>0</v>
      </c>
      <c r="S843" s="163">
        <v>0</v>
      </c>
      <c r="T843" s="163">
        <v>0</v>
      </c>
      <c r="U843" s="163">
        <v>0</v>
      </c>
      <c r="V843" s="163">
        <v>0</v>
      </c>
      <c r="W843" s="163">
        <v>0</v>
      </c>
      <c r="X843" s="163">
        <v>0</v>
      </c>
      <c r="Y843" s="163">
        <v>19</v>
      </c>
      <c r="Z843" s="163">
        <v>19</v>
      </c>
      <c r="AA843" s="163">
        <v>0</v>
      </c>
      <c r="AB843" s="163">
        <v>0</v>
      </c>
      <c r="AC843" s="163">
        <v>14</v>
      </c>
      <c r="AD843" s="163">
        <v>5</v>
      </c>
      <c r="AE843" s="165">
        <v>0.6366414760284097</v>
      </c>
      <c r="AF843" s="166">
        <v>0.6720104469188769</v>
      </c>
    </row>
    <row r="844" spans="1:32">
      <c r="A844" s="161">
        <v>18</v>
      </c>
      <c r="B844" s="162">
        <v>0.54166666666666663</v>
      </c>
      <c r="C844" s="163">
        <v>21.554792692196191</v>
      </c>
      <c r="D844" s="163">
        <v>790.87141844123107</v>
      </c>
      <c r="E844" s="164">
        <v>0.8327</v>
      </c>
      <c r="F844" s="164">
        <v>0.8327</v>
      </c>
      <c r="G844" s="163">
        <v>16</v>
      </c>
      <c r="H844" s="163">
        <v>28.333333333333336</v>
      </c>
      <c r="I844" s="163">
        <v>12.333333333333336</v>
      </c>
      <c r="J844" s="163">
        <v>13</v>
      </c>
      <c r="K844" s="163">
        <v>13.042699055330635</v>
      </c>
      <c r="L844" s="163">
        <v>4.2699055330635005E-2</v>
      </c>
      <c r="M844" s="163">
        <v>15</v>
      </c>
      <c r="N844" s="163">
        <v>25.886189833558255</v>
      </c>
      <c r="O844" s="163">
        <v>10.886189833558255</v>
      </c>
      <c r="P844" s="163"/>
      <c r="Q844" s="163">
        <v>17</v>
      </c>
      <c r="R844" s="163">
        <v>0</v>
      </c>
      <c r="S844" s="163">
        <v>0</v>
      </c>
      <c r="T844" s="163">
        <v>0</v>
      </c>
      <c r="U844" s="163">
        <v>0</v>
      </c>
      <c r="V844" s="163">
        <v>0</v>
      </c>
      <c r="W844" s="163">
        <v>0</v>
      </c>
      <c r="X844" s="163">
        <v>0</v>
      </c>
      <c r="Y844" s="163">
        <v>17</v>
      </c>
      <c r="Z844" s="163">
        <v>17</v>
      </c>
      <c r="AA844" s="163">
        <v>0</v>
      </c>
      <c r="AB844" s="163">
        <v>0</v>
      </c>
      <c r="AC844" s="163">
        <v>12</v>
      </c>
      <c r="AD844" s="163">
        <v>5</v>
      </c>
      <c r="AE844" s="165">
        <v>0.68340918846741083</v>
      </c>
      <c r="AF844" s="166">
        <v>0.72612226274662395</v>
      </c>
    </row>
    <row r="845" spans="1:32">
      <c r="A845" s="161">
        <v>18</v>
      </c>
      <c r="B845" s="162">
        <v>0.5625</v>
      </c>
      <c r="C845" s="163">
        <v>19.769430695297491</v>
      </c>
      <c r="D845" s="163">
        <v>784.56217106191298</v>
      </c>
      <c r="E845" s="164">
        <v>0.90410000000000001</v>
      </c>
      <c r="F845" s="164">
        <v>0.90410000000000001</v>
      </c>
      <c r="G845" s="163">
        <v>15</v>
      </c>
      <c r="H845" s="163">
        <v>28.333333333333336</v>
      </c>
      <c r="I845" s="163">
        <v>13.333333333333336</v>
      </c>
      <c r="J845" s="163">
        <v>12</v>
      </c>
      <c r="K845" s="163">
        <v>12.22753036437247</v>
      </c>
      <c r="L845" s="163">
        <v>0.22753036437246976</v>
      </c>
      <c r="M845" s="163">
        <v>14</v>
      </c>
      <c r="N845" s="163">
        <v>25.886189833558255</v>
      </c>
      <c r="O845" s="163">
        <v>11.886189833558255</v>
      </c>
      <c r="P845" s="163"/>
      <c r="Q845" s="163">
        <v>17</v>
      </c>
      <c r="R845" s="163">
        <v>0</v>
      </c>
      <c r="S845" s="163">
        <v>0</v>
      </c>
      <c r="T845" s="163">
        <v>0</v>
      </c>
      <c r="U845" s="163">
        <v>0</v>
      </c>
      <c r="V845" s="163">
        <v>0</v>
      </c>
      <c r="W845" s="163">
        <v>0</v>
      </c>
      <c r="X845" s="163">
        <v>0</v>
      </c>
      <c r="Y845" s="163">
        <v>17</v>
      </c>
      <c r="Z845" s="163">
        <v>17</v>
      </c>
      <c r="AA845" s="163">
        <v>0</v>
      </c>
      <c r="AB845" s="163">
        <v>0</v>
      </c>
      <c r="AC845" s="163">
        <v>12</v>
      </c>
      <c r="AD845" s="163">
        <v>5</v>
      </c>
      <c r="AE845" s="165">
        <v>0.62180270887450551</v>
      </c>
      <c r="AF845" s="166">
        <v>0.70470973672443948</v>
      </c>
    </row>
    <row r="846" spans="1:32">
      <c r="A846" s="161">
        <v>18</v>
      </c>
      <c r="B846" s="162">
        <v>0.58333333333333337</v>
      </c>
      <c r="C846" s="163">
        <v>21.270647641298581</v>
      </c>
      <c r="D846" s="163">
        <v>816.83281281364964</v>
      </c>
      <c r="E846" s="164">
        <v>0.81330000000000002</v>
      </c>
      <c r="F846" s="164">
        <v>0.81330000000000002</v>
      </c>
      <c r="G846" s="163">
        <v>18</v>
      </c>
      <c r="H846" s="163">
        <v>28.333333333333336</v>
      </c>
      <c r="I846" s="163">
        <v>10.333333333333336</v>
      </c>
      <c r="J846" s="163">
        <v>14</v>
      </c>
      <c r="K846" s="163">
        <v>14.673036437246964</v>
      </c>
      <c r="L846" s="163">
        <v>0.67303643724696371</v>
      </c>
      <c r="M846" s="163">
        <v>16</v>
      </c>
      <c r="N846" s="163">
        <v>25.886189833558255</v>
      </c>
      <c r="O846" s="163">
        <v>9.8861898335582552</v>
      </c>
      <c r="P846" s="163"/>
      <c r="Q846" s="163">
        <v>17</v>
      </c>
      <c r="R846" s="163">
        <v>0</v>
      </c>
      <c r="S846" s="163">
        <v>0</v>
      </c>
      <c r="T846" s="163">
        <v>0</v>
      </c>
      <c r="U846" s="163">
        <v>0</v>
      </c>
      <c r="V846" s="163">
        <v>0</v>
      </c>
      <c r="W846" s="163">
        <v>0</v>
      </c>
      <c r="X846" s="163">
        <v>0</v>
      </c>
      <c r="Y846" s="163">
        <v>17</v>
      </c>
      <c r="Z846" s="163">
        <v>17</v>
      </c>
      <c r="AA846" s="163">
        <v>0</v>
      </c>
      <c r="AB846" s="163">
        <v>0</v>
      </c>
      <c r="AC846" s="163">
        <v>12</v>
      </c>
      <c r="AD846" s="163">
        <v>5</v>
      </c>
      <c r="AE846" s="165">
        <v>0.6965382514229117</v>
      </c>
      <c r="AF846" s="166">
        <v>0.65784168189941661</v>
      </c>
    </row>
    <row r="847" spans="1:32">
      <c r="A847" s="161">
        <v>18</v>
      </c>
      <c r="B847" s="162">
        <v>0.60416666666666663</v>
      </c>
      <c r="C847" s="163">
        <v>19.483535238167409</v>
      </c>
      <c r="D847" s="163">
        <v>781.64312773424217</v>
      </c>
      <c r="E847" s="164">
        <v>0.95533333333333337</v>
      </c>
      <c r="F847" s="164">
        <v>0.95533333333333337</v>
      </c>
      <c r="G847" s="163">
        <v>15</v>
      </c>
      <c r="H847" s="163">
        <v>29.666666666666664</v>
      </c>
      <c r="I847" s="163">
        <v>14.666666666666664</v>
      </c>
      <c r="J847" s="163">
        <v>12</v>
      </c>
      <c r="K847" s="163">
        <v>12.22753036437247</v>
      </c>
      <c r="L847" s="163">
        <v>0.22753036437246976</v>
      </c>
      <c r="M847" s="163">
        <v>14</v>
      </c>
      <c r="N847" s="163">
        <v>27.104363472784524</v>
      </c>
      <c r="O847" s="163">
        <v>13.104363472784524</v>
      </c>
      <c r="P847" s="163"/>
      <c r="Q847" s="163">
        <v>17</v>
      </c>
      <c r="R847" s="163">
        <v>0</v>
      </c>
      <c r="S847" s="163">
        <v>0</v>
      </c>
      <c r="T847" s="163">
        <v>0</v>
      </c>
      <c r="U847" s="163">
        <v>0</v>
      </c>
      <c r="V847" s="163">
        <v>0</v>
      </c>
      <c r="W847" s="163">
        <v>0</v>
      </c>
      <c r="X847" s="163">
        <v>0</v>
      </c>
      <c r="Y847" s="163">
        <v>17</v>
      </c>
      <c r="Z847" s="163">
        <v>17</v>
      </c>
      <c r="AA847" s="163">
        <v>0</v>
      </c>
      <c r="AB847" s="163">
        <v>0</v>
      </c>
      <c r="AC847" s="163">
        <v>12</v>
      </c>
      <c r="AD847" s="163">
        <v>5</v>
      </c>
      <c r="AE847" s="165">
        <v>0.61053049036028806</v>
      </c>
      <c r="AF847" s="166">
        <v>0.69193455574165974</v>
      </c>
    </row>
    <row r="848" spans="1:32">
      <c r="A848" s="161">
        <v>18</v>
      </c>
      <c r="B848" s="162">
        <v>0.625</v>
      </c>
      <c r="C848" s="163">
        <v>19.951509212577463</v>
      </c>
      <c r="D848" s="163">
        <v>820.95038772702901</v>
      </c>
      <c r="E848" s="164">
        <v>0.80493333333333339</v>
      </c>
      <c r="F848" s="164">
        <v>0.80493333333333339</v>
      </c>
      <c r="G848" s="163">
        <v>16</v>
      </c>
      <c r="H848" s="163">
        <v>29</v>
      </c>
      <c r="I848" s="163">
        <v>13</v>
      </c>
      <c r="J848" s="163">
        <v>13</v>
      </c>
      <c r="K848" s="163">
        <v>13.042699055330635</v>
      </c>
      <c r="L848" s="163">
        <v>4.2699055330635005E-2</v>
      </c>
      <c r="M848" s="163">
        <v>15</v>
      </c>
      <c r="N848" s="163">
        <v>26.495276653171388</v>
      </c>
      <c r="O848" s="163">
        <v>11.495276653171388</v>
      </c>
      <c r="P848" s="163"/>
      <c r="Q848" s="163">
        <v>19</v>
      </c>
      <c r="R848" s="163">
        <v>0</v>
      </c>
      <c r="S848" s="163">
        <v>0</v>
      </c>
      <c r="T848" s="163">
        <v>0</v>
      </c>
      <c r="U848" s="163">
        <v>0</v>
      </c>
      <c r="V848" s="163">
        <v>0</v>
      </c>
      <c r="W848" s="163">
        <v>0</v>
      </c>
      <c r="X848" s="163">
        <v>0</v>
      </c>
      <c r="Y848" s="163">
        <v>19</v>
      </c>
      <c r="Z848" s="163">
        <v>19</v>
      </c>
      <c r="AA848" s="163">
        <v>0</v>
      </c>
      <c r="AB848" s="163">
        <v>0</v>
      </c>
      <c r="AC848" s="163">
        <v>12</v>
      </c>
      <c r="AD848" s="163">
        <v>7</v>
      </c>
      <c r="AE848" s="165">
        <v>0.58751514775363423</v>
      </c>
      <c r="AF848" s="166">
        <v>0.69767423795744077</v>
      </c>
    </row>
    <row r="849" spans="1:32">
      <c r="A849" s="161">
        <v>18</v>
      </c>
      <c r="B849" s="162">
        <v>0.64583333333333337</v>
      </c>
      <c r="C849" s="163">
        <v>18.544018493253446</v>
      </c>
      <c r="D849" s="163">
        <v>828.33741329389932</v>
      </c>
      <c r="E849" s="164">
        <v>0.7107</v>
      </c>
      <c r="F849" s="164">
        <v>0.7107</v>
      </c>
      <c r="G849" s="163">
        <v>15</v>
      </c>
      <c r="H849" s="163">
        <v>23.333333333333336</v>
      </c>
      <c r="I849" s="163">
        <v>8.3333333333333357</v>
      </c>
      <c r="J849" s="163">
        <v>12</v>
      </c>
      <c r="K849" s="163">
        <v>12.22753036437247</v>
      </c>
      <c r="L849" s="163">
        <v>0.22753036437246976</v>
      </c>
      <c r="M849" s="163">
        <v>14</v>
      </c>
      <c r="N849" s="163">
        <v>21.31803868645974</v>
      </c>
      <c r="O849" s="163">
        <v>7.3180386864597402</v>
      </c>
      <c r="P849" s="163"/>
      <c r="Q849" s="163">
        <v>14</v>
      </c>
      <c r="R849" s="163">
        <v>0</v>
      </c>
      <c r="S849" s="163">
        <v>0</v>
      </c>
      <c r="T849" s="163">
        <v>0</v>
      </c>
      <c r="U849" s="163">
        <v>0</v>
      </c>
      <c r="V849" s="163">
        <v>0</v>
      </c>
      <c r="W849" s="163">
        <v>0</v>
      </c>
      <c r="X849" s="163">
        <v>0</v>
      </c>
      <c r="Y849" s="163">
        <v>14</v>
      </c>
      <c r="Z849" s="163">
        <v>14</v>
      </c>
      <c r="AA849" s="163">
        <v>0</v>
      </c>
      <c r="AB849" s="163">
        <v>0</v>
      </c>
      <c r="AC849" s="163">
        <v>10</v>
      </c>
      <c r="AD849" s="163">
        <v>4</v>
      </c>
      <c r="AE849" s="165">
        <v>0.74776149418550419</v>
      </c>
      <c r="AF849" s="166">
        <v>0.69791072790647057</v>
      </c>
    </row>
    <row r="850" spans="1:32">
      <c r="A850" s="161">
        <v>18</v>
      </c>
      <c r="B850" s="162">
        <v>0.66666666666666663</v>
      </c>
      <c r="C850" s="163">
        <v>17.397339257809616</v>
      </c>
      <c r="D850" s="163">
        <v>836.70592812581913</v>
      </c>
      <c r="E850" s="164">
        <v>0.77780000000000005</v>
      </c>
      <c r="F850" s="164">
        <v>0.77780000000000005</v>
      </c>
      <c r="G850" s="163">
        <v>15</v>
      </c>
      <c r="H850" s="163">
        <v>23.333333333333336</v>
      </c>
      <c r="I850" s="163">
        <v>8.3333333333333357</v>
      </c>
      <c r="J850" s="163">
        <v>12</v>
      </c>
      <c r="K850" s="163">
        <v>12.22753036437247</v>
      </c>
      <c r="L850" s="163">
        <v>0.22753036437246976</v>
      </c>
      <c r="M850" s="163">
        <v>14</v>
      </c>
      <c r="N850" s="163">
        <v>21.31803868645974</v>
      </c>
      <c r="O850" s="163">
        <v>7.3180386864597402</v>
      </c>
      <c r="P850" s="163"/>
      <c r="Q850" s="163">
        <v>14</v>
      </c>
      <c r="R850" s="163">
        <v>0</v>
      </c>
      <c r="S850" s="163">
        <v>0</v>
      </c>
      <c r="T850" s="163">
        <v>0</v>
      </c>
      <c r="U850" s="163">
        <v>0</v>
      </c>
      <c r="V850" s="163">
        <v>0</v>
      </c>
      <c r="W850" s="163">
        <v>0</v>
      </c>
      <c r="X850" s="163">
        <v>0</v>
      </c>
      <c r="Y850" s="163">
        <v>14</v>
      </c>
      <c r="Z850" s="163">
        <v>14</v>
      </c>
      <c r="AA850" s="163">
        <v>0</v>
      </c>
      <c r="AB850" s="163">
        <v>0</v>
      </c>
      <c r="AC850" s="163">
        <v>10</v>
      </c>
      <c r="AD850" s="163">
        <v>4</v>
      </c>
      <c r="AE850" s="165">
        <v>0.70861060367818196</v>
      </c>
      <c r="AF850" s="166">
        <v>0.6613698967663032</v>
      </c>
    </row>
    <row r="851" spans="1:32">
      <c r="A851" s="161">
        <v>18</v>
      </c>
      <c r="B851" s="162">
        <v>0.6875</v>
      </c>
      <c r="C851" s="163">
        <v>17.553506790141142</v>
      </c>
      <c r="D851" s="163">
        <v>850.97488225104144</v>
      </c>
      <c r="E851" s="164">
        <v>0.52603333333333335</v>
      </c>
      <c r="F851" s="164">
        <v>0.52603333333333335</v>
      </c>
      <c r="G851" s="163">
        <v>15</v>
      </c>
      <c r="H851" s="163">
        <v>22</v>
      </c>
      <c r="I851" s="163">
        <v>7</v>
      </c>
      <c r="J851" s="163">
        <v>12</v>
      </c>
      <c r="K851" s="163">
        <v>12.22753036437247</v>
      </c>
      <c r="L851" s="163">
        <v>0.22753036437246976</v>
      </c>
      <c r="M851" s="163">
        <v>14</v>
      </c>
      <c r="N851" s="163">
        <v>20.099865047233468</v>
      </c>
      <c r="O851" s="163">
        <v>6.0998650472334681</v>
      </c>
      <c r="P851" s="163"/>
      <c r="Q851" s="163">
        <v>14</v>
      </c>
      <c r="R851" s="163">
        <v>0</v>
      </c>
      <c r="S851" s="163">
        <v>0</v>
      </c>
      <c r="T851" s="163">
        <v>0</v>
      </c>
      <c r="U851" s="163">
        <v>0</v>
      </c>
      <c r="V851" s="163">
        <v>0</v>
      </c>
      <c r="W851" s="163">
        <v>0</v>
      </c>
      <c r="X851" s="163">
        <v>0</v>
      </c>
      <c r="Y851" s="163">
        <v>14</v>
      </c>
      <c r="Z851" s="163">
        <v>14</v>
      </c>
      <c r="AA851" s="163">
        <v>0</v>
      </c>
      <c r="AB851" s="163">
        <v>0</v>
      </c>
      <c r="AC851" s="163">
        <v>10</v>
      </c>
      <c r="AD851" s="163">
        <v>4</v>
      </c>
      <c r="AE851" s="165">
        <v>0.72716438743744582</v>
      </c>
      <c r="AF851" s="166">
        <v>0.67868676160828267</v>
      </c>
    </row>
    <row r="852" spans="1:32">
      <c r="A852" s="161">
        <v>18</v>
      </c>
      <c r="B852" s="162">
        <v>0.70833333333333337</v>
      </c>
      <c r="C852" s="163">
        <v>17.561083920802865</v>
      </c>
      <c r="D852" s="163">
        <v>809.72804851612796</v>
      </c>
      <c r="E852" s="164">
        <v>0.51129999999999998</v>
      </c>
      <c r="F852" s="164">
        <v>0.51129999999999998</v>
      </c>
      <c r="G852" s="163">
        <v>15</v>
      </c>
      <c r="H852" s="163">
        <v>20</v>
      </c>
      <c r="I852" s="163">
        <v>5</v>
      </c>
      <c r="J852" s="163">
        <v>12</v>
      </c>
      <c r="K852" s="163">
        <v>12.22753036437247</v>
      </c>
      <c r="L852" s="163">
        <v>0.22753036437246976</v>
      </c>
      <c r="M852" s="163">
        <v>14</v>
      </c>
      <c r="N852" s="163">
        <v>18.27260458839406</v>
      </c>
      <c r="O852" s="163">
        <v>4.27260458839406</v>
      </c>
      <c r="P852" s="163"/>
      <c r="Q852" s="163">
        <v>12</v>
      </c>
      <c r="R852" s="163">
        <v>0</v>
      </c>
      <c r="S852" s="163">
        <v>0</v>
      </c>
      <c r="T852" s="163">
        <v>0</v>
      </c>
      <c r="U852" s="163">
        <v>0</v>
      </c>
      <c r="V852" s="163">
        <v>0</v>
      </c>
      <c r="W852" s="163">
        <v>0</v>
      </c>
      <c r="X852" s="163">
        <v>0</v>
      </c>
      <c r="Y852" s="163">
        <v>12</v>
      </c>
      <c r="Z852" s="163">
        <v>12</v>
      </c>
      <c r="AA852" s="163">
        <v>0</v>
      </c>
      <c r="AB852" s="163">
        <v>0</v>
      </c>
      <c r="AC852" s="163">
        <v>10</v>
      </c>
      <c r="AD852" s="163">
        <v>2</v>
      </c>
      <c r="AE852" s="165">
        <v>0.80758688870306938</v>
      </c>
      <c r="AF852" s="166">
        <v>0.64606951096245557</v>
      </c>
    </row>
    <row r="853" spans="1:32">
      <c r="A853" s="161">
        <v>18</v>
      </c>
      <c r="B853" s="162">
        <v>0.72916666666666663</v>
      </c>
      <c r="C853" s="163">
        <v>16.4244992230525</v>
      </c>
      <c r="D853" s="163">
        <v>865.02549782805602</v>
      </c>
      <c r="E853" s="164">
        <v>0.79610000000000003</v>
      </c>
      <c r="F853" s="164">
        <v>0.79610000000000003</v>
      </c>
      <c r="G853" s="163">
        <v>15</v>
      </c>
      <c r="H853" s="163">
        <v>22.666666666666664</v>
      </c>
      <c r="I853" s="163">
        <v>7.6666666666666643</v>
      </c>
      <c r="J853" s="163">
        <v>12</v>
      </c>
      <c r="K853" s="163">
        <v>12.22753036437247</v>
      </c>
      <c r="L853" s="163">
        <v>0.22753036437246976</v>
      </c>
      <c r="M853" s="163">
        <v>14</v>
      </c>
      <c r="N853" s="163">
        <v>20.708951866846601</v>
      </c>
      <c r="O853" s="163">
        <v>6.7089518668466006</v>
      </c>
      <c r="P853" s="163"/>
      <c r="Q853" s="163">
        <v>12</v>
      </c>
      <c r="R853" s="163">
        <v>0</v>
      </c>
      <c r="S853" s="163">
        <v>0</v>
      </c>
      <c r="T853" s="163">
        <v>0</v>
      </c>
      <c r="U853" s="163">
        <v>0</v>
      </c>
      <c r="V853" s="163">
        <v>0</v>
      </c>
      <c r="W853" s="163">
        <v>0</v>
      </c>
      <c r="X853" s="163">
        <v>0</v>
      </c>
      <c r="Y853" s="163">
        <v>12</v>
      </c>
      <c r="Z853" s="163">
        <v>12</v>
      </c>
      <c r="AA853" s="163">
        <v>0</v>
      </c>
      <c r="AB853" s="163">
        <v>0</v>
      </c>
      <c r="AC853" s="163">
        <v>10</v>
      </c>
      <c r="AD853" s="163">
        <v>2</v>
      </c>
      <c r="AE853" s="165">
        <v>0.80690016444789892</v>
      </c>
      <c r="AF853" s="166">
        <v>0.64552013155831922</v>
      </c>
    </row>
    <row r="854" spans="1:32">
      <c r="A854" s="161">
        <v>18</v>
      </c>
      <c r="B854" s="162">
        <v>0.75</v>
      </c>
      <c r="C854" s="163">
        <v>16.356851011437239</v>
      </c>
      <c r="D854" s="163">
        <v>810.05377017613023</v>
      </c>
      <c r="E854" s="164">
        <v>0.96230000000000004</v>
      </c>
      <c r="F854" s="164">
        <v>0.96230000000000004</v>
      </c>
      <c r="G854" s="163">
        <v>14</v>
      </c>
      <c r="H854" s="163">
        <v>26.666666666666664</v>
      </c>
      <c r="I854" s="163">
        <v>12.666666666666664</v>
      </c>
      <c r="J854" s="163">
        <v>11</v>
      </c>
      <c r="K854" s="163">
        <v>11.412361673414306</v>
      </c>
      <c r="L854" s="163">
        <v>0.4123616734143063</v>
      </c>
      <c r="M854" s="163">
        <v>13</v>
      </c>
      <c r="N854" s="163">
        <v>24.363472784525413</v>
      </c>
      <c r="O854" s="163">
        <v>11.363472784525413</v>
      </c>
      <c r="P854" s="163"/>
      <c r="Q854" s="163">
        <v>16</v>
      </c>
      <c r="R854" s="163">
        <v>0</v>
      </c>
      <c r="S854" s="163">
        <v>0</v>
      </c>
      <c r="T854" s="163">
        <v>0</v>
      </c>
      <c r="U854" s="163">
        <v>0</v>
      </c>
      <c r="V854" s="163">
        <v>0</v>
      </c>
      <c r="W854" s="163">
        <v>0</v>
      </c>
      <c r="X854" s="163">
        <v>0</v>
      </c>
      <c r="Y854" s="163">
        <v>16</v>
      </c>
      <c r="Z854" s="163">
        <v>16</v>
      </c>
      <c r="AA854" s="163">
        <v>0</v>
      </c>
      <c r="AB854" s="163">
        <v>0</v>
      </c>
      <c r="AC854" s="163">
        <v>14</v>
      </c>
      <c r="AD854" s="163">
        <v>2</v>
      </c>
      <c r="AE854" s="165">
        <v>0.56438253623792933</v>
      </c>
      <c r="AF854" s="166">
        <v>0.64500861284334776</v>
      </c>
    </row>
    <row r="855" spans="1:32">
      <c r="A855" s="161">
        <v>18</v>
      </c>
      <c r="B855" s="162">
        <v>0.77083333333333337</v>
      </c>
      <c r="C855" s="163">
        <v>15.8564934892979</v>
      </c>
      <c r="D855" s="163">
        <v>811.79741403685387</v>
      </c>
      <c r="E855" s="164">
        <v>0.96930000000000005</v>
      </c>
      <c r="F855" s="164">
        <v>0.96930000000000005</v>
      </c>
      <c r="G855" s="163">
        <v>14</v>
      </c>
      <c r="H855" s="163">
        <v>26.666666666666664</v>
      </c>
      <c r="I855" s="163">
        <v>12.666666666666664</v>
      </c>
      <c r="J855" s="163">
        <v>11</v>
      </c>
      <c r="K855" s="163">
        <v>11.412361673414306</v>
      </c>
      <c r="L855" s="163">
        <v>0.4123616734143063</v>
      </c>
      <c r="M855" s="163">
        <v>13</v>
      </c>
      <c r="N855" s="163">
        <v>24.363472784525413</v>
      </c>
      <c r="O855" s="163">
        <v>11.363472784525413</v>
      </c>
      <c r="P855" s="163"/>
      <c r="Q855" s="163">
        <v>16</v>
      </c>
      <c r="R855" s="163">
        <v>0</v>
      </c>
      <c r="S855" s="163">
        <v>0</v>
      </c>
      <c r="T855" s="163">
        <v>0</v>
      </c>
      <c r="U855" s="163">
        <v>0</v>
      </c>
      <c r="V855" s="163">
        <v>0</v>
      </c>
      <c r="W855" s="163">
        <v>0</v>
      </c>
      <c r="X855" s="163">
        <v>0</v>
      </c>
      <c r="Y855" s="163">
        <v>16</v>
      </c>
      <c r="Z855" s="163">
        <v>16</v>
      </c>
      <c r="AA855" s="163">
        <v>0</v>
      </c>
      <c r="AB855" s="163">
        <v>0</v>
      </c>
      <c r="AC855" s="163">
        <v>14</v>
      </c>
      <c r="AD855" s="163">
        <v>2</v>
      </c>
      <c r="AE855" s="165">
        <v>0.54829569808862488</v>
      </c>
      <c r="AF855" s="166">
        <v>0.62662365495842831</v>
      </c>
    </row>
    <row r="856" spans="1:32">
      <c r="A856" s="161">
        <v>18</v>
      </c>
      <c r="B856" s="162">
        <v>0.79166666666666663</v>
      </c>
      <c r="C856" s="163">
        <v>15.995984613865243</v>
      </c>
      <c r="D856" s="163">
        <v>784.30647951462845</v>
      </c>
      <c r="E856" s="164">
        <v>0.89990000000000003</v>
      </c>
      <c r="F856" s="164">
        <v>0.89990000000000003</v>
      </c>
      <c r="G856" s="163">
        <v>14</v>
      </c>
      <c r="H856" s="163">
        <v>23.333333333333336</v>
      </c>
      <c r="I856" s="163">
        <v>9.3333333333333357</v>
      </c>
      <c r="J856" s="163">
        <v>11</v>
      </c>
      <c r="K856" s="163">
        <v>11.412361673414306</v>
      </c>
      <c r="L856" s="163">
        <v>0.4123616734143063</v>
      </c>
      <c r="M856" s="163">
        <v>13</v>
      </c>
      <c r="N856" s="163">
        <v>21.31803868645974</v>
      </c>
      <c r="O856" s="163">
        <v>8.3180386864597402</v>
      </c>
      <c r="P856" s="163"/>
      <c r="Q856" s="163">
        <v>14</v>
      </c>
      <c r="R856" s="163">
        <v>0</v>
      </c>
      <c r="S856" s="163">
        <v>0</v>
      </c>
      <c r="T856" s="163">
        <v>0</v>
      </c>
      <c r="U856" s="163">
        <v>0</v>
      </c>
      <c r="V856" s="163">
        <v>0</v>
      </c>
      <c r="W856" s="163">
        <v>0</v>
      </c>
      <c r="X856" s="163">
        <v>0</v>
      </c>
      <c r="Y856" s="163">
        <v>14</v>
      </c>
      <c r="Z856" s="163">
        <v>14</v>
      </c>
      <c r="AA856" s="163">
        <v>0</v>
      </c>
      <c r="AB856" s="163">
        <v>0</v>
      </c>
      <c r="AC856" s="163">
        <v>12</v>
      </c>
      <c r="AD856" s="163">
        <v>2</v>
      </c>
      <c r="AE856" s="165">
        <v>0.61072929015681132</v>
      </c>
      <c r="AF856" s="166">
        <v>0.61072929015681132</v>
      </c>
    </row>
    <row r="857" spans="1:32">
      <c r="A857" s="161">
        <v>18</v>
      </c>
      <c r="B857" s="162">
        <v>0.8125</v>
      </c>
      <c r="C857" s="163">
        <v>13.670589567021491</v>
      </c>
      <c r="D857" s="163">
        <v>781.65862930853723</v>
      </c>
      <c r="E857" s="164">
        <v>0.96150000000000002</v>
      </c>
      <c r="F857" s="164">
        <v>0.96150000000000002</v>
      </c>
      <c r="G857" s="163">
        <v>12</v>
      </c>
      <c r="H857" s="163">
        <v>23.333333333333336</v>
      </c>
      <c r="I857" s="163">
        <v>11.333333333333336</v>
      </c>
      <c r="J857" s="163">
        <v>9</v>
      </c>
      <c r="K857" s="163">
        <v>9.7820242914979758</v>
      </c>
      <c r="L857" s="163">
        <v>0.78202429149797581</v>
      </c>
      <c r="M857" s="163">
        <v>11</v>
      </c>
      <c r="N857" s="163">
        <v>21.31803868645974</v>
      </c>
      <c r="O857" s="163">
        <v>10.31803868645974</v>
      </c>
      <c r="P857" s="163"/>
      <c r="Q857" s="163">
        <v>14</v>
      </c>
      <c r="R857" s="163">
        <v>0</v>
      </c>
      <c r="S857" s="163">
        <v>0</v>
      </c>
      <c r="T857" s="163">
        <v>0</v>
      </c>
      <c r="U857" s="163">
        <v>0</v>
      </c>
      <c r="V857" s="163">
        <v>0</v>
      </c>
      <c r="W857" s="163">
        <v>0</v>
      </c>
      <c r="X857" s="163">
        <v>0</v>
      </c>
      <c r="Y857" s="163">
        <v>14</v>
      </c>
      <c r="Z857" s="163">
        <v>14</v>
      </c>
      <c r="AA857" s="163">
        <v>0</v>
      </c>
      <c r="AB857" s="163">
        <v>0</v>
      </c>
      <c r="AC857" s="163">
        <v>12</v>
      </c>
      <c r="AD857" s="163">
        <v>2</v>
      </c>
      <c r="AE857" s="165">
        <v>0.52018322122924077</v>
      </c>
      <c r="AF857" s="166">
        <v>0.60688042476744763</v>
      </c>
    </row>
    <row r="858" spans="1:32">
      <c r="A858" s="161">
        <v>18</v>
      </c>
      <c r="B858" s="162">
        <v>0.83333333333333337</v>
      </c>
      <c r="C858" s="163">
        <v>13.89646570077409</v>
      </c>
      <c r="D858" s="163">
        <v>754.518603905943</v>
      </c>
      <c r="E858" s="164">
        <v>0.79626666666666657</v>
      </c>
      <c r="F858" s="164">
        <v>0.79626666666666657</v>
      </c>
      <c r="G858" s="163">
        <v>12</v>
      </c>
      <c r="H858" s="163">
        <v>20.666666666666668</v>
      </c>
      <c r="I858" s="163">
        <v>8.6666666666666679</v>
      </c>
      <c r="J858" s="163">
        <v>9</v>
      </c>
      <c r="K858" s="163">
        <v>9.7820242914979758</v>
      </c>
      <c r="L858" s="163">
        <v>0.78202429149797581</v>
      </c>
      <c r="M858" s="163">
        <v>11</v>
      </c>
      <c r="N858" s="163">
        <v>18.881691408007196</v>
      </c>
      <c r="O858" s="163">
        <v>7.881691408007196</v>
      </c>
      <c r="P858" s="163"/>
      <c r="Q858" s="163">
        <v>14</v>
      </c>
      <c r="R858" s="163">
        <v>0</v>
      </c>
      <c r="S858" s="163">
        <v>0</v>
      </c>
      <c r="T858" s="163">
        <v>0</v>
      </c>
      <c r="U858" s="163">
        <v>0</v>
      </c>
      <c r="V858" s="163">
        <v>0</v>
      </c>
      <c r="W858" s="163">
        <v>0</v>
      </c>
      <c r="X858" s="163">
        <v>0</v>
      </c>
      <c r="Y858" s="163">
        <v>14</v>
      </c>
      <c r="Z858" s="163">
        <v>14</v>
      </c>
      <c r="AA858" s="163">
        <v>0</v>
      </c>
      <c r="AB858" s="163">
        <v>0</v>
      </c>
      <c r="AC858" s="163">
        <v>12</v>
      </c>
      <c r="AD858" s="163">
        <v>2</v>
      </c>
      <c r="AE858" s="165">
        <v>0.51041835160009852</v>
      </c>
      <c r="AF858" s="166">
        <v>0.59548807686678151</v>
      </c>
    </row>
    <row r="859" spans="1:32">
      <c r="A859" s="161">
        <v>18</v>
      </c>
      <c r="B859" s="162">
        <v>0.85416666666666663</v>
      </c>
      <c r="C859" s="163">
        <v>12.778676716387499</v>
      </c>
      <c r="D859" s="163">
        <v>710.47982319678374</v>
      </c>
      <c r="E859" s="164">
        <v>0.61770000000000003</v>
      </c>
      <c r="F859" s="164">
        <v>0.61770000000000003</v>
      </c>
      <c r="G859" s="163">
        <v>10</v>
      </c>
      <c r="H859" s="163">
        <v>15.333333333333332</v>
      </c>
      <c r="I859" s="163">
        <v>5.3333333333333321</v>
      </c>
      <c r="J859" s="163">
        <v>8</v>
      </c>
      <c r="K859" s="163">
        <v>8.1516869095816471</v>
      </c>
      <c r="L859" s="163">
        <v>0.1516869095816471</v>
      </c>
      <c r="M859" s="163">
        <v>9</v>
      </c>
      <c r="N859" s="163">
        <v>14.008996851102113</v>
      </c>
      <c r="O859" s="163">
        <v>5.008996851102113</v>
      </c>
      <c r="P859" s="163"/>
      <c r="Q859" s="163">
        <v>10</v>
      </c>
      <c r="R859" s="163">
        <v>0</v>
      </c>
      <c r="S859" s="163">
        <v>0</v>
      </c>
      <c r="T859" s="163">
        <v>0</v>
      </c>
      <c r="U859" s="163">
        <v>0</v>
      </c>
      <c r="V859" s="163">
        <v>0</v>
      </c>
      <c r="W859" s="163">
        <v>0</v>
      </c>
      <c r="X859" s="163">
        <v>0</v>
      </c>
      <c r="Y859" s="163">
        <v>10</v>
      </c>
      <c r="Z859" s="163">
        <v>10</v>
      </c>
      <c r="AA859" s="163">
        <v>0</v>
      </c>
      <c r="AB859" s="163">
        <v>0</v>
      </c>
      <c r="AC859" s="163">
        <v>8</v>
      </c>
      <c r="AD859" s="163">
        <v>2</v>
      </c>
      <c r="AE859" s="165">
        <v>0.61875345385915903</v>
      </c>
      <c r="AF859" s="166">
        <v>0.61875345385915903</v>
      </c>
    </row>
    <row r="860" spans="1:32">
      <c r="A860" s="161">
        <v>18</v>
      </c>
      <c r="B860" s="162">
        <v>0.875</v>
      </c>
      <c r="C860" s="163">
        <v>11.543153402187386</v>
      </c>
      <c r="D860" s="163">
        <v>735.57819923833574</v>
      </c>
      <c r="E860" s="164">
        <v>0.59409999999999996</v>
      </c>
      <c r="F860" s="164">
        <v>0.59409999999999996</v>
      </c>
      <c r="G860" s="163">
        <v>10</v>
      </c>
      <c r="H860" s="163">
        <v>13.333333333333332</v>
      </c>
      <c r="I860" s="163">
        <v>3.3333333333333321</v>
      </c>
      <c r="J860" s="163">
        <v>8</v>
      </c>
      <c r="K860" s="163">
        <v>8.1516869095816471</v>
      </c>
      <c r="L860" s="163">
        <v>0.1516869095816471</v>
      </c>
      <c r="M860" s="163">
        <v>9</v>
      </c>
      <c r="N860" s="163">
        <v>12.181736392262707</v>
      </c>
      <c r="O860" s="163">
        <v>3.1817363922627067</v>
      </c>
      <c r="P860" s="163"/>
      <c r="Q860" s="163">
        <v>8</v>
      </c>
      <c r="R860" s="163">
        <v>0</v>
      </c>
      <c r="S860" s="163">
        <v>0</v>
      </c>
      <c r="T860" s="163">
        <v>0</v>
      </c>
      <c r="U860" s="163">
        <v>0</v>
      </c>
      <c r="V860" s="163">
        <v>0</v>
      </c>
      <c r="W860" s="163">
        <v>0</v>
      </c>
      <c r="X860" s="163">
        <v>0</v>
      </c>
      <c r="Y860" s="163">
        <v>8</v>
      </c>
      <c r="Z860" s="163">
        <v>8</v>
      </c>
      <c r="AA860" s="163">
        <v>0</v>
      </c>
      <c r="AB860" s="163">
        <v>0</v>
      </c>
      <c r="AC860" s="163">
        <v>6</v>
      </c>
      <c r="AD860" s="163">
        <v>2</v>
      </c>
      <c r="AE860" s="165">
        <v>0.72334141857978429</v>
      </c>
      <c r="AF860" s="166">
        <v>0.57867313486382743</v>
      </c>
    </row>
    <row r="861" spans="1:32">
      <c r="A861" s="161">
        <v>18</v>
      </c>
      <c r="B861" s="162">
        <v>0.89583333333333337</v>
      </c>
      <c r="C861" s="163">
        <v>9.1547617912591228</v>
      </c>
      <c r="D861" s="163">
        <v>681.18440279021615</v>
      </c>
      <c r="E861" s="164">
        <v>0.85670000000000002</v>
      </c>
      <c r="F861" s="164">
        <v>0.85670000000000002</v>
      </c>
      <c r="G861" s="163">
        <v>8</v>
      </c>
      <c r="H861" s="163">
        <v>13.333333333333332</v>
      </c>
      <c r="I861" s="163">
        <v>5.3333333333333321</v>
      </c>
      <c r="J861" s="163">
        <v>6</v>
      </c>
      <c r="K861" s="163">
        <v>6.5213495276653175</v>
      </c>
      <c r="L861" s="163">
        <v>0.5213495276653175</v>
      </c>
      <c r="M861" s="163">
        <v>7</v>
      </c>
      <c r="N861" s="163">
        <v>12.181736392262707</v>
      </c>
      <c r="O861" s="163">
        <v>5.1817363922627067</v>
      </c>
      <c r="P861" s="163"/>
      <c r="Q861" s="163">
        <v>8</v>
      </c>
      <c r="R861" s="163">
        <v>0</v>
      </c>
      <c r="S861" s="163">
        <v>0</v>
      </c>
      <c r="T861" s="163">
        <v>0</v>
      </c>
      <c r="U861" s="163">
        <v>0</v>
      </c>
      <c r="V861" s="163">
        <v>0</v>
      </c>
      <c r="W861" s="163">
        <v>0</v>
      </c>
      <c r="X861" s="163">
        <v>0</v>
      </c>
      <c r="Y861" s="163">
        <v>8</v>
      </c>
      <c r="Z861" s="163">
        <v>8</v>
      </c>
      <c r="AA861" s="163">
        <v>0</v>
      </c>
      <c r="AB861" s="163">
        <v>0</v>
      </c>
      <c r="AC861" s="163">
        <v>6</v>
      </c>
      <c r="AD861" s="163">
        <v>2</v>
      </c>
      <c r="AE861" s="165">
        <v>0.53125344659707519</v>
      </c>
      <c r="AF861" s="166">
        <v>0.53125344659707519</v>
      </c>
    </row>
    <row r="862" spans="1:32">
      <c r="A862" s="161">
        <v>18</v>
      </c>
      <c r="B862" s="162">
        <v>0.91666666666666663</v>
      </c>
      <c r="C862" s="163">
        <v>4.9553574733685952</v>
      </c>
      <c r="D862" s="163">
        <v>681.50940252042869</v>
      </c>
      <c r="E862" s="164">
        <v>0.91849999999999998</v>
      </c>
      <c r="F862" s="164">
        <v>0.91849999999999998</v>
      </c>
      <c r="G862" s="163">
        <v>5</v>
      </c>
      <c r="H862" s="163">
        <v>12</v>
      </c>
      <c r="I862" s="163">
        <v>7</v>
      </c>
      <c r="J862" s="163">
        <v>4</v>
      </c>
      <c r="K862" s="163">
        <v>4.0758434547908236</v>
      </c>
      <c r="L862" s="163">
        <v>7.584345479082355E-2</v>
      </c>
      <c r="M862" s="163">
        <v>5</v>
      </c>
      <c r="N862" s="163">
        <v>10.963562753036436</v>
      </c>
      <c r="O862" s="163">
        <v>5.9635627530364363</v>
      </c>
      <c r="P862" s="163"/>
      <c r="Q862" s="163">
        <v>8</v>
      </c>
      <c r="R862" s="163">
        <v>0</v>
      </c>
      <c r="S862" s="163">
        <v>0</v>
      </c>
      <c r="T862" s="163">
        <v>0</v>
      </c>
      <c r="U862" s="163">
        <v>0</v>
      </c>
      <c r="V862" s="163">
        <v>0</v>
      </c>
      <c r="W862" s="163">
        <v>0</v>
      </c>
      <c r="X862" s="163">
        <v>0</v>
      </c>
      <c r="Y862" s="163">
        <v>8</v>
      </c>
      <c r="Z862" s="163">
        <v>8</v>
      </c>
      <c r="AA862" s="163">
        <v>0</v>
      </c>
      <c r="AB862" s="163">
        <v>0</v>
      </c>
      <c r="AC862" s="163">
        <v>6</v>
      </c>
      <c r="AD862" s="163">
        <v>2</v>
      </c>
      <c r="AE862" s="165">
        <v>0.28769801034313103</v>
      </c>
      <c r="AF862" s="166">
        <v>0.46031681654900969</v>
      </c>
    </row>
    <row r="863" spans="1:32">
      <c r="A863" s="161">
        <v>18</v>
      </c>
      <c r="B863" s="162">
        <v>0.9375</v>
      </c>
      <c r="C863" s="163">
        <v>3.9554102600086978</v>
      </c>
      <c r="D863" s="163">
        <v>678.58791320394835</v>
      </c>
      <c r="E863" s="164">
        <v>0.89013333333333333</v>
      </c>
      <c r="F863" s="164">
        <v>0.89013333333333333</v>
      </c>
      <c r="G863" s="163">
        <v>5</v>
      </c>
      <c r="H863" s="163">
        <v>9.3333333333333339</v>
      </c>
      <c r="I863" s="163">
        <v>4.3333333333333339</v>
      </c>
      <c r="J863" s="163">
        <v>4</v>
      </c>
      <c r="K863" s="163">
        <v>4.0758434547908236</v>
      </c>
      <c r="L863" s="163">
        <v>7.584345479082355E-2</v>
      </c>
      <c r="M863" s="163">
        <v>5</v>
      </c>
      <c r="N863" s="163">
        <v>8.5272154745838957</v>
      </c>
      <c r="O863" s="163">
        <v>3.5272154745838957</v>
      </c>
      <c r="P863" s="163"/>
      <c r="Q863" s="163">
        <v>6</v>
      </c>
      <c r="R863" s="163">
        <v>0</v>
      </c>
      <c r="S863" s="163">
        <v>0</v>
      </c>
      <c r="T863" s="163">
        <v>0</v>
      </c>
      <c r="U863" s="163">
        <v>0</v>
      </c>
      <c r="V863" s="163">
        <v>0</v>
      </c>
      <c r="W863" s="163">
        <v>0</v>
      </c>
      <c r="X863" s="163">
        <v>0</v>
      </c>
      <c r="Y863" s="163">
        <v>6</v>
      </c>
      <c r="Z863" s="163">
        <v>6</v>
      </c>
      <c r="AA863" s="163">
        <v>0</v>
      </c>
      <c r="AB863" s="163">
        <v>0</v>
      </c>
      <c r="AC863" s="163">
        <v>4</v>
      </c>
      <c r="AD863" s="163">
        <v>2</v>
      </c>
      <c r="AE863" s="165">
        <v>0.30487822631714184</v>
      </c>
      <c r="AF863" s="166">
        <v>0.3658538715805702</v>
      </c>
    </row>
    <row r="864" spans="1:32">
      <c r="A864" s="161">
        <v>18</v>
      </c>
      <c r="B864" s="162">
        <v>0.95833333333333337</v>
      </c>
      <c r="C864" s="163">
        <v>2.9039170373673411</v>
      </c>
      <c r="D864" s="163">
        <v>644.91694155502842</v>
      </c>
      <c r="E864" s="164">
        <v>0.90990000000000004</v>
      </c>
      <c r="F864" s="164">
        <v>0.90990000000000004</v>
      </c>
      <c r="G864" s="163">
        <v>4</v>
      </c>
      <c r="H864" s="163">
        <v>6.6666666666666661</v>
      </c>
      <c r="I864" s="163">
        <v>2.6666666666666661</v>
      </c>
      <c r="J864" s="163">
        <v>3</v>
      </c>
      <c r="K864" s="163">
        <v>3.2606747638326588</v>
      </c>
      <c r="L864" s="163">
        <v>0.26067476383265875</v>
      </c>
      <c r="M864" s="163">
        <v>4</v>
      </c>
      <c r="N864" s="163">
        <v>6.0908681961313533</v>
      </c>
      <c r="O864" s="163">
        <v>2.0908681961313533</v>
      </c>
      <c r="P864" s="163"/>
      <c r="Q864" s="163">
        <v>4</v>
      </c>
      <c r="R864" s="163">
        <v>0</v>
      </c>
      <c r="S864" s="163">
        <v>0</v>
      </c>
      <c r="T864" s="163">
        <v>0</v>
      </c>
      <c r="U864" s="163">
        <v>0</v>
      </c>
      <c r="V864" s="163">
        <v>0</v>
      </c>
      <c r="W864" s="163">
        <v>0</v>
      </c>
      <c r="X864" s="163">
        <v>0</v>
      </c>
      <c r="Y864" s="163">
        <v>4</v>
      </c>
      <c r="Z864" s="163">
        <v>4</v>
      </c>
      <c r="AA864" s="163">
        <v>0</v>
      </c>
      <c r="AB864" s="163">
        <v>0</v>
      </c>
      <c r="AC864" s="163">
        <v>4</v>
      </c>
      <c r="AD864" s="163">
        <v>0</v>
      </c>
      <c r="AE864" s="165">
        <v>0.31908618612751621</v>
      </c>
      <c r="AF864" s="166">
        <v>0.31908618612751621</v>
      </c>
    </row>
    <row r="865" spans="1:32">
      <c r="A865" s="161">
        <v>18</v>
      </c>
      <c r="B865" s="162">
        <v>0.97916666666666663</v>
      </c>
      <c r="C865" s="163">
        <v>2.1633782785088904</v>
      </c>
      <c r="D865" s="163">
        <v>644.79499375136947</v>
      </c>
      <c r="E865" s="164">
        <v>0.95679999999999998</v>
      </c>
      <c r="F865" s="164">
        <v>0.95679999999999998</v>
      </c>
      <c r="G865" s="163">
        <v>4</v>
      </c>
      <c r="H865" s="163">
        <v>6.6666666666666661</v>
      </c>
      <c r="I865" s="163">
        <v>2.6666666666666661</v>
      </c>
      <c r="J865" s="163">
        <v>3</v>
      </c>
      <c r="K865" s="163">
        <v>3.2606747638326588</v>
      </c>
      <c r="L865" s="163">
        <v>0.26067476383265875</v>
      </c>
      <c r="M865" s="163">
        <v>4</v>
      </c>
      <c r="N865" s="163">
        <v>6.0908681961313533</v>
      </c>
      <c r="O865" s="163">
        <v>2.0908681961313533</v>
      </c>
      <c r="P865" s="163"/>
      <c r="Q865" s="163">
        <v>4</v>
      </c>
      <c r="R865" s="163">
        <v>0</v>
      </c>
      <c r="S865" s="163">
        <v>0</v>
      </c>
      <c r="T865" s="163">
        <v>0</v>
      </c>
      <c r="U865" s="163">
        <v>0</v>
      </c>
      <c r="V865" s="163">
        <v>0</v>
      </c>
      <c r="W865" s="163">
        <v>0</v>
      </c>
      <c r="X865" s="163">
        <v>0</v>
      </c>
      <c r="Y865" s="163">
        <v>4</v>
      </c>
      <c r="Z865" s="163">
        <v>4</v>
      </c>
      <c r="AA865" s="163">
        <v>0</v>
      </c>
      <c r="AB865" s="163">
        <v>0</v>
      </c>
      <c r="AC865" s="163">
        <v>4</v>
      </c>
      <c r="AD865" s="163">
        <v>0</v>
      </c>
      <c r="AE865" s="165">
        <v>0.23766987316135807</v>
      </c>
      <c r="AF865" s="166">
        <v>0.23766987316135807</v>
      </c>
    </row>
    <row r="866" spans="1:32">
      <c r="A866" s="161">
        <v>19</v>
      </c>
      <c r="B866" s="162">
        <v>0</v>
      </c>
      <c r="C866" s="163">
        <v>1.1177257641105116</v>
      </c>
      <c r="D866" s="163">
        <v>645.56690719473272</v>
      </c>
      <c r="E866" s="164">
        <v>0.99250000000000005</v>
      </c>
      <c r="F866" s="164">
        <v>0.99250000000000005</v>
      </c>
      <c r="G866" s="163">
        <v>3</v>
      </c>
      <c r="H866" s="163">
        <v>6.6666666666666661</v>
      </c>
      <c r="I866" s="163">
        <v>3.6666666666666661</v>
      </c>
      <c r="J866" s="163">
        <v>2</v>
      </c>
      <c r="K866" s="163">
        <v>2.445506072874494</v>
      </c>
      <c r="L866" s="163">
        <v>0.44550607287449395</v>
      </c>
      <c r="M866" s="163">
        <v>3</v>
      </c>
      <c r="N866" s="163">
        <v>6.0908681961313533</v>
      </c>
      <c r="O866" s="163">
        <v>3.0908681961313533</v>
      </c>
      <c r="P866" s="163"/>
      <c r="Q866" s="163">
        <v>4</v>
      </c>
      <c r="R866" s="163">
        <v>0</v>
      </c>
      <c r="S866" s="163">
        <v>0</v>
      </c>
      <c r="T866" s="163">
        <v>0</v>
      </c>
      <c r="U866" s="163">
        <v>0</v>
      </c>
      <c r="V866" s="163">
        <v>0</v>
      </c>
      <c r="W866" s="163">
        <v>0</v>
      </c>
      <c r="X866" s="163">
        <v>0</v>
      </c>
      <c r="Y866" s="163">
        <v>4</v>
      </c>
      <c r="Z866" s="163">
        <v>4</v>
      </c>
      <c r="AA866" s="163">
        <v>0</v>
      </c>
      <c r="AB866" s="163">
        <v>0</v>
      </c>
      <c r="AC866" s="163">
        <v>4</v>
      </c>
      <c r="AD866" s="163">
        <v>0</v>
      </c>
      <c r="AE866" s="165">
        <v>0.12294094131686023</v>
      </c>
      <c r="AF866" s="166">
        <v>0.16392125508914696</v>
      </c>
    </row>
    <row r="867" spans="1:32">
      <c r="A867" s="161">
        <v>19</v>
      </c>
      <c r="B867" s="162">
        <v>2.0833333333333332E-2</v>
      </c>
      <c r="C867" s="163">
        <v>0.78091542204160391</v>
      </c>
      <c r="D867" s="163">
        <v>645.42344818534457</v>
      </c>
      <c r="E867" s="164">
        <v>0.99729999999999996</v>
      </c>
      <c r="F867" s="164">
        <v>0.99729999999999996</v>
      </c>
      <c r="G867" s="163">
        <v>3</v>
      </c>
      <c r="H867" s="163">
        <v>6.6666666666666661</v>
      </c>
      <c r="I867" s="163">
        <v>3.6666666666666661</v>
      </c>
      <c r="J867" s="163">
        <v>2</v>
      </c>
      <c r="K867" s="163">
        <v>2.445506072874494</v>
      </c>
      <c r="L867" s="163">
        <v>0.44550607287449395</v>
      </c>
      <c r="M867" s="163">
        <v>3</v>
      </c>
      <c r="N867" s="163">
        <v>6.0908681961313533</v>
      </c>
      <c r="O867" s="163">
        <v>3.0908681961313533</v>
      </c>
      <c r="P867" s="163"/>
      <c r="Q867" s="163">
        <v>4</v>
      </c>
      <c r="R867" s="163">
        <v>0</v>
      </c>
      <c r="S867" s="163">
        <v>0</v>
      </c>
      <c r="T867" s="163">
        <v>0</v>
      </c>
      <c r="U867" s="163">
        <v>0</v>
      </c>
      <c r="V867" s="163">
        <v>0</v>
      </c>
      <c r="W867" s="163">
        <v>0</v>
      </c>
      <c r="X867" s="163">
        <v>0</v>
      </c>
      <c r="Y867" s="163">
        <v>4</v>
      </c>
      <c r="Z867" s="163">
        <v>4</v>
      </c>
      <c r="AA867" s="163">
        <v>0</v>
      </c>
      <c r="AB867" s="163">
        <v>0</v>
      </c>
      <c r="AC867" s="163">
        <v>4</v>
      </c>
      <c r="AD867" s="163">
        <v>0</v>
      </c>
      <c r="AE867" s="165">
        <v>8.5875395762625942E-2</v>
      </c>
      <c r="AF867" s="166">
        <v>0.11450052768350126</v>
      </c>
    </row>
    <row r="868" spans="1:32">
      <c r="A868" s="161">
        <v>19</v>
      </c>
      <c r="B868" s="162">
        <v>4.1666666666666664E-2</v>
      </c>
      <c r="C868" s="163">
        <v>0.59552655804168797</v>
      </c>
      <c r="D868" s="163">
        <v>611.67297610772346</v>
      </c>
      <c r="E868" s="164">
        <v>0.99890000000000001</v>
      </c>
      <c r="F868" s="164">
        <v>0.99890000000000001</v>
      </c>
      <c r="G868" s="163">
        <v>2</v>
      </c>
      <c r="H868" s="163">
        <v>6.6666666666666661</v>
      </c>
      <c r="I868" s="163">
        <v>4.6666666666666661</v>
      </c>
      <c r="J868" s="163">
        <v>1</v>
      </c>
      <c r="K868" s="163">
        <v>1.6303373819163294</v>
      </c>
      <c r="L868" s="163">
        <v>0.63033738191632938</v>
      </c>
      <c r="M868" s="163">
        <v>2</v>
      </c>
      <c r="N868" s="163">
        <v>6.0908681961313533</v>
      </c>
      <c r="O868" s="163">
        <v>4.0908681961313533</v>
      </c>
      <c r="P868" s="163"/>
      <c r="Q868" s="163">
        <v>4</v>
      </c>
      <c r="R868" s="163">
        <v>0</v>
      </c>
      <c r="S868" s="163">
        <v>0</v>
      </c>
      <c r="T868" s="163">
        <v>0</v>
      </c>
      <c r="U868" s="163">
        <v>0</v>
      </c>
      <c r="V868" s="163">
        <v>0</v>
      </c>
      <c r="W868" s="163">
        <v>0</v>
      </c>
      <c r="X868" s="163">
        <v>0</v>
      </c>
      <c r="Y868" s="163">
        <v>4</v>
      </c>
      <c r="Z868" s="163">
        <v>4</v>
      </c>
      <c r="AA868" s="163">
        <v>0</v>
      </c>
      <c r="AB868" s="163">
        <v>0</v>
      </c>
      <c r="AC868" s="163">
        <v>4</v>
      </c>
      <c r="AD868" s="163">
        <v>0</v>
      </c>
      <c r="AE868" s="165">
        <v>6.2064096900875353E-2</v>
      </c>
      <c r="AF868" s="166">
        <v>0.12412819380175071</v>
      </c>
    </row>
    <row r="869" spans="1:32">
      <c r="A869" s="161">
        <v>19</v>
      </c>
      <c r="B869" s="162">
        <v>6.25E-2</v>
      </c>
      <c r="C869" s="163">
        <v>0.47219038353777193</v>
      </c>
      <c r="D869" s="163">
        <v>595.59487210690111</v>
      </c>
      <c r="E869" s="164">
        <v>0.99949999999999994</v>
      </c>
      <c r="F869" s="164">
        <v>0.99949999999999994</v>
      </c>
      <c r="G869" s="163">
        <v>2</v>
      </c>
      <c r="H869" s="163">
        <v>6.6666666666666661</v>
      </c>
      <c r="I869" s="163">
        <v>4.6666666666666661</v>
      </c>
      <c r="J869" s="163">
        <v>1</v>
      </c>
      <c r="K869" s="163">
        <v>1.6303373819163294</v>
      </c>
      <c r="L869" s="163">
        <v>0.63033738191632938</v>
      </c>
      <c r="M869" s="163">
        <v>2</v>
      </c>
      <c r="N869" s="163">
        <v>6.0908681961313533</v>
      </c>
      <c r="O869" s="163">
        <v>4.0908681961313533</v>
      </c>
      <c r="P869" s="163"/>
      <c r="Q869" s="163">
        <v>4</v>
      </c>
      <c r="R869" s="163">
        <v>0</v>
      </c>
      <c r="S869" s="163">
        <v>0</v>
      </c>
      <c r="T869" s="163">
        <v>0</v>
      </c>
      <c r="U869" s="163">
        <v>0</v>
      </c>
      <c r="V869" s="163">
        <v>0</v>
      </c>
      <c r="W869" s="163">
        <v>0</v>
      </c>
      <c r="X869" s="163">
        <v>0</v>
      </c>
      <c r="Y869" s="163">
        <v>4</v>
      </c>
      <c r="Z869" s="163">
        <v>4</v>
      </c>
      <c r="AA869" s="163">
        <v>0</v>
      </c>
      <c r="AB869" s="163">
        <v>0</v>
      </c>
      <c r="AC869" s="163">
        <v>4</v>
      </c>
      <c r="AD869" s="163">
        <v>0</v>
      </c>
      <c r="AE869" s="165">
        <v>4.791683239799386E-2</v>
      </c>
      <c r="AF869" s="166">
        <v>9.5833664795987719E-2</v>
      </c>
    </row>
    <row r="870" spans="1:32">
      <c r="A870" s="161">
        <v>19</v>
      </c>
      <c r="B870" s="162">
        <v>8.3333333333333329E-2</v>
      </c>
      <c r="C870" s="163">
        <v>0.3808625320184329</v>
      </c>
      <c r="D870" s="163">
        <v>613.3804466892409</v>
      </c>
      <c r="E870" s="164">
        <v>0.99970000000000014</v>
      </c>
      <c r="F870" s="164">
        <v>0.99970000000000014</v>
      </c>
      <c r="G870" s="163">
        <v>2</v>
      </c>
      <c r="H870" s="163">
        <v>6.6666666666666661</v>
      </c>
      <c r="I870" s="163">
        <v>4.6666666666666661</v>
      </c>
      <c r="J870" s="163">
        <v>1</v>
      </c>
      <c r="K870" s="163">
        <v>1.6303373819163294</v>
      </c>
      <c r="L870" s="163">
        <v>0.63033738191632938</v>
      </c>
      <c r="M870" s="163">
        <v>2</v>
      </c>
      <c r="N870" s="163">
        <v>6.0908681961313533</v>
      </c>
      <c r="O870" s="163">
        <v>4.0908681961313533</v>
      </c>
      <c r="P870" s="163"/>
      <c r="Q870" s="163">
        <v>4</v>
      </c>
      <c r="R870" s="163">
        <v>0</v>
      </c>
      <c r="S870" s="163">
        <v>0</v>
      </c>
      <c r="T870" s="163">
        <v>0</v>
      </c>
      <c r="U870" s="163">
        <v>0</v>
      </c>
      <c r="V870" s="163">
        <v>0</v>
      </c>
      <c r="W870" s="163">
        <v>0</v>
      </c>
      <c r="X870" s="163">
        <v>0</v>
      </c>
      <c r="Y870" s="163">
        <v>4</v>
      </c>
      <c r="Z870" s="163">
        <v>4</v>
      </c>
      <c r="AA870" s="163">
        <v>0</v>
      </c>
      <c r="AB870" s="163">
        <v>0</v>
      </c>
      <c r="AC870" s="163">
        <v>4</v>
      </c>
      <c r="AD870" s="163">
        <v>0</v>
      </c>
      <c r="AE870" s="165">
        <v>3.9803218477608718E-2</v>
      </c>
      <c r="AF870" s="166">
        <v>7.9606436955217436E-2</v>
      </c>
    </row>
    <row r="871" spans="1:32">
      <c r="A871" s="161">
        <v>19</v>
      </c>
      <c r="B871" s="162">
        <v>0.10416666666666667</v>
      </c>
      <c r="C871" s="163">
        <v>0.3047386200243215</v>
      </c>
      <c r="D871" s="163">
        <v>584.14352526222171</v>
      </c>
      <c r="E871" s="164">
        <v>0.99980000000000002</v>
      </c>
      <c r="F871" s="164">
        <v>0.99980000000000002</v>
      </c>
      <c r="G871" s="163">
        <v>2</v>
      </c>
      <c r="H871" s="163">
        <v>6.6666666666666661</v>
      </c>
      <c r="I871" s="163">
        <v>4.6666666666666661</v>
      </c>
      <c r="J871" s="163">
        <v>1</v>
      </c>
      <c r="K871" s="163">
        <v>1.6303373819163294</v>
      </c>
      <c r="L871" s="163">
        <v>0.63033738191632938</v>
      </c>
      <c r="M871" s="163">
        <v>2</v>
      </c>
      <c r="N871" s="163">
        <v>6.0908681961313533</v>
      </c>
      <c r="O871" s="163">
        <v>4.0908681961313533</v>
      </c>
      <c r="P871" s="163"/>
      <c r="Q871" s="163">
        <v>4</v>
      </c>
      <c r="R871" s="163">
        <v>0</v>
      </c>
      <c r="S871" s="163">
        <v>0</v>
      </c>
      <c r="T871" s="163">
        <v>0</v>
      </c>
      <c r="U871" s="163">
        <v>0</v>
      </c>
      <c r="V871" s="163">
        <v>0</v>
      </c>
      <c r="W871" s="163">
        <v>0</v>
      </c>
      <c r="X871" s="163">
        <v>0</v>
      </c>
      <c r="Y871" s="163">
        <v>4</v>
      </c>
      <c r="Z871" s="163">
        <v>4</v>
      </c>
      <c r="AA871" s="163">
        <v>0</v>
      </c>
      <c r="AB871" s="163">
        <v>0</v>
      </c>
      <c r="AC871" s="163">
        <v>4</v>
      </c>
      <c r="AD871" s="163">
        <v>0</v>
      </c>
      <c r="AE871" s="165">
        <v>3.0329627501755062E-2</v>
      </c>
      <c r="AF871" s="166">
        <v>6.0659255003510125E-2</v>
      </c>
    </row>
    <row r="872" spans="1:32">
      <c r="A872" s="161">
        <v>19</v>
      </c>
      <c r="B872" s="162">
        <v>0.125</v>
      </c>
      <c r="C872" s="163">
        <v>0.27459875072077511</v>
      </c>
      <c r="D872" s="163">
        <v>584.04110562763708</v>
      </c>
      <c r="E872" s="164">
        <v>0.9998999999999999</v>
      </c>
      <c r="F872" s="164">
        <v>0.9998999999999999</v>
      </c>
      <c r="G872" s="163">
        <v>2</v>
      </c>
      <c r="H872" s="163">
        <v>6.6666666666666661</v>
      </c>
      <c r="I872" s="163">
        <v>4.6666666666666661</v>
      </c>
      <c r="J872" s="163">
        <v>1</v>
      </c>
      <c r="K872" s="163">
        <v>1.6303373819163294</v>
      </c>
      <c r="L872" s="163">
        <v>0.63033738191632938</v>
      </c>
      <c r="M872" s="163">
        <v>2</v>
      </c>
      <c r="N872" s="163">
        <v>6.0908681961313533</v>
      </c>
      <c r="O872" s="163">
        <v>4.0908681961313533</v>
      </c>
      <c r="P872" s="163"/>
      <c r="Q872" s="163">
        <v>4</v>
      </c>
      <c r="R872" s="163">
        <v>0</v>
      </c>
      <c r="S872" s="163">
        <v>0</v>
      </c>
      <c r="T872" s="163">
        <v>0</v>
      </c>
      <c r="U872" s="163">
        <v>0</v>
      </c>
      <c r="V872" s="163">
        <v>0</v>
      </c>
      <c r="W872" s="163">
        <v>0</v>
      </c>
      <c r="X872" s="163">
        <v>0</v>
      </c>
      <c r="Y872" s="163">
        <v>4</v>
      </c>
      <c r="Z872" s="163">
        <v>4</v>
      </c>
      <c r="AA872" s="163">
        <v>0</v>
      </c>
      <c r="AB872" s="163">
        <v>0</v>
      </c>
      <c r="AC872" s="163">
        <v>4</v>
      </c>
      <c r="AD872" s="163">
        <v>0</v>
      </c>
      <c r="AE872" s="165">
        <v>2.7325114106548927E-2</v>
      </c>
      <c r="AF872" s="166">
        <v>5.4650228213097854E-2</v>
      </c>
    </row>
    <row r="873" spans="1:32">
      <c r="A873" s="161">
        <v>19</v>
      </c>
      <c r="B873" s="162">
        <v>0.14583333333333334</v>
      </c>
      <c r="C873" s="163">
        <v>0.27674881925136907</v>
      </c>
      <c r="D873" s="163">
        <v>618.44685588971095</v>
      </c>
      <c r="E873" s="164">
        <v>0.9998999999999999</v>
      </c>
      <c r="F873" s="164">
        <v>0.9998999999999999</v>
      </c>
      <c r="G873" s="163">
        <v>2</v>
      </c>
      <c r="H873" s="163">
        <v>6.6666666666666661</v>
      </c>
      <c r="I873" s="163">
        <v>4.6666666666666661</v>
      </c>
      <c r="J873" s="163">
        <v>1</v>
      </c>
      <c r="K873" s="163">
        <v>1.6303373819163294</v>
      </c>
      <c r="L873" s="163">
        <v>0.63033738191632938</v>
      </c>
      <c r="M873" s="163">
        <v>2</v>
      </c>
      <c r="N873" s="163">
        <v>6.0908681961313533</v>
      </c>
      <c r="O873" s="163">
        <v>4.0908681961313533</v>
      </c>
      <c r="P873" s="163"/>
      <c r="Q873" s="163">
        <v>4</v>
      </c>
      <c r="R873" s="163">
        <v>0</v>
      </c>
      <c r="S873" s="163">
        <v>0</v>
      </c>
      <c r="T873" s="163">
        <v>0</v>
      </c>
      <c r="U873" s="163">
        <v>0</v>
      </c>
      <c r="V873" s="163">
        <v>0</v>
      </c>
      <c r="W873" s="163">
        <v>0</v>
      </c>
      <c r="X873" s="163">
        <v>0</v>
      </c>
      <c r="Y873" s="163">
        <v>4</v>
      </c>
      <c r="Z873" s="163">
        <v>4</v>
      </c>
      <c r="AA873" s="163">
        <v>0</v>
      </c>
      <c r="AB873" s="163">
        <v>0</v>
      </c>
      <c r="AC873" s="163">
        <v>4</v>
      </c>
      <c r="AD873" s="163">
        <v>0</v>
      </c>
      <c r="AE873" s="165">
        <v>2.9161386920353079E-2</v>
      </c>
      <c r="AF873" s="166">
        <v>5.8322773840706159E-2</v>
      </c>
    </row>
    <row r="874" spans="1:32">
      <c r="A874" s="161">
        <v>19</v>
      </c>
      <c r="B874" s="162">
        <v>0.16666666666666666</v>
      </c>
      <c r="C874" s="163">
        <v>0.31008685540262615</v>
      </c>
      <c r="D874" s="163">
        <v>618.47305131317739</v>
      </c>
      <c r="E874" s="164">
        <v>0.99980000000000002</v>
      </c>
      <c r="F874" s="164">
        <v>0.99980000000000002</v>
      </c>
      <c r="G874" s="163">
        <v>2</v>
      </c>
      <c r="H874" s="163">
        <v>6.6666666666666661</v>
      </c>
      <c r="I874" s="163">
        <v>4.6666666666666661</v>
      </c>
      <c r="J874" s="163">
        <v>1</v>
      </c>
      <c r="K874" s="163">
        <v>1.6303373819163294</v>
      </c>
      <c r="L874" s="163">
        <v>0.63033738191632938</v>
      </c>
      <c r="M874" s="163">
        <v>2</v>
      </c>
      <c r="N874" s="163">
        <v>6.0908681961313533</v>
      </c>
      <c r="O874" s="163">
        <v>4.0908681961313533</v>
      </c>
      <c r="P874" s="163"/>
      <c r="Q874" s="163">
        <v>4</v>
      </c>
      <c r="R874" s="163">
        <v>0</v>
      </c>
      <c r="S874" s="163">
        <v>0</v>
      </c>
      <c r="T874" s="163">
        <v>0</v>
      </c>
      <c r="U874" s="163">
        <v>0</v>
      </c>
      <c r="V874" s="163">
        <v>0</v>
      </c>
      <c r="W874" s="163">
        <v>0</v>
      </c>
      <c r="X874" s="163">
        <v>0</v>
      </c>
      <c r="Y874" s="163">
        <v>4</v>
      </c>
      <c r="Z874" s="163">
        <v>4</v>
      </c>
      <c r="AA874" s="163">
        <v>0</v>
      </c>
      <c r="AB874" s="163">
        <v>0</v>
      </c>
      <c r="AC874" s="163">
        <v>4</v>
      </c>
      <c r="AD874" s="163">
        <v>0</v>
      </c>
      <c r="AE874" s="165">
        <v>3.2675643595170056E-2</v>
      </c>
      <c r="AF874" s="166">
        <v>6.5351287190340113E-2</v>
      </c>
    </row>
    <row r="875" spans="1:32">
      <c r="A875" s="161">
        <v>19</v>
      </c>
      <c r="B875" s="162">
        <v>0.1875</v>
      </c>
      <c r="C875" s="163">
        <v>0.4558409374705743</v>
      </c>
      <c r="D875" s="163">
        <v>657.12792915966168</v>
      </c>
      <c r="E875" s="164">
        <v>0.99939999999999996</v>
      </c>
      <c r="F875" s="164">
        <v>0.99939999999999996</v>
      </c>
      <c r="G875" s="163">
        <v>2</v>
      </c>
      <c r="H875" s="163">
        <v>6.6666666666666661</v>
      </c>
      <c r="I875" s="163">
        <v>4.6666666666666661</v>
      </c>
      <c r="J875" s="163">
        <v>1</v>
      </c>
      <c r="K875" s="163">
        <v>1.6303373819163294</v>
      </c>
      <c r="L875" s="163">
        <v>0.63033738191632938</v>
      </c>
      <c r="M875" s="163">
        <v>2</v>
      </c>
      <c r="N875" s="163">
        <v>6.0908681961313533</v>
      </c>
      <c r="O875" s="163">
        <v>4.0908681961313533</v>
      </c>
      <c r="P875" s="163"/>
      <c r="Q875" s="163">
        <v>4</v>
      </c>
      <c r="R875" s="163">
        <v>0</v>
      </c>
      <c r="S875" s="163">
        <v>0</v>
      </c>
      <c r="T875" s="163">
        <v>0</v>
      </c>
      <c r="U875" s="163">
        <v>0</v>
      </c>
      <c r="V875" s="163">
        <v>0</v>
      </c>
      <c r="W875" s="163">
        <v>0</v>
      </c>
      <c r="X875" s="163">
        <v>0</v>
      </c>
      <c r="Y875" s="163">
        <v>4</v>
      </c>
      <c r="Z875" s="163">
        <v>4</v>
      </c>
      <c r="AA875" s="163">
        <v>0</v>
      </c>
      <c r="AB875" s="163">
        <v>0</v>
      </c>
      <c r="AC875" s="163">
        <v>4</v>
      </c>
      <c r="AD875" s="163">
        <v>0</v>
      </c>
      <c r="AE875" s="165">
        <v>5.1036779699164932E-2</v>
      </c>
      <c r="AF875" s="166">
        <v>0.10207355939832986</v>
      </c>
    </row>
    <row r="876" spans="1:32">
      <c r="A876" s="161">
        <v>19</v>
      </c>
      <c r="B876" s="162">
        <v>0.20833333333333334</v>
      </c>
      <c r="C876" s="163">
        <v>0.79967559891251416</v>
      </c>
      <c r="D876" s="163">
        <v>690.71420871102578</v>
      </c>
      <c r="E876" s="164">
        <v>0.99639999999999995</v>
      </c>
      <c r="F876" s="164">
        <v>0.99639999999999995</v>
      </c>
      <c r="G876" s="163">
        <v>3</v>
      </c>
      <c r="H876" s="163">
        <v>6.6666666666666661</v>
      </c>
      <c r="I876" s="163">
        <v>3.6666666666666661</v>
      </c>
      <c r="J876" s="163">
        <v>2</v>
      </c>
      <c r="K876" s="163">
        <v>2.445506072874494</v>
      </c>
      <c r="L876" s="163">
        <v>0.44550607287449395</v>
      </c>
      <c r="M876" s="163">
        <v>3</v>
      </c>
      <c r="N876" s="163">
        <v>6.0908681961313533</v>
      </c>
      <c r="O876" s="163">
        <v>3.0908681961313533</v>
      </c>
      <c r="P876" s="163"/>
      <c r="Q876" s="163">
        <v>4</v>
      </c>
      <c r="R876" s="163">
        <v>0</v>
      </c>
      <c r="S876" s="163">
        <v>0</v>
      </c>
      <c r="T876" s="163">
        <v>0</v>
      </c>
      <c r="U876" s="163">
        <v>0</v>
      </c>
      <c r="V876" s="163">
        <v>0</v>
      </c>
      <c r="W876" s="163">
        <v>0</v>
      </c>
      <c r="X876" s="163">
        <v>0</v>
      </c>
      <c r="Y876" s="163">
        <v>4</v>
      </c>
      <c r="Z876" s="163">
        <v>4</v>
      </c>
      <c r="AA876" s="163">
        <v>0</v>
      </c>
      <c r="AB876" s="163">
        <v>0</v>
      </c>
      <c r="AC876" s="163">
        <v>4</v>
      </c>
      <c r="AD876" s="163">
        <v>0</v>
      </c>
      <c r="AE876" s="165">
        <v>9.4109235823585144E-2</v>
      </c>
      <c r="AF876" s="166">
        <v>0.12547898109811351</v>
      </c>
    </row>
    <row r="877" spans="1:32">
      <c r="A877" s="161">
        <v>19</v>
      </c>
      <c r="B877" s="162">
        <v>0.22916666666666666</v>
      </c>
      <c r="C877" s="163">
        <v>1.3396546347912728</v>
      </c>
      <c r="D877" s="163">
        <v>705.95007245710576</v>
      </c>
      <c r="E877" s="164">
        <v>0.98429999999999984</v>
      </c>
      <c r="F877" s="164">
        <v>0.98429999999999984</v>
      </c>
      <c r="G877" s="163">
        <v>3</v>
      </c>
      <c r="H877" s="163">
        <v>6.6666666666666661</v>
      </c>
      <c r="I877" s="163">
        <v>3.6666666666666661</v>
      </c>
      <c r="J877" s="163">
        <v>2</v>
      </c>
      <c r="K877" s="163">
        <v>2.445506072874494</v>
      </c>
      <c r="L877" s="163">
        <v>0.44550607287449395</v>
      </c>
      <c r="M877" s="163">
        <v>3</v>
      </c>
      <c r="N877" s="163">
        <v>6.0908681961313533</v>
      </c>
      <c r="O877" s="163">
        <v>3.0908681961313533</v>
      </c>
      <c r="P877" s="163"/>
      <c r="Q877" s="163">
        <v>4</v>
      </c>
      <c r="R877" s="163">
        <v>0</v>
      </c>
      <c r="S877" s="163">
        <v>0</v>
      </c>
      <c r="T877" s="163">
        <v>0</v>
      </c>
      <c r="U877" s="163">
        <v>0</v>
      </c>
      <c r="V877" s="163">
        <v>0</v>
      </c>
      <c r="W877" s="163">
        <v>0</v>
      </c>
      <c r="X877" s="163">
        <v>0</v>
      </c>
      <c r="Y877" s="163">
        <v>4</v>
      </c>
      <c r="Z877" s="163">
        <v>4</v>
      </c>
      <c r="AA877" s="163">
        <v>0</v>
      </c>
      <c r="AB877" s="163">
        <v>0</v>
      </c>
      <c r="AC877" s="163">
        <v>4</v>
      </c>
      <c r="AD877" s="163">
        <v>0</v>
      </c>
      <c r="AE877" s="165">
        <v>0.16113387480209918</v>
      </c>
      <c r="AF877" s="166">
        <v>0.21484516640279888</v>
      </c>
    </row>
    <row r="878" spans="1:32">
      <c r="A878" s="161">
        <v>19</v>
      </c>
      <c r="B878" s="162">
        <v>0.25</v>
      </c>
      <c r="C878" s="163">
        <v>2.058231941621854</v>
      </c>
      <c r="D878" s="163">
        <v>713.10177234845503</v>
      </c>
      <c r="E878" s="164">
        <v>0.95040000000000002</v>
      </c>
      <c r="F878" s="164">
        <v>0.95040000000000002</v>
      </c>
      <c r="G878" s="163">
        <v>4</v>
      </c>
      <c r="H878" s="163">
        <v>6.6666666666666661</v>
      </c>
      <c r="I878" s="163">
        <v>2.6666666666666661</v>
      </c>
      <c r="J878" s="163">
        <v>3</v>
      </c>
      <c r="K878" s="163">
        <v>3.2606747638326588</v>
      </c>
      <c r="L878" s="163">
        <v>0.26067476383265875</v>
      </c>
      <c r="M878" s="163">
        <v>4</v>
      </c>
      <c r="N878" s="163">
        <v>6.0908681961313533</v>
      </c>
      <c r="O878" s="163">
        <v>2.0908681961313533</v>
      </c>
      <c r="P878" s="163"/>
      <c r="Q878" s="163">
        <v>4</v>
      </c>
      <c r="R878" s="163">
        <v>0</v>
      </c>
      <c r="S878" s="163">
        <v>0</v>
      </c>
      <c r="T878" s="163">
        <v>0</v>
      </c>
      <c r="U878" s="163">
        <v>0</v>
      </c>
      <c r="V878" s="163">
        <v>0</v>
      </c>
      <c r="W878" s="163">
        <v>0</v>
      </c>
      <c r="X878" s="163">
        <v>0</v>
      </c>
      <c r="Y878" s="163">
        <v>4</v>
      </c>
      <c r="Z878" s="163">
        <v>4</v>
      </c>
      <c r="AA878" s="163">
        <v>0</v>
      </c>
      <c r="AB878" s="163">
        <v>0</v>
      </c>
      <c r="AC878" s="163">
        <v>4</v>
      </c>
      <c r="AD878" s="163">
        <v>0</v>
      </c>
      <c r="AE878" s="165">
        <v>0.25007244610750268</v>
      </c>
      <c r="AF878" s="166">
        <v>0.25007244610750268</v>
      </c>
    </row>
    <row r="879" spans="1:32">
      <c r="A879" s="161">
        <v>19</v>
      </c>
      <c r="B879" s="162">
        <v>0.27083333333333331</v>
      </c>
      <c r="C879" s="163">
        <v>2.9718717896644202</v>
      </c>
      <c r="D879" s="163">
        <v>781.43566943784947</v>
      </c>
      <c r="E879" s="164">
        <v>0.84840000000000015</v>
      </c>
      <c r="F879" s="164">
        <v>0.84840000000000015</v>
      </c>
      <c r="G879" s="163">
        <v>4</v>
      </c>
      <c r="H879" s="163">
        <v>6.6666666666666661</v>
      </c>
      <c r="I879" s="163">
        <v>2.6666666666666661</v>
      </c>
      <c r="J879" s="163">
        <v>3</v>
      </c>
      <c r="K879" s="163">
        <v>3.2606747638326588</v>
      </c>
      <c r="L879" s="163">
        <v>0.26067476383265875</v>
      </c>
      <c r="M879" s="163">
        <v>4</v>
      </c>
      <c r="N879" s="163">
        <v>6.0908681961313533</v>
      </c>
      <c r="O879" s="163">
        <v>2.0908681961313533</v>
      </c>
      <c r="P879" s="163"/>
      <c r="Q879" s="163">
        <v>4</v>
      </c>
      <c r="R879" s="163">
        <v>0</v>
      </c>
      <c r="S879" s="163">
        <v>0</v>
      </c>
      <c r="T879" s="163">
        <v>0</v>
      </c>
      <c r="U879" s="163">
        <v>0</v>
      </c>
      <c r="V879" s="163">
        <v>0</v>
      </c>
      <c r="W879" s="163">
        <v>0</v>
      </c>
      <c r="X879" s="163">
        <v>0</v>
      </c>
      <c r="Y879" s="163">
        <v>4</v>
      </c>
      <c r="Z879" s="163">
        <v>4</v>
      </c>
      <c r="AA879" s="163">
        <v>0</v>
      </c>
      <c r="AB879" s="163">
        <v>0</v>
      </c>
      <c r="AC879" s="163">
        <v>4</v>
      </c>
      <c r="AD879" s="163">
        <v>0</v>
      </c>
      <c r="AE879" s="165">
        <v>0.39567928413657028</v>
      </c>
      <c r="AF879" s="166">
        <v>0.39567928413657028</v>
      </c>
    </row>
    <row r="880" spans="1:32">
      <c r="A880" s="161">
        <v>19</v>
      </c>
      <c r="B880" s="162">
        <v>0.29166666666666669</v>
      </c>
      <c r="C880" s="163">
        <v>7.2563534699238721</v>
      </c>
      <c r="D880" s="163">
        <v>784.16550995280863</v>
      </c>
      <c r="E880" s="164">
        <v>0.7742</v>
      </c>
      <c r="F880" s="164">
        <v>0.7742</v>
      </c>
      <c r="G880" s="163">
        <v>8</v>
      </c>
      <c r="H880" s="163">
        <v>11.666666666666668</v>
      </c>
      <c r="I880" s="163">
        <v>3.6666666666666679</v>
      </c>
      <c r="J880" s="163">
        <v>6</v>
      </c>
      <c r="K880" s="163">
        <v>6.5213495276653175</v>
      </c>
      <c r="L880" s="163">
        <v>0.5213495276653175</v>
      </c>
      <c r="M880" s="163">
        <v>7</v>
      </c>
      <c r="N880" s="163">
        <v>10.65901934322987</v>
      </c>
      <c r="O880" s="163">
        <v>3.6590193432298701</v>
      </c>
      <c r="P880" s="163"/>
      <c r="Q880" s="163">
        <v>7</v>
      </c>
      <c r="R880" s="163">
        <v>0</v>
      </c>
      <c r="S880" s="163">
        <v>0</v>
      </c>
      <c r="T880" s="163">
        <v>0</v>
      </c>
      <c r="U880" s="163">
        <v>0</v>
      </c>
      <c r="V880" s="163">
        <v>0</v>
      </c>
      <c r="W880" s="163">
        <v>0</v>
      </c>
      <c r="X880" s="163">
        <v>0</v>
      </c>
      <c r="Y880" s="163">
        <v>7</v>
      </c>
      <c r="Z880" s="163">
        <v>7</v>
      </c>
      <c r="AA880" s="163">
        <v>0</v>
      </c>
      <c r="AB880" s="163">
        <v>0</v>
      </c>
      <c r="AC880" s="163">
        <v>4</v>
      </c>
      <c r="AD880" s="163">
        <v>3</v>
      </c>
      <c r="AE880" s="165">
        <v>0.55399791539654786</v>
      </c>
      <c r="AF880" s="166">
        <v>0.48474817597197939</v>
      </c>
    </row>
    <row r="881" spans="1:32">
      <c r="A881" s="161">
        <v>19</v>
      </c>
      <c r="B881" s="162">
        <v>0.3125</v>
      </c>
      <c r="C881" s="163">
        <v>8.4981469967315881</v>
      </c>
      <c r="D881" s="163">
        <v>793.63212628499991</v>
      </c>
      <c r="E881" s="164">
        <v>0.9658000000000001</v>
      </c>
      <c r="F881" s="164">
        <v>0.9658000000000001</v>
      </c>
      <c r="G881" s="163">
        <v>9</v>
      </c>
      <c r="H881" s="163">
        <v>18.333333333333332</v>
      </c>
      <c r="I881" s="163">
        <v>9.3333333333333321</v>
      </c>
      <c r="J881" s="163">
        <v>7</v>
      </c>
      <c r="K881" s="163">
        <v>7.3365182186234819</v>
      </c>
      <c r="L881" s="163">
        <v>0.33651821862348186</v>
      </c>
      <c r="M881" s="163">
        <v>8</v>
      </c>
      <c r="N881" s="163">
        <v>16.749887539361222</v>
      </c>
      <c r="O881" s="163">
        <v>8.7498875393612217</v>
      </c>
      <c r="P881" s="163"/>
      <c r="Q881" s="163">
        <v>11</v>
      </c>
      <c r="R881" s="163">
        <v>0</v>
      </c>
      <c r="S881" s="163">
        <v>0</v>
      </c>
      <c r="T881" s="163">
        <v>0</v>
      </c>
      <c r="U881" s="163">
        <v>0</v>
      </c>
      <c r="V881" s="163">
        <v>0</v>
      </c>
      <c r="W881" s="163">
        <v>0</v>
      </c>
      <c r="X881" s="163">
        <v>0</v>
      </c>
      <c r="Y881" s="163">
        <v>11</v>
      </c>
      <c r="Z881" s="163">
        <v>11</v>
      </c>
      <c r="AA881" s="163">
        <v>0</v>
      </c>
      <c r="AB881" s="163">
        <v>0</v>
      </c>
      <c r="AC881" s="163">
        <v>8</v>
      </c>
      <c r="AD881" s="163">
        <v>3</v>
      </c>
      <c r="AE881" s="165">
        <v>0.41785999778590532</v>
      </c>
      <c r="AF881" s="166">
        <v>0.51071777507166205</v>
      </c>
    </row>
    <row r="882" spans="1:32">
      <c r="A882" s="161">
        <v>19</v>
      </c>
      <c r="B882" s="162">
        <v>0.33333333333333331</v>
      </c>
      <c r="C882" s="163">
        <v>12.067332170806228</v>
      </c>
      <c r="D882" s="163">
        <v>831.13573797702247</v>
      </c>
      <c r="E882" s="164">
        <v>0.94379999999999997</v>
      </c>
      <c r="F882" s="164">
        <v>0.94379999999999997</v>
      </c>
      <c r="G882" s="163">
        <v>12</v>
      </c>
      <c r="H882" s="163">
        <v>21.666666666666664</v>
      </c>
      <c r="I882" s="163">
        <v>9.6666666666666643</v>
      </c>
      <c r="J882" s="163">
        <v>9</v>
      </c>
      <c r="K882" s="163">
        <v>9.7820242914979758</v>
      </c>
      <c r="L882" s="163">
        <v>0.78202429149797581</v>
      </c>
      <c r="M882" s="163">
        <v>11</v>
      </c>
      <c r="N882" s="163">
        <v>19.795321637426898</v>
      </c>
      <c r="O882" s="163">
        <v>8.7953216374268983</v>
      </c>
      <c r="P882" s="163"/>
      <c r="Q882" s="163">
        <v>13</v>
      </c>
      <c r="R882" s="163">
        <v>0</v>
      </c>
      <c r="S882" s="163">
        <v>0</v>
      </c>
      <c r="T882" s="163">
        <v>0</v>
      </c>
      <c r="U882" s="163">
        <v>0</v>
      </c>
      <c r="V882" s="163">
        <v>0</v>
      </c>
      <c r="W882" s="163">
        <v>0</v>
      </c>
      <c r="X882" s="163">
        <v>0</v>
      </c>
      <c r="Y882" s="163">
        <v>13</v>
      </c>
      <c r="Z882" s="163">
        <v>13</v>
      </c>
      <c r="AA882" s="163">
        <v>0</v>
      </c>
      <c r="AB882" s="163">
        <v>0</v>
      </c>
      <c r="AC882" s="163">
        <v>10</v>
      </c>
      <c r="AD882" s="163">
        <v>3</v>
      </c>
      <c r="AE882" s="165">
        <v>0.52579914562705854</v>
      </c>
      <c r="AF882" s="166">
        <v>0.56961574109598012</v>
      </c>
    </row>
    <row r="883" spans="1:32">
      <c r="A883" s="161">
        <v>19</v>
      </c>
      <c r="B883" s="162">
        <v>0.35416666666666669</v>
      </c>
      <c r="C883" s="163">
        <v>14.612982058399496</v>
      </c>
      <c r="D883" s="163">
        <v>847.46329178948497</v>
      </c>
      <c r="E883" s="164">
        <v>0.9517000000000001</v>
      </c>
      <c r="F883" s="164">
        <v>0.9517000000000001</v>
      </c>
      <c r="G883" s="163">
        <v>13</v>
      </c>
      <c r="H883" s="163">
        <v>25</v>
      </c>
      <c r="I883" s="163">
        <v>12</v>
      </c>
      <c r="J883" s="163">
        <v>10</v>
      </c>
      <c r="K883" s="163">
        <v>10.597192982456141</v>
      </c>
      <c r="L883" s="163">
        <v>0.59719298245614105</v>
      </c>
      <c r="M883" s="163">
        <v>12</v>
      </c>
      <c r="N883" s="163">
        <v>22.840755735492575</v>
      </c>
      <c r="O883" s="163">
        <v>10.840755735492575</v>
      </c>
      <c r="P883" s="163"/>
      <c r="Q883" s="163">
        <v>15</v>
      </c>
      <c r="R883" s="163">
        <v>0</v>
      </c>
      <c r="S883" s="163">
        <v>0</v>
      </c>
      <c r="T883" s="163">
        <v>0</v>
      </c>
      <c r="U883" s="163">
        <v>0</v>
      </c>
      <c r="V883" s="163">
        <v>0</v>
      </c>
      <c r="W883" s="163">
        <v>0</v>
      </c>
      <c r="X883" s="163">
        <v>0</v>
      </c>
      <c r="Y883" s="163">
        <v>15</v>
      </c>
      <c r="Z883" s="163">
        <v>15</v>
      </c>
      <c r="AA883" s="163">
        <v>0</v>
      </c>
      <c r="AB883" s="163">
        <v>0</v>
      </c>
      <c r="AC883" s="163">
        <v>10</v>
      </c>
      <c r="AD883" s="163">
        <v>5</v>
      </c>
      <c r="AE883" s="165">
        <v>0.56266317386702946</v>
      </c>
      <c r="AF883" s="166">
        <v>0.64922673907734174</v>
      </c>
    </row>
    <row r="884" spans="1:32">
      <c r="A884" s="161">
        <v>19</v>
      </c>
      <c r="B884" s="162">
        <v>0.375</v>
      </c>
      <c r="C884" s="163">
        <v>17.695726264132425</v>
      </c>
      <c r="D884" s="163">
        <v>858.87921016674022</v>
      </c>
      <c r="E884" s="164">
        <v>0.91439999999999999</v>
      </c>
      <c r="F884" s="164">
        <v>0.91439999999999999</v>
      </c>
      <c r="G884" s="163">
        <v>15</v>
      </c>
      <c r="H884" s="163">
        <v>28.333333333333336</v>
      </c>
      <c r="I884" s="163">
        <v>13.333333333333336</v>
      </c>
      <c r="J884" s="163">
        <v>12</v>
      </c>
      <c r="K884" s="163">
        <v>12.22753036437247</v>
      </c>
      <c r="L884" s="163">
        <v>0.22753036437246976</v>
      </c>
      <c r="M884" s="163">
        <v>14</v>
      </c>
      <c r="N884" s="163">
        <v>25.886189833558255</v>
      </c>
      <c r="O884" s="163">
        <v>11.886189833558255</v>
      </c>
      <c r="P884" s="163"/>
      <c r="Q884" s="163">
        <v>17</v>
      </c>
      <c r="R884" s="163">
        <v>0</v>
      </c>
      <c r="S884" s="163">
        <v>0</v>
      </c>
      <c r="T884" s="163">
        <v>0</v>
      </c>
      <c r="U884" s="163">
        <v>0</v>
      </c>
      <c r="V884" s="163">
        <v>0</v>
      </c>
      <c r="W884" s="163">
        <v>0</v>
      </c>
      <c r="X884" s="163">
        <v>0</v>
      </c>
      <c r="Y884" s="163">
        <v>17</v>
      </c>
      <c r="Z884" s="163">
        <v>17</v>
      </c>
      <c r="AA884" s="163">
        <v>0</v>
      </c>
      <c r="AB884" s="163">
        <v>0</v>
      </c>
      <c r="AC884" s="163">
        <v>12</v>
      </c>
      <c r="AD884" s="163">
        <v>5</v>
      </c>
      <c r="AE884" s="165">
        <v>0.60930054221104535</v>
      </c>
      <c r="AF884" s="166">
        <v>0.69054061450585136</v>
      </c>
    </row>
    <row r="885" spans="1:32">
      <c r="A885" s="161">
        <v>19</v>
      </c>
      <c r="B885" s="162">
        <v>0.39583333333333331</v>
      </c>
      <c r="C885" s="163">
        <v>18.321132797060002</v>
      </c>
      <c r="D885" s="163">
        <v>829.85761853687404</v>
      </c>
      <c r="E885" s="164">
        <v>0.97589999999999988</v>
      </c>
      <c r="F885" s="164">
        <v>0.97589999999999988</v>
      </c>
      <c r="G885" s="163">
        <v>15</v>
      </c>
      <c r="H885" s="163">
        <v>31.666666666666664</v>
      </c>
      <c r="I885" s="163">
        <v>16.666666666666664</v>
      </c>
      <c r="J885" s="163">
        <v>12</v>
      </c>
      <c r="K885" s="163">
        <v>12.22753036437247</v>
      </c>
      <c r="L885" s="163">
        <v>0.22753036437246976</v>
      </c>
      <c r="M885" s="163">
        <v>14</v>
      </c>
      <c r="N885" s="163">
        <v>28.931623931623928</v>
      </c>
      <c r="O885" s="163">
        <v>14.931623931623928</v>
      </c>
      <c r="P885" s="163"/>
      <c r="Q885" s="163">
        <v>19</v>
      </c>
      <c r="R885" s="163">
        <v>0</v>
      </c>
      <c r="S885" s="163">
        <v>0</v>
      </c>
      <c r="T885" s="163">
        <v>0</v>
      </c>
      <c r="U885" s="163">
        <v>0</v>
      </c>
      <c r="V885" s="163">
        <v>0</v>
      </c>
      <c r="W885" s="163">
        <v>0</v>
      </c>
      <c r="X885" s="163">
        <v>0</v>
      </c>
      <c r="Y885" s="163">
        <v>19</v>
      </c>
      <c r="Z885" s="163">
        <v>19</v>
      </c>
      <c r="AA885" s="163">
        <v>0</v>
      </c>
      <c r="AB885" s="163">
        <v>0</v>
      </c>
      <c r="AC885" s="163">
        <v>14</v>
      </c>
      <c r="AD885" s="163">
        <v>5</v>
      </c>
      <c r="AE885" s="165">
        <v>0.54535878201846011</v>
      </c>
      <c r="AF885" s="166">
        <v>0.69078779055671624</v>
      </c>
    </row>
    <row r="886" spans="1:32">
      <c r="A886" s="161">
        <v>19</v>
      </c>
      <c r="B886" s="162">
        <v>0.41666666666666669</v>
      </c>
      <c r="C886" s="163">
        <v>19.774639946397066</v>
      </c>
      <c r="D886" s="163">
        <v>847.20193969405648</v>
      </c>
      <c r="E886" s="164">
        <v>0.94919999999999993</v>
      </c>
      <c r="F886" s="164">
        <v>0.94919999999999993</v>
      </c>
      <c r="G886" s="163">
        <v>16</v>
      </c>
      <c r="H886" s="163">
        <v>31.666666666666664</v>
      </c>
      <c r="I886" s="163">
        <v>15.666666666666664</v>
      </c>
      <c r="J886" s="163">
        <v>13</v>
      </c>
      <c r="K886" s="163">
        <v>13.042699055330635</v>
      </c>
      <c r="L886" s="163">
        <v>4.2699055330635005E-2</v>
      </c>
      <c r="M886" s="163">
        <v>15</v>
      </c>
      <c r="N886" s="163">
        <v>28.931623931623928</v>
      </c>
      <c r="O886" s="163">
        <v>13.931623931623928</v>
      </c>
      <c r="P886" s="163"/>
      <c r="Q886" s="163">
        <v>19</v>
      </c>
      <c r="R886" s="163">
        <v>0</v>
      </c>
      <c r="S886" s="163">
        <v>0</v>
      </c>
      <c r="T886" s="163">
        <v>0</v>
      </c>
      <c r="U886" s="163">
        <v>0</v>
      </c>
      <c r="V886" s="163">
        <v>0</v>
      </c>
      <c r="W886" s="163">
        <v>0</v>
      </c>
      <c r="X886" s="163">
        <v>0</v>
      </c>
      <c r="Y886" s="163">
        <v>19</v>
      </c>
      <c r="Z886" s="163">
        <v>19</v>
      </c>
      <c r="AA886" s="163">
        <v>0</v>
      </c>
      <c r="AB886" s="163">
        <v>0</v>
      </c>
      <c r="AC886" s="163">
        <v>14</v>
      </c>
      <c r="AD886" s="163">
        <v>5</v>
      </c>
      <c r="AE886" s="165">
        <v>0.60092729276043855</v>
      </c>
      <c r="AF886" s="166">
        <v>0.71360116015302077</v>
      </c>
    </row>
    <row r="887" spans="1:32">
      <c r="A887" s="161">
        <v>19</v>
      </c>
      <c r="B887" s="162">
        <v>0.4375</v>
      </c>
      <c r="C887" s="163">
        <v>19.788481241869906</v>
      </c>
      <c r="D887" s="163">
        <v>845.86030327497099</v>
      </c>
      <c r="E887" s="164">
        <v>0.94950000000000001</v>
      </c>
      <c r="F887" s="164">
        <v>0.94950000000000001</v>
      </c>
      <c r="G887" s="163">
        <v>16</v>
      </c>
      <c r="H887" s="163">
        <v>31.666666666666664</v>
      </c>
      <c r="I887" s="163">
        <v>15.666666666666664</v>
      </c>
      <c r="J887" s="163">
        <v>13</v>
      </c>
      <c r="K887" s="163">
        <v>13.042699055330635</v>
      </c>
      <c r="L887" s="163">
        <v>4.2699055330635005E-2</v>
      </c>
      <c r="M887" s="163">
        <v>15</v>
      </c>
      <c r="N887" s="163">
        <v>28.931623931623928</v>
      </c>
      <c r="O887" s="163">
        <v>13.931623931623928</v>
      </c>
      <c r="P887" s="163"/>
      <c r="Q887" s="163">
        <v>19</v>
      </c>
      <c r="R887" s="163">
        <v>0</v>
      </c>
      <c r="S887" s="163">
        <v>0</v>
      </c>
      <c r="T887" s="163">
        <v>0</v>
      </c>
      <c r="U887" s="163">
        <v>0</v>
      </c>
      <c r="V887" s="163">
        <v>0</v>
      </c>
      <c r="W887" s="163">
        <v>0</v>
      </c>
      <c r="X887" s="163">
        <v>0</v>
      </c>
      <c r="Y887" s="163">
        <v>19</v>
      </c>
      <c r="Z887" s="163">
        <v>19</v>
      </c>
      <c r="AA887" s="163">
        <v>0</v>
      </c>
      <c r="AB887" s="163">
        <v>0</v>
      </c>
      <c r="AC887" s="163">
        <v>14</v>
      </c>
      <c r="AD887" s="163">
        <v>5</v>
      </c>
      <c r="AE887" s="165">
        <v>0.60039561309347322</v>
      </c>
      <c r="AF887" s="166">
        <v>0.71296979054849963</v>
      </c>
    </row>
    <row r="888" spans="1:32">
      <c r="A888" s="161">
        <v>19</v>
      </c>
      <c r="B888" s="162">
        <v>0.45833333333333331</v>
      </c>
      <c r="C888" s="163">
        <v>21.566728925007592</v>
      </c>
      <c r="D888" s="163">
        <v>853.50669971356172</v>
      </c>
      <c r="E888" s="164">
        <v>0.90100000000000013</v>
      </c>
      <c r="F888" s="164">
        <v>0.90100000000000013</v>
      </c>
      <c r="G888" s="163">
        <v>18</v>
      </c>
      <c r="H888" s="163">
        <v>31.666666666666664</v>
      </c>
      <c r="I888" s="163">
        <v>13.666666666666664</v>
      </c>
      <c r="J888" s="163">
        <v>14</v>
      </c>
      <c r="K888" s="163">
        <v>14.673036437246964</v>
      </c>
      <c r="L888" s="163">
        <v>0.67303643724696371</v>
      </c>
      <c r="M888" s="163">
        <v>16</v>
      </c>
      <c r="N888" s="163">
        <v>28.931623931623928</v>
      </c>
      <c r="O888" s="163">
        <v>12.931623931623928</v>
      </c>
      <c r="P888" s="163"/>
      <c r="Q888" s="163">
        <v>19</v>
      </c>
      <c r="R888" s="163">
        <v>0</v>
      </c>
      <c r="S888" s="163">
        <v>0</v>
      </c>
      <c r="T888" s="163">
        <v>0</v>
      </c>
      <c r="U888" s="163">
        <v>0</v>
      </c>
      <c r="V888" s="163">
        <v>0</v>
      </c>
      <c r="W888" s="163">
        <v>0</v>
      </c>
      <c r="X888" s="163">
        <v>0</v>
      </c>
      <c r="Y888" s="163">
        <v>19</v>
      </c>
      <c r="Z888" s="163">
        <v>19</v>
      </c>
      <c r="AA888" s="163">
        <v>0</v>
      </c>
      <c r="AB888" s="163">
        <v>0</v>
      </c>
      <c r="AC888" s="163">
        <v>14</v>
      </c>
      <c r="AD888" s="163">
        <v>5</v>
      </c>
      <c r="AE888" s="165">
        <v>0.66026399788425472</v>
      </c>
      <c r="AF888" s="166">
        <v>0.69694533110004664</v>
      </c>
    </row>
    <row r="889" spans="1:32">
      <c r="A889" s="161">
        <v>19</v>
      </c>
      <c r="B889" s="162">
        <v>0.47916666666666669</v>
      </c>
      <c r="C889" s="163">
        <v>19.616292804841084</v>
      </c>
      <c r="D889" s="163">
        <v>827.66996442723223</v>
      </c>
      <c r="E889" s="164">
        <v>0.95989999999999986</v>
      </c>
      <c r="F889" s="164">
        <v>0.95989999999999986</v>
      </c>
      <c r="G889" s="163">
        <v>16</v>
      </c>
      <c r="H889" s="163">
        <v>31.666666666666664</v>
      </c>
      <c r="I889" s="163">
        <v>15.666666666666664</v>
      </c>
      <c r="J889" s="163">
        <v>13</v>
      </c>
      <c r="K889" s="163">
        <v>13.042699055330635</v>
      </c>
      <c r="L889" s="163">
        <v>4.2699055330635005E-2</v>
      </c>
      <c r="M889" s="163">
        <v>15</v>
      </c>
      <c r="N889" s="163">
        <v>28.931623931623928</v>
      </c>
      <c r="O889" s="163">
        <v>13.931623931623928</v>
      </c>
      <c r="P889" s="163"/>
      <c r="Q889" s="163">
        <v>19</v>
      </c>
      <c r="R889" s="163">
        <v>0</v>
      </c>
      <c r="S889" s="163">
        <v>0</v>
      </c>
      <c r="T889" s="163">
        <v>0</v>
      </c>
      <c r="U889" s="163">
        <v>0</v>
      </c>
      <c r="V889" s="163">
        <v>0</v>
      </c>
      <c r="W889" s="163">
        <v>0</v>
      </c>
      <c r="X889" s="163">
        <v>0</v>
      </c>
      <c r="Y889" s="163">
        <v>19</v>
      </c>
      <c r="Z889" s="163">
        <v>19</v>
      </c>
      <c r="AA889" s="163">
        <v>0</v>
      </c>
      <c r="AB889" s="163">
        <v>0</v>
      </c>
      <c r="AC889" s="163">
        <v>14</v>
      </c>
      <c r="AD889" s="163">
        <v>5</v>
      </c>
      <c r="AE889" s="165">
        <v>0.58237206361527061</v>
      </c>
      <c r="AF889" s="166">
        <v>0.69156682554313398</v>
      </c>
    </row>
    <row r="890" spans="1:32">
      <c r="A890" s="161">
        <v>19</v>
      </c>
      <c r="B890" s="162">
        <v>0.5</v>
      </c>
      <c r="C890" s="163">
        <v>19.828274248061124</v>
      </c>
      <c r="D890" s="163">
        <v>848.68646046560684</v>
      </c>
      <c r="E890" s="164">
        <v>0.94750000000000012</v>
      </c>
      <c r="F890" s="164">
        <v>0.94750000000000012</v>
      </c>
      <c r="G890" s="163">
        <v>16</v>
      </c>
      <c r="H890" s="163">
        <v>31.666666666666664</v>
      </c>
      <c r="I890" s="163">
        <v>15.666666666666664</v>
      </c>
      <c r="J890" s="163">
        <v>13</v>
      </c>
      <c r="K890" s="163">
        <v>13.042699055330635</v>
      </c>
      <c r="L890" s="163">
        <v>4.2699055330635005E-2</v>
      </c>
      <c r="M890" s="163">
        <v>15</v>
      </c>
      <c r="N890" s="163">
        <v>28.931623931623928</v>
      </c>
      <c r="O890" s="163">
        <v>13.931623931623928</v>
      </c>
      <c r="P890" s="163"/>
      <c r="Q890" s="163">
        <v>19</v>
      </c>
      <c r="R890" s="163">
        <v>0</v>
      </c>
      <c r="S890" s="163">
        <v>0</v>
      </c>
      <c r="T890" s="163">
        <v>0</v>
      </c>
      <c r="U890" s="163">
        <v>0</v>
      </c>
      <c r="V890" s="163">
        <v>0</v>
      </c>
      <c r="W890" s="163">
        <v>0</v>
      </c>
      <c r="X890" s="163">
        <v>0</v>
      </c>
      <c r="Y890" s="163">
        <v>19</v>
      </c>
      <c r="Z890" s="163">
        <v>19</v>
      </c>
      <c r="AA890" s="163">
        <v>0</v>
      </c>
      <c r="AB890" s="163">
        <v>0</v>
      </c>
      <c r="AC890" s="163">
        <v>14</v>
      </c>
      <c r="AD890" s="163">
        <v>5</v>
      </c>
      <c r="AE890" s="165">
        <v>0.60361301280673563</v>
      </c>
      <c r="AF890" s="166">
        <v>0.71679045270799857</v>
      </c>
    </row>
    <row r="891" spans="1:32">
      <c r="A891" s="161">
        <v>19</v>
      </c>
      <c r="B891" s="162">
        <v>0.52083333333333337</v>
      </c>
      <c r="C891" s="163">
        <v>18.978996110207149</v>
      </c>
      <c r="D891" s="163">
        <v>817.74963193898384</v>
      </c>
      <c r="E891" s="164">
        <v>0.92603333333333337</v>
      </c>
      <c r="F891" s="164">
        <v>0.92603333333333337</v>
      </c>
      <c r="G891" s="163">
        <v>15</v>
      </c>
      <c r="H891" s="163">
        <v>30.333333333333336</v>
      </c>
      <c r="I891" s="163">
        <v>15.333333333333336</v>
      </c>
      <c r="J891" s="163">
        <v>12</v>
      </c>
      <c r="K891" s="163">
        <v>12.22753036437247</v>
      </c>
      <c r="L891" s="163">
        <v>0.22753036437246976</v>
      </c>
      <c r="M891" s="163">
        <v>14</v>
      </c>
      <c r="N891" s="163">
        <v>27.713450292397663</v>
      </c>
      <c r="O891" s="163">
        <v>13.713450292397663</v>
      </c>
      <c r="P891" s="163"/>
      <c r="Q891" s="163">
        <v>19</v>
      </c>
      <c r="R891" s="163">
        <v>0</v>
      </c>
      <c r="S891" s="163">
        <v>0</v>
      </c>
      <c r="T891" s="163">
        <v>0</v>
      </c>
      <c r="U891" s="163">
        <v>0</v>
      </c>
      <c r="V891" s="163">
        <v>0</v>
      </c>
      <c r="W891" s="163">
        <v>0</v>
      </c>
      <c r="X891" s="163">
        <v>0</v>
      </c>
      <c r="Y891" s="163">
        <v>19</v>
      </c>
      <c r="Z891" s="163">
        <v>19</v>
      </c>
      <c r="AA891" s="163">
        <v>0</v>
      </c>
      <c r="AB891" s="163">
        <v>0</v>
      </c>
      <c r="AC891" s="163">
        <v>14</v>
      </c>
      <c r="AD891" s="163">
        <v>5</v>
      </c>
      <c r="AE891" s="165">
        <v>0.55669843081035708</v>
      </c>
      <c r="AF891" s="166">
        <v>0.70515134569311899</v>
      </c>
    </row>
    <row r="892" spans="1:32">
      <c r="A892" s="161">
        <v>19</v>
      </c>
      <c r="B892" s="162">
        <v>0.54166666666666663</v>
      </c>
      <c r="C892" s="163">
        <v>18.800129587401845</v>
      </c>
      <c r="D892" s="163">
        <v>777.17782157288866</v>
      </c>
      <c r="E892" s="164">
        <v>0.93420000000000003</v>
      </c>
      <c r="F892" s="164">
        <v>0.93420000000000003</v>
      </c>
      <c r="G892" s="163">
        <v>15</v>
      </c>
      <c r="H892" s="163">
        <v>28.333333333333336</v>
      </c>
      <c r="I892" s="163">
        <v>13.333333333333336</v>
      </c>
      <c r="J892" s="163">
        <v>12</v>
      </c>
      <c r="K892" s="163">
        <v>12.22753036437247</v>
      </c>
      <c r="L892" s="163">
        <v>0.22753036437246976</v>
      </c>
      <c r="M892" s="163">
        <v>14</v>
      </c>
      <c r="N892" s="163">
        <v>25.886189833558255</v>
      </c>
      <c r="O892" s="163">
        <v>11.886189833558255</v>
      </c>
      <c r="P892" s="163"/>
      <c r="Q892" s="163">
        <v>17</v>
      </c>
      <c r="R892" s="163">
        <v>0</v>
      </c>
      <c r="S892" s="163">
        <v>0</v>
      </c>
      <c r="T892" s="163">
        <v>0</v>
      </c>
      <c r="U892" s="163">
        <v>0</v>
      </c>
      <c r="V892" s="163">
        <v>0</v>
      </c>
      <c r="W892" s="163">
        <v>0</v>
      </c>
      <c r="X892" s="163">
        <v>0</v>
      </c>
      <c r="Y892" s="163">
        <v>17</v>
      </c>
      <c r="Z892" s="163">
        <v>17</v>
      </c>
      <c r="AA892" s="163">
        <v>0</v>
      </c>
      <c r="AB892" s="163">
        <v>0</v>
      </c>
      <c r="AC892" s="163">
        <v>12</v>
      </c>
      <c r="AD892" s="163">
        <v>5</v>
      </c>
      <c r="AE892" s="165">
        <v>0.58575003606957743</v>
      </c>
      <c r="AF892" s="166">
        <v>0.66385004087885435</v>
      </c>
    </row>
    <row r="893" spans="1:32">
      <c r="A893" s="161">
        <v>19</v>
      </c>
      <c r="B893" s="162">
        <v>0.5625</v>
      </c>
      <c r="C893" s="163">
        <v>17.878269497546398</v>
      </c>
      <c r="D893" s="163">
        <v>826.73624821545764</v>
      </c>
      <c r="E893" s="164">
        <v>0.92859999999999998</v>
      </c>
      <c r="F893" s="164">
        <v>0.92859999999999998</v>
      </c>
      <c r="G893" s="163">
        <v>15</v>
      </c>
      <c r="H893" s="163">
        <v>28.333333333333336</v>
      </c>
      <c r="I893" s="163">
        <v>13.333333333333336</v>
      </c>
      <c r="J893" s="163">
        <v>12</v>
      </c>
      <c r="K893" s="163">
        <v>12.22753036437247</v>
      </c>
      <c r="L893" s="163">
        <v>0.22753036437246976</v>
      </c>
      <c r="M893" s="163">
        <v>14</v>
      </c>
      <c r="N893" s="163">
        <v>25.886189833558255</v>
      </c>
      <c r="O893" s="163">
        <v>11.886189833558255</v>
      </c>
      <c r="P893" s="163"/>
      <c r="Q893" s="163">
        <v>17</v>
      </c>
      <c r="R893" s="163">
        <v>0</v>
      </c>
      <c r="S893" s="163">
        <v>0</v>
      </c>
      <c r="T893" s="163">
        <v>0</v>
      </c>
      <c r="U893" s="163">
        <v>0</v>
      </c>
      <c r="V893" s="163">
        <v>0</v>
      </c>
      <c r="W893" s="163">
        <v>0</v>
      </c>
      <c r="X893" s="163">
        <v>0</v>
      </c>
      <c r="Y893" s="163">
        <v>17</v>
      </c>
      <c r="Z893" s="163">
        <v>17</v>
      </c>
      <c r="AA893" s="163">
        <v>0</v>
      </c>
      <c r="AB893" s="163">
        <v>0</v>
      </c>
      <c r="AC893" s="163">
        <v>12</v>
      </c>
      <c r="AD893" s="163">
        <v>5</v>
      </c>
      <c r="AE893" s="165">
        <v>0.59254800712776323</v>
      </c>
      <c r="AF893" s="166">
        <v>0.67155440807813171</v>
      </c>
    </row>
    <row r="894" spans="1:32">
      <c r="A894" s="161">
        <v>19</v>
      </c>
      <c r="B894" s="162">
        <v>0.58333333333333337</v>
      </c>
      <c r="C894" s="163">
        <v>17.312864210628248</v>
      </c>
      <c r="D894" s="163">
        <v>817.87814902957246</v>
      </c>
      <c r="E894" s="164">
        <v>0.94589999999999996</v>
      </c>
      <c r="F894" s="164">
        <v>0.94589999999999996</v>
      </c>
      <c r="G894" s="163">
        <v>15</v>
      </c>
      <c r="H894" s="163">
        <v>28.333333333333336</v>
      </c>
      <c r="I894" s="163">
        <v>13.333333333333336</v>
      </c>
      <c r="J894" s="163">
        <v>12</v>
      </c>
      <c r="K894" s="163">
        <v>12.22753036437247</v>
      </c>
      <c r="L894" s="163">
        <v>0.22753036437246976</v>
      </c>
      <c r="M894" s="163">
        <v>14</v>
      </c>
      <c r="N894" s="163">
        <v>25.886189833558255</v>
      </c>
      <c r="O894" s="163">
        <v>11.886189833558255</v>
      </c>
      <c r="P894" s="163"/>
      <c r="Q894" s="163">
        <v>17</v>
      </c>
      <c r="R894" s="163">
        <v>0</v>
      </c>
      <c r="S894" s="163">
        <v>0</v>
      </c>
      <c r="T894" s="163">
        <v>0</v>
      </c>
      <c r="U894" s="163">
        <v>0</v>
      </c>
      <c r="V894" s="163">
        <v>0</v>
      </c>
      <c r="W894" s="163">
        <v>0</v>
      </c>
      <c r="X894" s="163">
        <v>0</v>
      </c>
      <c r="Y894" s="163">
        <v>17</v>
      </c>
      <c r="Z894" s="163">
        <v>17</v>
      </c>
      <c r="AA894" s="163">
        <v>0</v>
      </c>
      <c r="AB894" s="163">
        <v>0</v>
      </c>
      <c r="AC894" s="163">
        <v>12</v>
      </c>
      <c r="AD894" s="163">
        <v>5</v>
      </c>
      <c r="AE894" s="165">
        <v>0.56766041557796354</v>
      </c>
      <c r="AF894" s="166">
        <v>0.64334847098835868</v>
      </c>
    </row>
    <row r="895" spans="1:32">
      <c r="A895" s="161">
        <v>19</v>
      </c>
      <c r="B895" s="162">
        <v>0.60416666666666663</v>
      </c>
      <c r="C895" s="163">
        <v>16.793578640448228</v>
      </c>
      <c r="D895" s="163">
        <v>812.73859991389281</v>
      </c>
      <c r="E895" s="164">
        <v>0.97933333333333328</v>
      </c>
      <c r="F895" s="164">
        <v>0.97933333333333328</v>
      </c>
      <c r="G895" s="163">
        <v>14</v>
      </c>
      <c r="H895" s="163">
        <v>29.666666666666664</v>
      </c>
      <c r="I895" s="163">
        <v>15.666666666666664</v>
      </c>
      <c r="J895" s="163">
        <v>11</v>
      </c>
      <c r="K895" s="163">
        <v>11.412361673414306</v>
      </c>
      <c r="L895" s="163">
        <v>0.4123616734143063</v>
      </c>
      <c r="M895" s="163">
        <v>13</v>
      </c>
      <c r="N895" s="163">
        <v>27.104363472784524</v>
      </c>
      <c r="O895" s="163">
        <v>14.104363472784524</v>
      </c>
      <c r="P895" s="163"/>
      <c r="Q895" s="163">
        <v>17</v>
      </c>
      <c r="R895" s="163">
        <v>0</v>
      </c>
      <c r="S895" s="163">
        <v>0</v>
      </c>
      <c r="T895" s="163">
        <v>0</v>
      </c>
      <c r="U895" s="163">
        <v>0</v>
      </c>
      <c r="V895" s="163">
        <v>0</v>
      </c>
      <c r="W895" s="163">
        <v>0</v>
      </c>
      <c r="X895" s="163">
        <v>0</v>
      </c>
      <c r="Y895" s="163">
        <v>17</v>
      </c>
      <c r="Z895" s="163">
        <v>17</v>
      </c>
      <c r="AA895" s="163">
        <v>0</v>
      </c>
      <c r="AB895" s="163">
        <v>0</v>
      </c>
      <c r="AC895" s="163">
        <v>12</v>
      </c>
      <c r="AD895" s="163">
        <v>5</v>
      </c>
      <c r="AE895" s="165">
        <v>0.54717370833286127</v>
      </c>
      <c r="AF895" s="166">
        <v>0.66442521726133164</v>
      </c>
    </row>
    <row r="896" spans="1:32">
      <c r="A896" s="161">
        <v>19</v>
      </c>
      <c r="B896" s="162">
        <v>0.625</v>
      </c>
      <c r="C896" s="163">
        <v>17.278404029892446</v>
      </c>
      <c r="D896" s="163">
        <v>859.17617474082908</v>
      </c>
      <c r="E896" s="164">
        <v>0.88403333333333334</v>
      </c>
      <c r="F896" s="164">
        <v>0.88403333333333334</v>
      </c>
      <c r="G896" s="163">
        <v>15</v>
      </c>
      <c r="H896" s="163">
        <v>29</v>
      </c>
      <c r="I896" s="163">
        <v>14</v>
      </c>
      <c r="J896" s="163">
        <v>12</v>
      </c>
      <c r="K896" s="163">
        <v>12.22753036437247</v>
      </c>
      <c r="L896" s="163">
        <v>0.22753036437246976</v>
      </c>
      <c r="M896" s="163">
        <v>14</v>
      </c>
      <c r="N896" s="163">
        <v>26.495276653171388</v>
      </c>
      <c r="O896" s="163">
        <v>12.495276653171388</v>
      </c>
      <c r="P896" s="163"/>
      <c r="Q896" s="163">
        <v>19</v>
      </c>
      <c r="R896" s="163">
        <v>0</v>
      </c>
      <c r="S896" s="163">
        <v>0</v>
      </c>
      <c r="T896" s="163">
        <v>0</v>
      </c>
      <c r="U896" s="163">
        <v>0</v>
      </c>
      <c r="V896" s="163">
        <v>0</v>
      </c>
      <c r="W896" s="163">
        <v>0</v>
      </c>
      <c r="X896" s="163">
        <v>0</v>
      </c>
      <c r="Y896" s="163">
        <v>19</v>
      </c>
      <c r="Z896" s="163">
        <v>19</v>
      </c>
      <c r="AA896" s="163">
        <v>0</v>
      </c>
      <c r="AB896" s="163">
        <v>0</v>
      </c>
      <c r="AC896" s="163">
        <v>12</v>
      </c>
      <c r="AD896" s="163">
        <v>7</v>
      </c>
      <c r="AE896" s="165">
        <v>0.53249097753014063</v>
      </c>
      <c r="AF896" s="166">
        <v>0.67448857153817821</v>
      </c>
    </row>
    <row r="897" spans="1:32">
      <c r="A897" s="161">
        <v>19</v>
      </c>
      <c r="B897" s="162">
        <v>0.64583333333333337</v>
      </c>
      <c r="C897" s="163">
        <v>16.745354820117711</v>
      </c>
      <c r="D897" s="163">
        <v>839.16587314372509</v>
      </c>
      <c r="E897" s="164">
        <v>0.81429999999999991</v>
      </c>
      <c r="F897" s="164">
        <v>0.81429999999999991</v>
      </c>
      <c r="G897" s="163">
        <v>15</v>
      </c>
      <c r="H897" s="163">
        <v>23.333333333333336</v>
      </c>
      <c r="I897" s="163">
        <v>8.3333333333333357</v>
      </c>
      <c r="J897" s="163">
        <v>12</v>
      </c>
      <c r="K897" s="163">
        <v>12.22753036437247</v>
      </c>
      <c r="L897" s="163">
        <v>0.22753036437246976</v>
      </c>
      <c r="M897" s="163">
        <v>14</v>
      </c>
      <c r="N897" s="163">
        <v>21.31803868645974</v>
      </c>
      <c r="O897" s="163">
        <v>7.3180386864597402</v>
      </c>
      <c r="P897" s="163"/>
      <c r="Q897" s="163">
        <v>14</v>
      </c>
      <c r="R897" s="163">
        <v>0</v>
      </c>
      <c r="S897" s="163">
        <v>0</v>
      </c>
      <c r="T897" s="163">
        <v>0</v>
      </c>
      <c r="U897" s="163">
        <v>0</v>
      </c>
      <c r="V897" s="163">
        <v>0</v>
      </c>
      <c r="W897" s="163">
        <v>0</v>
      </c>
      <c r="X897" s="163">
        <v>0</v>
      </c>
      <c r="Y897" s="163">
        <v>14</v>
      </c>
      <c r="Z897" s="163">
        <v>14</v>
      </c>
      <c r="AA897" s="163">
        <v>0</v>
      </c>
      <c r="AB897" s="163">
        <v>0</v>
      </c>
      <c r="AC897" s="163">
        <v>10</v>
      </c>
      <c r="AD897" s="163">
        <v>4</v>
      </c>
      <c r="AE897" s="165">
        <v>0.68405990611336343</v>
      </c>
      <c r="AF897" s="166">
        <v>0.63845591237247246</v>
      </c>
    </row>
    <row r="898" spans="1:32">
      <c r="A898" s="161">
        <v>19</v>
      </c>
      <c r="B898" s="162">
        <v>0.66666666666666663</v>
      </c>
      <c r="C898" s="163">
        <v>16.06525174611393</v>
      </c>
      <c r="D898" s="163">
        <v>873.87775008465781</v>
      </c>
      <c r="E898" s="164">
        <v>0.81450000000000011</v>
      </c>
      <c r="F898" s="164">
        <v>0.81450000000000011</v>
      </c>
      <c r="G898" s="163">
        <v>15</v>
      </c>
      <c r="H898" s="163">
        <v>23.333333333333336</v>
      </c>
      <c r="I898" s="163">
        <v>8.3333333333333357</v>
      </c>
      <c r="J898" s="163">
        <v>12</v>
      </c>
      <c r="K898" s="163">
        <v>12.22753036437247</v>
      </c>
      <c r="L898" s="163">
        <v>0.22753036437246976</v>
      </c>
      <c r="M898" s="163">
        <v>14</v>
      </c>
      <c r="N898" s="163">
        <v>21.31803868645974</v>
      </c>
      <c r="O898" s="163">
        <v>7.3180386864597402</v>
      </c>
      <c r="P898" s="163"/>
      <c r="Q898" s="163">
        <v>14</v>
      </c>
      <c r="R898" s="163">
        <v>0</v>
      </c>
      <c r="S898" s="163">
        <v>0</v>
      </c>
      <c r="T898" s="163">
        <v>0</v>
      </c>
      <c r="U898" s="163">
        <v>0</v>
      </c>
      <c r="V898" s="163">
        <v>0</v>
      </c>
      <c r="W898" s="163">
        <v>0</v>
      </c>
      <c r="X898" s="163">
        <v>0</v>
      </c>
      <c r="Y898" s="163">
        <v>14</v>
      </c>
      <c r="Z898" s="163">
        <v>14</v>
      </c>
      <c r="AA898" s="163">
        <v>0</v>
      </c>
      <c r="AB898" s="163">
        <v>0</v>
      </c>
      <c r="AC898" s="163">
        <v>10</v>
      </c>
      <c r="AD898" s="163">
        <v>4</v>
      </c>
      <c r="AE898" s="165">
        <v>0.68342393645842248</v>
      </c>
      <c r="AF898" s="166">
        <v>0.63786234069452763</v>
      </c>
    </row>
    <row r="899" spans="1:32">
      <c r="A899" s="161">
        <v>19</v>
      </c>
      <c r="B899" s="162">
        <v>0.6875</v>
      </c>
      <c r="C899" s="163">
        <v>15.299180797388962</v>
      </c>
      <c r="D899" s="163">
        <v>820.98525563258352</v>
      </c>
      <c r="E899" s="164">
        <v>0.76426666666666676</v>
      </c>
      <c r="F899" s="164">
        <v>0.76426666666666676</v>
      </c>
      <c r="G899" s="163">
        <v>14</v>
      </c>
      <c r="H899" s="163">
        <v>22</v>
      </c>
      <c r="I899" s="163">
        <v>8</v>
      </c>
      <c r="J899" s="163">
        <v>11</v>
      </c>
      <c r="K899" s="163">
        <v>11.412361673414306</v>
      </c>
      <c r="L899" s="163">
        <v>0.4123616734143063</v>
      </c>
      <c r="M899" s="163">
        <v>13</v>
      </c>
      <c r="N899" s="163">
        <v>20.099865047233468</v>
      </c>
      <c r="O899" s="163">
        <v>7.0998650472334681</v>
      </c>
      <c r="P899" s="163"/>
      <c r="Q899" s="163">
        <v>14</v>
      </c>
      <c r="R899" s="163">
        <v>0</v>
      </c>
      <c r="S899" s="163">
        <v>0</v>
      </c>
      <c r="T899" s="163">
        <v>0</v>
      </c>
      <c r="U899" s="163">
        <v>0</v>
      </c>
      <c r="V899" s="163">
        <v>0</v>
      </c>
      <c r="W899" s="163">
        <v>0</v>
      </c>
      <c r="X899" s="163">
        <v>0</v>
      </c>
      <c r="Y899" s="163">
        <v>14</v>
      </c>
      <c r="Z899" s="163">
        <v>14</v>
      </c>
      <c r="AA899" s="163">
        <v>0</v>
      </c>
      <c r="AB899" s="163">
        <v>0</v>
      </c>
      <c r="AC899" s="163">
        <v>10</v>
      </c>
      <c r="AD899" s="163">
        <v>4</v>
      </c>
      <c r="AE899" s="165">
        <v>0.61144233173312235</v>
      </c>
      <c r="AF899" s="166">
        <v>0.61144233173312235</v>
      </c>
    </row>
    <row r="900" spans="1:32">
      <c r="A900" s="161">
        <v>19</v>
      </c>
      <c r="B900" s="162">
        <v>0.70833333333333337</v>
      </c>
      <c r="C900" s="163">
        <v>15.435782196608864</v>
      </c>
      <c r="D900" s="163">
        <v>860.17212272153233</v>
      </c>
      <c r="E900" s="164">
        <v>0.62139999999999995</v>
      </c>
      <c r="F900" s="164">
        <v>0.62139999999999995</v>
      </c>
      <c r="G900" s="163">
        <v>14</v>
      </c>
      <c r="H900" s="163">
        <v>20</v>
      </c>
      <c r="I900" s="163">
        <v>6</v>
      </c>
      <c r="J900" s="163">
        <v>11</v>
      </c>
      <c r="K900" s="163">
        <v>11.412361673414306</v>
      </c>
      <c r="L900" s="163">
        <v>0.4123616734143063</v>
      </c>
      <c r="M900" s="163">
        <v>13</v>
      </c>
      <c r="N900" s="163">
        <v>18.27260458839406</v>
      </c>
      <c r="O900" s="163">
        <v>5.27260458839406</v>
      </c>
      <c r="P900" s="163"/>
      <c r="Q900" s="163">
        <v>12</v>
      </c>
      <c r="R900" s="163">
        <v>0</v>
      </c>
      <c r="S900" s="163">
        <v>0</v>
      </c>
      <c r="T900" s="163">
        <v>0</v>
      </c>
      <c r="U900" s="163">
        <v>0</v>
      </c>
      <c r="V900" s="163">
        <v>0</v>
      </c>
      <c r="W900" s="163">
        <v>0</v>
      </c>
      <c r="X900" s="163">
        <v>0</v>
      </c>
      <c r="Y900" s="163">
        <v>12</v>
      </c>
      <c r="Z900" s="163">
        <v>12</v>
      </c>
      <c r="AA900" s="163">
        <v>0</v>
      </c>
      <c r="AB900" s="163">
        <v>0</v>
      </c>
      <c r="AC900" s="163">
        <v>10</v>
      </c>
      <c r="AD900" s="163">
        <v>2</v>
      </c>
      <c r="AE900" s="165">
        <v>0.75407191021825681</v>
      </c>
      <c r="AF900" s="166">
        <v>0.64634735161564871</v>
      </c>
    </row>
    <row r="901" spans="1:32">
      <c r="A901" s="161">
        <v>19</v>
      </c>
      <c r="B901" s="162">
        <v>0.72916666666666663</v>
      </c>
      <c r="C901" s="163">
        <v>15.465449511941419</v>
      </c>
      <c r="D901" s="163">
        <v>804.23984709036324</v>
      </c>
      <c r="E901" s="164">
        <v>0.88713333333333333</v>
      </c>
      <c r="F901" s="164">
        <v>0.88713333333333333</v>
      </c>
      <c r="G901" s="163">
        <v>13</v>
      </c>
      <c r="H901" s="163">
        <v>22.666666666666664</v>
      </c>
      <c r="I901" s="163">
        <v>9.6666666666666643</v>
      </c>
      <c r="J901" s="163">
        <v>10</v>
      </c>
      <c r="K901" s="163">
        <v>10.597192982456141</v>
      </c>
      <c r="L901" s="163">
        <v>0.59719298245614105</v>
      </c>
      <c r="M901" s="163">
        <v>12</v>
      </c>
      <c r="N901" s="163">
        <v>20.708951866846601</v>
      </c>
      <c r="O901" s="163">
        <v>8.7089518668466006</v>
      </c>
      <c r="P901" s="163"/>
      <c r="Q901" s="163">
        <v>12</v>
      </c>
      <c r="R901" s="163">
        <v>0</v>
      </c>
      <c r="S901" s="163">
        <v>0</v>
      </c>
      <c r="T901" s="163">
        <v>0</v>
      </c>
      <c r="U901" s="163">
        <v>0</v>
      </c>
      <c r="V901" s="163">
        <v>0</v>
      </c>
      <c r="W901" s="163">
        <v>0</v>
      </c>
      <c r="X901" s="163">
        <v>0</v>
      </c>
      <c r="Y901" s="163">
        <v>12</v>
      </c>
      <c r="Z901" s="163">
        <v>12</v>
      </c>
      <c r="AA901" s="163">
        <v>0</v>
      </c>
      <c r="AB901" s="163">
        <v>0</v>
      </c>
      <c r="AC901" s="163">
        <v>10</v>
      </c>
      <c r="AD901" s="163">
        <v>2</v>
      </c>
      <c r="AE901" s="165">
        <v>0.70639382220246461</v>
      </c>
      <c r="AF901" s="166">
        <v>0.65205583587919824</v>
      </c>
    </row>
    <row r="902" spans="1:32">
      <c r="A902" s="161">
        <v>19</v>
      </c>
      <c r="B902" s="162">
        <v>0.75</v>
      </c>
      <c r="C902" s="163">
        <v>14.590643244049026</v>
      </c>
      <c r="D902" s="163">
        <v>837.74129111163472</v>
      </c>
      <c r="E902" s="164">
        <v>0.97889999999999999</v>
      </c>
      <c r="F902" s="164">
        <v>0.97889999999999999</v>
      </c>
      <c r="G902" s="163">
        <v>13</v>
      </c>
      <c r="H902" s="163">
        <v>26.666666666666664</v>
      </c>
      <c r="I902" s="163">
        <v>13.666666666666664</v>
      </c>
      <c r="J902" s="163">
        <v>10</v>
      </c>
      <c r="K902" s="163">
        <v>10.597192982456141</v>
      </c>
      <c r="L902" s="163">
        <v>0.59719298245614105</v>
      </c>
      <c r="M902" s="163">
        <v>12</v>
      </c>
      <c r="N902" s="163">
        <v>24.363472784525413</v>
      </c>
      <c r="O902" s="163">
        <v>12.363472784525413</v>
      </c>
      <c r="P902" s="163"/>
      <c r="Q902" s="163">
        <v>16</v>
      </c>
      <c r="R902" s="163">
        <v>0</v>
      </c>
      <c r="S902" s="163">
        <v>0</v>
      </c>
      <c r="T902" s="163">
        <v>0</v>
      </c>
      <c r="U902" s="163">
        <v>0</v>
      </c>
      <c r="V902" s="163">
        <v>0</v>
      </c>
      <c r="W902" s="163">
        <v>0</v>
      </c>
      <c r="X902" s="163">
        <v>0</v>
      </c>
      <c r="Y902" s="163">
        <v>16</v>
      </c>
      <c r="Z902" s="163">
        <v>16</v>
      </c>
      <c r="AA902" s="163">
        <v>0</v>
      </c>
      <c r="AB902" s="163">
        <v>0</v>
      </c>
      <c r="AC902" s="163">
        <v>14</v>
      </c>
      <c r="AD902" s="163">
        <v>2</v>
      </c>
      <c r="AE902" s="165">
        <v>0.5206482125263614</v>
      </c>
      <c r="AF902" s="166">
        <v>0.64079780003244469</v>
      </c>
    </row>
    <row r="903" spans="1:32">
      <c r="A903" s="161">
        <v>19</v>
      </c>
      <c r="B903" s="162">
        <v>0.77083333333333337</v>
      </c>
      <c r="C903" s="163">
        <v>14.201633235820758</v>
      </c>
      <c r="D903" s="163">
        <v>772.93167039221066</v>
      </c>
      <c r="E903" s="164">
        <v>0.9909</v>
      </c>
      <c r="F903" s="164">
        <v>0.9909</v>
      </c>
      <c r="G903" s="163">
        <v>12</v>
      </c>
      <c r="H903" s="163">
        <v>26.666666666666664</v>
      </c>
      <c r="I903" s="163">
        <v>14.666666666666664</v>
      </c>
      <c r="J903" s="163">
        <v>9</v>
      </c>
      <c r="K903" s="163">
        <v>9.7820242914979758</v>
      </c>
      <c r="L903" s="163">
        <v>0.78202429149797581</v>
      </c>
      <c r="M903" s="163">
        <v>11</v>
      </c>
      <c r="N903" s="163">
        <v>24.363472784525413</v>
      </c>
      <c r="O903" s="163">
        <v>13.363472784525413</v>
      </c>
      <c r="P903" s="163"/>
      <c r="Q903" s="163">
        <v>16</v>
      </c>
      <c r="R903" s="163">
        <v>0</v>
      </c>
      <c r="S903" s="163">
        <v>0</v>
      </c>
      <c r="T903" s="163">
        <v>0</v>
      </c>
      <c r="U903" s="163">
        <v>0</v>
      </c>
      <c r="V903" s="163">
        <v>0</v>
      </c>
      <c r="W903" s="163">
        <v>0</v>
      </c>
      <c r="X903" s="163">
        <v>0</v>
      </c>
      <c r="Y903" s="163">
        <v>16</v>
      </c>
      <c r="Z903" s="163">
        <v>16</v>
      </c>
      <c r="AA903" s="163">
        <v>0</v>
      </c>
      <c r="AB903" s="163">
        <v>0</v>
      </c>
      <c r="AC903" s="163">
        <v>14</v>
      </c>
      <c r="AD903" s="163">
        <v>2</v>
      </c>
      <c r="AE903" s="165">
        <v>0.46756222485909754</v>
      </c>
      <c r="AF903" s="166">
        <v>0.62341629981212998</v>
      </c>
    </row>
    <row r="904" spans="1:32">
      <c r="A904" s="161">
        <v>19</v>
      </c>
      <c r="B904" s="162">
        <v>0.79166666666666663</v>
      </c>
      <c r="C904" s="163">
        <v>13.993928104012875</v>
      </c>
      <c r="D904" s="163">
        <v>811.95645597542853</v>
      </c>
      <c r="E904" s="164">
        <v>0.94359999999999999</v>
      </c>
      <c r="F904" s="164">
        <v>0.94359999999999999</v>
      </c>
      <c r="G904" s="163">
        <v>13</v>
      </c>
      <c r="H904" s="163">
        <v>23.333333333333336</v>
      </c>
      <c r="I904" s="163">
        <v>10.333333333333336</v>
      </c>
      <c r="J904" s="163">
        <v>10</v>
      </c>
      <c r="K904" s="163">
        <v>10.597192982456141</v>
      </c>
      <c r="L904" s="163">
        <v>0.59719298245614105</v>
      </c>
      <c r="M904" s="163">
        <v>12</v>
      </c>
      <c r="N904" s="163">
        <v>21.31803868645974</v>
      </c>
      <c r="O904" s="163">
        <v>9.3180386864597402</v>
      </c>
      <c r="P904" s="163"/>
      <c r="Q904" s="163">
        <v>14</v>
      </c>
      <c r="R904" s="163">
        <v>0</v>
      </c>
      <c r="S904" s="163">
        <v>0</v>
      </c>
      <c r="T904" s="163">
        <v>0</v>
      </c>
      <c r="U904" s="163">
        <v>0</v>
      </c>
      <c r="V904" s="163">
        <v>0</v>
      </c>
      <c r="W904" s="163">
        <v>0</v>
      </c>
      <c r="X904" s="163">
        <v>0</v>
      </c>
      <c r="Y904" s="163">
        <v>14</v>
      </c>
      <c r="Z904" s="163">
        <v>14</v>
      </c>
      <c r="AA904" s="163">
        <v>0</v>
      </c>
      <c r="AB904" s="163">
        <v>0</v>
      </c>
      <c r="AC904" s="163">
        <v>12</v>
      </c>
      <c r="AD904" s="163">
        <v>2</v>
      </c>
      <c r="AE904" s="165">
        <v>0.55312634734095634</v>
      </c>
      <c r="AF904" s="166">
        <v>0.59567452790564535</v>
      </c>
    </row>
    <row r="905" spans="1:32">
      <c r="A905" s="161">
        <v>19</v>
      </c>
      <c r="B905" s="162">
        <v>0.8125</v>
      </c>
      <c r="C905" s="163">
        <v>12.239753792990617</v>
      </c>
      <c r="D905" s="163">
        <v>791.06933300853382</v>
      </c>
      <c r="E905" s="164">
        <v>0.97960000000000003</v>
      </c>
      <c r="F905" s="164">
        <v>0.97960000000000003</v>
      </c>
      <c r="G905" s="163">
        <v>12</v>
      </c>
      <c r="H905" s="163">
        <v>23.333333333333336</v>
      </c>
      <c r="I905" s="163">
        <v>11.333333333333336</v>
      </c>
      <c r="J905" s="163">
        <v>9</v>
      </c>
      <c r="K905" s="163">
        <v>9.7820242914979758</v>
      </c>
      <c r="L905" s="163">
        <v>0.78202429149797581</v>
      </c>
      <c r="M905" s="163">
        <v>11</v>
      </c>
      <c r="N905" s="163">
        <v>21.31803868645974</v>
      </c>
      <c r="O905" s="163">
        <v>10.31803868645974</v>
      </c>
      <c r="P905" s="163"/>
      <c r="Q905" s="163">
        <v>14</v>
      </c>
      <c r="R905" s="163">
        <v>0</v>
      </c>
      <c r="S905" s="163">
        <v>0</v>
      </c>
      <c r="T905" s="163">
        <v>0</v>
      </c>
      <c r="U905" s="163">
        <v>0</v>
      </c>
      <c r="V905" s="163">
        <v>0</v>
      </c>
      <c r="W905" s="163">
        <v>0</v>
      </c>
      <c r="X905" s="163">
        <v>0</v>
      </c>
      <c r="Y905" s="163">
        <v>14</v>
      </c>
      <c r="Z905" s="163">
        <v>14</v>
      </c>
      <c r="AA905" s="163">
        <v>0</v>
      </c>
      <c r="AB905" s="163">
        <v>0</v>
      </c>
      <c r="AC905" s="163">
        <v>12</v>
      </c>
      <c r="AD905" s="163">
        <v>2</v>
      </c>
      <c r="AE905" s="165">
        <v>0.47134531962855081</v>
      </c>
      <c r="AF905" s="166">
        <v>0.54990287289997597</v>
      </c>
    </row>
    <row r="906" spans="1:32">
      <c r="A906" s="161">
        <v>19</v>
      </c>
      <c r="B906" s="162">
        <v>0.83333333333333337</v>
      </c>
      <c r="C906" s="163">
        <v>12.526914572434716</v>
      </c>
      <c r="D906" s="163">
        <v>766.26183922387759</v>
      </c>
      <c r="E906" s="164">
        <v>0.86073333333333324</v>
      </c>
      <c r="F906" s="164">
        <v>0.86073333333333324</v>
      </c>
      <c r="G906" s="163">
        <v>12</v>
      </c>
      <c r="H906" s="163">
        <v>20.666666666666668</v>
      </c>
      <c r="I906" s="163">
        <v>8.6666666666666679</v>
      </c>
      <c r="J906" s="163">
        <v>9</v>
      </c>
      <c r="K906" s="163">
        <v>9.7820242914979758</v>
      </c>
      <c r="L906" s="163">
        <v>0.78202429149797581</v>
      </c>
      <c r="M906" s="163">
        <v>11</v>
      </c>
      <c r="N906" s="163">
        <v>18.881691408007196</v>
      </c>
      <c r="O906" s="163">
        <v>7.881691408007196</v>
      </c>
      <c r="P906" s="163"/>
      <c r="Q906" s="163">
        <v>14</v>
      </c>
      <c r="R906" s="163">
        <v>0</v>
      </c>
      <c r="S906" s="163">
        <v>0</v>
      </c>
      <c r="T906" s="163">
        <v>0</v>
      </c>
      <c r="U906" s="163">
        <v>0</v>
      </c>
      <c r="V906" s="163">
        <v>0</v>
      </c>
      <c r="W906" s="163">
        <v>0</v>
      </c>
      <c r="X906" s="163">
        <v>0</v>
      </c>
      <c r="Y906" s="163">
        <v>14</v>
      </c>
      <c r="Z906" s="163">
        <v>14</v>
      </c>
      <c r="AA906" s="163">
        <v>0</v>
      </c>
      <c r="AB906" s="163">
        <v>0</v>
      </c>
      <c r="AC906" s="163">
        <v>12</v>
      </c>
      <c r="AD906" s="163">
        <v>2</v>
      </c>
      <c r="AE906" s="165">
        <v>0.46727579146018638</v>
      </c>
      <c r="AF906" s="166">
        <v>0.54515509003688412</v>
      </c>
    </row>
    <row r="907" spans="1:32">
      <c r="A907" s="161">
        <v>19</v>
      </c>
      <c r="B907" s="162">
        <v>0.85416666666666663</v>
      </c>
      <c r="C907" s="163">
        <v>11.175528029736672</v>
      </c>
      <c r="D907" s="163">
        <v>743.56382000819269</v>
      </c>
      <c r="E907" s="164">
        <v>0.71209999999999996</v>
      </c>
      <c r="F907" s="164">
        <v>0.71209999999999996</v>
      </c>
      <c r="G907" s="163">
        <v>10</v>
      </c>
      <c r="H907" s="163">
        <v>15.333333333333332</v>
      </c>
      <c r="I907" s="163">
        <v>5.3333333333333321</v>
      </c>
      <c r="J907" s="163">
        <v>8</v>
      </c>
      <c r="K907" s="163">
        <v>8.1516869095816471</v>
      </c>
      <c r="L907" s="163">
        <v>0.1516869095816471</v>
      </c>
      <c r="M907" s="163">
        <v>9</v>
      </c>
      <c r="N907" s="163">
        <v>14.008996851102113</v>
      </c>
      <c r="O907" s="163">
        <v>5.008996851102113</v>
      </c>
      <c r="P907" s="163"/>
      <c r="Q907" s="163">
        <v>10</v>
      </c>
      <c r="R907" s="163">
        <v>0</v>
      </c>
      <c r="S907" s="163">
        <v>0</v>
      </c>
      <c r="T907" s="163">
        <v>0</v>
      </c>
      <c r="U907" s="163">
        <v>0</v>
      </c>
      <c r="V907" s="163">
        <v>0</v>
      </c>
      <c r="W907" s="163">
        <v>0</v>
      </c>
      <c r="X907" s="163">
        <v>0</v>
      </c>
      <c r="Y907" s="163">
        <v>10</v>
      </c>
      <c r="Z907" s="163">
        <v>10</v>
      </c>
      <c r="AA907" s="163">
        <v>0</v>
      </c>
      <c r="AB907" s="163">
        <v>0</v>
      </c>
      <c r="AC907" s="163">
        <v>8</v>
      </c>
      <c r="AD907" s="163">
        <v>2</v>
      </c>
      <c r="AE907" s="165">
        <v>0.56632574640827016</v>
      </c>
      <c r="AF907" s="166">
        <v>0.56632574640827016</v>
      </c>
    </row>
    <row r="908" spans="1:32">
      <c r="A908" s="161">
        <v>19</v>
      </c>
      <c r="B908" s="162">
        <v>0.875</v>
      </c>
      <c r="C908" s="163">
        <v>9.4517372680659513</v>
      </c>
      <c r="D908" s="163">
        <v>718.64753351692593</v>
      </c>
      <c r="E908" s="164">
        <v>0.80489999999999995</v>
      </c>
      <c r="F908" s="164">
        <v>0.80489999999999995</v>
      </c>
      <c r="G908" s="163">
        <v>9</v>
      </c>
      <c r="H908" s="163">
        <v>13.333333333333332</v>
      </c>
      <c r="I908" s="163">
        <v>4.3333333333333321</v>
      </c>
      <c r="J908" s="163">
        <v>7</v>
      </c>
      <c r="K908" s="163">
        <v>7.3365182186234819</v>
      </c>
      <c r="L908" s="163">
        <v>0.33651821862348186</v>
      </c>
      <c r="M908" s="163">
        <v>8</v>
      </c>
      <c r="N908" s="163">
        <v>12.181736392262707</v>
      </c>
      <c r="O908" s="163">
        <v>4.1817363922627067</v>
      </c>
      <c r="P908" s="163"/>
      <c r="Q908" s="163">
        <v>8</v>
      </c>
      <c r="R908" s="163">
        <v>0</v>
      </c>
      <c r="S908" s="163">
        <v>0</v>
      </c>
      <c r="T908" s="163">
        <v>0</v>
      </c>
      <c r="U908" s="163">
        <v>0</v>
      </c>
      <c r="V908" s="163">
        <v>0</v>
      </c>
      <c r="W908" s="163">
        <v>0</v>
      </c>
      <c r="X908" s="163">
        <v>0</v>
      </c>
      <c r="Y908" s="163">
        <v>8</v>
      </c>
      <c r="Z908" s="163">
        <v>8</v>
      </c>
      <c r="AA908" s="163">
        <v>0</v>
      </c>
      <c r="AB908" s="163">
        <v>0</v>
      </c>
      <c r="AC908" s="163">
        <v>6</v>
      </c>
      <c r="AD908" s="163">
        <v>2</v>
      </c>
      <c r="AE908" s="165">
        <v>0.57865218492737935</v>
      </c>
      <c r="AF908" s="166">
        <v>0.51435749771322603</v>
      </c>
    </row>
    <row r="909" spans="1:32">
      <c r="A909" s="161">
        <v>19</v>
      </c>
      <c r="B909" s="162">
        <v>0.89583333333333337</v>
      </c>
      <c r="C909" s="163">
        <v>7.7471891917335807</v>
      </c>
      <c r="D909" s="163">
        <v>694.67388136362126</v>
      </c>
      <c r="E909" s="164">
        <v>0.91749999999999998</v>
      </c>
      <c r="F909" s="164">
        <v>0.91749999999999998</v>
      </c>
      <c r="G909" s="163">
        <v>8</v>
      </c>
      <c r="H909" s="163">
        <v>13.333333333333332</v>
      </c>
      <c r="I909" s="163">
        <v>5.3333333333333321</v>
      </c>
      <c r="J909" s="163">
        <v>6</v>
      </c>
      <c r="K909" s="163">
        <v>6.5213495276653175</v>
      </c>
      <c r="L909" s="163">
        <v>0.5213495276653175</v>
      </c>
      <c r="M909" s="163">
        <v>7</v>
      </c>
      <c r="N909" s="163">
        <v>12.181736392262707</v>
      </c>
      <c r="O909" s="163">
        <v>5.1817363922627067</v>
      </c>
      <c r="P909" s="163"/>
      <c r="Q909" s="163">
        <v>8</v>
      </c>
      <c r="R909" s="163">
        <v>0</v>
      </c>
      <c r="S909" s="163">
        <v>0</v>
      </c>
      <c r="T909" s="163">
        <v>0</v>
      </c>
      <c r="U909" s="163">
        <v>0</v>
      </c>
      <c r="V909" s="163">
        <v>0</v>
      </c>
      <c r="W909" s="163">
        <v>0</v>
      </c>
      <c r="X909" s="163">
        <v>0</v>
      </c>
      <c r="Y909" s="163">
        <v>8</v>
      </c>
      <c r="Z909" s="163">
        <v>8</v>
      </c>
      <c r="AA909" s="163">
        <v>0</v>
      </c>
      <c r="AB909" s="163">
        <v>0</v>
      </c>
      <c r="AC909" s="163">
        <v>6</v>
      </c>
      <c r="AD909" s="163">
        <v>2</v>
      </c>
      <c r="AE909" s="165">
        <v>0.45847446168490702</v>
      </c>
      <c r="AF909" s="166">
        <v>0.45847446168490702</v>
      </c>
    </row>
    <row r="910" spans="1:32">
      <c r="A910" s="161">
        <v>19</v>
      </c>
      <c r="B910" s="162">
        <v>0.91666666666666663</v>
      </c>
      <c r="C910" s="163">
        <v>4.2884425292607737</v>
      </c>
      <c r="D910" s="163">
        <v>682.6971104898422</v>
      </c>
      <c r="E910" s="164">
        <v>0.94620000000000004</v>
      </c>
      <c r="F910" s="164">
        <v>0.94620000000000004</v>
      </c>
      <c r="G910" s="163">
        <v>5</v>
      </c>
      <c r="H910" s="163">
        <v>12</v>
      </c>
      <c r="I910" s="163">
        <v>7</v>
      </c>
      <c r="J910" s="163">
        <v>4</v>
      </c>
      <c r="K910" s="163">
        <v>4.0758434547908236</v>
      </c>
      <c r="L910" s="163">
        <v>7.584345479082355E-2</v>
      </c>
      <c r="M910" s="163">
        <v>5</v>
      </c>
      <c r="N910" s="163">
        <v>10.963562753036436</v>
      </c>
      <c r="O910" s="163">
        <v>5.9635627530364363</v>
      </c>
      <c r="P910" s="163"/>
      <c r="Q910" s="163">
        <v>8</v>
      </c>
      <c r="R910" s="163">
        <v>0</v>
      </c>
      <c r="S910" s="163">
        <v>0</v>
      </c>
      <c r="T910" s="163">
        <v>0</v>
      </c>
      <c r="U910" s="163">
        <v>0</v>
      </c>
      <c r="V910" s="163">
        <v>0</v>
      </c>
      <c r="W910" s="163">
        <v>0</v>
      </c>
      <c r="X910" s="163">
        <v>0</v>
      </c>
      <c r="Y910" s="163">
        <v>8</v>
      </c>
      <c r="Z910" s="163">
        <v>8</v>
      </c>
      <c r="AA910" s="163">
        <v>0</v>
      </c>
      <c r="AB910" s="163">
        <v>0</v>
      </c>
      <c r="AC910" s="163">
        <v>6</v>
      </c>
      <c r="AD910" s="163">
        <v>2</v>
      </c>
      <c r="AE910" s="165">
        <v>0.24941219015481036</v>
      </c>
      <c r="AF910" s="166">
        <v>0.39905950424769659</v>
      </c>
    </row>
    <row r="911" spans="1:32">
      <c r="A911" s="161">
        <v>19</v>
      </c>
      <c r="B911" s="162">
        <v>0.9375</v>
      </c>
      <c r="C911" s="163">
        <v>3.4327908033756782</v>
      </c>
      <c r="D911" s="163">
        <v>679.72912573663245</v>
      </c>
      <c r="E911" s="164">
        <v>0.92309999999999992</v>
      </c>
      <c r="F911" s="164">
        <v>0.92309999999999992</v>
      </c>
      <c r="G911" s="163">
        <v>4</v>
      </c>
      <c r="H911" s="163">
        <v>9.3333333333333339</v>
      </c>
      <c r="I911" s="163">
        <v>5.3333333333333339</v>
      </c>
      <c r="J911" s="163">
        <v>3</v>
      </c>
      <c r="K911" s="163">
        <v>3.2606747638326588</v>
      </c>
      <c r="L911" s="163">
        <v>0.26067476383265875</v>
      </c>
      <c r="M911" s="163">
        <v>4</v>
      </c>
      <c r="N911" s="163">
        <v>8.5272154745838957</v>
      </c>
      <c r="O911" s="163">
        <v>4.5272154745838957</v>
      </c>
      <c r="P911" s="163"/>
      <c r="Q911" s="163">
        <v>6</v>
      </c>
      <c r="R911" s="163">
        <v>0</v>
      </c>
      <c r="S911" s="163">
        <v>0</v>
      </c>
      <c r="T911" s="163">
        <v>0</v>
      </c>
      <c r="U911" s="163">
        <v>0</v>
      </c>
      <c r="V911" s="163">
        <v>0</v>
      </c>
      <c r="W911" s="163">
        <v>0</v>
      </c>
      <c r="X911" s="163">
        <v>0</v>
      </c>
      <c r="Y911" s="163">
        <v>6</v>
      </c>
      <c r="Z911" s="163">
        <v>6</v>
      </c>
      <c r="AA911" s="163">
        <v>0</v>
      </c>
      <c r="AB911" s="163">
        <v>0</v>
      </c>
      <c r="AC911" s="163">
        <v>4</v>
      </c>
      <c r="AD911" s="163">
        <v>2</v>
      </c>
      <c r="AE911" s="165">
        <v>0.26504033453863407</v>
      </c>
      <c r="AF911" s="166">
        <v>0.39756050180795116</v>
      </c>
    </row>
    <row r="912" spans="1:32">
      <c r="A912" s="161">
        <v>19</v>
      </c>
      <c r="B912" s="162">
        <v>0.95833333333333337</v>
      </c>
      <c r="C912" s="163">
        <v>2.5261725457580515</v>
      </c>
      <c r="D912" s="163">
        <v>646.01259269313391</v>
      </c>
      <c r="E912" s="164">
        <v>0.93579999999999997</v>
      </c>
      <c r="F912" s="164">
        <v>0.93579999999999997</v>
      </c>
      <c r="G912" s="163">
        <v>4</v>
      </c>
      <c r="H912" s="163">
        <v>6.6666666666666661</v>
      </c>
      <c r="I912" s="163">
        <v>2.6666666666666661</v>
      </c>
      <c r="J912" s="163">
        <v>3</v>
      </c>
      <c r="K912" s="163">
        <v>3.2606747638326588</v>
      </c>
      <c r="L912" s="163">
        <v>0.26067476383265875</v>
      </c>
      <c r="M912" s="163">
        <v>4</v>
      </c>
      <c r="N912" s="163">
        <v>6.0908681961313533</v>
      </c>
      <c r="O912" s="163">
        <v>2.0908681961313533</v>
      </c>
      <c r="P912" s="163"/>
      <c r="Q912" s="163">
        <v>4</v>
      </c>
      <c r="R912" s="163">
        <v>0</v>
      </c>
      <c r="S912" s="163">
        <v>0</v>
      </c>
      <c r="T912" s="163">
        <v>0</v>
      </c>
      <c r="U912" s="163">
        <v>0</v>
      </c>
      <c r="V912" s="163">
        <v>0</v>
      </c>
      <c r="W912" s="163">
        <v>0</v>
      </c>
      <c r="X912" s="163">
        <v>0</v>
      </c>
      <c r="Y912" s="163">
        <v>4</v>
      </c>
      <c r="Z912" s="163">
        <v>4</v>
      </c>
      <c r="AA912" s="163">
        <v>0</v>
      </c>
      <c r="AB912" s="163">
        <v>0</v>
      </c>
      <c r="AC912" s="163">
        <v>4</v>
      </c>
      <c r="AD912" s="163">
        <v>0</v>
      </c>
      <c r="AE912" s="165">
        <v>0.27805070934955822</v>
      </c>
      <c r="AF912" s="166">
        <v>0.27805070934955822</v>
      </c>
    </row>
    <row r="913" spans="1:32">
      <c r="A913" s="161">
        <v>19</v>
      </c>
      <c r="B913" s="162">
        <v>0.97916666666666663</v>
      </c>
      <c r="C913" s="163">
        <v>1.8798743648189316</v>
      </c>
      <c r="D913" s="163">
        <v>645.88537695424964</v>
      </c>
      <c r="E913" s="164">
        <v>0.96970000000000001</v>
      </c>
      <c r="F913" s="164">
        <v>0.96970000000000001</v>
      </c>
      <c r="G913" s="163">
        <v>3</v>
      </c>
      <c r="H913" s="163">
        <v>6.6666666666666661</v>
      </c>
      <c r="I913" s="163">
        <v>3.6666666666666661</v>
      </c>
      <c r="J913" s="163">
        <v>2</v>
      </c>
      <c r="K913" s="163">
        <v>2.445506072874494</v>
      </c>
      <c r="L913" s="163">
        <v>0.44550607287449395</v>
      </c>
      <c r="M913" s="163">
        <v>3</v>
      </c>
      <c r="N913" s="163">
        <v>6.0908681961313533</v>
      </c>
      <c r="O913" s="163">
        <v>3.0908681961313533</v>
      </c>
      <c r="P913" s="163"/>
      <c r="Q913" s="163">
        <v>4</v>
      </c>
      <c r="R913" s="163">
        <v>0</v>
      </c>
      <c r="S913" s="163">
        <v>0</v>
      </c>
      <c r="T913" s="163">
        <v>0</v>
      </c>
      <c r="U913" s="163">
        <v>0</v>
      </c>
      <c r="V913" s="163">
        <v>0</v>
      </c>
      <c r="W913" s="163">
        <v>0</v>
      </c>
      <c r="X913" s="163">
        <v>0</v>
      </c>
      <c r="Y913" s="163">
        <v>4</v>
      </c>
      <c r="Z913" s="163">
        <v>4</v>
      </c>
      <c r="AA913" s="163">
        <v>0</v>
      </c>
      <c r="AB913" s="163">
        <v>0</v>
      </c>
      <c r="AC913" s="163">
        <v>4</v>
      </c>
      <c r="AD913" s="163">
        <v>0</v>
      </c>
      <c r="AE913" s="165">
        <v>0.20687322762750496</v>
      </c>
      <c r="AF913" s="166">
        <v>0.27583097017000657</v>
      </c>
    </row>
    <row r="914" spans="1:32">
      <c r="A914" s="161">
        <v>20</v>
      </c>
      <c r="B914" s="162">
        <v>0</v>
      </c>
      <c r="C914" s="163">
        <v>1.133680545308853</v>
      </c>
      <c r="D914" s="163">
        <v>639.75063226661086</v>
      </c>
      <c r="E914" s="164">
        <v>0.99239999999999995</v>
      </c>
      <c r="F914" s="164">
        <v>0.99239999999999995</v>
      </c>
      <c r="G914" s="163">
        <v>3</v>
      </c>
      <c r="H914" s="163">
        <v>6.6666666666666661</v>
      </c>
      <c r="I914" s="163">
        <v>3.6666666666666661</v>
      </c>
      <c r="J914" s="163">
        <v>2</v>
      </c>
      <c r="K914" s="163">
        <v>2.445506072874494</v>
      </c>
      <c r="L914" s="163">
        <v>0.44550607287449395</v>
      </c>
      <c r="M914" s="163">
        <v>3</v>
      </c>
      <c r="N914" s="163">
        <v>6.0908681961313533</v>
      </c>
      <c r="O914" s="163">
        <v>3.0908681961313533</v>
      </c>
      <c r="P914" s="163"/>
      <c r="Q914" s="163">
        <v>4</v>
      </c>
      <c r="R914" s="163">
        <v>0</v>
      </c>
      <c r="S914" s="163">
        <v>0</v>
      </c>
      <c r="T914" s="163">
        <v>0</v>
      </c>
      <c r="U914" s="163">
        <v>0</v>
      </c>
      <c r="V914" s="163">
        <v>0</v>
      </c>
      <c r="W914" s="163">
        <v>0</v>
      </c>
      <c r="X914" s="163">
        <v>0</v>
      </c>
      <c r="Y914" s="163">
        <v>4</v>
      </c>
      <c r="Z914" s="163">
        <v>4</v>
      </c>
      <c r="AA914" s="163">
        <v>0</v>
      </c>
      <c r="AB914" s="163">
        <v>0</v>
      </c>
      <c r="AC914" s="163">
        <v>4</v>
      </c>
      <c r="AD914" s="163">
        <v>0</v>
      </c>
      <c r="AE914" s="165">
        <v>0.12357238543492886</v>
      </c>
      <c r="AF914" s="166">
        <v>0.16476318057990513</v>
      </c>
    </row>
    <row r="915" spans="1:32">
      <c r="A915" s="161">
        <v>20</v>
      </c>
      <c r="B915" s="162">
        <v>2.0833333333333332E-2</v>
      </c>
      <c r="C915" s="163">
        <v>0.7920585188183713</v>
      </c>
      <c r="D915" s="163">
        <v>639.63024633406428</v>
      </c>
      <c r="E915" s="164">
        <v>0.99719999999999998</v>
      </c>
      <c r="F915" s="164">
        <v>0.99719999999999998</v>
      </c>
      <c r="G915" s="163">
        <v>3</v>
      </c>
      <c r="H915" s="163">
        <v>6.6666666666666661</v>
      </c>
      <c r="I915" s="163">
        <v>3.6666666666666661</v>
      </c>
      <c r="J915" s="163">
        <v>2</v>
      </c>
      <c r="K915" s="163">
        <v>2.445506072874494</v>
      </c>
      <c r="L915" s="163">
        <v>0.44550607287449395</v>
      </c>
      <c r="M915" s="163">
        <v>3</v>
      </c>
      <c r="N915" s="163">
        <v>6.0908681961313533</v>
      </c>
      <c r="O915" s="163">
        <v>3.0908681961313533</v>
      </c>
      <c r="P915" s="163"/>
      <c r="Q915" s="163">
        <v>4</v>
      </c>
      <c r="R915" s="163">
        <v>0</v>
      </c>
      <c r="S915" s="163">
        <v>0</v>
      </c>
      <c r="T915" s="163">
        <v>0</v>
      </c>
      <c r="U915" s="163">
        <v>0</v>
      </c>
      <c r="V915" s="163">
        <v>0</v>
      </c>
      <c r="W915" s="163">
        <v>0</v>
      </c>
      <c r="X915" s="163">
        <v>0</v>
      </c>
      <c r="Y915" s="163">
        <v>4</v>
      </c>
      <c r="Z915" s="163">
        <v>4</v>
      </c>
      <c r="AA915" s="163">
        <v>0</v>
      </c>
      <c r="AB915" s="163">
        <v>0</v>
      </c>
      <c r="AC915" s="163">
        <v>4</v>
      </c>
      <c r="AD915" s="163">
        <v>0</v>
      </c>
      <c r="AE915" s="165">
        <v>8.6318974887968816E-2</v>
      </c>
      <c r="AF915" s="166">
        <v>0.11509196651729175</v>
      </c>
    </row>
    <row r="916" spans="1:32">
      <c r="A916" s="161">
        <v>20</v>
      </c>
      <c r="B916" s="162">
        <v>4.1666666666666664E-2</v>
      </c>
      <c r="C916" s="163">
        <v>0.60402914078072034</v>
      </c>
      <c r="D916" s="163">
        <v>606.14942697723427</v>
      </c>
      <c r="E916" s="164">
        <v>0.99890000000000001</v>
      </c>
      <c r="F916" s="164">
        <v>0.99890000000000001</v>
      </c>
      <c r="G916" s="163">
        <v>2</v>
      </c>
      <c r="H916" s="163">
        <v>6.6666666666666661</v>
      </c>
      <c r="I916" s="163">
        <v>4.6666666666666661</v>
      </c>
      <c r="J916" s="163">
        <v>1</v>
      </c>
      <c r="K916" s="163">
        <v>1.6303373819163294</v>
      </c>
      <c r="L916" s="163">
        <v>0.63033738191632938</v>
      </c>
      <c r="M916" s="163">
        <v>2</v>
      </c>
      <c r="N916" s="163">
        <v>6.0908681961313533</v>
      </c>
      <c r="O916" s="163">
        <v>4.0908681961313533</v>
      </c>
      <c r="P916" s="163"/>
      <c r="Q916" s="163">
        <v>4</v>
      </c>
      <c r="R916" s="163">
        <v>0</v>
      </c>
      <c r="S916" s="163">
        <v>0</v>
      </c>
      <c r="T916" s="163">
        <v>0</v>
      </c>
      <c r="U916" s="163">
        <v>0</v>
      </c>
      <c r="V916" s="163">
        <v>0</v>
      </c>
      <c r="W916" s="163">
        <v>0</v>
      </c>
      <c r="X916" s="163">
        <v>0</v>
      </c>
      <c r="Y916" s="163">
        <v>4</v>
      </c>
      <c r="Z916" s="163">
        <v>4</v>
      </c>
      <c r="AA916" s="163">
        <v>0</v>
      </c>
      <c r="AB916" s="163">
        <v>0</v>
      </c>
      <c r="AC916" s="163">
        <v>4</v>
      </c>
      <c r="AD916" s="163">
        <v>0</v>
      </c>
      <c r="AE916" s="165">
        <v>6.2381757028894917E-2</v>
      </c>
      <c r="AF916" s="166">
        <v>0.12476351405778983</v>
      </c>
    </row>
    <row r="917" spans="1:32">
      <c r="A917" s="161">
        <v>20</v>
      </c>
      <c r="B917" s="162">
        <v>6.25E-2</v>
      </c>
      <c r="C917" s="163">
        <v>0.47893353491731772</v>
      </c>
      <c r="D917" s="163">
        <v>590.20404949110321</v>
      </c>
      <c r="E917" s="164">
        <v>0.99949999999999994</v>
      </c>
      <c r="F917" s="164">
        <v>0.99949999999999994</v>
      </c>
      <c r="G917" s="163">
        <v>2</v>
      </c>
      <c r="H917" s="163">
        <v>6.6666666666666661</v>
      </c>
      <c r="I917" s="163">
        <v>4.6666666666666661</v>
      </c>
      <c r="J917" s="163">
        <v>1</v>
      </c>
      <c r="K917" s="163">
        <v>1.6303373819163294</v>
      </c>
      <c r="L917" s="163">
        <v>0.63033738191632938</v>
      </c>
      <c r="M917" s="163">
        <v>2</v>
      </c>
      <c r="N917" s="163">
        <v>6.0908681961313533</v>
      </c>
      <c r="O917" s="163">
        <v>4.0908681961313533</v>
      </c>
      <c r="P917" s="163"/>
      <c r="Q917" s="163">
        <v>4</v>
      </c>
      <c r="R917" s="163">
        <v>0</v>
      </c>
      <c r="S917" s="163">
        <v>0</v>
      </c>
      <c r="T917" s="163">
        <v>0</v>
      </c>
      <c r="U917" s="163">
        <v>0</v>
      </c>
      <c r="V917" s="163">
        <v>0</v>
      </c>
      <c r="W917" s="163">
        <v>0</v>
      </c>
      <c r="X917" s="163">
        <v>0</v>
      </c>
      <c r="Y917" s="163">
        <v>4</v>
      </c>
      <c r="Z917" s="163">
        <v>4</v>
      </c>
      <c r="AA917" s="163">
        <v>0</v>
      </c>
      <c r="AB917" s="163">
        <v>0</v>
      </c>
      <c r="AC917" s="163">
        <v>4</v>
      </c>
      <c r="AD917" s="163">
        <v>0</v>
      </c>
      <c r="AE917" s="165">
        <v>4.8161216145375663E-2</v>
      </c>
      <c r="AF917" s="166">
        <v>9.6322432290751325E-2</v>
      </c>
    </row>
    <row r="918" spans="1:32">
      <c r="A918" s="161">
        <v>20</v>
      </c>
      <c r="B918" s="162">
        <v>8.3333333333333329E-2</v>
      </c>
      <c r="C918" s="163">
        <v>0.3863054574286201</v>
      </c>
      <c r="D918" s="163">
        <v>607.78222583904449</v>
      </c>
      <c r="E918" s="164">
        <v>0.99970000000000014</v>
      </c>
      <c r="F918" s="164">
        <v>0.99970000000000014</v>
      </c>
      <c r="G918" s="163">
        <v>2</v>
      </c>
      <c r="H918" s="163">
        <v>6.6666666666666661</v>
      </c>
      <c r="I918" s="163">
        <v>4.6666666666666661</v>
      </c>
      <c r="J918" s="163">
        <v>1</v>
      </c>
      <c r="K918" s="163">
        <v>1.6303373819163294</v>
      </c>
      <c r="L918" s="163">
        <v>0.63033738191632938</v>
      </c>
      <c r="M918" s="163">
        <v>2</v>
      </c>
      <c r="N918" s="163">
        <v>6.0908681961313533</v>
      </c>
      <c r="O918" s="163">
        <v>4.0908681961313533</v>
      </c>
      <c r="P918" s="163"/>
      <c r="Q918" s="163">
        <v>4</v>
      </c>
      <c r="R918" s="163">
        <v>0</v>
      </c>
      <c r="S918" s="163">
        <v>0</v>
      </c>
      <c r="T918" s="163">
        <v>0</v>
      </c>
      <c r="U918" s="163">
        <v>0</v>
      </c>
      <c r="V918" s="163">
        <v>0</v>
      </c>
      <c r="W918" s="163">
        <v>0</v>
      </c>
      <c r="X918" s="163">
        <v>0</v>
      </c>
      <c r="Y918" s="163">
        <v>4</v>
      </c>
      <c r="Z918" s="163">
        <v>4</v>
      </c>
      <c r="AA918" s="163">
        <v>0</v>
      </c>
      <c r="AB918" s="163">
        <v>0</v>
      </c>
      <c r="AC918" s="163">
        <v>4</v>
      </c>
      <c r="AD918" s="163">
        <v>0</v>
      </c>
      <c r="AE918" s="165">
        <v>4.0003579316025592E-2</v>
      </c>
      <c r="AF918" s="166">
        <v>8.0007158632051184E-2</v>
      </c>
    </row>
    <row r="919" spans="1:32">
      <c r="A919" s="161">
        <v>20</v>
      </c>
      <c r="B919" s="162">
        <v>0.10416666666666667</v>
      </c>
      <c r="C919" s="163">
        <v>0.30910133493962477</v>
      </c>
      <c r="D919" s="163">
        <v>578.70403963214574</v>
      </c>
      <c r="E919" s="164">
        <v>0.99980000000000002</v>
      </c>
      <c r="F919" s="164">
        <v>0.99980000000000002</v>
      </c>
      <c r="G919" s="163">
        <v>2</v>
      </c>
      <c r="H919" s="163">
        <v>6.6666666666666661</v>
      </c>
      <c r="I919" s="163">
        <v>4.6666666666666661</v>
      </c>
      <c r="J919" s="163">
        <v>1</v>
      </c>
      <c r="K919" s="163">
        <v>1.6303373819163294</v>
      </c>
      <c r="L919" s="163">
        <v>0.63033738191632938</v>
      </c>
      <c r="M919" s="163">
        <v>2</v>
      </c>
      <c r="N919" s="163">
        <v>6.0908681961313533</v>
      </c>
      <c r="O919" s="163">
        <v>4.0908681961313533</v>
      </c>
      <c r="P919" s="163"/>
      <c r="Q919" s="163">
        <v>4</v>
      </c>
      <c r="R919" s="163">
        <v>0</v>
      </c>
      <c r="S919" s="163">
        <v>0</v>
      </c>
      <c r="T919" s="163">
        <v>0</v>
      </c>
      <c r="U919" s="163">
        <v>0</v>
      </c>
      <c r="V919" s="163">
        <v>0</v>
      </c>
      <c r="W919" s="163">
        <v>0</v>
      </c>
      <c r="X919" s="163">
        <v>0</v>
      </c>
      <c r="Y919" s="163">
        <v>4</v>
      </c>
      <c r="Z919" s="163">
        <v>4</v>
      </c>
      <c r="AA919" s="163">
        <v>0</v>
      </c>
      <c r="AB919" s="163">
        <v>0</v>
      </c>
      <c r="AC919" s="163">
        <v>4</v>
      </c>
      <c r="AD919" s="163">
        <v>0</v>
      </c>
      <c r="AE919" s="165">
        <v>3.0477364373466362E-2</v>
      </c>
      <c r="AF919" s="166">
        <v>6.0954728746932724E-2</v>
      </c>
    </row>
    <row r="920" spans="1:32">
      <c r="A920" s="161">
        <v>20</v>
      </c>
      <c r="B920" s="162">
        <v>0.125</v>
      </c>
      <c r="C920" s="163">
        <v>0.27852905505599351</v>
      </c>
      <c r="D920" s="163">
        <v>578.6155493869777</v>
      </c>
      <c r="E920" s="164">
        <v>0.9998999999999999</v>
      </c>
      <c r="F920" s="164">
        <v>0.9998999999999999</v>
      </c>
      <c r="G920" s="163">
        <v>2</v>
      </c>
      <c r="H920" s="163">
        <v>6.6666666666666661</v>
      </c>
      <c r="I920" s="163">
        <v>4.6666666666666661</v>
      </c>
      <c r="J920" s="163">
        <v>1</v>
      </c>
      <c r="K920" s="163">
        <v>1.6303373819163294</v>
      </c>
      <c r="L920" s="163">
        <v>0.63033738191632938</v>
      </c>
      <c r="M920" s="163">
        <v>2</v>
      </c>
      <c r="N920" s="163">
        <v>6.0908681961313533</v>
      </c>
      <c r="O920" s="163">
        <v>4.0908681961313533</v>
      </c>
      <c r="P920" s="163"/>
      <c r="Q920" s="163">
        <v>4</v>
      </c>
      <c r="R920" s="163">
        <v>0</v>
      </c>
      <c r="S920" s="163">
        <v>0</v>
      </c>
      <c r="T920" s="163">
        <v>0</v>
      </c>
      <c r="U920" s="163">
        <v>0</v>
      </c>
      <c r="V920" s="163">
        <v>0</v>
      </c>
      <c r="W920" s="163">
        <v>0</v>
      </c>
      <c r="X920" s="163">
        <v>0</v>
      </c>
      <c r="Y920" s="163">
        <v>4</v>
      </c>
      <c r="Z920" s="163">
        <v>4</v>
      </c>
      <c r="AA920" s="163">
        <v>0</v>
      </c>
      <c r="AB920" s="163">
        <v>0</v>
      </c>
      <c r="AC920" s="163">
        <v>4</v>
      </c>
      <c r="AD920" s="163">
        <v>0</v>
      </c>
      <c r="AE920" s="165">
        <v>2.7458740885144526E-2</v>
      </c>
      <c r="AF920" s="166">
        <v>5.4917481770289052E-2</v>
      </c>
    </row>
    <row r="921" spans="1:32">
      <c r="A921" s="161">
        <v>20</v>
      </c>
      <c r="B921" s="162">
        <v>0.14583333333333334</v>
      </c>
      <c r="C921" s="163">
        <v>0.28071032843428489</v>
      </c>
      <c r="D921" s="163">
        <v>612.69529601136276</v>
      </c>
      <c r="E921" s="164">
        <v>0.9998999999999999</v>
      </c>
      <c r="F921" s="164">
        <v>0.9998999999999999</v>
      </c>
      <c r="G921" s="163">
        <v>2</v>
      </c>
      <c r="H921" s="163">
        <v>6.6666666666666661</v>
      </c>
      <c r="I921" s="163">
        <v>4.6666666666666661</v>
      </c>
      <c r="J921" s="163">
        <v>1</v>
      </c>
      <c r="K921" s="163">
        <v>1.6303373819163294</v>
      </c>
      <c r="L921" s="163">
        <v>0.63033738191632938</v>
      </c>
      <c r="M921" s="163">
        <v>2</v>
      </c>
      <c r="N921" s="163">
        <v>6.0908681961313533</v>
      </c>
      <c r="O921" s="163">
        <v>4.0908681961313533</v>
      </c>
      <c r="P921" s="163"/>
      <c r="Q921" s="163">
        <v>4</v>
      </c>
      <c r="R921" s="163">
        <v>0</v>
      </c>
      <c r="S921" s="163">
        <v>0</v>
      </c>
      <c r="T921" s="163">
        <v>0</v>
      </c>
      <c r="U921" s="163">
        <v>0</v>
      </c>
      <c r="V921" s="163">
        <v>0</v>
      </c>
      <c r="W921" s="163">
        <v>0</v>
      </c>
      <c r="X921" s="163">
        <v>0</v>
      </c>
      <c r="Y921" s="163">
        <v>4</v>
      </c>
      <c r="Z921" s="163">
        <v>4</v>
      </c>
      <c r="AA921" s="163">
        <v>0</v>
      </c>
      <c r="AB921" s="163">
        <v>0</v>
      </c>
      <c r="AC921" s="163">
        <v>4</v>
      </c>
      <c r="AD921" s="163">
        <v>0</v>
      </c>
      <c r="AE921" s="165">
        <v>2.9303733162023133E-2</v>
      </c>
      <c r="AF921" s="166">
        <v>5.8607466324046266E-2</v>
      </c>
    </row>
    <row r="922" spans="1:32">
      <c r="A922" s="161">
        <v>20</v>
      </c>
      <c r="B922" s="162">
        <v>0.16666666666666666</v>
      </c>
      <c r="C922" s="163">
        <v>0.31451976611422944</v>
      </c>
      <c r="D922" s="163">
        <v>612.7965708870845</v>
      </c>
      <c r="E922" s="164">
        <v>0.99980000000000002</v>
      </c>
      <c r="F922" s="164">
        <v>0.99980000000000002</v>
      </c>
      <c r="G922" s="163">
        <v>2</v>
      </c>
      <c r="H922" s="163">
        <v>6.6666666666666661</v>
      </c>
      <c r="I922" s="163">
        <v>4.6666666666666661</v>
      </c>
      <c r="J922" s="163">
        <v>1</v>
      </c>
      <c r="K922" s="163">
        <v>1.6303373819163294</v>
      </c>
      <c r="L922" s="163">
        <v>0.63033738191632938</v>
      </c>
      <c r="M922" s="163">
        <v>2</v>
      </c>
      <c r="N922" s="163">
        <v>6.0908681961313533</v>
      </c>
      <c r="O922" s="163">
        <v>4.0908681961313533</v>
      </c>
      <c r="P922" s="163"/>
      <c r="Q922" s="163">
        <v>4</v>
      </c>
      <c r="R922" s="163">
        <v>0</v>
      </c>
      <c r="S922" s="163">
        <v>0</v>
      </c>
      <c r="T922" s="163">
        <v>0</v>
      </c>
      <c r="U922" s="163">
        <v>0</v>
      </c>
      <c r="V922" s="163">
        <v>0</v>
      </c>
      <c r="W922" s="163">
        <v>0</v>
      </c>
      <c r="X922" s="163">
        <v>0</v>
      </c>
      <c r="Y922" s="163">
        <v>4</v>
      </c>
      <c r="Z922" s="163">
        <v>4</v>
      </c>
      <c r="AA922" s="163">
        <v>0</v>
      </c>
      <c r="AB922" s="163">
        <v>0</v>
      </c>
      <c r="AC922" s="163">
        <v>4</v>
      </c>
      <c r="AD922" s="163">
        <v>0</v>
      </c>
      <c r="AE922" s="165">
        <v>3.2838573490786262E-2</v>
      </c>
      <c r="AF922" s="166">
        <v>6.5677146981572523E-2</v>
      </c>
    </row>
    <row r="923" spans="1:32">
      <c r="A923" s="161">
        <v>20</v>
      </c>
      <c r="B923" s="162">
        <v>0.1875</v>
      </c>
      <c r="C923" s="163">
        <v>0.46235092768872432</v>
      </c>
      <c r="D923" s="163">
        <v>651.15852714489279</v>
      </c>
      <c r="E923" s="164">
        <v>0.99939999999999996</v>
      </c>
      <c r="F923" s="164">
        <v>0.99939999999999996</v>
      </c>
      <c r="G923" s="163">
        <v>2</v>
      </c>
      <c r="H923" s="163">
        <v>6.6666666666666661</v>
      </c>
      <c r="I923" s="163">
        <v>4.6666666666666661</v>
      </c>
      <c r="J923" s="163">
        <v>1</v>
      </c>
      <c r="K923" s="163">
        <v>1.6303373819163294</v>
      </c>
      <c r="L923" s="163">
        <v>0.63033738191632938</v>
      </c>
      <c r="M923" s="163">
        <v>2</v>
      </c>
      <c r="N923" s="163">
        <v>6.0908681961313533</v>
      </c>
      <c r="O923" s="163">
        <v>4.0908681961313533</v>
      </c>
      <c r="P923" s="163"/>
      <c r="Q923" s="163">
        <v>4</v>
      </c>
      <c r="R923" s="163">
        <v>0</v>
      </c>
      <c r="S923" s="163">
        <v>0</v>
      </c>
      <c r="T923" s="163">
        <v>0</v>
      </c>
      <c r="U923" s="163">
        <v>0</v>
      </c>
      <c r="V923" s="163">
        <v>0</v>
      </c>
      <c r="W923" s="163">
        <v>0</v>
      </c>
      <c r="X923" s="163">
        <v>0</v>
      </c>
      <c r="Y923" s="163">
        <v>4</v>
      </c>
      <c r="Z923" s="163">
        <v>4</v>
      </c>
      <c r="AA923" s="163">
        <v>0</v>
      </c>
      <c r="AB923" s="163">
        <v>0</v>
      </c>
      <c r="AC923" s="163">
        <v>4</v>
      </c>
      <c r="AD923" s="163">
        <v>0</v>
      </c>
      <c r="AE923" s="165">
        <v>5.1295406779885262E-2</v>
      </c>
      <c r="AF923" s="166">
        <v>0.10259081355977052</v>
      </c>
    </row>
    <row r="924" spans="1:32">
      <c r="A924" s="161">
        <v>20</v>
      </c>
      <c r="B924" s="162">
        <v>0.20833333333333334</v>
      </c>
      <c r="C924" s="163">
        <v>0.81109713990567034</v>
      </c>
      <c r="D924" s="163">
        <v>684.44103930203119</v>
      </c>
      <c r="E924" s="164">
        <v>0.99630000000000007</v>
      </c>
      <c r="F924" s="164">
        <v>0.99630000000000007</v>
      </c>
      <c r="G924" s="163">
        <v>3</v>
      </c>
      <c r="H924" s="163">
        <v>6.6666666666666661</v>
      </c>
      <c r="I924" s="163">
        <v>3.6666666666666661</v>
      </c>
      <c r="J924" s="163">
        <v>2</v>
      </c>
      <c r="K924" s="163">
        <v>2.445506072874494</v>
      </c>
      <c r="L924" s="163">
        <v>0.44550607287449395</v>
      </c>
      <c r="M924" s="163">
        <v>3</v>
      </c>
      <c r="N924" s="163">
        <v>6.0908681961313533</v>
      </c>
      <c r="O924" s="163">
        <v>3.0908681961313533</v>
      </c>
      <c r="P924" s="163"/>
      <c r="Q924" s="163">
        <v>4</v>
      </c>
      <c r="R924" s="163">
        <v>0</v>
      </c>
      <c r="S924" s="163">
        <v>0</v>
      </c>
      <c r="T924" s="163">
        <v>0</v>
      </c>
      <c r="U924" s="163">
        <v>0</v>
      </c>
      <c r="V924" s="163">
        <v>0</v>
      </c>
      <c r="W924" s="163">
        <v>0</v>
      </c>
      <c r="X924" s="163">
        <v>0</v>
      </c>
      <c r="Y924" s="163">
        <v>4</v>
      </c>
      <c r="Z924" s="163">
        <v>4</v>
      </c>
      <c r="AA924" s="163">
        <v>0</v>
      </c>
      <c r="AB924" s="163">
        <v>0</v>
      </c>
      <c r="AC924" s="163">
        <v>4</v>
      </c>
      <c r="AD924" s="163">
        <v>0</v>
      </c>
      <c r="AE924" s="165">
        <v>9.4586449741704257E-2</v>
      </c>
      <c r="AF924" s="166">
        <v>0.12611526632227232</v>
      </c>
    </row>
    <row r="925" spans="1:32">
      <c r="A925" s="161">
        <v>20</v>
      </c>
      <c r="B925" s="162">
        <v>0.22916666666666666</v>
      </c>
      <c r="C925" s="163">
        <v>1.3587972176885363</v>
      </c>
      <c r="D925" s="163">
        <v>699.50928157276655</v>
      </c>
      <c r="E925" s="164">
        <v>0.98399999999999999</v>
      </c>
      <c r="F925" s="164">
        <v>0.98399999999999999</v>
      </c>
      <c r="G925" s="163">
        <v>3</v>
      </c>
      <c r="H925" s="163">
        <v>6.6666666666666661</v>
      </c>
      <c r="I925" s="163">
        <v>3.6666666666666661</v>
      </c>
      <c r="J925" s="163">
        <v>2</v>
      </c>
      <c r="K925" s="163">
        <v>2.445506072874494</v>
      </c>
      <c r="L925" s="163">
        <v>0.44550607287449395</v>
      </c>
      <c r="M925" s="163">
        <v>3</v>
      </c>
      <c r="N925" s="163">
        <v>6.0908681961313533</v>
      </c>
      <c r="O925" s="163">
        <v>3.0908681961313533</v>
      </c>
      <c r="P925" s="163"/>
      <c r="Q925" s="163">
        <v>4</v>
      </c>
      <c r="R925" s="163">
        <v>0</v>
      </c>
      <c r="S925" s="163">
        <v>0</v>
      </c>
      <c r="T925" s="163">
        <v>0</v>
      </c>
      <c r="U925" s="163">
        <v>0</v>
      </c>
      <c r="V925" s="163">
        <v>0</v>
      </c>
      <c r="W925" s="163">
        <v>0</v>
      </c>
      <c r="X925" s="163">
        <v>0</v>
      </c>
      <c r="Y925" s="163">
        <v>4</v>
      </c>
      <c r="Z925" s="163">
        <v>4</v>
      </c>
      <c r="AA925" s="163">
        <v>0</v>
      </c>
      <c r="AB925" s="163">
        <v>0</v>
      </c>
      <c r="AC925" s="163">
        <v>4</v>
      </c>
      <c r="AD925" s="163">
        <v>0</v>
      </c>
      <c r="AE925" s="165">
        <v>0.16194522340576947</v>
      </c>
      <c r="AF925" s="166">
        <v>0.21592696454102595</v>
      </c>
    </row>
    <row r="926" spans="1:32">
      <c r="A926" s="161">
        <v>20</v>
      </c>
      <c r="B926" s="162">
        <v>0.25</v>
      </c>
      <c r="C926" s="163">
        <v>2.0876424759918804</v>
      </c>
      <c r="D926" s="163">
        <v>706.60216712222757</v>
      </c>
      <c r="E926" s="164">
        <v>0.94980000000000009</v>
      </c>
      <c r="F926" s="164">
        <v>0.94980000000000009</v>
      </c>
      <c r="G926" s="163">
        <v>4</v>
      </c>
      <c r="H926" s="163">
        <v>6.6666666666666661</v>
      </c>
      <c r="I926" s="163">
        <v>2.6666666666666661</v>
      </c>
      <c r="J926" s="163">
        <v>3</v>
      </c>
      <c r="K926" s="163">
        <v>3.2606747638326588</v>
      </c>
      <c r="L926" s="163">
        <v>0.26067476383265875</v>
      </c>
      <c r="M926" s="163">
        <v>4</v>
      </c>
      <c r="N926" s="163">
        <v>6.0908681961313533</v>
      </c>
      <c r="O926" s="163">
        <v>2.0908681961313533</v>
      </c>
      <c r="P926" s="163"/>
      <c r="Q926" s="163">
        <v>4</v>
      </c>
      <c r="R926" s="163">
        <v>0</v>
      </c>
      <c r="S926" s="163">
        <v>0</v>
      </c>
      <c r="T926" s="163">
        <v>0</v>
      </c>
      <c r="U926" s="163">
        <v>0</v>
      </c>
      <c r="V926" s="163">
        <v>0</v>
      </c>
      <c r="W926" s="163">
        <v>0</v>
      </c>
      <c r="X926" s="163">
        <v>0</v>
      </c>
      <c r="Y926" s="163">
        <v>4</v>
      </c>
      <c r="Z926" s="163">
        <v>4</v>
      </c>
      <c r="AA926" s="163">
        <v>0</v>
      </c>
      <c r="AB926" s="163">
        <v>0</v>
      </c>
      <c r="AC926" s="163">
        <v>4</v>
      </c>
      <c r="AD926" s="163">
        <v>0</v>
      </c>
      <c r="AE926" s="165">
        <v>0.25133391851459347</v>
      </c>
      <c r="AF926" s="166">
        <v>0.25133391851459347</v>
      </c>
    </row>
    <row r="927" spans="1:32">
      <c r="A927" s="161">
        <v>20</v>
      </c>
      <c r="B927" s="162">
        <v>0.27083333333333331</v>
      </c>
      <c r="C927" s="163">
        <v>3.0143221480801712</v>
      </c>
      <c r="D927" s="163">
        <v>774.34277304905095</v>
      </c>
      <c r="E927" s="164">
        <v>0.8466999999999999</v>
      </c>
      <c r="F927" s="164">
        <v>0.8466999999999999</v>
      </c>
      <c r="G927" s="163">
        <v>4</v>
      </c>
      <c r="H927" s="163">
        <v>6.6666666666666661</v>
      </c>
      <c r="I927" s="163">
        <v>2.6666666666666661</v>
      </c>
      <c r="J927" s="163">
        <v>3</v>
      </c>
      <c r="K927" s="163">
        <v>3.2606747638326588</v>
      </c>
      <c r="L927" s="163">
        <v>0.26067476383265875</v>
      </c>
      <c r="M927" s="163">
        <v>4</v>
      </c>
      <c r="N927" s="163">
        <v>6.0908681961313533</v>
      </c>
      <c r="O927" s="163">
        <v>2.0908681961313533</v>
      </c>
      <c r="P927" s="163"/>
      <c r="Q927" s="163">
        <v>4</v>
      </c>
      <c r="R927" s="163">
        <v>0</v>
      </c>
      <c r="S927" s="163">
        <v>0</v>
      </c>
      <c r="T927" s="163">
        <v>0</v>
      </c>
      <c r="U927" s="163">
        <v>0</v>
      </c>
      <c r="V927" s="163">
        <v>0</v>
      </c>
      <c r="W927" s="163">
        <v>0</v>
      </c>
      <c r="X927" s="163">
        <v>0</v>
      </c>
      <c r="Y927" s="163">
        <v>4</v>
      </c>
      <c r="Z927" s="163">
        <v>4</v>
      </c>
      <c r="AA927" s="163">
        <v>0</v>
      </c>
      <c r="AB927" s="163">
        <v>0</v>
      </c>
      <c r="AC927" s="163">
        <v>4</v>
      </c>
      <c r="AD927" s="163">
        <v>0</v>
      </c>
      <c r="AE927" s="165">
        <v>0.39768840297474106</v>
      </c>
      <c r="AF927" s="166">
        <v>0.39768840297474106</v>
      </c>
    </row>
    <row r="928" spans="1:32">
      <c r="A928" s="161">
        <v>20</v>
      </c>
      <c r="B928" s="162">
        <v>0.29166666666666669</v>
      </c>
      <c r="C928" s="163">
        <v>6.5253455648321221</v>
      </c>
      <c r="D928" s="163">
        <v>733.25148288802188</v>
      </c>
      <c r="E928" s="164">
        <v>0.86829999999999996</v>
      </c>
      <c r="F928" s="164">
        <v>0.86829999999999996</v>
      </c>
      <c r="G928" s="163">
        <v>7</v>
      </c>
      <c r="H928" s="163">
        <v>11.666666666666668</v>
      </c>
      <c r="I928" s="163">
        <v>4.6666666666666679</v>
      </c>
      <c r="J928" s="163">
        <v>5</v>
      </c>
      <c r="K928" s="163">
        <v>5.7061808367071531</v>
      </c>
      <c r="L928" s="163">
        <v>0.70618083670715315</v>
      </c>
      <c r="M928" s="163">
        <v>6</v>
      </c>
      <c r="N928" s="163">
        <v>10.65901934322987</v>
      </c>
      <c r="O928" s="163">
        <v>4.6590193432298701</v>
      </c>
      <c r="P928" s="163"/>
      <c r="Q928" s="163">
        <v>7</v>
      </c>
      <c r="R928" s="163">
        <v>0</v>
      </c>
      <c r="S928" s="163">
        <v>0</v>
      </c>
      <c r="T928" s="163">
        <v>0</v>
      </c>
      <c r="U928" s="163">
        <v>0</v>
      </c>
      <c r="V928" s="163">
        <v>0</v>
      </c>
      <c r="W928" s="163">
        <v>0</v>
      </c>
      <c r="X928" s="163">
        <v>0</v>
      </c>
      <c r="Y928" s="163">
        <v>7</v>
      </c>
      <c r="Z928" s="163">
        <v>7</v>
      </c>
      <c r="AA928" s="163">
        <v>0</v>
      </c>
      <c r="AB928" s="163">
        <v>0</v>
      </c>
      <c r="AC928" s="163">
        <v>4</v>
      </c>
      <c r="AD928" s="163">
        <v>3</v>
      </c>
      <c r="AE928" s="165">
        <v>0.46584177254390779</v>
      </c>
      <c r="AF928" s="166">
        <v>0.46584177254390779</v>
      </c>
    </row>
    <row r="929" spans="1:32">
      <c r="A929" s="161">
        <v>20</v>
      </c>
      <c r="B929" s="162">
        <v>0.3125</v>
      </c>
      <c r="C929" s="163">
        <v>8.076029857514726</v>
      </c>
      <c r="D929" s="163">
        <v>786.8011081473403</v>
      </c>
      <c r="E929" s="164">
        <v>0.9748</v>
      </c>
      <c r="F929" s="164">
        <v>0.9748</v>
      </c>
      <c r="G929" s="163">
        <v>8</v>
      </c>
      <c r="H929" s="163">
        <v>18.333333333333332</v>
      </c>
      <c r="I929" s="163">
        <v>10.333333333333332</v>
      </c>
      <c r="J929" s="163">
        <v>6</v>
      </c>
      <c r="K929" s="163">
        <v>6.5213495276653175</v>
      </c>
      <c r="L929" s="163">
        <v>0.5213495276653175</v>
      </c>
      <c r="M929" s="163">
        <v>7</v>
      </c>
      <c r="N929" s="163">
        <v>16.749887539361222</v>
      </c>
      <c r="O929" s="163">
        <v>9.7498875393612217</v>
      </c>
      <c r="P929" s="163"/>
      <c r="Q929" s="163">
        <v>11</v>
      </c>
      <c r="R929" s="163">
        <v>0</v>
      </c>
      <c r="S929" s="163">
        <v>0</v>
      </c>
      <c r="T929" s="163">
        <v>0</v>
      </c>
      <c r="U929" s="163">
        <v>0</v>
      </c>
      <c r="V929" s="163">
        <v>0</v>
      </c>
      <c r="W929" s="163">
        <v>0</v>
      </c>
      <c r="X929" s="163">
        <v>0</v>
      </c>
      <c r="Y929" s="163">
        <v>11</v>
      </c>
      <c r="Z929" s="163">
        <v>11</v>
      </c>
      <c r="AA929" s="163">
        <v>0</v>
      </c>
      <c r="AB929" s="163">
        <v>0</v>
      </c>
      <c r="AC929" s="163">
        <v>8</v>
      </c>
      <c r="AD929" s="163">
        <v>3</v>
      </c>
      <c r="AE929" s="165">
        <v>0.39368620546073796</v>
      </c>
      <c r="AF929" s="166">
        <v>0.54131853250851469</v>
      </c>
    </row>
    <row r="930" spans="1:32">
      <c r="A930" s="161">
        <v>20</v>
      </c>
      <c r="B930" s="162">
        <v>0.33333333333333331</v>
      </c>
      <c r="C930" s="163">
        <v>11.680192193001126</v>
      </c>
      <c r="D930" s="163">
        <v>770.97905094767214</v>
      </c>
      <c r="E930" s="164">
        <v>0.97019999999999984</v>
      </c>
      <c r="F930" s="164">
        <v>0.97019999999999984</v>
      </c>
      <c r="G930" s="163">
        <v>10</v>
      </c>
      <c r="H930" s="163">
        <v>21.666666666666664</v>
      </c>
      <c r="I930" s="163">
        <v>11.666666666666664</v>
      </c>
      <c r="J930" s="163">
        <v>8</v>
      </c>
      <c r="K930" s="163">
        <v>8.1516869095816471</v>
      </c>
      <c r="L930" s="163">
        <v>0.1516869095816471</v>
      </c>
      <c r="M930" s="163">
        <v>9</v>
      </c>
      <c r="N930" s="163">
        <v>19.795321637426898</v>
      </c>
      <c r="O930" s="163">
        <v>10.795321637426898</v>
      </c>
      <c r="P930" s="163"/>
      <c r="Q930" s="163">
        <v>13</v>
      </c>
      <c r="R930" s="163">
        <v>0</v>
      </c>
      <c r="S930" s="163">
        <v>0</v>
      </c>
      <c r="T930" s="163">
        <v>0</v>
      </c>
      <c r="U930" s="163">
        <v>0</v>
      </c>
      <c r="V930" s="163">
        <v>0</v>
      </c>
      <c r="W930" s="163">
        <v>0</v>
      </c>
      <c r="X930" s="163">
        <v>0</v>
      </c>
      <c r="Y930" s="163">
        <v>13</v>
      </c>
      <c r="Z930" s="163">
        <v>13</v>
      </c>
      <c r="AA930" s="163">
        <v>0</v>
      </c>
      <c r="AB930" s="163">
        <v>0</v>
      </c>
      <c r="AC930" s="163">
        <v>10</v>
      </c>
      <c r="AD930" s="163">
        <v>3</v>
      </c>
      <c r="AE930" s="165">
        <v>0.47209480151723382</v>
      </c>
      <c r="AF930" s="166">
        <v>0.61372324197240391</v>
      </c>
    </row>
    <row r="931" spans="1:32">
      <c r="A931" s="161">
        <v>20</v>
      </c>
      <c r="B931" s="162">
        <v>0.35416666666666669</v>
      </c>
      <c r="C931" s="163">
        <v>14.493290537148717</v>
      </c>
      <c r="D931" s="163">
        <v>822.15261574134718</v>
      </c>
      <c r="E931" s="164">
        <v>0.9627</v>
      </c>
      <c r="F931" s="164">
        <v>0.9627</v>
      </c>
      <c r="G931" s="163">
        <v>13</v>
      </c>
      <c r="H931" s="163">
        <v>25</v>
      </c>
      <c r="I931" s="163">
        <v>12</v>
      </c>
      <c r="J931" s="163">
        <v>10</v>
      </c>
      <c r="K931" s="163">
        <v>10.597192982456141</v>
      </c>
      <c r="L931" s="163">
        <v>0.59719298245614105</v>
      </c>
      <c r="M931" s="163">
        <v>12</v>
      </c>
      <c r="N931" s="163">
        <v>22.840755735492575</v>
      </c>
      <c r="O931" s="163">
        <v>10.840755735492575</v>
      </c>
      <c r="P931" s="163"/>
      <c r="Q931" s="163">
        <v>15</v>
      </c>
      <c r="R931" s="163">
        <v>0</v>
      </c>
      <c r="S931" s="163">
        <v>0</v>
      </c>
      <c r="T931" s="163">
        <v>0</v>
      </c>
      <c r="U931" s="163">
        <v>0</v>
      </c>
      <c r="V931" s="163">
        <v>0</v>
      </c>
      <c r="W931" s="163">
        <v>0</v>
      </c>
      <c r="X931" s="163">
        <v>0</v>
      </c>
      <c r="Y931" s="163">
        <v>15</v>
      </c>
      <c r="Z931" s="163">
        <v>15</v>
      </c>
      <c r="AA931" s="163">
        <v>0</v>
      </c>
      <c r="AB931" s="163">
        <v>0</v>
      </c>
      <c r="AC931" s="163">
        <v>10</v>
      </c>
      <c r="AD931" s="163">
        <v>5</v>
      </c>
      <c r="AE931" s="165">
        <v>0.54138745250067777</v>
      </c>
      <c r="AF931" s="166">
        <v>0.62467782980847442</v>
      </c>
    </row>
    <row r="932" spans="1:32">
      <c r="A932" s="161">
        <v>20</v>
      </c>
      <c r="B932" s="162">
        <v>0.375</v>
      </c>
      <c r="C932" s="163">
        <v>16.714900413890287</v>
      </c>
      <c r="D932" s="163">
        <v>804.39905658531438</v>
      </c>
      <c r="E932" s="164">
        <v>0.96189999999999998</v>
      </c>
      <c r="F932" s="164">
        <v>0.96189999999999998</v>
      </c>
      <c r="G932" s="163">
        <v>14</v>
      </c>
      <c r="H932" s="163">
        <v>28.333333333333336</v>
      </c>
      <c r="I932" s="163">
        <v>14.333333333333336</v>
      </c>
      <c r="J932" s="163">
        <v>11</v>
      </c>
      <c r="K932" s="163">
        <v>11.412361673414306</v>
      </c>
      <c r="L932" s="163">
        <v>0.4123616734143063</v>
      </c>
      <c r="M932" s="163">
        <v>13</v>
      </c>
      <c r="N932" s="163">
        <v>25.886189833558255</v>
      </c>
      <c r="O932" s="163">
        <v>12.886189833558255</v>
      </c>
      <c r="P932" s="163"/>
      <c r="Q932" s="163">
        <v>17</v>
      </c>
      <c r="R932" s="163">
        <v>0</v>
      </c>
      <c r="S932" s="163">
        <v>0</v>
      </c>
      <c r="T932" s="163">
        <v>0</v>
      </c>
      <c r="U932" s="163">
        <v>0</v>
      </c>
      <c r="V932" s="163">
        <v>0</v>
      </c>
      <c r="W932" s="163">
        <v>0</v>
      </c>
      <c r="X932" s="163">
        <v>0</v>
      </c>
      <c r="Y932" s="163">
        <v>17</v>
      </c>
      <c r="Z932" s="163">
        <v>17</v>
      </c>
      <c r="AA932" s="163">
        <v>0</v>
      </c>
      <c r="AB932" s="163">
        <v>0</v>
      </c>
      <c r="AC932" s="163">
        <v>12</v>
      </c>
      <c r="AD932" s="163">
        <v>5</v>
      </c>
      <c r="AE932" s="165">
        <v>0.53902192242027125</v>
      </c>
      <c r="AF932" s="166">
        <v>0.65452662008175799</v>
      </c>
    </row>
    <row r="933" spans="1:32">
      <c r="A933" s="161">
        <v>20</v>
      </c>
      <c r="B933" s="162">
        <v>0.39583333333333331</v>
      </c>
      <c r="C933" s="163">
        <v>18.09171254150548</v>
      </c>
      <c r="D933" s="163">
        <v>820.80236658129695</v>
      </c>
      <c r="E933" s="164">
        <v>0.98</v>
      </c>
      <c r="F933" s="164">
        <v>0.98</v>
      </c>
      <c r="G933" s="163">
        <v>15</v>
      </c>
      <c r="H933" s="163">
        <v>31.666666666666664</v>
      </c>
      <c r="I933" s="163">
        <v>16.666666666666664</v>
      </c>
      <c r="J933" s="163">
        <v>12</v>
      </c>
      <c r="K933" s="163">
        <v>12.22753036437247</v>
      </c>
      <c r="L933" s="163">
        <v>0.22753036437246976</v>
      </c>
      <c r="M933" s="163">
        <v>14</v>
      </c>
      <c r="N933" s="163">
        <v>28.931623931623928</v>
      </c>
      <c r="O933" s="163">
        <v>14.931623931623928</v>
      </c>
      <c r="P933" s="163"/>
      <c r="Q933" s="163">
        <v>19</v>
      </c>
      <c r="R933" s="163">
        <v>0</v>
      </c>
      <c r="S933" s="163">
        <v>0</v>
      </c>
      <c r="T933" s="163">
        <v>0</v>
      </c>
      <c r="U933" s="163">
        <v>0</v>
      </c>
      <c r="V933" s="163">
        <v>0</v>
      </c>
      <c r="W933" s="163">
        <v>0</v>
      </c>
      <c r="X933" s="163">
        <v>0</v>
      </c>
      <c r="Y933" s="163">
        <v>19</v>
      </c>
      <c r="Z933" s="163">
        <v>19</v>
      </c>
      <c r="AA933" s="163">
        <v>0</v>
      </c>
      <c r="AB933" s="163">
        <v>0</v>
      </c>
      <c r="AC933" s="163">
        <v>14</v>
      </c>
      <c r="AD933" s="163">
        <v>5</v>
      </c>
      <c r="AE933" s="165">
        <v>0.53265337313337668</v>
      </c>
      <c r="AF933" s="166">
        <v>0.67469427263561055</v>
      </c>
    </row>
    <row r="934" spans="1:32">
      <c r="A934" s="161">
        <v>20</v>
      </c>
      <c r="B934" s="162">
        <v>0.41666666666666669</v>
      </c>
      <c r="C934" s="163">
        <v>19.737813312128644</v>
      </c>
      <c r="D934" s="163">
        <v>794.60459856409932</v>
      </c>
      <c r="E934" s="164">
        <v>0.96939999999999993</v>
      </c>
      <c r="F934" s="164">
        <v>0.96939999999999993</v>
      </c>
      <c r="G934" s="163">
        <v>16</v>
      </c>
      <c r="H934" s="163">
        <v>31.666666666666664</v>
      </c>
      <c r="I934" s="163">
        <v>15.666666666666664</v>
      </c>
      <c r="J934" s="163">
        <v>13</v>
      </c>
      <c r="K934" s="163">
        <v>13.042699055330635</v>
      </c>
      <c r="L934" s="163">
        <v>4.2699055330635005E-2</v>
      </c>
      <c r="M934" s="163">
        <v>15</v>
      </c>
      <c r="N934" s="163">
        <v>28.931623931623928</v>
      </c>
      <c r="O934" s="163">
        <v>13.931623931623928</v>
      </c>
      <c r="P934" s="163"/>
      <c r="Q934" s="163">
        <v>19</v>
      </c>
      <c r="R934" s="163">
        <v>0</v>
      </c>
      <c r="S934" s="163">
        <v>0</v>
      </c>
      <c r="T934" s="163">
        <v>0</v>
      </c>
      <c r="U934" s="163">
        <v>0</v>
      </c>
      <c r="V934" s="163">
        <v>0</v>
      </c>
      <c r="W934" s="163">
        <v>0</v>
      </c>
      <c r="X934" s="163">
        <v>0</v>
      </c>
      <c r="Y934" s="163">
        <v>19</v>
      </c>
      <c r="Z934" s="163">
        <v>19</v>
      </c>
      <c r="AA934" s="163">
        <v>0</v>
      </c>
      <c r="AB934" s="163">
        <v>0</v>
      </c>
      <c r="AC934" s="163">
        <v>14</v>
      </c>
      <c r="AD934" s="163">
        <v>5</v>
      </c>
      <c r="AE934" s="165">
        <v>0.56256992888004786</v>
      </c>
      <c r="AF934" s="166">
        <v>0.66805179054505692</v>
      </c>
    </row>
    <row r="935" spans="1:32">
      <c r="A935" s="161">
        <v>20</v>
      </c>
      <c r="B935" s="162">
        <v>0.4375</v>
      </c>
      <c r="C935" s="163">
        <v>19.81906919729952</v>
      </c>
      <c r="D935" s="163">
        <v>791.35614844062798</v>
      </c>
      <c r="E935" s="164">
        <v>0.96939999999999993</v>
      </c>
      <c r="F935" s="164">
        <v>0.96939999999999993</v>
      </c>
      <c r="G935" s="163">
        <v>16</v>
      </c>
      <c r="H935" s="163">
        <v>31.666666666666664</v>
      </c>
      <c r="I935" s="163">
        <v>15.666666666666664</v>
      </c>
      <c r="J935" s="163">
        <v>13</v>
      </c>
      <c r="K935" s="163">
        <v>13.042699055330635</v>
      </c>
      <c r="L935" s="163">
        <v>4.2699055330635005E-2</v>
      </c>
      <c r="M935" s="163">
        <v>15</v>
      </c>
      <c r="N935" s="163">
        <v>28.931623931623928</v>
      </c>
      <c r="O935" s="163">
        <v>13.931623931623928</v>
      </c>
      <c r="P935" s="163"/>
      <c r="Q935" s="163">
        <v>19</v>
      </c>
      <c r="R935" s="163">
        <v>0</v>
      </c>
      <c r="S935" s="163">
        <v>0</v>
      </c>
      <c r="T935" s="163">
        <v>0</v>
      </c>
      <c r="U935" s="163">
        <v>0</v>
      </c>
      <c r="V935" s="163">
        <v>0</v>
      </c>
      <c r="W935" s="163">
        <v>0</v>
      </c>
      <c r="X935" s="163">
        <v>0</v>
      </c>
      <c r="Y935" s="163">
        <v>19</v>
      </c>
      <c r="Z935" s="163">
        <v>19</v>
      </c>
      <c r="AA935" s="163">
        <v>0</v>
      </c>
      <c r="AB935" s="163">
        <v>0</v>
      </c>
      <c r="AC935" s="163">
        <v>14</v>
      </c>
      <c r="AD935" s="163">
        <v>5</v>
      </c>
      <c r="AE935" s="165">
        <v>0.56257656626904406</v>
      </c>
      <c r="AF935" s="166">
        <v>0.66805967244448994</v>
      </c>
    </row>
    <row r="936" spans="1:32">
      <c r="A936" s="161">
        <v>20</v>
      </c>
      <c r="B936" s="162">
        <v>0.45833333333333331</v>
      </c>
      <c r="C936" s="163">
        <v>21.313285594081091</v>
      </c>
      <c r="D936" s="163">
        <v>833.89717855602441</v>
      </c>
      <c r="E936" s="164">
        <v>0.92249999999999999</v>
      </c>
      <c r="F936" s="164">
        <v>0.92249999999999999</v>
      </c>
      <c r="G936" s="163">
        <v>18</v>
      </c>
      <c r="H936" s="163">
        <v>31.666666666666664</v>
      </c>
      <c r="I936" s="163">
        <v>13.666666666666664</v>
      </c>
      <c r="J936" s="163">
        <v>14</v>
      </c>
      <c r="K936" s="163">
        <v>14.673036437246964</v>
      </c>
      <c r="L936" s="163">
        <v>0.67303643724696371</v>
      </c>
      <c r="M936" s="163">
        <v>16</v>
      </c>
      <c r="N936" s="163">
        <v>28.931623931623928</v>
      </c>
      <c r="O936" s="163">
        <v>12.931623931623928</v>
      </c>
      <c r="P936" s="163"/>
      <c r="Q936" s="163">
        <v>19</v>
      </c>
      <c r="R936" s="163">
        <v>0</v>
      </c>
      <c r="S936" s="163">
        <v>0</v>
      </c>
      <c r="T936" s="163">
        <v>0</v>
      </c>
      <c r="U936" s="163">
        <v>0</v>
      </c>
      <c r="V936" s="163">
        <v>0</v>
      </c>
      <c r="W936" s="163">
        <v>0</v>
      </c>
      <c r="X936" s="163">
        <v>0</v>
      </c>
      <c r="Y936" s="163">
        <v>19</v>
      </c>
      <c r="Z936" s="163">
        <v>19</v>
      </c>
      <c r="AA936" s="163">
        <v>0</v>
      </c>
      <c r="AB936" s="163">
        <v>0</v>
      </c>
      <c r="AC936" s="163">
        <v>14</v>
      </c>
      <c r="AD936" s="163">
        <v>5</v>
      </c>
      <c r="AE936" s="165">
        <v>0.63751339148240382</v>
      </c>
      <c r="AF936" s="166">
        <v>0.6729308021203152</v>
      </c>
    </row>
    <row r="937" spans="1:32">
      <c r="A937" s="161">
        <v>20</v>
      </c>
      <c r="B937" s="162">
        <v>0.47916666666666669</v>
      </c>
      <c r="C937" s="163">
        <v>19.470494873826883</v>
      </c>
      <c r="D937" s="163">
        <v>739.27039661161314</v>
      </c>
      <c r="E937" s="164">
        <v>0.98480000000000001</v>
      </c>
      <c r="F937" s="164">
        <v>0.98480000000000001</v>
      </c>
      <c r="G937" s="163">
        <v>15</v>
      </c>
      <c r="H937" s="163">
        <v>31.666666666666664</v>
      </c>
      <c r="I937" s="163">
        <v>16.666666666666664</v>
      </c>
      <c r="J937" s="163">
        <v>12</v>
      </c>
      <c r="K937" s="163">
        <v>12.22753036437247</v>
      </c>
      <c r="L937" s="163">
        <v>0.22753036437246976</v>
      </c>
      <c r="M937" s="163">
        <v>14</v>
      </c>
      <c r="N937" s="163">
        <v>28.931623931623928</v>
      </c>
      <c r="O937" s="163">
        <v>14.931623931623928</v>
      </c>
      <c r="P937" s="163"/>
      <c r="Q937" s="163">
        <v>19</v>
      </c>
      <c r="R937" s="163">
        <v>0</v>
      </c>
      <c r="S937" s="163">
        <v>0</v>
      </c>
      <c r="T937" s="163">
        <v>0</v>
      </c>
      <c r="U937" s="163">
        <v>0</v>
      </c>
      <c r="V937" s="163">
        <v>0</v>
      </c>
      <c r="W937" s="163">
        <v>0</v>
      </c>
      <c r="X937" s="163">
        <v>0</v>
      </c>
      <c r="Y937" s="163">
        <v>19</v>
      </c>
      <c r="Z937" s="163">
        <v>19</v>
      </c>
      <c r="AA937" s="163">
        <v>0</v>
      </c>
      <c r="AB937" s="163">
        <v>0</v>
      </c>
      <c r="AC937" s="163">
        <v>14</v>
      </c>
      <c r="AD937" s="163">
        <v>5</v>
      </c>
      <c r="AE937" s="165">
        <v>0.51630544908388776</v>
      </c>
      <c r="AF937" s="166">
        <v>0.65398690217292454</v>
      </c>
    </row>
    <row r="938" spans="1:32">
      <c r="A938" s="161">
        <v>20</v>
      </c>
      <c r="B938" s="162">
        <v>0.5</v>
      </c>
      <c r="C938" s="163">
        <v>19.565523170453829</v>
      </c>
      <c r="D938" s="163">
        <v>801.64454715600812</v>
      </c>
      <c r="E938" s="164">
        <v>0.96930000000000005</v>
      </c>
      <c r="F938" s="164">
        <v>0.96930000000000005</v>
      </c>
      <c r="G938" s="163">
        <v>16</v>
      </c>
      <c r="H938" s="163">
        <v>31.666666666666664</v>
      </c>
      <c r="I938" s="163">
        <v>15.666666666666664</v>
      </c>
      <c r="J938" s="163">
        <v>13</v>
      </c>
      <c r="K938" s="163">
        <v>13.042699055330635</v>
      </c>
      <c r="L938" s="163">
        <v>4.2699055330635005E-2</v>
      </c>
      <c r="M938" s="163">
        <v>15</v>
      </c>
      <c r="N938" s="163">
        <v>28.931623931623928</v>
      </c>
      <c r="O938" s="163">
        <v>13.931623931623928</v>
      </c>
      <c r="P938" s="163"/>
      <c r="Q938" s="163">
        <v>19</v>
      </c>
      <c r="R938" s="163">
        <v>0</v>
      </c>
      <c r="S938" s="163">
        <v>0</v>
      </c>
      <c r="T938" s="163">
        <v>0</v>
      </c>
      <c r="U938" s="163">
        <v>0</v>
      </c>
      <c r="V938" s="163">
        <v>0</v>
      </c>
      <c r="W938" s="163">
        <v>0</v>
      </c>
      <c r="X938" s="163">
        <v>0</v>
      </c>
      <c r="Y938" s="163">
        <v>19</v>
      </c>
      <c r="Z938" s="163">
        <v>19</v>
      </c>
      <c r="AA938" s="163">
        <v>0</v>
      </c>
      <c r="AB938" s="163">
        <v>0</v>
      </c>
      <c r="AC938" s="163">
        <v>14</v>
      </c>
      <c r="AD938" s="163">
        <v>5</v>
      </c>
      <c r="AE938" s="165">
        <v>0.56259997821345975</v>
      </c>
      <c r="AF938" s="166">
        <v>0.66808747412848357</v>
      </c>
    </row>
    <row r="939" spans="1:32">
      <c r="A939" s="161">
        <v>20</v>
      </c>
      <c r="B939" s="162">
        <v>0.52083333333333337</v>
      </c>
      <c r="C939" s="163">
        <v>17.959551830975656</v>
      </c>
      <c r="D939" s="163">
        <v>770.66264719273988</v>
      </c>
      <c r="E939" s="164">
        <v>0.96566666666666678</v>
      </c>
      <c r="F939" s="164">
        <v>0.96566666666666678</v>
      </c>
      <c r="G939" s="163">
        <v>14</v>
      </c>
      <c r="H939" s="163">
        <v>30.333333333333336</v>
      </c>
      <c r="I939" s="163">
        <v>16.333333333333336</v>
      </c>
      <c r="J939" s="163">
        <v>11</v>
      </c>
      <c r="K939" s="163">
        <v>11.412361673414306</v>
      </c>
      <c r="L939" s="163">
        <v>0.4123616734143063</v>
      </c>
      <c r="M939" s="163">
        <v>13</v>
      </c>
      <c r="N939" s="163">
        <v>27.713450292397663</v>
      </c>
      <c r="O939" s="163">
        <v>14.713450292397663</v>
      </c>
      <c r="P939" s="163"/>
      <c r="Q939" s="163">
        <v>19</v>
      </c>
      <c r="R939" s="163">
        <v>0</v>
      </c>
      <c r="S939" s="163">
        <v>0</v>
      </c>
      <c r="T939" s="163">
        <v>0</v>
      </c>
      <c r="U939" s="163">
        <v>0</v>
      </c>
      <c r="V939" s="163">
        <v>0</v>
      </c>
      <c r="W939" s="163">
        <v>0</v>
      </c>
      <c r="X939" s="163">
        <v>0</v>
      </c>
      <c r="Y939" s="163">
        <v>19</v>
      </c>
      <c r="Z939" s="163">
        <v>19</v>
      </c>
      <c r="AA939" s="163">
        <v>0</v>
      </c>
      <c r="AB939" s="163">
        <v>0</v>
      </c>
      <c r="AC939" s="163">
        <v>14</v>
      </c>
      <c r="AD939" s="163">
        <v>5</v>
      </c>
      <c r="AE939" s="165">
        <v>0.49646222334589846</v>
      </c>
      <c r="AF939" s="166">
        <v>0.67377016025514791</v>
      </c>
    </row>
    <row r="940" spans="1:32">
      <c r="A940" s="161">
        <v>20</v>
      </c>
      <c r="B940" s="162">
        <v>0.54166666666666663</v>
      </c>
      <c r="C940" s="163">
        <v>17.77903616250871</v>
      </c>
      <c r="D940" s="163">
        <v>744.42444391388062</v>
      </c>
      <c r="E940" s="164">
        <v>0.96630000000000005</v>
      </c>
      <c r="F940" s="164">
        <v>0.96630000000000005</v>
      </c>
      <c r="G940" s="163">
        <v>14</v>
      </c>
      <c r="H940" s="163">
        <v>28.333333333333336</v>
      </c>
      <c r="I940" s="163">
        <v>14.333333333333336</v>
      </c>
      <c r="J940" s="163">
        <v>11</v>
      </c>
      <c r="K940" s="163">
        <v>11.412361673414306</v>
      </c>
      <c r="L940" s="163">
        <v>0.4123616734143063</v>
      </c>
      <c r="M940" s="163">
        <v>13</v>
      </c>
      <c r="N940" s="163">
        <v>25.886189833558255</v>
      </c>
      <c r="O940" s="163">
        <v>12.886189833558255</v>
      </c>
      <c r="P940" s="163"/>
      <c r="Q940" s="163">
        <v>17</v>
      </c>
      <c r="R940" s="163">
        <v>0</v>
      </c>
      <c r="S940" s="163">
        <v>0</v>
      </c>
      <c r="T940" s="163">
        <v>0</v>
      </c>
      <c r="U940" s="163">
        <v>0</v>
      </c>
      <c r="V940" s="163">
        <v>0</v>
      </c>
      <c r="W940" s="163">
        <v>0</v>
      </c>
      <c r="X940" s="163">
        <v>0</v>
      </c>
      <c r="Y940" s="163">
        <v>17</v>
      </c>
      <c r="Z940" s="163">
        <v>17</v>
      </c>
      <c r="AA940" s="163">
        <v>0</v>
      </c>
      <c r="AB940" s="163">
        <v>0</v>
      </c>
      <c r="AC940" s="163">
        <v>12</v>
      </c>
      <c r="AD940" s="163">
        <v>5</v>
      </c>
      <c r="AE940" s="165">
        <v>0.53059105127180883</v>
      </c>
      <c r="AF940" s="166">
        <v>0.64428913368719654</v>
      </c>
    </row>
    <row r="941" spans="1:32">
      <c r="A941" s="161">
        <v>20</v>
      </c>
      <c r="B941" s="162">
        <v>0.5625</v>
      </c>
      <c r="C941" s="163">
        <v>17.180006708371501</v>
      </c>
      <c r="D941" s="163">
        <v>759.02429991091367</v>
      </c>
      <c r="E941" s="164">
        <v>0.96950000000000003</v>
      </c>
      <c r="F941" s="164">
        <v>0.96950000000000003</v>
      </c>
      <c r="G941" s="163">
        <v>14</v>
      </c>
      <c r="H941" s="163">
        <v>28.333333333333336</v>
      </c>
      <c r="I941" s="163">
        <v>14.333333333333336</v>
      </c>
      <c r="J941" s="163">
        <v>11</v>
      </c>
      <c r="K941" s="163">
        <v>11.412361673414306</v>
      </c>
      <c r="L941" s="163">
        <v>0.4123616734143063</v>
      </c>
      <c r="M941" s="163">
        <v>13</v>
      </c>
      <c r="N941" s="163">
        <v>25.886189833558255</v>
      </c>
      <c r="O941" s="163">
        <v>12.886189833558255</v>
      </c>
      <c r="P941" s="163"/>
      <c r="Q941" s="163">
        <v>17</v>
      </c>
      <c r="R941" s="163">
        <v>0</v>
      </c>
      <c r="S941" s="163">
        <v>0</v>
      </c>
      <c r="T941" s="163">
        <v>0</v>
      </c>
      <c r="U941" s="163">
        <v>0</v>
      </c>
      <c r="V941" s="163">
        <v>0</v>
      </c>
      <c r="W941" s="163">
        <v>0</v>
      </c>
      <c r="X941" s="163">
        <v>0</v>
      </c>
      <c r="Y941" s="163">
        <v>17</v>
      </c>
      <c r="Z941" s="163">
        <v>17</v>
      </c>
      <c r="AA941" s="163">
        <v>0</v>
      </c>
      <c r="AB941" s="163">
        <v>0</v>
      </c>
      <c r="AC941" s="163">
        <v>12</v>
      </c>
      <c r="AD941" s="163">
        <v>5</v>
      </c>
      <c r="AE941" s="165">
        <v>0.522769319487146</v>
      </c>
      <c r="AF941" s="166">
        <v>0.6347913165201059</v>
      </c>
    </row>
    <row r="942" spans="1:32">
      <c r="A942" s="161">
        <v>20</v>
      </c>
      <c r="B942" s="162">
        <v>0.58333333333333337</v>
      </c>
      <c r="C942" s="163">
        <v>16.932089860867769</v>
      </c>
      <c r="D942" s="163">
        <v>758.82349186783131</v>
      </c>
      <c r="E942" s="164">
        <v>0.97250000000000003</v>
      </c>
      <c r="F942" s="164">
        <v>0.97250000000000003</v>
      </c>
      <c r="G942" s="163">
        <v>14</v>
      </c>
      <c r="H942" s="163">
        <v>28.333333333333336</v>
      </c>
      <c r="I942" s="163">
        <v>14.333333333333336</v>
      </c>
      <c r="J942" s="163">
        <v>11</v>
      </c>
      <c r="K942" s="163">
        <v>11.412361673414306</v>
      </c>
      <c r="L942" s="163">
        <v>0.4123616734143063</v>
      </c>
      <c r="M942" s="163">
        <v>13</v>
      </c>
      <c r="N942" s="163">
        <v>25.886189833558255</v>
      </c>
      <c r="O942" s="163">
        <v>12.886189833558255</v>
      </c>
      <c r="P942" s="163"/>
      <c r="Q942" s="163">
        <v>17</v>
      </c>
      <c r="R942" s="163">
        <v>0</v>
      </c>
      <c r="S942" s="163">
        <v>0</v>
      </c>
      <c r="T942" s="163">
        <v>0</v>
      </c>
      <c r="U942" s="163">
        <v>0</v>
      </c>
      <c r="V942" s="163">
        <v>0</v>
      </c>
      <c r="W942" s="163">
        <v>0</v>
      </c>
      <c r="X942" s="163">
        <v>0</v>
      </c>
      <c r="Y942" s="163">
        <v>17</v>
      </c>
      <c r="Z942" s="163">
        <v>17</v>
      </c>
      <c r="AA942" s="163">
        <v>0</v>
      </c>
      <c r="AB942" s="163">
        <v>0</v>
      </c>
      <c r="AC942" s="163">
        <v>12</v>
      </c>
      <c r="AD942" s="163">
        <v>5</v>
      </c>
      <c r="AE942" s="165">
        <v>0.51508916523388992</v>
      </c>
      <c r="AF942" s="166">
        <v>0.62546541492686636</v>
      </c>
    </row>
    <row r="943" spans="1:32">
      <c r="A943" s="161">
        <v>20</v>
      </c>
      <c r="B943" s="162">
        <v>0.60416666666666663</v>
      </c>
      <c r="C943" s="163">
        <v>17.040468787219307</v>
      </c>
      <c r="D943" s="163">
        <v>720.43948895091012</v>
      </c>
      <c r="E943" s="164">
        <v>0.99093333333333333</v>
      </c>
      <c r="F943" s="164">
        <v>0.99093333333333333</v>
      </c>
      <c r="G943" s="163">
        <v>13</v>
      </c>
      <c r="H943" s="163">
        <v>29.666666666666664</v>
      </c>
      <c r="I943" s="163">
        <v>16.666666666666664</v>
      </c>
      <c r="J943" s="163">
        <v>10</v>
      </c>
      <c r="K943" s="163">
        <v>10.597192982456141</v>
      </c>
      <c r="L943" s="163">
        <v>0.59719298245614105</v>
      </c>
      <c r="M943" s="163">
        <v>12</v>
      </c>
      <c r="N943" s="163">
        <v>27.104363472784524</v>
      </c>
      <c r="O943" s="163">
        <v>15.104363472784524</v>
      </c>
      <c r="P943" s="163"/>
      <c r="Q943" s="163">
        <v>17</v>
      </c>
      <c r="R943" s="163">
        <v>0</v>
      </c>
      <c r="S943" s="163">
        <v>0</v>
      </c>
      <c r="T943" s="163">
        <v>0</v>
      </c>
      <c r="U943" s="163">
        <v>0</v>
      </c>
      <c r="V943" s="163">
        <v>0</v>
      </c>
      <c r="W943" s="163">
        <v>0</v>
      </c>
      <c r="X943" s="163">
        <v>0</v>
      </c>
      <c r="Y943" s="163">
        <v>17</v>
      </c>
      <c r="Z943" s="163">
        <v>17</v>
      </c>
      <c r="AA943" s="163">
        <v>0</v>
      </c>
      <c r="AB943" s="163">
        <v>0</v>
      </c>
      <c r="AC943" s="163">
        <v>12</v>
      </c>
      <c r="AD943" s="163">
        <v>5</v>
      </c>
      <c r="AE943" s="165">
        <v>0.49216432496085316</v>
      </c>
      <c r="AF943" s="166">
        <v>0.64359950187188497</v>
      </c>
    </row>
    <row r="944" spans="1:32">
      <c r="A944" s="161">
        <v>20</v>
      </c>
      <c r="B944" s="162">
        <v>0.625</v>
      </c>
      <c r="C944" s="163">
        <v>17.420693362873379</v>
      </c>
      <c r="D944" s="163">
        <v>777.37295682721594</v>
      </c>
      <c r="E944" s="164">
        <v>0.93176666666666674</v>
      </c>
      <c r="F944" s="164">
        <v>0.93176666666666674</v>
      </c>
      <c r="G944" s="163">
        <v>14</v>
      </c>
      <c r="H944" s="163">
        <v>29</v>
      </c>
      <c r="I944" s="163">
        <v>15</v>
      </c>
      <c r="J944" s="163">
        <v>11</v>
      </c>
      <c r="K944" s="163">
        <v>11.412361673414306</v>
      </c>
      <c r="L944" s="163">
        <v>0.4123616734143063</v>
      </c>
      <c r="M944" s="163">
        <v>13</v>
      </c>
      <c r="N944" s="163">
        <v>26.495276653171388</v>
      </c>
      <c r="O944" s="163">
        <v>13.495276653171388</v>
      </c>
      <c r="P944" s="163"/>
      <c r="Q944" s="163">
        <v>19</v>
      </c>
      <c r="R944" s="163">
        <v>0</v>
      </c>
      <c r="S944" s="163">
        <v>0</v>
      </c>
      <c r="T944" s="163">
        <v>0</v>
      </c>
      <c r="U944" s="163">
        <v>0</v>
      </c>
      <c r="V944" s="163">
        <v>0</v>
      </c>
      <c r="W944" s="163">
        <v>0</v>
      </c>
      <c r="X944" s="163">
        <v>0</v>
      </c>
      <c r="Y944" s="163">
        <v>19</v>
      </c>
      <c r="Z944" s="163">
        <v>19</v>
      </c>
      <c r="AA944" s="163">
        <v>0</v>
      </c>
      <c r="AB944" s="163">
        <v>0</v>
      </c>
      <c r="AC944" s="163">
        <v>12</v>
      </c>
      <c r="AD944" s="163">
        <v>7</v>
      </c>
      <c r="AE944" s="165">
        <v>0.48575946080613519</v>
      </c>
      <c r="AF944" s="166">
        <v>0.6592449825226121</v>
      </c>
    </row>
    <row r="945" spans="1:32">
      <c r="A945" s="161">
        <v>20</v>
      </c>
      <c r="B945" s="162">
        <v>0.64583333333333337</v>
      </c>
      <c r="C945" s="163">
        <v>16.051452837289723</v>
      </c>
      <c r="D945" s="163">
        <v>756.27987944043161</v>
      </c>
      <c r="E945" s="164">
        <v>0.9174000000000001</v>
      </c>
      <c r="F945" s="164">
        <v>0.9174000000000001</v>
      </c>
      <c r="G945" s="163">
        <v>13</v>
      </c>
      <c r="H945" s="163">
        <v>23.333333333333336</v>
      </c>
      <c r="I945" s="163">
        <v>10.333333333333336</v>
      </c>
      <c r="J945" s="163">
        <v>10</v>
      </c>
      <c r="K945" s="163">
        <v>10.597192982456141</v>
      </c>
      <c r="L945" s="163">
        <v>0.59719298245614105</v>
      </c>
      <c r="M945" s="163">
        <v>12</v>
      </c>
      <c r="N945" s="163">
        <v>21.31803868645974</v>
      </c>
      <c r="O945" s="163">
        <v>9.3180386864597402</v>
      </c>
      <c r="P945" s="163"/>
      <c r="Q945" s="163">
        <v>14</v>
      </c>
      <c r="R945" s="163">
        <v>0</v>
      </c>
      <c r="S945" s="163">
        <v>0</v>
      </c>
      <c r="T945" s="163">
        <v>0</v>
      </c>
      <c r="U945" s="163">
        <v>0</v>
      </c>
      <c r="V945" s="163">
        <v>0</v>
      </c>
      <c r="W945" s="163">
        <v>0</v>
      </c>
      <c r="X945" s="163">
        <v>0</v>
      </c>
      <c r="Y945" s="163">
        <v>14</v>
      </c>
      <c r="Z945" s="163">
        <v>14</v>
      </c>
      <c r="AA945" s="163">
        <v>0</v>
      </c>
      <c r="AB945" s="163">
        <v>0</v>
      </c>
      <c r="AC945" s="163">
        <v>10</v>
      </c>
      <c r="AD945" s="163">
        <v>4</v>
      </c>
      <c r="AE945" s="165">
        <v>0.59094744823494505</v>
      </c>
      <c r="AF945" s="166">
        <v>0.63640494425301775</v>
      </c>
    </row>
    <row r="946" spans="1:32">
      <c r="A946" s="161">
        <v>20</v>
      </c>
      <c r="B946" s="162">
        <v>0.66666666666666663</v>
      </c>
      <c r="C946" s="163">
        <v>15.273697837493032</v>
      </c>
      <c r="D946" s="163">
        <v>785.63443912574292</v>
      </c>
      <c r="E946" s="164">
        <v>0.9224</v>
      </c>
      <c r="F946" s="164">
        <v>0.9224</v>
      </c>
      <c r="G946" s="163">
        <v>13</v>
      </c>
      <c r="H946" s="163">
        <v>23.333333333333336</v>
      </c>
      <c r="I946" s="163">
        <v>10.333333333333336</v>
      </c>
      <c r="J946" s="163">
        <v>10</v>
      </c>
      <c r="K946" s="163">
        <v>10.597192982456141</v>
      </c>
      <c r="L946" s="163">
        <v>0.59719298245614105</v>
      </c>
      <c r="M946" s="163">
        <v>12</v>
      </c>
      <c r="N946" s="163">
        <v>21.31803868645974</v>
      </c>
      <c r="O946" s="163">
        <v>9.3180386864597402</v>
      </c>
      <c r="P946" s="163"/>
      <c r="Q946" s="163">
        <v>14</v>
      </c>
      <c r="R946" s="163">
        <v>0</v>
      </c>
      <c r="S946" s="163">
        <v>0</v>
      </c>
      <c r="T946" s="163">
        <v>0</v>
      </c>
      <c r="U946" s="163">
        <v>0</v>
      </c>
      <c r="V946" s="163">
        <v>0</v>
      </c>
      <c r="W946" s="163">
        <v>0</v>
      </c>
      <c r="X946" s="163">
        <v>0</v>
      </c>
      <c r="Y946" s="163">
        <v>14</v>
      </c>
      <c r="Z946" s="163">
        <v>14</v>
      </c>
      <c r="AA946" s="163">
        <v>0</v>
      </c>
      <c r="AB946" s="163">
        <v>0</v>
      </c>
      <c r="AC946" s="163">
        <v>10</v>
      </c>
      <c r="AD946" s="163">
        <v>4</v>
      </c>
      <c r="AE946" s="165">
        <v>0.58413963624726895</v>
      </c>
      <c r="AF946" s="166">
        <v>0.62907345442013585</v>
      </c>
    </row>
    <row r="947" spans="1:32">
      <c r="A947" s="161">
        <v>20</v>
      </c>
      <c r="B947" s="162">
        <v>0.6875</v>
      </c>
      <c r="C947" s="163">
        <v>14.832136415029696</v>
      </c>
      <c r="D947" s="163">
        <v>739.21124503778321</v>
      </c>
      <c r="E947" s="164">
        <v>0.87309999999999999</v>
      </c>
      <c r="F947" s="164">
        <v>0.87309999999999999</v>
      </c>
      <c r="G947" s="163">
        <v>12</v>
      </c>
      <c r="H947" s="163">
        <v>22</v>
      </c>
      <c r="I947" s="163">
        <v>10</v>
      </c>
      <c r="J947" s="163">
        <v>9</v>
      </c>
      <c r="K947" s="163">
        <v>9.7820242914979758</v>
      </c>
      <c r="L947" s="163">
        <v>0.78202429149797581</v>
      </c>
      <c r="M947" s="163">
        <v>11</v>
      </c>
      <c r="N947" s="163">
        <v>20.099865047233468</v>
      </c>
      <c r="O947" s="163">
        <v>9.0998650472334681</v>
      </c>
      <c r="P947" s="163"/>
      <c r="Q947" s="163">
        <v>14</v>
      </c>
      <c r="R947" s="163">
        <v>0</v>
      </c>
      <c r="S947" s="163">
        <v>0</v>
      </c>
      <c r="T947" s="163">
        <v>0</v>
      </c>
      <c r="U947" s="163">
        <v>0</v>
      </c>
      <c r="V947" s="163">
        <v>0</v>
      </c>
      <c r="W947" s="163">
        <v>0</v>
      </c>
      <c r="X947" s="163">
        <v>0</v>
      </c>
      <c r="Y947" s="163">
        <v>14</v>
      </c>
      <c r="Z947" s="163">
        <v>14</v>
      </c>
      <c r="AA947" s="163">
        <v>0</v>
      </c>
      <c r="AB947" s="163">
        <v>0</v>
      </c>
      <c r="AC947" s="163">
        <v>10</v>
      </c>
      <c r="AD947" s="163">
        <v>4</v>
      </c>
      <c r="AE947" s="165">
        <v>0.53373323203195955</v>
      </c>
      <c r="AF947" s="166">
        <v>0.62268877070395279</v>
      </c>
    </row>
    <row r="948" spans="1:32">
      <c r="A948" s="161">
        <v>20</v>
      </c>
      <c r="B948" s="162">
        <v>0.70833333333333337</v>
      </c>
      <c r="C948" s="163">
        <v>15.448287239064149</v>
      </c>
      <c r="D948" s="163">
        <v>752.41145273275163</v>
      </c>
      <c r="E948" s="164">
        <v>0.78239999999999998</v>
      </c>
      <c r="F948" s="164">
        <v>0.78239999999999998</v>
      </c>
      <c r="G948" s="163">
        <v>13</v>
      </c>
      <c r="H948" s="163">
        <v>20</v>
      </c>
      <c r="I948" s="163">
        <v>7</v>
      </c>
      <c r="J948" s="163">
        <v>10</v>
      </c>
      <c r="K948" s="163">
        <v>10.597192982456141</v>
      </c>
      <c r="L948" s="163">
        <v>0.59719298245614105</v>
      </c>
      <c r="M948" s="163">
        <v>12</v>
      </c>
      <c r="N948" s="163">
        <v>18.27260458839406</v>
      </c>
      <c r="O948" s="163">
        <v>6.27260458839406</v>
      </c>
      <c r="P948" s="163"/>
      <c r="Q948" s="163">
        <v>12</v>
      </c>
      <c r="R948" s="163">
        <v>0</v>
      </c>
      <c r="S948" s="163">
        <v>0</v>
      </c>
      <c r="T948" s="163">
        <v>0</v>
      </c>
      <c r="U948" s="163">
        <v>0</v>
      </c>
      <c r="V948" s="163">
        <v>0</v>
      </c>
      <c r="W948" s="163">
        <v>0</v>
      </c>
      <c r="X948" s="163">
        <v>0</v>
      </c>
      <c r="Y948" s="163">
        <v>12</v>
      </c>
      <c r="Z948" s="163">
        <v>12</v>
      </c>
      <c r="AA948" s="163">
        <v>0</v>
      </c>
      <c r="AB948" s="163">
        <v>0</v>
      </c>
      <c r="AC948" s="163">
        <v>10</v>
      </c>
      <c r="AD948" s="163">
        <v>2</v>
      </c>
      <c r="AE948" s="165">
        <v>0.66013763258249536</v>
      </c>
      <c r="AF948" s="166">
        <v>0.60935781469153427</v>
      </c>
    </row>
    <row r="949" spans="1:32">
      <c r="A949" s="161">
        <v>20</v>
      </c>
      <c r="B949" s="162">
        <v>0.72916666666666663</v>
      </c>
      <c r="C949" s="163">
        <v>14.929112194669388</v>
      </c>
      <c r="D949" s="163">
        <v>776.89803190850751</v>
      </c>
      <c r="E949" s="164">
        <v>0.9186333333333333</v>
      </c>
      <c r="F949" s="164">
        <v>0.9186333333333333</v>
      </c>
      <c r="G949" s="163">
        <v>13</v>
      </c>
      <c r="H949" s="163">
        <v>22.666666666666664</v>
      </c>
      <c r="I949" s="163">
        <v>9.6666666666666643</v>
      </c>
      <c r="J949" s="163">
        <v>10</v>
      </c>
      <c r="K949" s="163">
        <v>10.597192982456141</v>
      </c>
      <c r="L949" s="163">
        <v>0.59719298245614105</v>
      </c>
      <c r="M949" s="163">
        <v>12</v>
      </c>
      <c r="N949" s="163">
        <v>20.708951866846601</v>
      </c>
      <c r="O949" s="163">
        <v>8.7089518668466006</v>
      </c>
      <c r="P949" s="163"/>
      <c r="Q949" s="163">
        <v>12</v>
      </c>
      <c r="R949" s="163">
        <v>0</v>
      </c>
      <c r="S949" s="163">
        <v>0</v>
      </c>
      <c r="T949" s="163">
        <v>0</v>
      </c>
      <c r="U949" s="163">
        <v>0</v>
      </c>
      <c r="V949" s="163">
        <v>0</v>
      </c>
      <c r="W949" s="163">
        <v>0</v>
      </c>
      <c r="X949" s="163">
        <v>0</v>
      </c>
      <c r="Y949" s="163">
        <v>12</v>
      </c>
      <c r="Z949" s="163">
        <v>12</v>
      </c>
      <c r="AA949" s="163">
        <v>0</v>
      </c>
      <c r="AB949" s="163">
        <v>0</v>
      </c>
      <c r="AC949" s="163">
        <v>10</v>
      </c>
      <c r="AD949" s="163">
        <v>2</v>
      </c>
      <c r="AE949" s="165">
        <v>0.65871379859373891</v>
      </c>
      <c r="AF949" s="166">
        <v>0.60804350639422056</v>
      </c>
    </row>
    <row r="950" spans="1:32">
      <c r="A950" s="161">
        <v>20</v>
      </c>
      <c r="B950" s="162">
        <v>0.75</v>
      </c>
      <c r="C950" s="163">
        <v>14.561651916097695</v>
      </c>
      <c r="D950" s="163">
        <v>753.65009942071572</v>
      </c>
      <c r="E950" s="164">
        <v>0.9909</v>
      </c>
      <c r="F950" s="164">
        <v>0.9909</v>
      </c>
      <c r="G950" s="163">
        <v>12</v>
      </c>
      <c r="H950" s="163">
        <v>26.666666666666664</v>
      </c>
      <c r="I950" s="163">
        <v>14.666666666666664</v>
      </c>
      <c r="J950" s="163">
        <v>9</v>
      </c>
      <c r="K950" s="163">
        <v>9.7820242914979758</v>
      </c>
      <c r="L950" s="163">
        <v>0.78202429149797581</v>
      </c>
      <c r="M950" s="163">
        <v>11</v>
      </c>
      <c r="N950" s="163">
        <v>24.363472784525413</v>
      </c>
      <c r="O950" s="163">
        <v>13.363472784525413</v>
      </c>
      <c r="P950" s="163"/>
      <c r="Q950" s="163">
        <v>16</v>
      </c>
      <c r="R950" s="163">
        <v>0</v>
      </c>
      <c r="S950" s="163">
        <v>0</v>
      </c>
      <c r="T950" s="163">
        <v>0</v>
      </c>
      <c r="U950" s="163">
        <v>0</v>
      </c>
      <c r="V950" s="163">
        <v>0</v>
      </c>
      <c r="W950" s="163">
        <v>0</v>
      </c>
      <c r="X950" s="163">
        <v>0</v>
      </c>
      <c r="Y950" s="163">
        <v>16</v>
      </c>
      <c r="Z950" s="163">
        <v>16</v>
      </c>
      <c r="AA950" s="163">
        <v>0</v>
      </c>
      <c r="AB950" s="163">
        <v>0</v>
      </c>
      <c r="AC950" s="163">
        <v>14</v>
      </c>
      <c r="AD950" s="163">
        <v>2</v>
      </c>
      <c r="AE950" s="165">
        <v>0.46745566524487381</v>
      </c>
      <c r="AF950" s="166">
        <v>0.62327422032649837</v>
      </c>
    </row>
    <row r="951" spans="1:32">
      <c r="A951" s="161">
        <v>20</v>
      </c>
      <c r="B951" s="162">
        <v>0.77083333333333337</v>
      </c>
      <c r="C951" s="163">
        <v>13.750170891990322</v>
      </c>
      <c r="D951" s="163">
        <v>747.46693273594474</v>
      </c>
      <c r="E951" s="164">
        <v>0.99470000000000003</v>
      </c>
      <c r="F951" s="164">
        <v>0.99470000000000003</v>
      </c>
      <c r="G951" s="163">
        <v>12</v>
      </c>
      <c r="H951" s="163">
        <v>26.666666666666664</v>
      </c>
      <c r="I951" s="163">
        <v>14.666666666666664</v>
      </c>
      <c r="J951" s="163">
        <v>9</v>
      </c>
      <c r="K951" s="163">
        <v>9.7820242914979758</v>
      </c>
      <c r="L951" s="163">
        <v>0.78202429149797581</v>
      </c>
      <c r="M951" s="163">
        <v>11</v>
      </c>
      <c r="N951" s="163">
        <v>24.363472784525413</v>
      </c>
      <c r="O951" s="163">
        <v>13.363472784525413</v>
      </c>
      <c r="P951" s="163"/>
      <c r="Q951" s="163">
        <v>16</v>
      </c>
      <c r="R951" s="163">
        <v>0</v>
      </c>
      <c r="S951" s="163">
        <v>0</v>
      </c>
      <c r="T951" s="163">
        <v>0</v>
      </c>
      <c r="U951" s="163">
        <v>0</v>
      </c>
      <c r="V951" s="163">
        <v>0</v>
      </c>
      <c r="W951" s="163">
        <v>0</v>
      </c>
      <c r="X951" s="163">
        <v>0</v>
      </c>
      <c r="Y951" s="163">
        <v>16</v>
      </c>
      <c r="Z951" s="163">
        <v>16</v>
      </c>
      <c r="AA951" s="163">
        <v>0</v>
      </c>
      <c r="AB951" s="163">
        <v>0</v>
      </c>
      <c r="AC951" s="163">
        <v>14</v>
      </c>
      <c r="AD951" s="163">
        <v>2</v>
      </c>
      <c r="AE951" s="165">
        <v>0.43778421840235399</v>
      </c>
      <c r="AF951" s="166">
        <v>0.58371229120313861</v>
      </c>
    </row>
    <row r="952" spans="1:32">
      <c r="A952" s="161">
        <v>20</v>
      </c>
      <c r="B952" s="162">
        <v>0.79166666666666663</v>
      </c>
      <c r="C952" s="163">
        <v>13.735736612179876</v>
      </c>
      <c r="D952" s="163">
        <v>756.15361877943928</v>
      </c>
      <c r="E952" s="164">
        <v>0.96799999999999997</v>
      </c>
      <c r="F952" s="164">
        <v>0.96799999999999997</v>
      </c>
      <c r="G952" s="163">
        <v>12</v>
      </c>
      <c r="H952" s="163">
        <v>23.333333333333336</v>
      </c>
      <c r="I952" s="163">
        <v>11.333333333333336</v>
      </c>
      <c r="J952" s="163">
        <v>9</v>
      </c>
      <c r="K952" s="163">
        <v>9.7820242914979758</v>
      </c>
      <c r="L952" s="163">
        <v>0.78202429149797581</v>
      </c>
      <c r="M952" s="163">
        <v>11</v>
      </c>
      <c r="N952" s="163">
        <v>21.31803868645974</v>
      </c>
      <c r="O952" s="163">
        <v>10.31803868645974</v>
      </c>
      <c r="P952" s="163"/>
      <c r="Q952" s="163">
        <v>14</v>
      </c>
      <c r="R952" s="163">
        <v>0</v>
      </c>
      <c r="S952" s="163">
        <v>0</v>
      </c>
      <c r="T952" s="163">
        <v>0</v>
      </c>
      <c r="U952" s="163">
        <v>0</v>
      </c>
      <c r="V952" s="163">
        <v>0</v>
      </c>
      <c r="W952" s="163">
        <v>0</v>
      </c>
      <c r="X952" s="163">
        <v>0</v>
      </c>
      <c r="Y952" s="163">
        <v>14</v>
      </c>
      <c r="Z952" s="163">
        <v>14</v>
      </c>
      <c r="AA952" s="163">
        <v>0</v>
      </c>
      <c r="AB952" s="163">
        <v>0</v>
      </c>
      <c r="AC952" s="163">
        <v>12</v>
      </c>
      <c r="AD952" s="163">
        <v>2</v>
      </c>
      <c r="AE952" s="165">
        <v>0.50560802415276007</v>
      </c>
      <c r="AF952" s="166">
        <v>0.58987602817822016</v>
      </c>
    </row>
    <row r="953" spans="1:32">
      <c r="A953" s="161">
        <v>20</v>
      </c>
      <c r="B953" s="162">
        <v>0.8125</v>
      </c>
      <c r="C953" s="163">
        <v>12.033131907044396</v>
      </c>
      <c r="D953" s="163">
        <v>760.31804656560007</v>
      </c>
      <c r="E953" s="164">
        <v>0.98609999999999998</v>
      </c>
      <c r="F953" s="164">
        <v>0.98609999999999998</v>
      </c>
      <c r="G953" s="163">
        <v>10</v>
      </c>
      <c r="H953" s="163">
        <v>23.333333333333336</v>
      </c>
      <c r="I953" s="163">
        <v>13.333333333333336</v>
      </c>
      <c r="J953" s="163">
        <v>8</v>
      </c>
      <c r="K953" s="163">
        <v>8.1516869095816471</v>
      </c>
      <c r="L953" s="163">
        <v>0.1516869095816471</v>
      </c>
      <c r="M953" s="163">
        <v>9</v>
      </c>
      <c r="N953" s="163">
        <v>21.31803868645974</v>
      </c>
      <c r="O953" s="163">
        <v>12.31803868645974</v>
      </c>
      <c r="P953" s="163"/>
      <c r="Q953" s="163">
        <v>14</v>
      </c>
      <c r="R953" s="163">
        <v>0</v>
      </c>
      <c r="S953" s="163">
        <v>0</v>
      </c>
      <c r="T953" s="163">
        <v>0</v>
      </c>
      <c r="U953" s="163">
        <v>0</v>
      </c>
      <c r="V953" s="163">
        <v>0</v>
      </c>
      <c r="W953" s="163">
        <v>0</v>
      </c>
      <c r="X953" s="163">
        <v>0</v>
      </c>
      <c r="Y953" s="163">
        <v>14</v>
      </c>
      <c r="Z953" s="163">
        <v>14</v>
      </c>
      <c r="AA953" s="163">
        <v>0</v>
      </c>
      <c r="AB953" s="163">
        <v>0</v>
      </c>
      <c r="AC953" s="163">
        <v>12</v>
      </c>
      <c r="AD953" s="163">
        <v>2</v>
      </c>
      <c r="AE953" s="165">
        <v>0.44537511201770319</v>
      </c>
      <c r="AF953" s="166">
        <v>0.62352515682478449</v>
      </c>
    </row>
    <row r="954" spans="1:32">
      <c r="A954" s="161">
        <v>20</v>
      </c>
      <c r="B954" s="162">
        <v>0.83333333333333337</v>
      </c>
      <c r="C954" s="163">
        <v>11.910106799707544</v>
      </c>
      <c r="D954" s="163">
        <v>717.36221412618431</v>
      </c>
      <c r="E954" s="164">
        <v>0.91853333333333331</v>
      </c>
      <c r="F954" s="164">
        <v>0.91853333333333331</v>
      </c>
      <c r="G954" s="163">
        <v>10</v>
      </c>
      <c r="H954" s="163">
        <v>20.666666666666668</v>
      </c>
      <c r="I954" s="163">
        <v>10.666666666666668</v>
      </c>
      <c r="J954" s="163">
        <v>8</v>
      </c>
      <c r="K954" s="163">
        <v>8.1516869095816471</v>
      </c>
      <c r="L954" s="163">
        <v>0.1516869095816471</v>
      </c>
      <c r="M954" s="163">
        <v>9</v>
      </c>
      <c r="N954" s="163">
        <v>18.881691408007196</v>
      </c>
      <c r="O954" s="163">
        <v>9.881691408007196</v>
      </c>
      <c r="P954" s="163"/>
      <c r="Q954" s="163">
        <v>14</v>
      </c>
      <c r="R954" s="163">
        <v>0</v>
      </c>
      <c r="S954" s="163">
        <v>0</v>
      </c>
      <c r="T954" s="163">
        <v>0</v>
      </c>
      <c r="U954" s="163">
        <v>0</v>
      </c>
      <c r="V954" s="163">
        <v>0</v>
      </c>
      <c r="W954" s="163">
        <v>0</v>
      </c>
      <c r="X954" s="163">
        <v>0</v>
      </c>
      <c r="Y954" s="163">
        <v>14</v>
      </c>
      <c r="Z954" s="163">
        <v>14</v>
      </c>
      <c r="AA954" s="163">
        <v>0</v>
      </c>
      <c r="AB954" s="163">
        <v>0</v>
      </c>
      <c r="AC954" s="163">
        <v>12</v>
      </c>
      <c r="AD954" s="163">
        <v>2</v>
      </c>
      <c r="AE954" s="165">
        <v>0.41591647279871657</v>
      </c>
      <c r="AF954" s="166">
        <v>0.58228306191820323</v>
      </c>
    </row>
    <row r="955" spans="1:32">
      <c r="A955" s="161">
        <v>20</v>
      </c>
      <c r="B955" s="162">
        <v>0.85416666666666663</v>
      </c>
      <c r="C955" s="163">
        <v>11.15503505016366</v>
      </c>
      <c r="D955" s="163">
        <v>701.87693448734217</v>
      </c>
      <c r="E955" s="164">
        <v>0.76496666666666668</v>
      </c>
      <c r="F955" s="164">
        <v>0.76496666666666668</v>
      </c>
      <c r="G955" s="163">
        <v>9</v>
      </c>
      <c r="H955" s="163">
        <v>15.333333333333332</v>
      </c>
      <c r="I955" s="163">
        <v>6.3333333333333321</v>
      </c>
      <c r="J955" s="163">
        <v>7</v>
      </c>
      <c r="K955" s="163">
        <v>7.3365182186234819</v>
      </c>
      <c r="L955" s="163">
        <v>0.33651821862348186</v>
      </c>
      <c r="M955" s="163">
        <v>8</v>
      </c>
      <c r="N955" s="163">
        <v>14.008996851102113</v>
      </c>
      <c r="O955" s="163">
        <v>6.008996851102113</v>
      </c>
      <c r="P955" s="163"/>
      <c r="Q955" s="163">
        <v>10</v>
      </c>
      <c r="R955" s="163">
        <v>0</v>
      </c>
      <c r="S955" s="163">
        <v>0</v>
      </c>
      <c r="T955" s="163">
        <v>0</v>
      </c>
      <c r="U955" s="163">
        <v>0</v>
      </c>
      <c r="V955" s="163">
        <v>0</v>
      </c>
      <c r="W955" s="163">
        <v>0</v>
      </c>
      <c r="X955" s="163">
        <v>0</v>
      </c>
      <c r="Y955" s="163">
        <v>10</v>
      </c>
      <c r="Z955" s="163">
        <v>10</v>
      </c>
      <c r="AA955" s="163">
        <v>0</v>
      </c>
      <c r="AB955" s="163">
        <v>0</v>
      </c>
      <c r="AC955" s="163">
        <v>8</v>
      </c>
      <c r="AD955" s="163">
        <v>2</v>
      </c>
      <c r="AE955" s="165">
        <v>0.53359519950709888</v>
      </c>
      <c r="AF955" s="166">
        <v>0.59288355500788759</v>
      </c>
    </row>
    <row r="956" spans="1:32">
      <c r="A956" s="161">
        <v>20</v>
      </c>
      <c r="B956" s="162">
        <v>0.875</v>
      </c>
      <c r="C956" s="163">
        <v>9.305403406492907</v>
      </c>
      <c r="D956" s="163">
        <v>695.24335362455179</v>
      </c>
      <c r="E956" s="164">
        <v>0.83609999999999995</v>
      </c>
      <c r="F956" s="164">
        <v>0.83609999999999995</v>
      </c>
      <c r="G956" s="163">
        <v>8</v>
      </c>
      <c r="H956" s="163">
        <v>13.333333333333332</v>
      </c>
      <c r="I956" s="163">
        <v>5.3333333333333321</v>
      </c>
      <c r="J956" s="163">
        <v>6</v>
      </c>
      <c r="K956" s="163">
        <v>6.5213495276653175</v>
      </c>
      <c r="L956" s="163">
        <v>0.5213495276653175</v>
      </c>
      <c r="M956" s="163">
        <v>7</v>
      </c>
      <c r="N956" s="163">
        <v>12.181736392262707</v>
      </c>
      <c r="O956" s="163">
        <v>5.1817363922627067</v>
      </c>
      <c r="P956" s="163"/>
      <c r="Q956" s="163">
        <v>8</v>
      </c>
      <c r="R956" s="163">
        <v>0</v>
      </c>
      <c r="S956" s="163">
        <v>0</v>
      </c>
      <c r="T956" s="163">
        <v>0</v>
      </c>
      <c r="U956" s="163">
        <v>0</v>
      </c>
      <c r="V956" s="163">
        <v>0</v>
      </c>
      <c r="W956" s="163">
        <v>0</v>
      </c>
      <c r="X956" s="163">
        <v>0</v>
      </c>
      <c r="Y956" s="163">
        <v>8</v>
      </c>
      <c r="Z956" s="163">
        <v>8</v>
      </c>
      <c r="AA956" s="163">
        <v>0</v>
      </c>
      <c r="AB956" s="163">
        <v>0</v>
      </c>
      <c r="AC956" s="163">
        <v>6</v>
      </c>
      <c r="AD956" s="163">
        <v>2</v>
      </c>
      <c r="AE956" s="165">
        <v>0.5511401728970714</v>
      </c>
      <c r="AF956" s="166">
        <v>0.5511401728970714</v>
      </c>
    </row>
    <row r="957" spans="1:32">
      <c r="A957" s="161">
        <v>20</v>
      </c>
      <c r="B957" s="162">
        <v>0.89583333333333337</v>
      </c>
      <c r="C957" s="163">
        <v>8.0675111070617618</v>
      </c>
      <c r="D957" s="163">
        <v>651.39585336009714</v>
      </c>
      <c r="E957" s="164">
        <v>0.92530000000000001</v>
      </c>
      <c r="F957" s="164">
        <v>0.92530000000000001</v>
      </c>
      <c r="G957" s="163">
        <v>8</v>
      </c>
      <c r="H957" s="163">
        <v>13.333333333333332</v>
      </c>
      <c r="I957" s="163">
        <v>5.3333333333333321</v>
      </c>
      <c r="J957" s="163">
        <v>6</v>
      </c>
      <c r="K957" s="163">
        <v>6.5213495276653175</v>
      </c>
      <c r="L957" s="163">
        <v>0.5213495276653175</v>
      </c>
      <c r="M957" s="163">
        <v>7</v>
      </c>
      <c r="N957" s="163">
        <v>12.181736392262707</v>
      </c>
      <c r="O957" s="163">
        <v>5.1817363922627067</v>
      </c>
      <c r="P957" s="163"/>
      <c r="Q957" s="163">
        <v>8</v>
      </c>
      <c r="R957" s="163">
        <v>0</v>
      </c>
      <c r="S957" s="163">
        <v>0</v>
      </c>
      <c r="T957" s="163">
        <v>0</v>
      </c>
      <c r="U957" s="163">
        <v>0</v>
      </c>
      <c r="V957" s="163">
        <v>0</v>
      </c>
      <c r="W957" s="163">
        <v>0</v>
      </c>
      <c r="X957" s="163">
        <v>0</v>
      </c>
      <c r="Y957" s="163">
        <v>8</v>
      </c>
      <c r="Z957" s="163">
        <v>8</v>
      </c>
      <c r="AA957" s="163">
        <v>0</v>
      </c>
      <c r="AB957" s="163">
        <v>0</v>
      </c>
      <c r="AC957" s="163">
        <v>6</v>
      </c>
      <c r="AD957" s="163">
        <v>2</v>
      </c>
      <c r="AE957" s="165">
        <v>0.44768709807880752</v>
      </c>
      <c r="AF957" s="166">
        <v>0.44768709807880752</v>
      </c>
    </row>
    <row r="958" spans="1:32">
      <c r="A958" s="161">
        <v>20</v>
      </c>
      <c r="B958" s="162">
        <v>0.91666666666666663</v>
      </c>
      <c r="C958" s="163">
        <v>4.3496345161681642</v>
      </c>
      <c r="D958" s="163">
        <v>676.56907225706539</v>
      </c>
      <c r="E958" s="164">
        <v>0.94539999999999991</v>
      </c>
      <c r="F958" s="164">
        <v>0.94539999999999991</v>
      </c>
      <c r="G958" s="163">
        <v>5</v>
      </c>
      <c r="H958" s="163">
        <v>12</v>
      </c>
      <c r="I958" s="163">
        <v>7</v>
      </c>
      <c r="J958" s="163">
        <v>4</v>
      </c>
      <c r="K958" s="163">
        <v>4.0758434547908236</v>
      </c>
      <c r="L958" s="163">
        <v>7.584345479082355E-2</v>
      </c>
      <c r="M958" s="163">
        <v>5</v>
      </c>
      <c r="N958" s="163">
        <v>10.963562753036436</v>
      </c>
      <c r="O958" s="163">
        <v>5.9635627530364363</v>
      </c>
      <c r="P958" s="163"/>
      <c r="Q958" s="163">
        <v>8</v>
      </c>
      <c r="R958" s="163">
        <v>0</v>
      </c>
      <c r="S958" s="163">
        <v>0</v>
      </c>
      <c r="T958" s="163">
        <v>0</v>
      </c>
      <c r="U958" s="163">
        <v>0</v>
      </c>
      <c r="V958" s="163">
        <v>0</v>
      </c>
      <c r="W958" s="163">
        <v>0</v>
      </c>
      <c r="X958" s="163">
        <v>0</v>
      </c>
      <c r="Y958" s="163">
        <v>8</v>
      </c>
      <c r="Z958" s="163">
        <v>8</v>
      </c>
      <c r="AA958" s="163">
        <v>0</v>
      </c>
      <c r="AB958" s="163">
        <v>0</v>
      </c>
      <c r="AC958" s="163">
        <v>6</v>
      </c>
      <c r="AD958" s="163">
        <v>2</v>
      </c>
      <c r="AE958" s="165">
        <v>0.25070034088095622</v>
      </c>
      <c r="AF958" s="166">
        <v>0.40112054540952996</v>
      </c>
    </row>
    <row r="959" spans="1:32">
      <c r="A959" s="161">
        <v>20</v>
      </c>
      <c r="B959" s="162">
        <v>0.9375</v>
      </c>
      <c r="C959" s="163">
        <v>3.4818128173914724</v>
      </c>
      <c r="D959" s="163">
        <v>673.57697300265193</v>
      </c>
      <c r="E959" s="164">
        <v>0.92213333333333336</v>
      </c>
      <c r="F959" s="164">
        <v>0.92213333333333336</v>
      </c>
      <c r="G959" s="163">
        <v>4</v>
      </c>
      <c r="H959" s="163">
        <v>9.3333333333333339</v>
      </c>
      <c r="I959" s="163">
        <v>5.3333333333333339</v>
      </c>
      <c r="J959" s="163">
        <v>3</v>
      </c>
      <c r="K959" s="163">
        <v>3.2606747638326588</v>
      </c>
      <c r="L959" s="163">
        <v>0.26067476383265875</v>
      </c>
      <c r="M959" s="163">
        <v>4</v>
      </c>
      <c r="N959" s="163">
        <v>8.5272154745838957</v>
      </c>
      <c r="O959" s="163">
        <v>4.5272154745838957</v>
      </c>
      <c r="P959" s="163"/>
      <c r="Q959" s="163">
        <v>6</v>
      </c>
      <c r="R959" s="163">
        <v>0</v>
      </c>
      <c r="S959" s="163">
        <v>0</v>
      </c>
      <c r="T959" s="163">
        <v>0</v>
      </c>
      <c r="U959" s="163">
        <v>0</v>
      </c>
      <c r="V959" s="163">
        <v>0</v>
      </c>
      <c r="W959" s="163">
        <v>0</v>
      </c>
      <c r="X959" s="163">
        <v>0</v>
      </c>
      <c r="Y959" s="163">
        <v>6</v>
      </c>
      <c r="Z959" s="163">
        <v>6</v>
      </c>
      <c r="AA959" s="163">
        <v>0</v>
      </c>
      <c r="AB959" s="163">
        <v>0</v>
      </c>
      <c r="AC959" s="163">
        <v>4</v>
      </c>
      <c r="AD959" s="163">
        <v>2</v>
      </c>
      <c r="AE959" s="165">
        <v>0.2663921390925153</v>
      </c>
      <c r="AF959" s="166">
        <v>0.39958820863877298</v>
      </c>
    </row>
    <row r="960" spans="1:32">
      <c r="A960" s="161">
        <v>20</v>
      </c>
      <c r="B960" s="162">
        <v>0.95833333333333337</v>
      </c>
      <c r="C960" s="163">
        <v>2.5622715913700751</v>
      </c>
      <c r="D960" s="163">
        <v>640.12462876507243</v>
      </c>
      <c r="E960" s="164">
        <v>0.93500000000000005</v>
      </c>
      <c r="F960" s="164">
        <v>0.93500000000000005</v>
      </c>
      <c r="G960" s="163">
        <v>4</v>
      </c>
      <c r="H960" s="163">
        <v>6.6666666666666661</v>
      </c>
      <c r="I960" s="163">
        <v>2.6666666666666661</v>
      </c>
      <c r="J960" s="163">
        <v>3</v>
      </c>
      <c r="K960" s="163">
        <v>3.2606747638326588</v>
      </c>
      <c r="L960" s="163">
        <v>0.26067476383265875</v>
      </c>
      <c r="M960" s="163">
        <v>4</v>
      </c>
      <c r="N960" s="163">
        <v>6.0908681961313533</v>
      </c>
      <c r="O960" s="163">
        <v>2.0908681961313533</v>
      </c>
      <c r="P960" s="163"/>
      <c r="Q960" s="163">
        <v>4</v>
      </c>
      <c r="R960" s="163">
        <v>0</v>
      </c>
      <c r="S960" s="163">
        <v>0</v>
      </c>
      <c r="T960" s="163">
        <v>0</v>
      </c>
      <c r="U960" s="163">
        <v>0</v>
      </c>
      <c r="V960" s="163">
        <v>0</v>
      </c>
      <c r="W960" s="163">
        <v>0</v>
      </c>
      <c r="X960" s="163">
        <v>0</v>
      </c>
      <c r="Y960" s="163">
        <v>4</v>
      </c>
      <c r="Z960" s="163">
        <v>4</v>
      </c>
      <c r="AA960" s="163">
        <v>0</v>
      </c>
      <c r="AB960" s="163">
        <v>0</v>
      </c>
      <c r="AC960" s="163">
        <v>4</v>
      </c>
      <c r="AD960" s="163">
        <v>0</v>
      </c>
      <c r="AE960" s="165">
        <v>0.27945360154929172</v>
      </c>
      <c r="AF960" s="166">
        <v>0.27945360154929172</v>
      </c>
    </row>
    <row r="961" spans="1:32">
      <c r="A961" s="161">
        <v>20</v>
      </c>
      <c r="B961" s="162">
        <v>0.97916666666666663</v>
      </c>
      <c r="C961" s="163">
        <v>1.9067293798882541</v>
      </c>
      <c r="D961" s="163">
        <v>640.01787699698116</v>
      </c>
      <c r="E961" s="164">
        <v>0.96939999999999993</v>
      </c>
      <c r="F961" s="164">
        <v>0.96939999999999993</v>
      </c>
      <c r="G961" s="163">
        <v>3</v>
      </c>
      <c r="H961" s="163">
        <v>6.6666666666666661</v>
      </c>
      <c r="I961" s="163">
        <v>3.6666666666666661</v>
      </c>
      <c r="J961" s="163">
        <v>2</v>
      </c>
      <c r="K961" s="163">
        <v>2.445506072874494</v>
      </c>
      <c r="L961" s="163">
        <v>0.44550607287449395</v>
      </c>
      <c r="M961" s="163">
        <v>3</v>
      </c>
      <c r="N961" s="163">
        <v>6.0908681961313533</v>
      </c>
      <c r="O961" s="163">
        <v>3.0908681961313533</v>
      </c>
      <c r="P961" s="163"/>
      <c r="Q961" s="163">
        <v>4</v>
      </c>
      <c r="R961" s="163">
        <v>0</v>
      </c>
      <c r="S961" s="163">
        <v>0</v>
      </c>
      <c r="T961" s="163">
        <v>0</v>
      </c>
      <c r="U961" s="163">
        <v>0</v>
      </c>
      <c r="V961" s="163">
        <v>0</v>
      </c>
      <c r="W961" s="163">
        <v>0</v>
      </c>
      <c r="X961" s="163">
        <v>0</v>
      </c>
      <c r="Y961" s="163">
        <v>4</v>
      </c>
      <c r="Z961" s="163">
        <v>4</v>
      </c>
      <c r="AA961" s="163">
        <v>0</v>
      </c>
      <c r="AB961" s="163">
        <v>0</v>
      </c>
      <c r="AC961" s="163">
        <v>4</v>
      </c>
      <c r="AD961" s="163">
        <v>0</v>
      </c>
      <c r="AE961" s="165">
        <v>0.20792235045264049</v>
      </c>
      <c r="AF961" s="166">
        <v>0.27722980060352065</v>
      </c>
    </row>
    <row r="962" spans="1:32">
      <c r="A962" s="161">
        <v>21</v>
      </c>
      <c r="B962" s="162">
        <v>0</v>
      </c>
      <c r="C962" s="163">
        <v>1.2029652433634763</v>
      </c>
      <c r="D962" s="163">
        <v>651.11821892412547</v>
      </c>
      <c r="E962" s="164">
        <v>0.99060000000000004</v>
      </c>
      <c r="F962" s="164">
        <v>0.99060000000000004</v>
      </c>
      <c r="G962" s="163">
        <v>3</v>
      </c>
      <c r="H962" s="163">
        <v>6.6666666666666661</v>
      </c>
      <c r="I962" s="163">
        <v>3.6666666666666661</v>
      </c>
      <c r="J962" s="163">
        <v>2</v>
      </c>
      <c r="K962" s="163">
        <v>2.445506072874494</v>
      </c>
      <c r="L962" s="163">
        <v>0.44550607287449395</v>
      </c>
      <c r="M962" s="163">
        <v>3</v>
      </c>
      <c r="N962" s="163">
        <v>6.0908681961313533</v>
      </c>
      <c r="O962" s="163">
        <v>3.0908681961313533</v>
      </c>
      <c r="P962" s="163"/>
      <c r="Q962" s="163">
        <v>4</v>
      </c>
      <c r="R962" s="163">
        <v>0</v>
      </c>
      <c r="S962" s="163">
        <v>0</v>
      </c>
      <c r="T962" s="163">
        <v>0</v>
      </c>
      <c r="U962" s="163">
        <v>0</v>
      </c>
      <c r="V962" s="163">
        <v>0</v>
      </c>
      <c r="W962" s="163">
        <v>0</v>
      </c>
      <c r="X962" s="163">
        <v>0</v>
      </c>
      <c r="Y962" s="163">
        <v>4</v>
      </c>
      <c r="Z962" s="163">
        <v>4</v>
      </c>
      <c r="AA962" s="163">
        <v>0</v>
      </c>
      <c r="AB962" s="163">
        <v>0</v>
      </c>
      <c r="AC962" s="163">
        <v>4</v>
      </c>
      <c r="AD962" s="163">
        <v>0</v>
      </c>
      <c r="AE962" s="165">
        <v>0.13345441314010256</v>
      </c>
      <c r="AF962" s="166">
        <v>0.17793921752013672</v>
      </c>
    </row>
    <row r="963" spans="1:32">
      <c r="A963" s="161">
        <v>21</v>
      </c>
      <c r="B963" s="162">
        <v>2.0833333333333332E-2</v>
      </c>
      <c r="C963" s="163">
        <v>0.84101047169844934</v>
      </c>
      <c r="D963" s="163">
        <v>650.98072147015637</v>
      </c>
      <c r="E963" s="164">
        <v>0.99650000000000005</v>
      </c>
      <c r="F963" s="164">
        <v>0.99650000000000005</v>
      </c>
      <c r="G963" s="163">
        <v>3</v>
      </c>
      <c r="H963" s="163">
        <v>6.6666666666666661</v>
      </c>
      <c r="I963" s="163">
        <v>3.6666666666666661</v>
      </c>
      <c r="J963" s="163">
        <v>2</v>
      </c>
      <c r="K963" s="163">
        <v>2.445506072874494</v>
      </c>
      <c r="L963" s="163">
        <v>0.44550607287449395</v>
      </c>
      <c r="M963" s="163">
        <v>3</v>
      </c>
      <c r="N963" s="163">
        <v>6.0908681961313533</v>
      </c>
      <c r="O963" s="163">
        <v>3.0908681961313533</v>
      </c>
      <c r="P963" s="163"/>
      <c r="Q963" s="163">
        <v>4</v>
      </c>
      <c r="R963" s="163">
        <v>0</v>
      </c>
      <c r="S963" s="163">
        <v>0</v>
      </c>
      <c r="T963" s="163">
        <v>0</v>
      </c>
      <c r="U963" s="163">
        <v>0</v>
      </c>
      <c r="V963" s="163">
        <v>0</v>
      </c>
      <c r="W963" s="163">
        <v>0</v>
      </c>
      <c r="X963" s="163">
        <v>0</v>
      </c>
      <c r="Y963" s="163">
        <v>4</v>
      </c>
      <c r="Z963" s="163">
        <v>4</v>
      </c>
      <c r="AA963" s="163">
        <v>0</v>
      </c>
      <c r="AB963" s="163">
        <v>0</v>
      </c>
      <c r="AC963" s="163">
        <v>4</v>
      </c>
      <c r="AD963" s="163">
        <v>0</v>
      </c>
      <c r="AE963" s="165">
        <v>9.3280216056788892E-2</v>
      </c>
      <c r="AF963" s="166">
        <v>0.12437362140905184</v>
      </c>
    </row>
    <row r="964" spans="1:32">
      <c r="A964" s="161">
        <v>21</v>
      </c>
      <c r="B964" s="162">
        <v>4.1666666666666664E-2</v>
      </c>
      <c r="C964" s="163">
        <v>0.64068942211304913</v>
      </c>
      <c r="D964" s="163">
        <v>616.92873591817033</v>
      </c>
      <c r="E964" s="164">
        <v>0.99860000000000004</v>
      </c>
      <c r="F964" s="164">
        <v>0.99860000000000004</v>
      </c>
      <c r="G964" s="163">
        <v>3</v>
      </c>
      <c r="H964" s="163">
        <v>6.6666666666666661</v>
      </c>
      <c r="I964" s="163">
        <v>3.6666666666666661</v>
      </c>
      <c r="J964" s="163">
        <v>2</v>
      </c>
      <c r="K964" s="163">
        <v>2.445506072874494</v>
      </c>
      <c r="L964" s="163">
        <v>0.44550607287449395</v>
      </c>
      <c r="M964" s="163">
        <v>3</v>
      </c>
      <c r="N964" s="163">
        <v>6.0908681961313533</v>
      </c>
      <c r="O964" s="163">
        <v>3.0908681961313533</v>
      </c>
      <c r="P964" s="163"/>
      <c r="Q964" s="163">
        <v>4</v>
      </c>
      <c r="R964" s="163">
        <v>0</v>
      </c>
      <c r="S964" s="163">
        <v>0</v>
      </c>
      <c r="T964" s="163">
        <v>0</v>
      </c>
      <c r="U964" s="163">
        <v>0</v>
      </c>
      <c r="V964" s="163">
        <v>0</v>
      </c>
      <c r="W964" s="163">
        <v>0</v>
      </c>
      <c r="X964" s="163">
        <v>0</v>
      </c>
      <c r="Y964" s="163">
        <v>4</v>
      </c>
      <c r="Z964" s="163">
        <v>4</v>
      </c>
      <c r="AA964" s="163">
        <v>0</v>
      </c>
      <c r="AB964" s="163">
        <v>0</v>
      </c>
      <c r="AC964" s="163">
        <v>4</v>
      </c>
      <c r="AD964" s="163">
        <v>0</v>
      </c>
      <c r="AE964" s="165">
        <v>6.73445671914564E-2</v>
      </c>
      <c r="AF964" s="166">
        <v>8.9792756255275191E-2</v>
      </c>
    </row>
    <row r="965" spans="1:32">
      <c r="A965" s="161">
        <v>21</v>
      </c>
      <c r="B965" s="162">
        <v>6.25E-2</v>
      </c>
      <c r="C965" s="163">
        <v>0.50779520832317027</v>
      </c>
      <c r="D965" s="163">
        <v>600.71069566696985</v>
      </c>
      <c r="E965" s="164">
        <v>0.99939999999999996</v>
      </c>
      <c r="F965" s="164">
        <v>0.99939999999999996</v>
      </c>
      <c r="G965" s="163">
        <v>2</v>
      </c>
      <c r="H965" s="163">
        <v>6.6666666666666661</v>
      </c>
      <c r="I965" s="163">
        <v>4.6666666666666661</v>
      </c>
      <c r="J965" s="163">
        <v>1</v>
      </c>
      <c r="K965" s="163">
        <v>1.6303373819163294</v>
      </c>
      <c r="L965" s="163">
        <v>0.63033738191632938</v>
      </c>
      <c r="M965" s="163">
        <v>2</v>
      </c>
      <c r="N965" s="163">
        <v>6.0908681961313533</v>
      </c>
      <c r="O965" s="163">
        <v>4.0908681961313533</v>
      </c>
      <c r="P965" s="163"/>
      <c r="Q965" s="163">
        <v>4</v>
      </c>
      <c r="R965" s="163">
        <v>0</v>
      </c>
      <c r="S965" s="163">
        <v>0</v>
      </c>
      <c r="T965" s="163">
        <v>0</v>
      </c>
      <c r="U965" s="163">
        <v>0</v>
      </c>
      <c r="V965" s="163">
        <v>0</v>
      </c>
      <c r="W965" s="163">
        <v>0</v>
      </c>
      <c r="X965" s="163">
        <v>0</v>
      </c>
      <c r="Y965" s="163">
        <v>4</v>
      </c>
      <c r="Z965" s="163">
        <v>4</v>
      </c>
      <c r="AA965" s="163">
        <v>0</v>
      </c>
      <c r="AB965" s="163">
        <v>0</v>
      </c>
      <c r="AC965" s="163">
        <v>4</v>
      </c>
      <c r="AD965" s="163">
        <v>0</v>
      </c>
      <c r="AE965" s="165">
        <v>5.1972544018536904E-2</v>
      </c>
      <c r="AF965" s="166">
        <v>0.10394508803707381</v>
      </c>
    </row>
    <row r="966" spans="1:32">
      <c r="A966" s="161">
        <v>21</v>
      </c>
      <c r="B966" s="162">
        <v>8.3333333333333329E-2</v>
      </c>
      <c r="C966" s="163">
        <v>0.40903356750907194</v>
      </c>
      <c r="D966" s="163">
        <v>618.55439632347759</v>
      </c>
      <c r="E966" s="164">
        <v>0.99960000000000004</v>
      </c>
      <c r="F966" s="164">
        <v>0.99960000000000004</v>
      </c>
      <c r="G966" s="163">
        <v>2</v>
      </c>
      <c r="H966" s="163">
        <v>6.6666666666666661</v>
      </c>
      <c r="I966" s="163">
        <v>4.6666666666666661</v>
      </c>
      <c r="J966" s="163">
        <v>1</v>
      </c>
      <c r="K966" s="163">
        <v>1.6303373819163294</v>
      </c>
      <c r="L966" s="163">
        <v>0.63033738191632938</v>
      </c>
      <c r="M966" s="163">
        <v>2</v>
      </c>
      <c r="N966" s="163">
        <v>6.0908681961313533</v>
      </c>
      <c r="O966" s="163">
        <v>4.0908681961313533</v>
      </c>
      <c r="P966" s="163"/>
      <c r="Q966" s="163">
        <v>4</v>
      </c>
      <c r="R966" s="163">
        <v>0</v>
      </c>
      <c r="S966" s="163">
        <v>0</v>
      </c>
      <c r="T966" s="163">
        <v>0</v>
      </c>
      <c r="U966" s="163">
        <v>0</v>
      </c>
      <c r="V966" s="163">
        <v>0</v>
      </c>
      <c r="W966" s="163">
        <v>0</v>
      </c>
      <c r="X966" s="163">
        <v>0</v>
      </c>
      <c r="Y966" s="163">
        <v>4</v>
      </c>
      <c r="Z966" s="163">
        <v>4</v>
      </c>
      <c r="AA966" s="163">
        <v>0</v>
      </c>
      <c r="AB966" s="163">
        <v>0</v>
      </c>
      <c r="AC966" s="163">
        <v>4</v>
      </c>
      <c r="AD966" s="163">
        <v>0</v>
      </c>
      <c r="AE966" s="165">
        <v>4.3107899395716937E-2</v>
      </c>
      <c r="AF966" s="166">
        <v>8.6215798791433873E-2</v>
      </c>
    </row>
    <row r="967" spans="1:32">
      <c r="A967" s="161">
        <v>21</v>
      </c>
      <c r="B967" s="162">
        <v>0.10416666666666667</v>
      </c>
      <c r="C967" s="163">
        <v>0.32622508961504354</v>
      </c>
      <c r="D967" s="163">
        <v>588.8131970789841</v>
      </c>
      <c r="E967" s="164">
        <v>0.99980000000000002</v>
      </c>
      <c r="F967" s="164">
        <v>0.99980000000000002</v>
      </c>
      <c r="G967" s="163">
        <v>2</v>
      </c>
      <c r="H967" s="163">
        <v>6.6666666666666661</v>
      </c>
      <c r="I967" s="163">
        <v>4.6666666666666661</v>
      </c>
      <c r="J967" s="163">
        <v>1</v>
      </c>
      <c r="K967" s="163">
        <v>1.6303373819163294</v>
      </c>
      <c r="L967" s="163">
        <v>0.63033738191632938</v>
      </c>
      <c r="M967" s="163">
        <v>2</v>
      </c>
      <c r="N967" s="163">
        <v>6.0908681961313533</v>
      </c>
      <c r="O967" s="163">
        <v>4.0908681961313533</v>
      </c>
      <c r="P967" s="163"/>
      <c r="Q967" s="163">
        <v>4</v>
      </c>
      <c r="R967" s="163">
        <v>0</v>
      </c>
      <c r="S967" s="163">
        <v>0</v>
      </c>
      <c r="T967" s="163">
        <v>0</v>
      </c>
      <c r="U967" s="163">
        <v>0</v>
      </c>
      <c r="V967" s="163">
        <v>0</v>
      </c>
      <c r="W967" s="163">
        <v>0</v>
      </c>
      <c r="X967" s="163">
        <v>0</v>
      </c>
      <c r="Y967" s="163">
        <v>4</v>
      </c>
      <c r="Z967" s="163">
        <v>4</v>
      </c>
      <c r="AA967" s="163">
        <v>0</v>
      </c>
      <c r="AB967" s="163">
        <v>0</v>
      </c>
      <c r="AC967" s="163">
        <v>4</v>
      </c>
      <c r="AD967" s="163">
        <v>0</v>
      </c>
      <c r="AE967" s="165">
        <v>3.2727656406551536E-2</v>
      </c>
      <c r="AF967" s="166">
        <v>6.5455312813103073E-2</v>
      </c>
    </row>
    <row r="968" spans="1:32">
      <c r="A968" s="161">
        <v>21</v>
      </c>
      <c r="B968" s="162">
        <v>0.125</v>
      </c>
      <c r="C968" s="163">
        <v>0.29408645928206817</v>
      </c>
      <c r="D968" s="163">
        <v>588.7120070757901</v>
      </c>
      <c r="E968" s="164">
        <v>0.9998999999999999</v>
      </c>
      <c r="F968" s="164">
        <v>0.9998999999999999</v>
      </c>
      <c r="G968" s="163">
        <v>2</v>
      </c>
      <c r="H968" s="163">
        <v>6.6666666666666661</v>
      </c>
      <c r="I968" s="163">
        <v>4.6666666666666661</v>
      </c>
      <c r="J968" s="163">
        <v>1</v>
      </c>
      <c r="K968" s="163">
        <v>1.6303373819163294</v>
      </c>
      <c r="L968" s="163">
        <v>0.63033738191632938</v>
      </c>
      <c r="M968" s="163">
        <v>2</v>
      </c>
      <c r="N968" s="163">
        <v>6.0908681961313533</v>
      </c>
      <c r="O968" s="163">
        <v>4.0908681961313533</v>
      </c>
      <c r="P968" s="163"/>
      <c r="Q968" s="163">
        <v>4</v>
      </c>
      <c r="R968" s="163">
        <v>0</v>
      </c>
      <c r="S968" s="163">
        <v>0</v>
      </c>
      <c r="T968" s="163">
        <v>0</v>
      </c>
      <c r="U968" s="163">
        <v>0</v>
      </c>
      <c r="V968" s="163">
        <v>0</v>
      </c>
      <c r="W968" s="163">
        <v>0</v>
      </c>
      <c r="X968" s="163">
        <v>0</v>
      </c>
      <c r="Y968" s="163">
        <v>4</v>
      </c>
      <c r="Z968" s="163">
        <v>4</v>
      </c>
      <c r="AA968" s="163">
        <v>0</v>
      </c>
      <c r="AB968" s="163">
        <v>0</v>
      </c>
      <c r="AC968" s="163">
        <v>4</v>
      </c>
      <c r="AD968" s="163">
        <v>0</v>
      </c>
      <c r="AE968" s="165">
        <v>2.9498364302134011E-2</v>
      </c>
      <c r="AF968" s="166">
        <v>5.8996728604268023E-2</v>
      </c>
    </row>
    <row r="969" spans="1:32">
      <c r="A969" s="161">
        <v>21</v>
      </c>
      <c r="B969" s="162">
        <v>0.14583333333333334</v>
      </c>
      <c r="C969" s="163">
        <v>0.29632994883852937</v>
      </c>
      <c r="D969" s="163">
        <v>623.39189980847993</v>
      </c>
      <c r="E969" s="164">
        <v>0.99980000000000002</v>
      </c>
      <c r="F969" s="164">
        <v>0.99980000000000002</v>
      </c>
      <c r="G969" s="163">
        <v>2</v>
      </c>
      <c r="H969" s="163">
        <v>6.6666666666666661</v>
      </c>
      <c r="I969" s="163">
        <v>4.6666666666666661</v>
      </c>
      <c r="J969" s="163">
        <v>1</v>
      </c>
      <c r="K969" s="163">
        <v>1.6303373819163294</v>
      </c>
      <c r="L969" s="163">
        <v>0.63033738191632938</v>
      </c>
      <c r="M969" s="163">
        <v>2</v>
      </c>
      <c r="N969" s="163">
        <v>6.0908681961313533</v>
      </c>
      <c r="O969" s="163">
        <v>4.0908681961313533</v>
      </c>
      <c r="P969" s="163"/>
      <c r="Q969" s="163">
        <v>4</v>
      </c>
      <c r="R969" s="163">
        <v>0</v>
      </c>
      <c r="S969" s="163">
        <v>0</v>
      </c>
      <c r="T969" s="163">
        <v>0</v>
      </c>
      <c r="U969" s="163">
        <v>0</v>
      </c>
      <c r="V969" s="163">
        <v>0</v>
      </c>
      <c r="W969" s="163">
        <v>0</v>
      </c>
      <c r="X969" s="163">
        <v>0</v>
      </c>
      <c r="Y969" s="163">
        <v>4</v>
      </c>
      <c r="Z969" s="163">
        <v>4</v>
      </c>
      <c r="AA969" s="163">
        <v>0</v>
      </c>
      <c r="AB969" s="163">
        <v>0</v>
      </c>
      <c r="AC969" s="163">
        <v>4</v>
      </c>
      <c r="AD969" s="163">
        <v>0</v>
      </c>
      <c r="AE969" s="165">
        <v>3.1474345914467808E-2</v>
      </c>
      <c r="AF969" s="166">
        <v>6.2948691828935616E-2</v>
      </c>
    </row>
    <row r="970" spans="1:32">
      <c r="A970" s="161">
        <v>21</v>
      </c>
      <c r="B970" s="162">
        <v>0.16666666666666666</v>
      </c>
      <c r="C970" s="163">
        <v>0.33282470316148777</v>
      </c>
      <c r="D970" s="163">
        <v>623.39524632686891</v>
      </c>
      <c r="E970" s="164">
        <v>0.99980000000000002</v>
      </c>
      <c r="F970" s="164">
        <v>0.99980000000000002</v>
      </c>
      <c r="G970" s="163">
        <v>2</v>
      </c>
      <c r="H970" s="163">
        <v>6.6666666666666661</v>
      </c>
      <c r="I970" s="163">
        <v>4.6666666666666661</v>
      </c>
      <c r="J970" s="163">
        <v>1</v>
      </c>
      <c r="K970" s="163">
        <v>1.6303373819163294</v>
      </c>
      <c r="L970" s="163">
        <v>0.63033738191632938</v>
      </c>
      <c r="M970" s="163">
        <v>2</v>
      </c>
      <c r="N970" s="163">
        <v>6.0908681961313533</v>
      </c>
      <c r="O970" s="163">
        <v>4.0908681961313533</v>
      </c>
      <c r="P970" s="163"/>
      <c r="Q970" s="163">
        <v>4</v>
      </c>
      <c r="R970" s="163">
        <v>0</v>
      </c>
      <c r="S970" s="163">
        <v>0</v>
      </c>
      <c r="T970" s="163">
        <v>0</v>
      </c>
      <c r="U970" s="163">
        <v>0</v>
      </c>
      <c r="V970" s="163">
        <v>0</v>
      </c>
      <c r="W970" s="163">
        <v>0</v>
      </c>
      <c r="X970" s="163">
        <v>0</v>
      </c>
      <c r="Y970" s="163">
        <v>4</v>
      </c>
      <c r="Z970" s="163">
        <v>4</v>
      </c>
      <c r="AA970" s="163">
        <v>0</v>
      </c>
      <c r="AB970" s="163">
        <v>0</v>
      </c>
      <c r="AC970" s="163">
        <v>4</v>
      </c>
      <c r="AD970" s="163">
        <v>0</v>
      </c>
      <c r="AE970" s="165">
        <v>3.5350784191528851E-2</v>
      </c>
      <c r="AF970" s="166">
        <v>7.0701568383057703E-2</v>
      </c>
    </row>
    <row r="971" spans="1:32">
      <c r="A971" s="161">
        <v>21</v>
      </c>
      <c r="B971" s="162">
        <v>0.1875</v>
      </c>
      <c r="C971" s="163">
        <v>0.49016926577938724</v>
      </c>
      <c r="D971" s="163">
        <v>662.3451232981696</v>
      </c>
      <c r="E971" s="164">
        <v>0.99919999999999998</v>
      </c>
      <c r="F971" s="164">
        <v>0.99919999999999998</v>
      </c>
      <c r="G971" s="163">
        <v>2</v>
      </c>
      <c r="H971" s="163">
        <v>6.6666666666666661</v>
      </c>
      <c r="I971" s="163">
        <v>4.6666666666666661</v>
      </c>
      <c r="J971" s="163">
        <v>1</v>
      </c>
      <c r="K971" s="163">
        <v>1.6303373819163294</v>
      </c>
      <c r="L971" s="163">
        <v>0.63033738191632938</v>
      </c>
      <c r="M971" s="163">
        <v>2</v>
      </c>
      <c r="N971" s="163">
        <v>6.0908681961313533</v>
      </c>
      <c r="O971" s="163">
        <v>4.0908681961313533</v>
      </c>
      <c r="P971" s="163"/>
      <c r="Q971" s="163">
        <v>4</v>
      </c>
      <c r="R971" s="163">
        <v>0</v>
      </c>
      <c r="S971" s="163">
        <v>0</v>
      </c>
      <c r="T971" s="163">
        <v>0</v>
      </c>
      <c r="U971" s="163">
        <v>0</v>
      </c>
      <c r="V971" s="163">
        <v>0</v>
      </c>
      <c r="W971" s="163">
        <v>0</v>
      </c>
      <c r="X971" s="163">
        <v>0</v>
      </c>
      <c r="Y971" s="163">
        <v>4</v>
      </c>
      <c r="Z971" s="163">
        <v>4</v>
      </c>
      <c r="AA971" s="163">
        <v>0</v>
      </c>
      <c r="AB971" s="163">
        <v>0</v>
      </c>
      <c r="AC971" s="163">
        <v>4</v>
      </c>
      <c r="AD971" s="163">
        <v>0</v>
      </c>
      <c r="AE971" s="165">
        <v>5.5315957294885622E-2</v>
      </c>
      <c r="AF971" s="166">
        <v>0.11063191458977124</v>
      </c>
    </row>
    <row r="972" spans="1:32">
      <c r="A972" s="161">
        <v>21</v>
      </c>
      <c r="B972" s="162">
        <v>0.20833333333333334</v>
      </c>
      <c r="C972" s="163">
        <v>0.85973908106630459</v>
      </c>
      <c r="D972" s="163">
        <v>696.37913388157494</v>
      </c>
      <c r="E972" s="164">
        <v>0.99550000000000016</v>
      </c>
      <c r="F972" s="164">
        <v>0.99550000000000016</v>
      </c>
      <c r="G972" s="163">
        <v>3</v>
      </c>
      <c r="H972" s="163">
        <v>6.6666666666666661</v>
      </c>
      <c r="I972" s="163">
        <v>3.6666666666666661</v>
      </c>
      <c r="J972" s="163">
        <v>2</v>
      </c>
      <c r="K972" s="163">
        <v>2.445506072874494</v>
      </c>
      <c r="L972" s="163">
        <v>0.44550607287449395</v>
      </c>
      <c r="M972" s="163">
        <v>3</v>
      </c>
      <c r="N972" s="163">
        <v>6.0908681961313533</v>
      </c>
      <c r="O972" s="163">
        <v>3.0908681961313533</v>
      </c>
      <c r="P972" s="163"/>
      <c r="Q972" s="163">
        <v>4</v>
      </c>
      <c r="R972" s="163">
        <v>0</v>
      </c>
      <c r="S972" s="163">
        <v>0</v>
      </c>
      <c r="T972" s="163">
        <v>0</v>
      </c>
      <c r="U972" s="163">
        <v>0</v>
      </c>
      <c r="V972" s="163">
        <v>0</v>
      </c>
      <c r="W972" s="163">
        <v>0</v>
      </c>
      <c r="X972" s="163">
        <v>0</v>
      </c>
      <c r="Y972" s="163">
        <v>4</v>
      </c>
      <c r="Z972" s="163">
        <v>4</v>
      </c>
      <c r="AA972" s="163">
        <v>0</v>
      </c>
      <c r="AB972" s="163">
        <v>0</v>
      </c>
      <c r="AC972" s="163">
        <v>4</v>
      </c>
      <c r="AD972" s="163">
        <v>0</v>
      </c>
      <c r="AE972" s="165">
        <v>0.10200757682256299</v>
      </c>
      <c r="AF972" s="166">
        <v>0.13601010243008399</v>
      </c>
    </row>
    <row r="973" spans="1:32">
      <c r="A973" s="161">
        <v>21</v>
      </c>
      <c r="B973" s="162">
        <v>0.22916666666666666</v>
      </c>
      <c r="C973" s="163">
        <v>1.4390855418152497</v>
      </c>
      <c r="D973" s="163">
        <v>711.75929784345976</v>
      </c>
      <c r="E973" s="164">
        <v>0.98050000000000004</v>
      </c>
      <c r="F973" s="164">
        <v>0.98050000000000004</v>
      </c>
      <c r="G973" s="163">
        <v>3</v>
      </c>
      <c r="H973" s="163">
        <v>6.6666666666666661</v>
      </c>
      <c r="I973" s="163">
        <v>3.6666666666666661</v>
      </c>
      <c r="J973" s="163">
        <v>2</v>
      </c>
      <c r="K973" s="163">
        <v>2.445506072874494</v>
      </c>
      <c r="L973" s="163">
        <v>0.44550607287449395</v>
      </c>
      <c r="M973" s="163">
        <v>3</v>
      </c>
      <c r="N973" s="163">
        <v>6.0908681961313533</v>
      </c>
      <c r="O973" s="163">
        <v>3.0908681961313533</v>
      </c>
      <c r="P973" s="163"/>
      <c r="Q973" s="163">
        <v>4</v>
      </c>
      <c r="R973" s="163">
        <v>0</v>
      </c>
      <c r="S973" s="163">
        <v>0</v>
      </c>
      <c r="T973" s="163">
        <v>0</v>
      </c>
      <c r="U973" s="163">
        <v>0</v>
      </c>
      <c r="V973" s="163">
        <v>0</v>
      </c>
      <c r="W973" s="163">
        <v>0</v>
      </c>
      <c r="X973" s="163">
        <v>0</v>
      </c>
      <c r="Y973" s="163">
        <v>4</v>
      </c>
      <c r="Z973" s="163">
        <v>4</v>
      </c>
      <c r="AA973" s="163">
        <v>0</v>
      </c>
      <c r="AB973" s="163">
        <v>0</v>
      </c>
      <c r="AC973" s="163">
        <v>4</v>
      </c>
      <c r="AD973" s="163">
        <v>0</v>
      </c>
      <c r="AE973" s="165">
        <v>0.17451781694261206</v>
      </c>
      <c r="AF973" s="166">
        <v>0.23269042259014941</v>
      </c>
    </row>
    <row r="974" spans="1:32">
      <c r="A974" s="161">
        <v>21</v>
      </c>
      <c r="B974" s="162">
        <v>0.25</v>
      </c>
      <c r="C974" s="163">
        <v>2.210988075450607</v>
      </c>
      <c r="D974" s="163">
        <v>719.12093701073695</v>
      </c>
      <c r="E974" s="164">
        <v>0.93929999999999991</v>
      </c>
      <c r="F974" s="164">
        <v>0.93929999999999991</v>
      </c>
      <c r="G974" s="163">
        <v>4</v>
      </c>
      <c r="H974" s="163">
        <v>6.6666666666666661</v>
      </c>
      <c r="I974" s="163">
        <v>2.6666666666666661</v>
      </c>
      <c r="J974" s="163">
        <v>3</v>
      </c>
      <c r="K974" s="163">
        <v>3.2606747638326588</v>
      </c>
      <c r="L974" s="163">
        <v>0.26067476383265875</v>
      </c>
      <c r="M974" s="163">
        <v>4</v>
      </c>
      <c r="N974" s="163">
        <v>6.0908681961313533</v>
      </c>
      <c r="O974" s="163">
        <v>2.0908681961313533</v>
      </c>
      <c r="P974" s="163"/>
      <c r="Q974" s="163">
        <v>4</v>
      </c>
      <c r="R974" s="163">
        <v>0</v>
      </c>
      <c r="S974" s="163">
        <v>0</v>
      </c>
      <c r="T974" s="163">
        <v>0</v>
      </c>
      <c r="U974" s="163">
        <v>0</v>
      </c>
      <c r="V974" s="163">
        <v>0</v>
      </c>
      <c r="W974" s="163">
        <v>0</v>
      </c>
      <c r="X974" s="163">
        <v>0</v>
      </c>
      <c r="Y974" s="163">
        <v>4</v>
      </c>
      <c r="Z974" s="163">
        <v>4</v>
      </c>
      <c r="AA974" s="163">
        <v>0</v>
      </c>
      <c r="AB974" s="163">
        <v>0</v>
      </c>
      <c r="AC974" s="163">
        <v>4</v>
      </c>
      <c r="AD974" s="163">
        <v>0</v>
      </c>
      <c r="AE974" s="165">
        <v>0.27089958907577094</v>
      </c>
      <c r="AF974" s="166">
        <v>0.27089958907577094</v>
      </c>
    </row>
    <row r="975" spans="1:32">
      <c r="A975" s="161">
        <v>21</v>
      </c>
      <c r="B975" s="162">
        <v>0.27083333333333331</v>
      </c>
      <c r="C975" s="163">
        <v>3.1945461764667575</v>
      </c>
      <c r="D975" s="163">
        <v>788.09857492244657</v>
      </c>
      <c r="E975" s="164">
        <v>0.8175</v>
      </c>
      <c r="F975" s="164">
        <v>0.8175</v>
      </c>
      <c r="G975" s="163">
        <v>4</v>
      </c>
      <c r="H975" s="163">
        <v>6.6666666666666661</v>
      </c>
      <c r="I975" s="163">
        <v>2.6666666666666661</v>
      </c>
      <c r="J975" s="163">
        <v>3</v>
      </c>
      <c r="K975" s="163">
        <v>3.2606747638326588</v>
      </c>
      <c r="L975" s="163">
        <v>0.26067476383265875</v>
      </c>
      <c r="M975" s="163">
        <v>4</v>
      </c>
      <c r="N975" s="163">
        <v>6.0908681961313533</v>
      </c>
      <c r="O975" s="163">
        <v>2.0908681961313533</v>
      </c>
      <c r="P975" s="163"/>
      <c r="Q975" s="163">
        <v>4</v>
      </c>
      <c r="R975" s="163">
        <v>0</v>
      </c>
      <c r="S975" s="163">
        <v>0</v>
      </c>
      <c r="T975" s="163">
        <v>0</v>
      </c>
      <c r="U975" s="163">
        <v>0</v>
      </c>
      <c r="V975" s="163">
        <v>0</v>
      </c>
      <c r="W975" s="163">
        <v>0</v>
      </c>
      <c r="X975" s="163">
        <v>0</v>
      </c>
      <c r="Y975" s="163">
        <v>4</v>
      </c>
      <c r="Z975" s="163">
        <v>4</v>
      </c>
      <c r="AA975" s="163">
        <v>0</v>
      </c>
      <c r="AB975" s="163">
        <v>0</v>
      </c>
      <c r="AC975" s="163">
        <v>4</v>
      </c>
      <c r="AD975" s="163">
        <v>0</v>
      </c>
      <c r="AE975" s="165">
        <v>0.42895301527475993</v>
      </c>
      <c r="AF975" s="166">
        <v>0.42895301527475993</v>
      </c>
    </row>
    <row r="976" spans="1:32">
      <c r="A976" s="161">
        <v>21</v>
      </c>
      <c r="B976" s="162">
        <v>0.29166666666666669</v>
      </c>
      <c r="C976" s="163">
        <v>7.056700937309591</v>
      </c>
      <c r="D976" s="163">
        <v>829.0939420120244</v>
      </c>
      <c r="E976" s="164">
        <v>0.75419999999999998</v>
      </c>
      <c r="F976" s="164">
        <v>0.75419999999999998</v>
      </c>
      <c r="G976" s="163">
        <v>8</v>
      </c>
      <c r="H976" s="163">
        <v>11.666666666666668</v>
      </c>
      <c r="I976" s="163">
        <v>3.6666666666666679</v>
      </c>
      <c r="J976" s="163">
        <v>6</v>
      </c>
      <c r="K976" s="163">
        <v>6.5213495276653175</v>
      </c>
      <c r="L976" s="163">
        <v>0.5213495276653175</v>
      </c>
      <c r="M976" s="163">
        <v>7</v>
      </c>
      <c r="N976" s="163">
        <v>10.65901934322987</v>
      </c>
      <c r="O976" s="163">
        <v>3.6590193432298701</v>
      </c>
      <c r="P976" s="163"/>
      <c r="Q976" s="163">
        <v>7</v>
      </c>
      <c r="R976" s="163">
        <v>0</v>
      </c>
      <c r="S976" s="163">
        <v>0</v>
      </c>
      <c r="T976" s="163">
        <v>0</v>
      </c>
      <c r="U976" s="163">
        <v>0</v>
      </c>
      <c r="V976" s="163">
        <v>0</v>
      </c>
      <c r="W976" s="163">
        <v>0</v>
      </c>
      <c r="X976" s="163">
        <v>0</v>
      </c>
      <c r="Y976" s="163">
        <v>7</v>
      </c>
      <c r="Z976" s="163">
        <v>7</v>
      </c>
      <c r="AA976" s="163">
        <v>0</v>
      </c>
      <c r="AB976" s="163">
        <v>0</v>
      </c>
      <c r="AC976" s="163">
        <v>4</v>
      </c>
      <c r="AD976" s="163">
        <v>3</v>
      </c>
      <c r="AE976" s="165">
        <v>0.56962287085818475</v>
      </c>
      <c r="AF976" s="166">
        <v>0.49842001200091168</v>
      </c>
    </row>
    <row r="977" spans="1:32">
      <c r="A977" s="161">
        <v>21</v>
      </c>
      <c r="B977" s="162">
        <v>0.3125</v>
      </c>
      <c r="C977" s="163">
        <v>9.1403431870262786</v>
      </c>
      <c r="D977" s="163">
        <v>788.58703519226481</v>
      </c>
      <c r="E977" s="164">
        <v>0.95250000000000001</v>
      </c>
      <c r="F977" s="164">
        <v>0.95250000000000001</v>
      </c>
      <c r="G977" s="163">
        <v>9</v>
      </c>
      <c r="H977" s="163">
        <v>18.333333333333332</v>
      </c>
      <c r="I977" s="163">
        <v>9.3333333333333321</v>
      </c>
      <c r="J977" s="163">
        <v>7</v>
      </c>
      <c r="K977" s="163">
        <v>7.3365182186234819</v>
      </c>
      <c r="L977" s="163">
        <v>0.33651821862348186</v>
      </c>
      <c r="M977" s="163">
        <v>8</v>
      </c>
      <c r="N977" s="163">
        <v>16.749887539361222</v>
      </c>
      <c r="O977" s="163">
        <v>8.7498875393612217</v>
      </c>
      <c r="P977" s="163"/>
      <c r="Q977" s="163">
        <v>11</v>
      </c>
      <c r="R977" s="163">
        <v>0</v>
      </c>
      <c r="S977" s="163">
        <v>0</v>
      </c>
      <c r="T977" s="163">
        <v>0</v>
      </c>
      <c r="U977" s="163">
        <v>0</v>
      </c>
      <c r="V977" s="163">
        <v>0</v>
      </c>
      <c r="W977" s="163">
        <v>0</v>
      </c>
      <c r="X977" s="163">
        <v>0</v>
      </c>
      <c r="Y977" s="163">
        <v>11</v>
      </c>
      <c r="Z977" s="163">
        <v>11</v>
      </c>
      <c r="AA977" s="163">
        <v>0</v>
      </c>
      <c r="AB977" s="163">
        <v>0</v>
      </c>
      <c r="AC977" s="163">
        <v>8</v>
      </c>
      <c r="AD977" s="163">
        <v>3</v>
      </c>
      <c r="AE977" s="165">
        <v>0.44658018965749979</v>
      </c>
      <c r="AF977" s="166">
        <v>0.54582023180361083</v>
      </c>
    </row>
    <row r="978" spans="1:32">
      <c r="A978" s="161">
        <v>21</v>
      </c>
      <c r="B978" s="162">
        <v>0.33333333333333331</v>
      </c>
      <c r="C978" s="163">
        <v>12.786704130306241</v>
      </c>
      <c r="D978" s="163">
        <v>857.77279548230831</v>
      </c>
      <c r="E978" s="164">
        <v>0.90820000000000001</v>
      </c>
      <c r="F978" s="164">
        <v>0.90820000000000001</v>
      </c>
      <c r="G978" s="163">
        <v>12</v>
      </c>
      <c r="H978" s="163">
        <v>21.666666666666664</v>
      </c>
      <c r="I978" s="163">
        <v>9.6666666666666643</v>
      </c>
      <c r="J978" s="163">
        <v>9</v>
      </c>
      <c r="K978" s="163">
        <v>9.7820242914979758</v>
      </c>
      <c r="L978" s="163">
        <v>0.78202429149797581</v>
      </c>
      <c r="M978" s="163">
        <v>11</v>
      </c>
      <c r="N978" s="163">
        <v>19.795321637426898</v>
      </c>
      <c r="O978" s="163">
        <v>8.7953216374268983</v>
      </c>
      <c r="P978" s="163"/>
      <c r="Q978" s="163">
        <v>13</v>
      </c>
      <c r="R978" s="163">
        <v>0</v>
      </c>
      <c r="S978" s="163">
        <v>0</v>
      </c>
      <c r="T978" s="163">
        <v>0</v>
      </c>
      <c r="U978" s="163">
        <v>0</v>
      </c>
      <c r="V978" s="163">
        <v>0</v>
      </c>
      <c r="W978" s="163">
        <v>0</v>
      </c>
      <c r="X978" s="163">
        <v>0</v>
      </c>
      <c r="Y978" s="163">
        <v>13</v>
      </c>
      <c r="Z978" s="163">
        <v>13</v>
      </c>
      <c r="AA978" s="163">
        <v>0</v>
      </c>
      <c r="AB978" s="163">
        <v>0</v>
      </c>
      <c r="AC978" s="163">
        <v>10</v>
      </c>
      <c r="AD978" s="163">
        <v>3</v>
      </c>
      <c r="AE978" s="165">
        <v>0.57499959161176217</v>
      </c>
      <c r="AF978" s="166">
        <v>0.62291622424607562</v>
      </c>
    </row>
    <row r="979" spans="1:32">
      <c r="A979" s="161">
        <v>21</v>
      </c>
      <c r="B979" s="162">
        <v>0.35416666666666669</v>
      </c>
      <c r="C979" s="163">
        <v>14.979894588685628</v>
      </c>
      <c r="D979" s="163">
        <v>854.99381583350646</v>
      </c>
      <c r="E979" s="164">
        <v>0.93990000000000007</v>
      </c>
      <c r="F979" s="164">
        <v>0.93990000000000007</v>
      </c>
      <c r="G979" s="163">
        <v>14</v>
      </c>
      <c r="H979" s="163">
        <v>25</v>
      </c>
      <c r="I979" s="163">
        <v>11</v>
      </c>
      <c r="J979" s="163">
        <v>11</v>
      </c>
      <c r="K979" s="163">
        <v>11.412361673414306</v>
      </c>
      <c r="L979" s="163">
        <v>0.4123616734143063</v>
      </c>
      <c r="M979" s="163">
        <v>13</v>
      </c>
      <c r="N979" s="163">
        <v>22.840755735492575</v>
      </c>
      <c r="O979" s="163">
        <v>9.840755735492575</v>
      </c>
      <c r="P979" s="163"/>
      <c r="Q979" s="163">
        <v>15</v>
      </c>
      <c r="R979" s="163">
        <v>0</v>
      </c>
      <c r="S979" s="163">
        <v>0</v>
      </c>
      <c r="T979" s="163">
        <v>0</v>
      </c>
      <c r="U979" s="163">
        <v>0</v>
      </c>
      <c r="V979" s="163">
        <v>0</v>
      </c>
      <c r="W979" s="163">
        <v>0</v>
      </c>
      <c r="X979" s="163">
        <v>0</v>
      </c>
      <c r="Y979" s="163">
        <v>15</v>
      </c>
      <c r="Z979" s="163">
        <v>15</v>
      </c>
      <c r="AA979" s="163">
        <v>0</v>
      </c>
      <c r="AB979" s="163">
        <v>0</v>
      </c>
      <c r="AC979" s="163">
        <v>10</v>
      </c>
      <c r="AD979" s="163">
        <v>5</v>
      </c>
      <c r="AE979" s="165">
        <v>0.58191623753495225</v>
      </c>
      <c r="AF979" s="166">
        <v>0.62348168307316321</v>
      </c>
    </row>
    <row r="980" spans="1:32">
      <c r="A980" s="161">
        <v>21</v>
      </c>
      <c r="B980" s="162">
        <v>0.375</v>
      </c>
      <c r="C980" s="163">
        <v>18.542735486761138</v>
      </c>
      <c r="D980" s="163">
        <v>907.38845250479676</v>
      </c>
      <c r="E980" s="164">
        <v>0.84240000000000004</v>
      </c>
      <c r="F980" s="164">
        <v>0.84240000000000004</v>
      </c>
      <c r="G980" s="163">
        <v>16</v>
      </c>
      <c r="H980" s="163">
        <v>28.333333333333336</v>
      </c>
      <c r="I980" s="163">
        <v>12.333333333333336</v>
      </c>
      <c r="J980" s="163">
        <v>13</v>
      </c>
      <c r="K980" s="163">
        <v>13.042699055330635</v>
      </c>
      <c r="L980" s="163">
        <v>4.2699055330635005E-2</v>
      </c>
      <c r="M980" s="163">
        <v>15</v>
      </c>
      <c r="N980" s="163">
        <v>25.886189833558255</v>
      </c>
      <c r="O980" s="163">
        <v>10.886189833558255</v>
      </c>
      <c r="P980" s="163"/>
      <c r="Q980" s="163">
        <v>17</v>
      </c>
      <c r="R980" s="163">
        <v>0</v>
      </c>
      <c r="S980" s="163">
        <v>0</v>
      </c>
      <c r="T980" s="163">
        <v>0</v>
      </c>
      <c r="U980" s="163">
        <v>0</v>
      </c>
      <c r="V980" s="163">
        <v>0</v>
      </c>
      <c r="W980" s="163">
        <v>0</v>
      </c>
      <c r="X980" s="163">
        <v>0</v>
      </c>
      <c r="Y980" s="163">
        <v>17</v>
      </c>
      <c r="Z980" s="163">
        <v>17</v>
      </c>
      <c r="AA980" s="163">
        <v>0</v>
      </c>
      <c r="AB980" s="163">
        <v>0</v>
      </c>
      <c r="AC980" s="163">
        <v>12</v>
      </c>
      <c r="AD980" s="163">
        <v>5</v>
      </c>
      <c r="AE980" s="165">
        <v>0.67452512923746089</v>
      </c>
      <c r="AF980" s="166">
        <v>0.71668294981480218</v>
      </c>
    </row>
    <row r="981" spans="1:32">
      <c r="A981" s="161">
        <v>21</v>
      </c>
      <c r="B981" s="162">
        <v>0.39583333333333331</v>
      </c>
      <c r="C981" s="163">
        <v>19.124109459171795</v>
      </c>
      <c r="D981" s="163">
        <v>896.93117519599161</v>
      </c>
      <c r="E981" s="164">
        <v>0.93910000000000016</v>
      </c>
      <c r="F981" s="164">
        <v>0.93910000000000016</v>
      </c>
      <c r="G981" s="163">
        <v>18</v>
      </c>
      <c r="H981" s="163">
        <v>31.666666666666664</v>
      </c>
      <c r="I981" s="163">
        <v>13.666666666666664</v>
      </c>
      <c r="J981" s="163">
        <v>14</v>
      </c>
      <c r="K981" s="163">
        <v>14.673036437246964</v>
      </c>
      <c r="L981" s="163">
        <v>0.67303643724696371</v>
      </c>
      <c r="M981" s="163">
        <v>16</v>
      </c>
      <c r="N981" s="163">
        <v>28.931623931623928</v>
      </c>
      <c r="O981" s="163">
        <v>12.931623931623928</v>
      </c>
      <c r="P981" s="163"/>
      <c r="Q981" s="163">
        <v>19</v>
      </c>
      <c r="R981" s="163">
        <v>0</v>
      </c>
      <c r="S981" s="163">
        <v>0</v>
      </c>
      <c r="T981" s="163">
        <v>0</v>
      </c>
      <c r="U981" s="163">
        <v>0</v>
      </c>
      <c r="V981" s="163">
        <v>0</v>
      </c>
      <c r="W981" s="163">
        <v>0</v>
      </c>
      <c r="X981" s="163">
        <v>0</v>
      </c>
      <c r="Y981" s="163">
        <v>19</v>
      </c>
      <c r="Z981" s="163">
        <v>19</v>
      </c>
      <c r="AA981" s="163">
        <v>0</v>
      </c>
      <c r="AB981" s="163">
        <v>0</v>
      </c>
      <c r="AC981" s="163">
        <v>14</v>
      </c>
      <c r="AD981" s="163">
        <v>5</v>
      </c>
      <c r="AE981" s="165">
        <v>0.61527142141053726</v>
      </c>
      <c r="AF981" s="166">
        <v>0.64945316704445599</v>
      </c>
    </row>
    <row r="982" spans="1:32">
      <c r="A982" s="161">
        <v>21</v>
      </c>
      <c r="B982" s="162">
        <v>0.41666666666666669</v>
      </c>
      <c r="C982" s="163">
        <v>21.562031400458416</v>
      </c>
      <c r="D982" s="163">
        <v>904.57687085748216</v>
      </c>
      <c r="E982" s="164">
        <v>0.85409999999999997</v>
      </c>
      <c r="F982" s="164">
        <v>0.85409999999999997</v>
      </c>
      <c r="G982" s="163">
        <v>19</v>
      </c>
      <c r="H982" s="163">
        <v>31.666666666666664</v>
      </c>
      <c r="I982" s="163">
        <v>12.666666666666664</v>
      </c>
      <c r="J982" s="163">
        <v>15</v>
      </c>
      <c r="K982" s="163">
        <v>15.488205128205129</v>
      </c>
      <c r="L982" s="163">
        <v>0.48820512820512896</v>
      </c>
      <c r="M982" s="163">
        <v>17</v>
      </c>
      <c r="N982" s="163">
        <v>28.931623931623928</v>
      </c>
      <c r="O982" s="163">
        <v>11.931623931623928</v>
      </c>
      <c r="P982" s="163"/>
      <c r="Q982" s="163">
        <v>19</v>
      </c>
      <c r="R982" s="163">
        <v>0</v>
      </c>
      <c r="S982" s="163">
        <v>0</v>
      </c>
      <c r="T982" s="163">
        <v>0</v>
      </c>
      <c r="U982" s="163">
        <v>0</v>
      </c>
      <c r="V982" s="163">
        <v>0</v>
      </c>
      <c r="W982" s="163">
        <v>0</v>
      </c>
      <c r="X982" s="163">
        <v>0</v>
      </c>
      <c r="Y982" s="163">
        <v>19</v>
      </c>
      <c r="Z982" s="163">
        <v>19</v>
      </c>
      <c r="AA982" s="163">
        <v>0</v>
      </c>
      <c r="AB982" s="163">
        <v>0</v>
      </c>
      <c r="AC982" s="163">
        <v>14</v>
      </c>
      <c r="AD982" s="163">
        <v>5</v>
      </c>
      <c r="AE982" s="165">
        <v>0.69961893698057176</v>
      </c>
      <c r="AF982" s="166">
        <v>0.69961893698057176</v>
      </c>
    </row>
    <row r="983" spans="1:32">
      <c r="A983" s="161">
        <v>21</v>
      </c>
      <c r="B983" s="162">
        <v>0.4375</v>
      </c>
      <c r="C983" s="163">
        <v>20.337633741731107</v>
      </c>
      <c r="D983" s="163">
        <v>873.0826593956175</v>
      </c>
      <c r="E983" s="164">
        <v>0.92249999999999999</v>
      </c>
      <c r="F983" s="164">
        <v>0.92249999999999999</v>
      </c>
      <c r="G983" s="163">
        <v>18</v>
      </c>
      <c r="H983" s="163">
        <v>31.666666666666664</v>
      </c>
      <c r="I983" s="163">
        <v>13.666666666666664</v>
      </c>
      <c r="J983" s="163">
        <v>14</v>
      </c>
      <c r="K983" s="163">
        <v>14.673036437246964</v>
      </c>
      <c r="L983" s="163">
        <v>0.67303643724696371</v>
      </c>
      <c r="M983" s="163">
        <v>16</v>
      </c>
      <c r="N983" s="163">
        <v>28.931623931623928</v>
      </c>
      <c r="O983" s="163">
        <v>12.931623931623928</v>
      </c>
      <c r="P983" s="163"/>
      <c r="Q983" s="163">
        <v>19</v>
      </c>
      <c r="R983" s="163">
        <v>0</v>
      </c>
      <c r="S983" s="163">
        <v>0</v>
      </c>
      <c r="T983" s="163">
        <v>0</v>
      </c>
      <c r="U983" s="163">
        <v>0</v>
      </c>
      <c r="V983" s="163">
        <v>0</v>
      </c>
      <c r="W983" s="163">
        <v>0</v>
      </c>
      <c r="X983" s="163">
        <v>0</v>
      </c>
      <c r="Y983" s="163">
        <v>19</v>
      </c>
      <c r="Z983" s="163">
        <v>19</v>
      </c>
      <c r="AA983" s="163">
        <v>0</v>
      </c>
      <c r="AB983" s="163">
        <v>0</v>
      </c>
      <c r="AC983" s="163">
        <v>14</v>
      </c>
      <c r="AD983" s="163">
        <v>5</v>
      </c>
      <c r="AE983" s="165">
        <v>0.63691604195522444</v>
      </c>
      <c r="AF983" s="166">
        <v>0.67230026650829244</v>
      </c>
    </row>
    <row r="984" spans="1:32">
      <c r="A984" s="161">
        <v>21</v>
      </c>
      <c r="B984" s="162">
        <v>0.45833333333333331</v>
      </c>
      <c r="C984" s="163">
        <v>22.436476899596645</v>
      </c>
      <c r="D984" s="163">
        <v>863.17352283836544</v>
      </c>
      <c r="E984" s="164">
        <v>0.86129999999999995</v>
      </c>
      <c r="F984" s="164">
        <v>0.86129999999999995</v>
      </c>
      <c r="G984" s="163">
        <v>19</v>
      </c>
      <c r="H984" s="163">
        <v>31.666666666666664</v>
      </c>
      <c r="I984" s="163">
        <v>12.666666666666664</v>
      </c>
      <c r="J984" s="163">
        <v>15</v>
      </c>
      <c r="K984" s="163">
        <v>15.488205128205129</v>
      </c>
      <c r="L984" s="163">
        <v>0.48820512820512896</v>
      </c>
      <c r="M984" s="163">
        <v>17</v>
      </c>
      <c r="N984" s="163">
        <v>28.931623931623928</v>
      </c>
      <c r="O984" s="163">
        <v>11.931623931623928</v>
      </c>
      <c r="P984" s="163"/>
      <c r="Q984" s="163">
        <v>19</v>
      </c>
      <c r="R984" s="163">
        <v>0</v>
      </c>
      <c r="S984" s="163">
        <v>0</v>
      </c>
      <c r="T984" s="163">
        <v>0</v>
      </c>
      <c r="U984" s="163">
        <v>0</v>
      </c>
      <c r="V984" s="163">
        <v>0</v>
      </c>
      <c r="W984" s="163">
        <v>0</v>
      </c>
      <c r="X984" s="163">
        <v>0</v>
      </c>
      <c r="Y984" s="163">
        <v>19</v>
      </c>
      <c r="Z984" s="163">
        <v>19</v>
      </c>
      <c r="AA984" s="163">
        <v>0</v>
      </c>
      <c r="AB984" s="163">
        <v>0</v>
      </c>
      <c r="AC984" s="163">
        <v>14</v>
      </c>
      <c r="AD984" s="163">
        <v>5</v>
      </c>
      <c r="AE984" s="165">
        <v>0.69467101094735373</v>
      </c>
      <c r="AF984" s="166">
        <v>0.69467101094735373</v>
      </c>
    </row>
    <row r="985" spans="1:32">
      <c r="A985" s="161">
        <v>21</v>
      </c>
      <c r="B985" s="162">
        <v>0.47916666666666669</v>
      </c>
      <c r="C985" s="163">
        <v>20.786624317391095</v>
      </c>
      <c r="D985" s="163">
        <v>847.96921399877863</v>
      </c>
      <c r="E985" s="164">
        <v>0.92669999999999997</v>
      </c>
      <c r="F985" s="164">
        <v>0.92669999999999997</v>
      </c>
      <c r="G985" s="163">
        <v>18</v>
      </c>
      <c r="H985" s="163">
        <v>31.666666666666664</v>
      </c>
      <c r="I985" s="163">
        <v>13.666666666666664</v>
      </c>
      <c r="J985" s="163">
        <v>14</v>
      </c>
      <c r="K985" s="163">
        <v>14.673036437246964</v>
      </c>
      <c r="L985" s="163">
        <v>0.67303643724696371</v>
      </c>
      <c r="M985" s="163">
        <v>16</v>
      </c>
      <c r="N985" s="163">
        <v>28.931623931623928</v>
      </c>
      <c r="O985" s="163">
        <v>12.931623931623928</v>
      </c>
      <c r="P985" s="163"/>
      <c r="Q985" s="163">
        <v>19</v>
      </c>
      <c r="R985" s="163">
        <v>0</v>
      </c>
      <c r="S985" s="163">
        <v>0</v>
      </c>
      <c r="T985" s="163">
        <v>0</v>
      </c>
      <c r="U985" s="163">
        <v>0</v>
      </c>
      <c r="V985" s="163">
        <v>0</v>
      </c>
      <c r="W985" s="163">
        <v>0</v>
      </c>
      <c r="X985" s="163">
        <v>0</v>
      </c>
      <c r="Y985" s="163">
        <v>19</v>
      </c>
      <c r="Z985" s="163">
        <v>19</v>
      </c>
      <c r="AA985" s="163">
        <v>0</v>
      </c>
      <c r="AB985" s="163">
        <v>0</v>
      </c>
      <c r="AC985" s="163">
        <v>14</v>
      </c>
      <c r="AD985" s="163">
        <v>5</v>
      </c>
      <c r="AE985" s="165">
        <v>0.63225235440638117</v>
      </c>
      <c r="AF985" s="166">
        <v>0.66737748520673568</v>
      </c>
    </row>
    <row r="986" spans="1:32">
      <c r="A986" s="161">
        <v>21</v>
      </c>
      <c r="B986" s="162">
        <v>0.5</v>
      </c>
      <c r="C986" s="163">
        <v>20.182939401197942</v>
      </c>
      <c r="D986" s="163">
        <v>862.15195152363651</v>
      </c>
      <c r="E986" s="164">
        <v>0.93289999999999995</v>
      </c>
      <c r="F986" s="164">
        <v>0.93289999999999995</v>
      </c>
      <c r="G986" s="163">
        <v>18</v>
      </c>
      <c r="H986" s="163">
        <v>31.666666666666664</v>
      </c>
      <c r="I986" s="163">
        <v>13.666666666666664</v>
      </c>
      <c r="J986" s="163">
        <v>14</v>
      </c>
      <c r="K986" s="163">
        <v>14.673036437246964</v>
      </c>
      <c r="L986" s="163">
        <v>0.67303643724696371</v>
      </c>
      <c r="M986" s="163">
        <v>16</v>
      </c>
      <c r="N986" s="163">
        <v>28.931623931623928</v>
      </c>
      <c r="O986" s="163">
        <v>12.931623931623928</v>
      </c>
      <c r="P986" s="163"/>
      <c r="Q986" s="163">
        <v>19</v>
      </c>
      <c r="R986" s="163">
        <v>0</v>
      </c>
      <c r="S986" s="163">
        <v>0</v>
      </c>
      <c r="T986" s="163">
        <v>0</v>
      </c>
      <c r="U986" s="163">
        <v>0</v>
      </c>
      <c r="V986" s="163">
        <v>0</v>
      </c>
      <c r="W986" s="163">
        <v>0</v>
      </c>
      <c r="X986" s="163">
        <v>0</v>
      </c>
      <c r="Y986" s="163">
        <v>19</v>
      </c>
      <c r="Z986" s="163">
        <v>19</v>
      </c>
      <c r="AA986" s="163">
        <v>0</v>
      </c>
      <c r="AB986" s="163">
        <v>0</v>
      </c>
      <c r="AC986" s="163">
        <v>14</v>
      </c>
      <c r="AD986" s="163">
        <v>5</v>
      </c>
      <c r="AE986" s="165">
        <v>0.62415813439214651</v>
      </c>
      <c r="AF986" s="166">
        <v>0.65883358630282129</v>
      </c>
    </row>
    <row r="987" spans="1:32">
      <c r="A987" s="161">
        <v>21</v>
      </c>
      <c r="B987" s="162">
        <v>0.52083333333333337</v>
      </c>
      <c r="C987" s="163">
        <v>20.060162005056934</v>
      </c>
      <c r="D987" s="163">
        <v>849.95488646718718</v>
      </c>
      <c r="E987" s="164">
        <v>0.86819999999999997</v>
      </c>
      <c r="F987" s="164">
        <v>0.86819999999999997</v>
      </c>
      <c r="G987" s="163">
        <v>16</v>
      </c>
      <c r="H987" s="163">
        <v>30.333333333333336</v>
      </c>
      <c r="I987" s="163">
        <v>14.333333333333336</v>
      </c>
      <c r="J987" s="163">
        <v>13</v>
      </c>
      <c r="K987" s="163">
        <v>13.042699055330635</v>
      </c>
      <c r="L987" s="163">
        <v>4.2699055330635005E-2</v>
      </c>
      <c r="M987" s="163">
        <v>15</v>
      </c>
      <c r="N987" s="163">
        <v>27.713450292397663</v>
      </c>
      <c r="O987" s="163">
        <v>12.713450292397663</v>
      </c>
      <c r="P987" s="163"/>
      <c r="Q987" s="163">
        <v>19</v>
      </c>
      <c r="R987" s="163">
        <v>0</v>
      </c>
      <c r="S987" s="163">
        <v>0</v>
      </c>
      <c r="T987" s="163">
        <v>0</v>
      </c>
      <c r="U987" s="163">
        <v>0</v>
      </c>
      <c r="V987" s="163">
        <v>0</v>
      </c>
      <c r="W987" s="163">
        <v>0</v>
      </c>
      <c r="X987" s="163">
        <v>0</v>
      </c>
      <c r="Y987" s="163">
        <v>19</v>
      </c>
      <c r="Z987" s="163">
        <v>19</v>
      </c>
      <c r="AA987" s="163">
        <v>0</v>
      </c>
      <c r="AB987" s="163">
        <v>0</v>
      </c>
      <c r="AC987" s="163">
        <v>14</v>
      </c>
      <c r="AD987" s="163">
        <v>5</v>
      </c>
      <c r="AE987" s="165">
        <v>0.61158484359142906</v>
      </c>
      <c r="AF987" s="166">
        <v>0.72625700176482211</v>
      </c>
    </row>
    <row r="988" spans="1:32">
      <c r="A988" s="161">
        <v>21</v>
      </c>
      <c r="B988" s="162">
        <v>0.54166666666666663</v>
      </c>
      <c r="C988" s="163">
        <v>19.344331418514823</v>
      </c>
      <c r="D988" s="163">
        <v>823.50070760299457</v>
      </c>
      <c r="E988" s="164">
        <v>0.88660000000000005</v>
      </c>
      <c r="F988" s="164">
        <v>0.88660000000000005</v>
      </c>
      <c r="G988" s="163">
        <v>16</v>
      </c>
      <c r="H988" s="163">
        <v>28.333333333333336</v>
      </c>
      <c r="I988" s="163">
        <v>12.333333333333336</v>
      </c>
      <c r="J988" s="163">
        <v>13</v>
      </c>
      <c r="K988" s="163">
        <v>13.042699055330635</v>
      </c>
      <c r="L988" s="163">
        <v>4.2699055330635005E-2</v>
      </c>
      <c r="M988" s="163">
        <v>15</v>
      </c>
      <c r="N988" s="163">
        <v>25.886189833558255</v>
      </c>
      <c r="O988" s="163">
        <v>10.886189833558255</v>
      </c>
      <c r="P988" s="163"/>
      <c r="Q988" s="163">
        <v>17</v>
      </c>
      <c r="R988" s="163">
        <v>0</v>
      </c>
      <c r="S988" s="163">
        <v>0</v>
      </c>
      <c r="T988" s="163">
        <v>0</v>
      </c>
      <c r="U988" s="163">
        <v>0</v>
      </c>
      <c r="V988" s="163">
        <v>0</v>
      </c>
      <c r="W988" s="163">
        <v>0</v>
      </c>
      <c r="X988" s="163">
        <v>0</v>
      </c>
      <c r="Y988" s="163">
        <v>17</v>
      </c>
      <c r="Z988" s="163">
        <v>17</v>
      </c>
      <c r="AA988" s="163">
        <v>0</v>
      </c>
      <c r="AB988" s="163">
        <v>0</v>
      </c>
      <c r="AC988" s="163">
        <v>12</v>
      </c>
      <c r="AD988" s="163">
        <v>5</v>
      </c>
      <c r="AE988" s="165">
        <v>0.63862921702686992</v>
      </c>
      <c r="AF988" s="166">
        <v>0.67854354309104936</v>
      </c>
    </row>
    <row r="989" spans="1:32">
      <c r="A989" s="161">
        <v>21</v>
      </c>
      <c r="B989" s="162">
        <v>0.5625</v>
      </c>
      <c r="C989" s="163">
        <v>18.086049901546758</v>
      </c>
      <c r="D989" s="163">
        <v>821.59809896962474</v>
      </c>
      <c r="E989" s="164">
        <v>0.92610000000000003</v>
      </c>
      <c r="F989" s="164">
        <v>0.92610000000000003</v>
      </c>
      <c r="G989" s="163">
        <v>15</v>
      </c>
      <c r="H989" s="163">
        <v>28.333333333333336</v>
      </c>
      <c r="I989" s="163">
        <v>13.333333333333336</v>
      </c>
      <c r="J989" s="163">
        <v>12</v>
      </c>
      <c r="K989" s="163">
        <v>12.22753036437247</v>
      </c>
      <c r="L989" s="163">
        <v>0.22753036437246976</v>
      </c>
      <c r="M989" s="163">
        <v>14</v>
      </c>
      <c r="N989" s="163">
        <v>25.886189833558255</v>
      </c>
      <c r="O989" s="163">
        <v>11.886189833558255</v>
      </c>
      <c r="P989" s="163"/>
      <c r="Q989" s="163">
        <v>17</v>
      </c>
      <c r="R989" s="163">
        <v>0</v>
      </c>
      <c r="S989" s="163">
        <v>0</v>
      </c>
      <c r="T989" s="163">
        <v>0</v>
      </c>
      <c r="U989" s="163">
        <v>0</v>
      </c>
      <c r="V989" s="163">
        <v>0</v>
      </c>
      <c r="W989" s="163">
        <v>0</v>
      </c>
      <c r="X989" s="163">
        <v>0</v>
      </c>
      <c r="Y989" s="163">
        <v>17</v>
      </c>
      <c r="Z989" s="163">
        <v>17</v>
      </c>
      <c r="AA989" s="163">
        <v>0</v>
      </c>
      <c r="AB989" s="163">
        <v>0</v>
      </c>
      <c r="AC989" s="163">
        <v>12</v>
      </c>
      <c r="AD989" s="163">
        <v>5</v>
      </c>
      <c r="AE989" s="165">
        <v>0.59570909821486373</v>
      </c>
      <c r="AF989" s="166">
        <v>0.67513697797684558</v>
      </c>
    </row>
    <row r="990" spans="1:32">
      <c r="A990" s="161">
        <v>21</v>
      </c>
      <c r="B990" s="162">
        <v>0.58333333333333337</v>
      </c>
      <c r="C990" s="163">
        <v>18.477747283011439</v>
      </c>
      <c r="D990" s="163">
        <v>857.90624714080241</v>
      </c>
      <c r="E990" s="164">
        <v>0.88929999999999998</v>
      </c>
      <c r="F990" s="164">
        <v>0.88929999999999998</v>
      </c>
      <c r="G990" s="163">
        <v>16</v>
      </c>
      <c r="H990" s="163">
        <v>28.333333333333336</v>
      </c>
      <c r="I990" s="163">
        <v>12.333333333333336</v>
      </c>
      <c r="J990" s="163">
        <v>13</v>
      </c>
      <c r="K990" s="163">
        <v>13.042699055330635</v>
      </c>
      <c r="L990" s="163">
        <v>4.2699055330635005E-2</v>
      </c>
      <c r="M990" s="163">
        <v>15</v>
      </c>
      <c r="N990" s="163">
        <v>25.886189833558255</v>
      </c>
      <c r="O990" s="163">
        <v>10.886189833558255</v>
      </c>
      <c r="P990" s="163"/>
      <c r="Q990" s="163">
        <v>17</v>
      </c>
      <c r="R990" s="163">
        <v>0</v>
      </c>
      <c r="S990" s="163">
        <v>0</v>
      </c>
      <c r="T990" s="163">
        <v>0</v>
      </c>
      <c r="U990" s="163">
        <v>0</v>
      </c>
      <c r="V990" s="163">
        <v>0</v>
      </c>
      <c r="W990" s="163">
        <v>0</v>
      </c>
      <c r="X990" s="163">
        <v>0</v>
      </c>
      <c r="Y990" s="163">
        <v>17</v>
      </c>
      <c r="Z990" s="163">
        <v>17</v>
      </c>
      <c r="AA990" s="163">
        <v>0</v>
      </c>
      <c r="AB990" s="163">
        <v>0</v>
      </c>
      <c r="AC990" s="163">
        <v>12</v>
      </c>
      <c r="AD990" s="163">
        <v>5</v>
      </c>
      <c r="AE990" s="165">
        <v>0.63550641080686965</v>
      </c>
      <c r="AF990" s="166">
        <v>0.67522556148229906</v>
      </c>
    </row>
    <row r="991" spans="1:32">
      <c r="A991" s="161">
        <v>21</v>
      </c>
      <c r="B991" s="162">
        <v>0.60416666666666663</v>
      </c>
      <c r="C991" s="163">
        <v>18.10842757956221</v>
      </c>
      <c r="D991" s="163">
        <v>851.24531369055569</v>
      </c>
      <c r="E991" s="164">
        <v>0.9509333333333333</v>
      </c>
      <c r="F991" s="164">
        <v>0.9509333333333333</v>
      </c>
      <c r="G991" s="163">
        <v>15</v>
      </c>
      <c r="H991" s="163">
        <v>29.666666666666664</v>
      </c>
      <c r="I991" s="163">
        <v>14.666666666666664</v>
      </c>
      <c r="J991" s="163">
        <v>12</v>
      </c>
      <c r="K991" s="163">
        <v>12.22753036437247</v>
      </c>
      <c r="L991" s="163">
        <v>0.22753036437246976</v>
      </c>
      <c r="M991" s="163">
        <v>14</v>
      </c>
      <c r="N991" s="163">
        <v>27.104363472784524</v>
      </c>
      <c r="O991" s="163">
        <v>13.104363472784524</v>
      </c>
      <c r="P991" s="163"/>
      <c r="Q991" s="163">
        <v>17</v>
      </c>
      <c r="R991" s="163">
        <v>0</v>
      </c>
      <c r="S991" s="163">
        <v>0</v>
      </c>
      <c r="T991" s="163">
        <v>0</v>
      </c>
      <c r="U991" s="163">
        <v>0</v>
      </c>
      <c r="V991" s="163">
        <v>0</v>
      </c>
      <c r="W991" s="163">
        <v>0</v>
      </c>
      <c r="X991" s="163">
        <v>0</v>
      </c>
      <c r="Y991" s="163">
        <v>17</v>
      </c>
      <c r="Z991" s="163">
        <v>17</v>
      </c>
      <c r="AA991" s="163">
        <v>0</v>
      </c>
      <c r="AB991" s="163">
        <v>0</v>
      </c>
      <c r="AC991" s="163">
        <v>12</v>
      </c>
      <c r="AD991" s="163">
        <v>5</v>
      </c>
      <c r="AE991" s="165">
        <v>0.61796881171769635</v>
      </c>
      <c r="AF991" s="166">
        <v>0.70036465328005582</v>
      </c>
    </row>
    <row r="992" spans="1:32">
      <c r="A992" s="161">
        <v>21</v>
      </c>
      <c r="B992" s="162">
        <v>0.625</v>
      </c>
      <c r="C992" s="163">
        <v>17.814075819529666</v>
      </c>
      <c r="D992" s="163">
        <v>864.08623841498832</v>
      </c>
      <c r="E992" s="164">
        <v>0.85883333333333323</v>
      </c>
      <c r="F992" s="164">
        <v>0.85883333333333323</v>
      </c>
      <c r="G992" s="163">
        <v>15</v>
      </c>
      <c r="H992" s="163">
        <v>29</v>
      </c>
      <c r="I992" s="163">
        <v>14</v>
      </c>
      <c r="J992" s="163">
        <v>12</v>
      </c>
      <c r="K992" s="163">
        <v>12.22753036437247</v>
      </c>
      <c r="L992" s="163">
        <v>0.22753036437246976</v>
      </c>
      <c r="M992" s="163">
        <v>14</v>
      </c>
      <c r="N992" s="163">
        <v>26.495276653171388</v>
      </c>
      <c r="O992" s="163">
        <v>12.495276653171388</v>
      </c>
      <c r="P992" s="163"/>
      <c r="Q992" s="163">
        <v>19</v>
      </c>
      <c r="R992" s="163">
        <v>0</v>
      </c>
      <c r="S992" s="163">
        <v>0</v>
      </c>
      <c r="T992" s="163">
        <v>0</v>
      </c>
      <c r="U992" s="163">
        <v>0</v>
      </c>
      <c r="V992" s="163">
        <v>0</v>
      </c>
      <c r="W992" s="163">
        <v>0</v>
      </c>
      <c r="X992" s="163">
        <v>0</v>
      </c>
      <c r="Y992" s="163">
        <v>19</v>
      </c>
      <c r="Z992" s="163">
        <v>19</v>
      </c>
      <c r="AA992" s="163">
        <v>0</v>
      </c>
      <c r="AB992" s="163">
        <v>0</v>
      </c>
      <c r="AC992" s="163">
        <v>12</v>
      </c>
      <c r="AD992" s="163">
        <v>7</v>
      </c>
      <c r="AE992" s="165">
        <v>0.55213691961508682</v>
      </c>
      <c r="AF992" s="166">
        <v>0.69937343151244336</v>
      </c>
    </row>
    <row r="993" spans="1:32">
      <c r="A993" s="161">
        <v>21</v>
      </c>
      <c r="B993" s="162">
        <v>0.64583333333333337</v>
      </c>
      <c r="C993" s="163">
        <v>17.082875995933254</v>
      </c>
      <c r="D993" s="163">
        <v>841.36845096784725</v>
      </c>
      <c r="E993" s="164">
        <v>0.79139999999999999</v>
      </c>
      <c r="F993" s="164">
        <v>0.79139999999999999</v>
      </c>
      <c r="G993" s="163">
        <v>15</v>
      </c>
      <c r="H993" s="163">
        <v>23.333333333333336</v>
      </c>
      <c r="I993" s="163">
        <v>8.3333333333333357</v>
      </c>
      <c r="J993" s="163">
        <v>12</v>
      </c>
      <c r="K993" s="163">
        <v>12.22753036437247</v>
      </c>
      <c r="L993" s="163">
        <v>0.22753036437246976</v>
      </c>
      <c r="M993" s="163">
        <v>14</v>
      </c>
      <c r="N993" s="163">
        <v>21.31803868645974</v>
      </c>
      <c r="O993" s="163">
        <v>7.3180386864597402</v>
      </c>
      <c r="P993" s="163"/>
      <c r="Q993" s="163">
        <v>14</v>
      </c>
      <c r="R993" s="163">
        <v>0</v>
      </c>
      <c r="S993" s="163">
        <v>0</v>
      </c>
      <c r="T993" s="163">
        <v>0</v>
      </c>
      <c r="U993" s="163">
        <v>0</v>
      </c>
      <c r="V993" s="163">
        <v>0</v>
      </c>
      <c r="W993" s="163">
        <v>0</v>
      </c>
      <c r="X993" s="163">
        <v>0</v>
      </c>
      <c r="Y993" s="163">
        <v>14</v>
      </c>
      <c r="Z993" s="163">
        <v>14</v>
      </c>
      <c r="AA993" s="163">
        <v>0</v>
      </c>
      <c r="AB993" s="163">
        <v>0</v>
      </c>
      <c r="AC993" s="163">
        <v>10</v>
      </c>
      <c r="AD993" s="163">
        <v>4</v>
      </c>
      <c r="AE993" s="165">
        <v>0.69967954856924153</v>
      </c>
      <c r="AF993" s="166">
        <v>0.65303424533129206</v>
      </c>
    </row>
    <row r="994" spans="1:32">
      <c r="A994" s="161">
        <v>21</v>
      </c>
      <c r="B994" s="162">
        <v>0.66666666666666663</v>
      </c>
      <c r="C994" s="163">
        <v>15.987273379977758</v>
      </c>
      <c r="D994" s="163">
        <v>875.78943862880919</v>
      </c>
      <c r="E994" s="164">
        <v>0.81699999999999984</v>
      </c>
      <c r="F994" s="164">
        <v>0.81699999999999984</v>
      </c>
      <c r="G994" s="163">
        <v>14</v>
      </c>
      <c r="H994" s="163">
        <v>23.333333333333336</v>
      </c>
      <c r="I994" s="163">
        <v>9.3333333333333357</v>
      </c>
      <c r="J994" s="163">
        <v>11</v>
      </c>
      <c r="K994" s="163">
        <v>11.412361673414306</v>
      </c>
      <c r="L994" s="163">
        <v>0.4123616734143063</v>
      </c>
      <c r="M994" s="163">
        <v>13</v>
      </c>
      <c r="N994" s="163">
        <v>21.31803868645974</v>
      </c>
      <c r="O994" s="163">
        <v>8.3180386864597402</v>
      </c>
      <c r="P994" s="163"/>
      <c r="Q994" s="163">
        <v>14</v>
      </c>
      <c r="R994" s="163">
        <v>0</v>
      </c>
      <c r="S994" s="163">
        <v>0</v>
      </c>
      <c r="T994" s="163">
        <v>0</v>
      </c>
      <c r="U994" s="163">
        <v>0</v>
      </c>
      <c r="V994" s="163">
        <v>0</v>
      </c>
      <c r="W994" s="163">
        <v>0</v>
      </c>
      <c r="X994" s="163">
        <v>0</v>
      </c>
      <c r="Y994" s="163">
        <v>14</v>
      </c>
      <c r="Z994" s="163">
        <v>14</v>
      </c>
      <c r="AA994" s="163">
        <v>0</v>
      </c>
      <c r="AB994" s="163">
        <v>0</v>
      </c>
      <c r="AC994" s="163">
        <v>10</v>
      </c>
      <c r="AD994" s="163">
        <v>4</v>
      </c>
      <c r="AE994" s="165">
        <v>0.68159449372795367</v>
      </c>
      <c r="AF994" s="166">
        <v>0.68159449372795367</v>
      </c>
    </row>
    <row r="995" spans="1:32">
      <c r="A995" s="161">
        <v>21</v>
      </c>
      <c r="B995" s="162">
        <v>0.6875</v>
      </c>
      <c r="C995" s="163">
        <v>15.764818280236515</v>
      </c>
      <c r="D995" s="163">
        <v>821.12266469776557</v>
      </c>
      <c r="E995" s="164">
        <v>0.73216666666666663</v>
      </c>
      <c r="F995" s="164">
        <v>0.73216666666666663</v>
      </c>
      <c r="G995" s="163">
        <v>14</v>
      </c>
      <c r="H995" s="163">
        <v>22</v>
      </c>
      <c r="I995" s="163">
        <v>8</v>
      </c>
      <c r="J995" s="163">
        <v>11</v>
      </c>
      <c r="K995" s="163">
        <v>11.412361673414306</v>
      </c>
      <c r="L995" s="163">
        <v>0.4123616734143063</v>
      </c>
      <c r="M995" s="163">
        <v>13</v>
      </c>
      <c r="N995" s="163">
        <v>20.099865047233468</v>
      </c>
      <c r="O995" s="163">
        <v>7.0998650472334681</v>
      </c>
      <c r="P995" s="163"/>
      <c r="Q995" s="163">
        <v>14</v>
      </c>
      <c r="R995" s="163">
        <v>0</v>
      </c>
      <c r="S995" s="163">
        <v>0</v>
      </c>
      <c r="T995" s="163">
        <v>0</v>
      </c>
      <c r="U995" s="163">
        <v>0</v>
      </c>
      <c r="V995" s="163">
        <v>0</v>
      </c>
      <c r="W995" s="163">
        <v>0</v>
      </c>
      <c r="X995" s="163">
        <v>0</v>
      </c>
      <c r="Y995" s="163">
        <v>14</v>
      </c>
      <c r="Z995" s="163">
        <v>14</v>
      </c>
      <c r="AA995" s="163">
        <v>0</v>
      </c>
      <c r="AB995" s="163">
        <v>0</v>
      </c>
      <c r="AC995" s="163">
        <v>10</v>
      </c>
      <c r="AD995" s="163">
        <v>4</v>
      </c>
      <c r="AE995" s="165">
        <v>0.63015730783788593</v>
      </c>
      <c r="AF995" s="166">
        <v>0.63015730783788593</v>
      </c>
    </row>
    <row r="996" spans="1:32">
      <c r="A996" s="161">
        <v>21</v>
      </c>
      <c r="B996" s="162">
        <v>0.70833333333333337</v>
      </c>
      <c r="C996" s="163">
        <v>16.360660998647351</v>
      </c>
      <c r="D996" s="163">
        <v>838.08172438206623</v>
      </c>
      <c r="E996" s="164">
        <v>0.57240000000000002</v>
      </c>
      <c r="F996" s="164">
        <v>0.57240000000000002</v>
      </c>
      <c r="G996" s="163">
        <v>14</v>
      </c>
      <c r="H996" s="163">
        <v>20</v>
      </c>
      <c r="I996" s="163">
        <v>6</v>
      </c>
      <c r="J996" s="163">
        <v>11</v>
      </c>
      <c r="K996" s="163">
        <v>11.412361673414306</v>
      </c>
      <c r="L996" s="163">
        <v>0.4123616734143063</v>
      </c>
      <c r="M996" s="163">
        <v>13</v>
      </c>
      <c r="N996" s="163">
        <v>18.27260458839406</v>
      </c>
      <c r="O996" s="163">
        <v>5.27260458839406</v>
      </c>
      <c r="P996" s="163"/>
      <c r="Q996" s="163">
        <v>12</v>
      </c>
      <c r="R996" s="163">
        <v>0</v>
      </c>
      <c r="S996" s="163">
        <v>0</v>
      </c>
      <c r="T996" s="163">
        <v>0</v>
      </c>
      <c r="U996" s="163">
        <v>0</v>
      </c>
      <c r="V996" s="163">
        <v>0</v>
      </c>
      <c r="W996" s="163">
        <v>0</v>
      </c>
      <c r="X996" s="163">
        <v>0</v>
      </c>
      <c r="Y996" s="163">
        <v>12</v>
      </c>
      <c r="Z996" s="163">
        <v>12</v>
      </c>
      <c r="AA996" s="163">
        <v>0</v>
      </c>
      <c r="AB996" s="163">
        <v>0</v>
      </c>
      <c r="AC996" s="163">
        <v>10</v>
      </c>
      <c r="AD996" s="163">
        <v>2</v>
      </c>
      <c r="AE996" s="165">
        <v>0.7787283293644246</v>
      </c>
      <c r="AF996" s="166">
        <v>0.66748142516950681</v>
      </c>
    </row>
    <row r="997" spans="1:32">
      <c r="A997" s="161">
        <v>21</v>
      </c>
      <c r="B997" s="162">
        <v>0.72916666666666663</v>
      </c>
      <c r="C997" s="163">
        <v>14.013485007986887</v>
      </c>
      <c r="D997" s="163">
        <v>874.18066890133514</v>
      </c>
      <c r="E997" s="164">
        <v>0.89403333333333335</v>
      </c>
      <c r="F997" s="164">
        <v>0.89403333333333335</v>
      </c>
      <c r="G997" s="163">
        <v>13</v>
      </c>
      <c r="H997" s="163">
        <v>22.666666666666664</v>
      </c>
      <c r="I997" s="163">
        <v>9.6666666666666643</v>
      </c>
      <c r="J997" s="163">
        <v>10</v>
      </c>
      <c r="K997" s="163">
        <v>10.597192982456141</v>
      </c>
      <c r="L997" s="163">
        <v>0.59719298245614105</v>
      </c>
      <c r="M997" s="163">
        <v>12</v>
      </c>
      <c r="N997" s="163">
        <v>20.708951866846601</v>
      </c>
      <c r="O997" s="163">
        <v>8.7089518668466006</v>
      </c>
      <c r="P997" s="163"/>
      <c r="Q997" s="163">
        <v>12</v>
      </c>
      <c r="R997" s="163">
        <v>0</v>
      </c>
      <c r="S997" s="163">
        <v>0</v>
      </c>
      <c r="T997" s="163">
        <v>0</v>
      </c>
      <c r="U997" s="163">
        <v>0</v>
      </c>
      <c r="V997" s="163">
        <v>0</v>
      </c>
      <c r="W997" s="163">
        <v>0</v>
      </c>
      <c r="X997" s="163">
        <v>0</v>
      </c>
      <c r="Y997" s="163">
        <v>12</v>
      </c>
      <c r="Z997" s="163">
        <v>12</v>
      </c>
      <c r="AA997" s="163">
        <v>0</v>
      </c>
      <c r="AB997" s="163">
        <v>0</v>
      </c>
      <c r="AC997" s="163">
        <v>10</v>
      </c>
      <c r="AD997" s="163">
        <v>2</v>
      </c>
      <c r="AE997" s="165">
        <v>0.69573861724261266</v>
      </c>
      <c r="AF997" s="166">
        <v>0.64222026207010408</v>
      </c>
    </row>
    <row r="998" spans="1:32">
      <c r="A998" s="161">
        <v>21</v>
      </c>
      <c r="B998" s="162">
        <v>0.75</v>
      </c>
      <c r="C998" s="163">
        <v>14.686849679014278</v>
      </c>
      <c r="D998" s="163">
        <v>836.67802098791287</v>
      </c>
      <c r="E998" s="164">
        <v>0.97800000000000009</v>
      </c>
      <c r="F998" s="164">
        <v>0.97800000000000009</v>
      </c>
      <c r="G998" s="163">
        <v>13</v>
      </c>
      <c r="H998" s="163">
        <v>26.666666666666664</v>
      </c>
      <c r="I998" s="163">
        <v>13.666666666666664</v>
      </c>
      <c r="J998" s="163">
        <v>10</v>
      </c>
      <c r="K998" s="163">
        <v>10.597192982456141</v>
      </c>
      <c r="L998" s="163">
        <v>0.59719298245614105</v>
      </c>
      <c r="M998" s="163">
        <v>12</v>
      </c>
      <c r="N998" s="163">
        <v>24.363472784525413</v>
      </c>
      <c r="O998" s="163">
        <v>12.363472784525413</v>
      </c>
      <c r="P998" s="163"/>
      <c r="Q998" s="163">
        <v>16</v>
      </c>
      <c r="R998" s="163">
        <v>0</v>
      </c>
      <c r="S998" s="163">
        <v>0</v>
      </c>
      <c r="T998" s="163">
        <v>0</v>
      </c>
      <c r="U998" s="163">
        <v>0</v>
      </c>
      <c r="V998" s="163">
        <v>0</v>
      </c>
      <c r="W998" s="163">
        <v>0</v>
      </c>
      <c r="X998" s="163">
        <v>0</v>
      </c>
      <c r="Y998" s="163">
        <v>16</v>
      </c>
      <c r="Z998" s="163">
        <v>16</v>
      </c>
      <c r="AA998" s="163">
        <v>0</v>
      </c>
      <c r="AB998" s="163">
        <v>0</v>
      </c>
      <c r="AC998" s="163">
        <v>14</v>
      </c>
      <c r="AD998" s="163">
        <v>2</v>
      </c>
      <c r="AE998" s="165">
        <v>0.52341604516122753</v>
      </c>
      <c r="AF998" s="166">
        <v>0.64420436327535691</v>
      </c>
    </row>
    <row r="999" spans="1:32">
      <c r="A999" s="161">
        <v>21</v>
      </c>
      <c r="B999" s="162">
        <v>0.77083333333333337</v>
      </c>
      <c r="C999" s="163">
        <v>14.83329756277994</v>
      </c>
      <c r="D999" s="163">
        <v>814.54314989641784</v>
      </c>
      <c r="E999" s="164">
        <v>0.98070000000000002</v>
      </c>
      <c r="F999" s="164">
        <v>0.98070000000000002</v>
      </c>
      <c r="G999" s="163">
        <v>13</v>
      </c>
      <c r="H999" s="163">
        <v>26.666666666666664</v>
      </c>
      <c r="I999" s="163">
        <v>13.666666666666664</v>
      </c>
      <c r="J999" s="163">
        <v>10</v>
      </c>
      <c r="K999" s="163">
        <v>10.597192982456141</v>
      </c>
      <c r="L999" s="163">
        <v>0.59719298245614105</v>
      </c>
      <c r="M999" s="163">
        <v>12</v>
      </c>
      <c r="N999" s="163">
        <v>24.363472784525413</v>
      </c>
      <c r="O999" s="163">
        <v>12.363472784525413</v>
      </c>
      <c r="P999" s="163"/>
      <c r="Q999" s="163">
        <v>16</v>
      </c>
      <c r="R999" s="163">
        <v>0</v>
      </c>
      <c r="S999" s="163">
        <v>0</v>
      </c>
      <c r="T999" s="163">
        <v>0</v>
      </c>
      <c r="U999" s="163">
        <v>0</v>
      </c>
      <c r="V999" s="163">
        <v>0</v>
      </c>
      <c r="W999" s="163">
        <v>0</v>
      </c>
      <c r="X999" s="163">
        <v>0</v>
      </c>
      <c r="Y999" s="163">
        <v>16</v>
      </c>
      <c r="Z999" s="163">
        <v>16</v>
      </c>
      <c r="AA999" s="163">
        <v>0</v>
      </c>
      <c r="AB999" s="163">
        <v>0</v>
      </c>
      <c r="AC999" s="163">
        <v>14</v>
      </c>
      <c r="AD999" s="163">
        <v>2</v>
      </c>
      <c r="AE999" s="165">
        <v>0.5146498209407343</v>
      </c>
      <c r="AF999" s="166">
        <v>0.63341516423474986</v>
      </c>
    </row>
    <row r="1000" spans="1:32">
      <c r="A1000" s="161">
        <v>21</v>
      </c>
      <c r="B1000" s="162">
        <v>0.79166666666666663</v>
      </c>
      <c r="C1000" s="163">
        <v>13.70685406830831</v>
      </c>
      <c r="D1000" s="163">
        <v>781.264903575223</v>
      </c>
      <c r="E1000" s="164">
        <v>0.96099999999999997</v>
      </c>
      <c r="F1000" s="164">
        <v>0.96099999999999997</v>
      </c>
      <c r="G1000" s="163">
        <v>12</v>
      </c>
      <c r="H1000" s="163">
        <v>23.333333333333336</v>
      </c>
      <c r="I1000" s="163">
        <v>11.333333333333336</v>
      </c>
      <c r="J1000" s="163">
        <v>9</v>
      </c>
      <c r="K1000" s="163">
        <v>9.7820242914979758</v>
      </c>
      <c r="L1000" s="163">
        <v>0.78202429149797581</v>
      </c>
      <c r="M1000" s="163">
        <v>11</v>
      </c>
      <c r="N1000" s="163">
        <v>21.31803868645974</v>
      </c>
      <c r="O1000" s="163">
        <v>10.31803868645974</v>
      </c>
      <c r="P1000" s="163"/>
      <c r="Q1000" s="163">
        <v>14</v>
      </c>
      <c r="R1000" s="163">
        <v>0</v>
      </c>
      <c r="S1000" s="163">
        <v>0</v>
      </c>
      <c r="T1000" s="163">
        <v>0</v>
      </c>
      <c r="U1000" s="163">
        <v>0</v>
      </c>
      <c r="V1000" s="163">
        <v>0</v>
      </c>
      <c r="W1000" s="163">
        <v>0</v>
      </c>
      <c r="X1000" s="163">
        <v>0</v>
      </c>
      <c r="Y1000" s="163">
        <v>14</v>
      </c>
      <c r="Z1000" s="163">
        <v>14</v>
      </c>
      <c r="AA1000" s="163">
        <v>0</v>
      </c>
      <c r="AB1000" s="163">
        <v>0</v>
      </c>
      <c r="AC1000" s="163">
        <v>12</v>
      </c>
      <c r="AD1000" s="163">
        <v>2</v>
      </c>
      <c r="AE1000" s="165">
        <v>0.52130041715802999</v>
      </c>
      <c r="AF1000" s="166">
        <v>0.60818382001770166</v>
      </c>
    </row>
    <row r="1001" spans="1:32">
      <c r="A1001" s="161">
        <v>21</v>
      </c>
      <c r="B1001" s="162">
        <v>0.8125</v>
      </c>
      <c r="C1001" s="163">
        <v>12.106159299608658</v>
      </c>
      <c r="D1001" s="163">
        <v>786.53249124265915</v>
      </c>
      <c r="E1001" s="164">
        <v>0.98180000000000012</v>
      </c>
      <c r="F1001" s="164">
        <v>0.98180000000000012</v>
      </c>
      <c r="G1001" s="163">
        <v>10</v>
      </c>
      <c r="H1001" s="163">
        <v>23.333333333333336</v>
      </c>
      <c r="I1001" s="163">
        <v>13.333333333333336</v>
      </c>
      <c r="J1001" s="163">
        <v>8</v>
      </c>
      <c r="K1001" s="163">
        <v>8.1516869095816471</v>
      </c>
      <c r="L1001" s="163">
        <v>0.1516869095816471</v>
      </c>
      <c r="M1001" s="163">
        <v>9</v>
      </c>
      <c r="N1001" s="163">
        <v>21.31803868645974</v>
      </c>
      <c r="O1001" s="163">
        <v>12.31803868645974</v>
      </c>
      <c r="P1001" s="163"/>
      <c r="Q1001" s="163">
        <v>14</v>
      </c>
      <c r="R1001" s="163">
        <v>0</v>
      </c>
      <c r="S1001" s="163">
        <v>0</v>
      </c>
      <c r="T1001" s="163">
        <v>0</v>
      </c>
      <c r="U1001" s="163">
        <v>0</v>
      </c>
      <c r="V1001" s="163">
        <v>0</v>
      </c>
      <c r="W1001" s="163">
        <v>0</v>
      </c>
      <c r="X1001" s="163">
        <v>0</v>
      </c>
      <c r="Y1001" s="163">
        <v>14</v>
      </c>
      <c r="Z1001" s="163">
        <v>14</v>
      </c>
      <c r="AA1001" s="163">
        <v>0</v>
      </c>
      <c r="AB1001" s="163">
        <v>0</v>
      </c>
      <c r="AC1001" s="163">
        <v>12</v>
      </c>
      <c r="AD1001" s="163">
        <v>2</v>
      </c>
      <c r="AE1001" s="165">
        <v>0.46352698288380373</v>
      </c>
      <c r="AF1001" s="166">
        <v>0.64893777603732528</v>
      </c>
    </row>
    <row r="1002" spans="1:32">
      <c r="A1002" s="161">
        <v>21</v>
      </c>
      <c r="B1002" s="162">
        <v>0.83333333333333337</v>
      </c>
      <c r="C1002" s="163">
        <v>11.460300010989325</v>
      </c>
      <c r="D1002" s="163">
        <v>789.37290232894964</v>
      </c>
      <c r="E1002" s="164">
        <v>0.89303333333333335</v>
      </c>
      <c r="F1002" s="164">
        <v>0.89303333333333335</v>
      </c>
      <c r="G1002" s="163">
        <v>10</v>
      </c>
      <c r="H1002" s="163">
        <v>20.666666666666668</v>
      </c>
      <c r="I1002" s="163">
        <v>10.666666666666668</v>
      </c>
      <c r="J1002" s="163">
        <v>8</v>
      </c>
      <c r="K1002" s="163">
        <v>8.1516869095816471</v>
      </c>
      <c r="L1002" s="163">
        <v>0.1516869095816471</v>
      </c>
      <c r="M1002" s="163">
        <v>9</v>
      </c>
      <c r="N1002" s="163">
        <v>18.881691408007196</v>
      </c>
      <c r="O1002" s="163">
        <v>9.881691408007196</v>
      </c>
      <c r="P1002" s="163"/>
      <c r="Q1002" s="163">
        <v>14</v>
      </c>
      <c r="R1002" s="163">
        <v>0</v>
      </c>
      <c r="S1002" s="163">
        <v>0</v>
      </c>
      <c r="T1002" s="163">
        <v>0</v>
      </c>
      <c r="U1002" s="163">
        <v>0</v>
      </c>
      <c r="V1002" s="163">
        <v>0</v>
      </c>
      <c r="W1002" s="163">
        <v>0</v>
      </c>
      <c r="X1002" s="163">
        <v>0</v>
      </c>
      <c r="Y1002" s="163">
        <v>14</v>
      </c>
      <c r="Z1002" s="163">
        <v>14</v>
      </c>
      <c r="AA1002" s="163">
        <v>0</v>
      </c>
      <c r="AB1002" s="163">
        <v>0</v>
      </c>
      <c r="AC1002" s="163">
        <v>12</v>
      </c>
      <c r="AD1002" s="163">
        <v>2</v>
      </c>
      <c r="AE1002" s="165">
        <v>0.44038261804348311</v>
      </c>
      <c r="AF1002" s="166">
        <v>0.61653566526087633</v>
      </c>
    </row>
    <row r="1003" spans="1:32">
      <c r="A1003" s="161">
        <v>21</v>
      </c>
      <c r="B1003" s="162">
        <v>0.85416666666666663</v>
      </c>
      <c r="C1003" s="163">
        <v>10.641970029244595</v>
      </c>
      <c r="D1003" s="163">
        <v>724.47583780432092</v>
      </c>
      <c r="E1003" s="164">
        <v>0.77656666666666663</v>
      </c>
      <c r="F1003" s="164">
        <v>0.77656666666666663</v>
      </c>
      <c r="G1003" s="163">
        <v>9</v>
      </c>
      <c r="H1003" s="163">
        <v>15.333333333333332</v>
      </c>
      <c r="I1003" s="163">
        <v>6.3333333333333321</v>
      </c>
      <c r="J1003" s="163">
        <v>7</v>
      </c>
      <c r="K1003" s="163">
        <v>7.3365182186234819</v>
      </c>
      <c r="L1003" s="163">
        <v>0.33651821862348186</v>
      </c>
      <c r="M1003" s="163">
        <v>8</v>
      </c>
      <c r="N1003" s="163">
        <v>14.008996851102113</v>
      </c>
      <c r="O1003" s="163">
        <v>6.008996851102113</v>
      </c>
      <c r="P1003" s="163"/>
      <c r="Q1003" s="163">
        <v>10</v>
      </c>
      <c r="R1003" s="163">
        <v>0</v>
      </c>
      <c r="S1003" s="163">
        <v>0</v>
      </c>
      <c r="T1003" s="163">
        <v>0</v>
      </c>
      <c r="U1003" s="163">
        <v>0</v>
      </c>
      <c r="V1003" s="163">
        <v>0</v>
      </c>
      <c r="W1003" s="163">
        <v>0</v>
      </c>
      <c r="X1003" s="163">
        <v>0</v>
      </c>
      <c r="Y1003" s="163">
        <v>10</v>
      </c>
      <c r="Z1003" s="163">
        <v>10</v>
      </c>
      <c r="AA1003" s="163">
        <v>0</v>
      </c>
      <c r="AB1003" s="163">
        <v>0</v>
      </c>
      <c r="AC1003" s="163">
        <v>8</v>
      </c>
      <c r="AD1003" s="163">
        <v>2</v>
      </c>
      <c r="AE1003" s="165">
        <v>0.52544339992602218</v>
      </c>
      <c r="AF1003" s="166">
        <v>0.58382599991780237</v>
      </c>
    </row>
    <row r="1004" spans="1:32">
      <c r="A1004" s="161">
        <v>21</v>
      </c>
      <c r="B1004" s="162">
        <v>0.875</v>
      </c>
      <c r="C1004" s="163">
        <v>9.6147496976382207</v>
      </c>
      <c r="D1004" s="163">
        <v>731.51344511859179</v>
      </c>
      <c r="E1004" s="164">
        <v>0.77969999999999995</v>
      </c>
      <c r="F1004" s="164">
        <v>0.77969999999999995</v>
      </c>
      <c r="G1004" s="163">
        <v>9</v>
      </c>
      <c r="H1004" s="163">
        <v>13.333333333333332</v>
      </c>
      <c r="I1004" s="163">
        <v>4.3333333333333321</v>
      </c>
      <c r="J1004" s="163">
        <v>7</v>
      </c>
      <c r="K1004" s="163">
        <v>7.3365182186234819</v>
      </c>
      <c r="L1004" s="163">
        <v>0.33651821862348186</v>
      </c>
      <c r="M1004" s="163">
        <v>8</v>
      </c>
      <c r="N1004" s="163">
        <v>12.181736392262707</v>
      </c>
      <c r="O1004" s="163">
        <v>4.1817363922627067</v>
      </c>
      <c r="P1004" s="163"/>
      <c r="Q1004" s="163">
        <v>8</v>
      </c>
      <c r="R1004" s="163">
        <v>0</v>
      </c>
      <c r="S1004" s="163">
        <v>0</v>
      </c>
      <c r="T1004" s="163">
        <v>0</v>
      </c>
      <c r="U1004" s="163">
        <v>0</v>
      </c>
      <c r="V1004" s="163">
        <v>0</v>
      </c>
      <c r="W1004" s="163">
        <v>0</v>
      </c>
      <c r="X1004" s="163">
        <v>0</v>
      </c>
      <c r="Y1004" s="163">
        <v>8</v>
      </c>
      <c r="Z1004" s="163">
        <v>8</v>
      </c>
      <c r="AA1004" s="163">
        <v>0</v>
      </c>
      <c r="AB1004" s="163">
        <v>0</v>
      </c>
      <c r="AC1004" s="163">
        <v>6</v>
      </c>
      <c r="AD1004" s="163">
        <v>2</v>
      </c>
      <c r="AE1004" s="165">
        <v>0.59917034771160704</v>
      </c>
      <c r="AF1004" s="166">
        <v>0.53259586463253961</v>
      </c>
    </row>
    <row r="1005" spans="1:32">
      <c r="A1005" s="161">
        <v>21</v>
      </c>
      <c r="B1005" s="162">
        <v>0.89583333333333337</v>
      </c>
      <c r="C1005" s="163">
        <v>8.0173974087075059</v>
      </c>
      <c r="D1005" s="163">
        <v>733.39383149099433</v>
      </c>
      <c r="E1005" s="164">
        <v>0.88390000000000002</v>
      </c>
      <c r="F1005" s="164">
        <v>0.88390000000000002</v>
      </c>
      <c r="G1005" s="163">
        <v>8</v>
      </c>
      <c r="H1005" s="163">
        <v>13.333333333333332</v>
      </c>
      <c r="I1005" s="163">
        <v>5.3333333333333321</v>
      </c>
      <c r="J1005" s="163">
        <v>6</v>
      </c>
      <c r="K1005" s="163">
        <v>6.5213495276653175</v>
      </c>
      <c r="L1005" s="163">
        <v>0.5213495276653175</v>
      </c>
      <c r="M1005" s="163">
        <v>7</v>
      </c>
      <c r="N1005" s="163">
        <v>12.181736392262707</v>
      </c>
      <c r="O1005" s="163">
        <v>5.1817363922627067</v>
      </c>
      <c r="P1005" s="163"/>
      <c r="Q1005" s="163">
        <v>8</v>
      </c>
      <c r="R1005" s="163">
        <v>0</v>
      </c>
      <c r="S1005" s="163">
        <v>0</v>
      </c>
      <c r="T1005" s="163">
        <v>0</v>
      </c>
      <c r="U1005" s="163">
        <v>0</v>
      </c>
      <c r="V1005" s="163">
        <v>0</v>
      </c>
      <c r="W1005" s="163">
        <v>0</v>
      </c>
      <c r="X1005" s="163">
        <v>0</v>
      </c>
      <c r="Y1005" s="163">
        <v>8</v>
      </c>
      <c r="Z1005" s="163">
        <v>8</v>
      </c>
      <c r="AA1005" s="163">
        <v>0</v>
      </c>
      <c r="AB1005" s="163">
        <v>0</v>
      </c>
      <c r="AC1005" s="163">
        <v>6</v>
      </c>
      <c r="AD1005" s="163">
        <v>2</v>
      </c>
      <c r="AE1005" s="165">
        <v>0.50091112951509065</v>
      </c>
      <c r="AF1005" s="166">
        <v>0.50091112951509065</v>
      </c>
    </row>
    <row r="1006" spans="1:32">
      <c r="A1006" s="161">
        <v>21</v>
      </c>
      <c r="B1006" s="162">
        <v>0.91666666666666663</v>
      </c>
      <c r="C1006" s="163">
        <v>4.6185922263350427</v>
      </c>
      <c r="D1006" s="163">
        <v>688.54552300844898</v>
      </c>
      <c r="E1006" s="164">
        <v>0.93140000000000001</v>
      </c>
      <c r="F1006" s="164">
        <v>0.93140000000000001</v>
      </c>
      <c r="G1006" s="163">
        <v>5</v>
      </c>
      <c r="H1006" s="163">
        <v>12</v>
      </c>
      <c r="I1006" s="163">
        <v>7</v>
      </c>
      <c r="J1006" s="163">
        <v>4</v>
      </c>
      <c r="K1006" s="163">
        <v>4.0758434547908236</v>
      </c>
      <c r="L1006" s="163">
        <v>7.584345479082355E-2</v>
      </c>
      <c r="M1006" s="163">
        <v>5</v>
      </c>
      <c r="N1006" s="163">
        <v>10.963562753036436</v>
      </c>
      <c r="O1006" s="163">
        <v>5.9635627530364363</v>
      </c>
      <c r="P1006" s="163"/>
      <c r="Q1006" s="163">
        <v>8</v>
      </c>
      <c r="R1006" s="163">
        <v>0</v>
      </c>
      <c r="S1006" s="163">
        <v>0</v>
      </c>
      <c r="T1006" s="163">
        <v>0</v>
      </c>
      <c r="U1006" s="163">
        <v>0</v>
      </c>
      <c r="V1006" s="163">
        <v>0</v>
      </c>
      <c r="W1006" s="163">
        <v>0</v>
      </c>
      <c r="X1006" s="163">
        <v>0</v>
      </c>
      <c r="Y1006" s="163">
        <v>8</v>
      </c>
      <c r="Z1006" s="163">
        <v>8</v>
      </c>
      <c r="AA1006" s="163">
        <v>0</v>
      </c>
      <c r="AB1006" s="163">
        <v>0</v>
      </c>
      <c r="AC1006" s="163">
        <v>6</v>
      </c>
      <c r="AD1006" s="163">
        <v>2</v>
      </c>
      <c r="AE1006" s="165">
        <v>0.2709145286360109</v>
      </c>
      <c r="AF1006" s="166">
        <v>0.43346324581761747</v>
      </c>
    </row>
    <row r="1007" spans="1:32">
      <c r="A1007" s="161">
        <v>21</v>
      </c>
      <c r="B1007" s="162">
        <v>0.9375</v>
      </c>
      <c r="C1007" s="163">
        <v>3.6916657233072137</v>
      </c>
      <c r="D1007" s="163">
        <v>685.56517770644007</v>
      </c>
      <c r="E1007" s="164">
        <v>0.90523333333333333</v>
      </c>
      <c r="F1007" s="164">
        <v>0.90523333333333333</v>
      </c>
      <c r="G1007" s="163">
        <v>4</v>
      </c>
      <c r="H1007" s="163">
        <v>9.3333333333333339</v>
      </c>
      <c r="I1007" s="163">
        <v>5.3333333333333339</v>
      </c>
      <c r="J1007" s="163">
        <v>3</v>
      </c>
      <c r="K1007" s="163">
        <v>3.2606747638326588</v>
      </c>
      <c r="L1007" s="163">
        <v>0.26067476383265875</v>
      </c>
      <c r="M1007" s="163">
        <v>4</v>
      </c>
      <c r="N1007" s="163">
        <v>8.5272154745838957</v>
      </c>
      <c r="O1007" s="163">
        <v>4.5272154745838957</v>
      </c>
      <c r="P1007" s="163"/>
      <c r="Q1007" s="163">
        <v>6</v>
      </c>
      <c r="R1007" s="163">
        <v>0</v>
      </c>
      <c r="S1007" s="163">
        <v>0</v>
      </c>
      <c r="T1007" s="163">
        <v>0</v>
      </c>
      <c r="U1007" s="163">
        <v>0</v>
      </c>
      <c r="V1007" s="163">
        <v>0</v>
      </c>
      <c r="W1007" s="163">
        <v>0</v>
      </c>
      <c r="X1007" s="163">
        <v>0</v>
      </c>
      <c r="Y1007" s="163">
        <v>6</v>
      </c>
      <c r="Z1007" s="163">
        <v>6</v>
      </c>
      <c r="AA1007" s="163">
        <v>0</v>
      </c>
      <c r="AB1007" s="163">
        <v>0</v>
      </c>
      <c r="AC1007" s="163">
        <v>4</v>
      </c>
      <c r="AD1007" s="163">
        <v>2</v>
      </c>
      <c r="AE1007" s="165">
        <v>0.28747486116862897</v>
      </c>
      <c r="AF1007" s="166">
        <v>0.43121229175294351</v>
      </c>
    </row>
    <row r="1008" spans="1:32">
      <c r="A1008" s="161">
        <v>21</v>
      </c>
      <c r="B1008" s="162">
        <v>0.95833333333333337</v>
      </c>
      <c r="C1008" s="163">
        <v>2.7133829209501243</v>
      </c>
      <c r="D1008" s="163">
        <v>651.54651555665566</v>
      </c>
      <c r="E1008" s="164">
        <v>0.92169999999999996</v>
      </c>
      <c r="F1008" s="164">
        <v>0.92169999999999996</v>
      </c>
      <c r="G1008" s="163">
        <v>4</v>
      </c>
      <c r="H1008" s="163">
        <v>6.6666666666666661</v>
      </c>
      <c r="I1008" s="163">
        <v>2.6666666666666661</v>
      </c>
      <c r="J1008" s="163">
        <v>3</v>
      </c>
      <c r="K1008" s="163">
        <v>3.2606747638326588</v>
      </c>
      <c r="L1008" s="163">
        <v>0.26067476383265875</v>
      </c>
      <c r="M1008" s="163">
        <v>4</v>
      </c>
      <c r="N1008" s="163">
        <v>6.0908681961313533</v>
      </c>
      <c r="O1008" s="163">
        <v>2.0908681961313533</v>
      </c>
      <c r="P1008" s="163"/>
      <c r="Q1008" s="163">
        <v>4</v>
      </c>
      <c r="R1008" s="163">
        <v>0</v>
      </c>
      <c r="S1008" s="163">
        <v>0</v>
      </c>
      <c r="T1008" s="163">
        <v>0</v>
      </c>
      <c r="U1008" s="163">
        <v>0</v>
      </c>
      <c r="V1008" s="163">
        <v>0</v>
      </c>
      <c r="W1008" s="163">
        <v>0</v>
      </c>
      <c r="X1008" s="163">
        <v>0</v>
      </c>
      <c r="Y1008" s="163">
        <v>4</v>
      </c>
      <c r="Z1008" s="163">
        <v>4</v>
      </c>
      <c r="AA1008" s="163">
        <v>0</v>
      </c>
      <c r="AB1008" s="163">
        <v>0</v>
      </c>
      <c r="AC1008" s="163">
        <v>4</v>
      </c>
      <c r="AD1008" s="163">
        <v>0</v>
      </c>
      <c r="AE1008" s="165">
        <v>0.30121495218062999</v>
      </c>
      <c r="AF1008" s="166">
        <v>0.30121495218062999</v>
      </c>
    </row>
    <row r="1009" spans="1:32">
      <c r="A1009" s="161">
        <v>21</v>
      </c>
      <c r="B1009" s="162">
        <v>0.97916666666666663</v>
      </c>
      <c r="C1009" s="163">
        <v>2.020344069151355</v>
      </c>
      <c r="D1009" s="163">
        <v>651.42408824653899</v>
      </c>
      <c r="E1009" s="164">
        <v>0.9627</v>
      </c>
      <c r="F1009" s="164">
        <v>0.9627</v>
      </c>
      <c r="G1009" s="163">
        <v>3</v>
      </c>
      <c r="H1009" s="163">
        <v>6.6666666666666661</v>
      </c>
      <c r="I1009" s="163">
        <v>3.6666666666666661</v>
      </c>
      <c r="J1009" s="163">
        <v>2</v>
      </c>
      <c r="K1009" s="163">
        <v>2.445506072874494</v>
      </c>
      <c r="L1009" s="163">
        <v>0.44550607287449395</v>
      </c>
      <c r="M1009" s="163">
        <v>3</v>
      </c>
      <c r="N1009" s="163">
        <v>6.0908681961313533</v>
      </c>
      <c r="O1009" s="163">
        <v>3.0908681961313533</v>
      </c>
      <c r="P1009" s="163"/>
      <c r="Q1009" s="163">
        <v>4</v>
      </c>
      <c r="R1009" s="163">
        <v>0</v>
      </c>
      <c r="S1009" s="163">
        <v>0</v>
      </c>
      <c r="T1009" s="163">
        <v>0</v>
      </c>
      <c r="U1009" s="163">
        <v>0</v>
      </c>
      <c r="V1009" s="163">
        <v>0</v>
      </c>
      <c r="W1009" s="163">
        <v>0</v>
      </c>
      <c r="X1009" s="163">
        <v>0</v>
      </c>
      <c r="Y1009" s="163">
        <v>4</v>
      </c>
      <c r="Z1009" s="163">
        <v>4</v>
      </c>
      <c r="AA1009" s="163">
        <v>0</v>
      </c>
      <c r="AB1009" s="163">
        <v>0</v>
      </c>
      <c r="AC1009" s="163">
        <v>4</v>
      </c>
      <c r="AD1009" s="163">
        <v>0</v>
      </c>
      <c r="AE1009" s="165">
        <v>0.22423797535361367</v>
      </c>
      <c r="AF1009" s="166">
        <v>0.29898396713815151</v>
      </c>
    </row>
    <row r="1010" spans="1:32">
      <c r="A1010" s="161">
        <v>22</v>
      </c>
      <c r="B1010" s="162">
        <v>0</v>
      </c>
      <c r="C1010" s="163">
        <v>0.91678317210141003</v>
      </c>
      <c r="D1010" s="163">
        <v>710.43881849542947</v>
      </c>
      <c r="E1010" s="164">
        <v>0.68979999999999997</v>
      </c>
      <c r="F1010" s="164">
        <v>0.68979999999999997</v>
      </c>
      <c r="G1010" s="163">
        <v>3</v>
      </c>
      <c r="H1010" s="163">
        <v>3.333333333333333</v>
      </c>
      <c r="I1010" s="163">
        <v>0.33333333333333304</v>
      </c>
      <c r="J1010" s="163">
        <v>2</v>
      </c>
      <c r="K1010" s="163">
        <v>2.3242105263157895</v>
      </c>
      <c r="L1010" s="163">
        <v>0.3242105263157895</v>
      </c>
      <c r="M1010" s="163">
        <v>3</v>
      </c>
      <c r="N1010" s="163">
        <v>2.9824561403508771</v>
      </c>
      <c r="O1010" s="163">
        <v>-1.7543859649122862E-2</v>
      </c>
      <c r="P1010" s="163"/>
      <c r="Q1010" s="163">
        <v>2</v>
      </c>
      <c r="R1010" s="163">
        <v>0</v>
      </c>
      <c r="S1010" s="163">
        <v>0</v>
      </c>
      <c r="T1010" s="163">
        <v>0</v>
      </c>
      <c r="U1010" s="163">
        <v>0</v>
      </c>
      <c r="V1010" s="163">
        <v>0</v>
      </c>
      <c r="W1010" s="163">
        <v>0</v>
      </c>
      <c r="X1010" s="163">
        <v>0</v>
      </c>
      <c r="Y1010" s="163">
        <v>2</v>
      </c>
      <c r="Z1010" s="163">
        <v>2</v>
      </c>
      <c r="AA1010" s="163">
        <v>0</v>
      </c>
      <c r="AB1010" s="163">
        <v>0</v>
      </c>
      <c r="AC1010" s="163">
        <v>2</v>
      </c>
      <c r="AD1010" s="163">
        <v>0</v>
      </c>
      <c r="AE1010" s="165">
        <v>0.23352673457276826</v>
      </c>
      <c r="AF1010" s="166">
        <v>0.15568448971517884</v>
      </c>
    </row>
    <row r="1011" spans="1:32">
      <c r="A1011" s="161">
        <v>22</v>
      </c>
      <c r="B1011" s="162">
        <v>2.0833333333333332E-2</v>
      </c>
      <c r="C1011" s="163">
        <v>0.64066190540254797</v>
      </c>
      <c r="D1011" s="163">
        <v>645.70526861310066</v>
      </c>
      <c r="E1011" s="164">
        <v>0.79599999999999993</v>
      </c>
      <c r="F1011" s="164">
        <v>0.79599999999999993</v>
      </c>
      <c r="G1011" s="163">
        <v>3</v>
      </c>
      <c r="H1011" s="163">
        <v>3.333333333333333</v>
      </c>
      <c r="I1011" s="163">
        <v>0.33333333333333304</v>
      </c>
      <c r="J1011" s="163">
        <v>2</v>
      </c>
      <c r="K1011" s="163">
        <v>2.3242105263157895</v>
      </c>
      <c r="L1011" s="163">
        <v>0.3242105263157895</v>
      </c>
      <c r="M1011" s="163">
        <v>3</v>
      </c>
      <c r="N1011" s="163">
        <v>2.9824561403508771</v>
      </c>
      <c r="O1011" s="163">
        <v>-1.7543859649122862E-2</v>
      </c>
      <c r="P1011" s="163"/>
      <c r="Q1011" s="163">
        <v>2</v>
      </c>
      <c r="R1011" s="163">
        <v>0</v>
      </c>
      <c r="S1011" s="163">
        <v>0</v>
      </c>
      <c r="T1011" s="163">
        <v>0</v>
      </c>
      <c r="U1011" s="163">
        <v>0</v>
      </c>
      <c r="V1011" s="163">
        <v>0</v>
      </c>
      <c r="W1011" s="163">
        <v>0</v>
      </c>
      <c r="X1011" s="163">
        <v>0</v>
      </c>
      <c r="Y1011" s="163">
        <v>2</v>
      </c>
      <c r="Z1011" s="163">
        <v>2</v>
      </c>
      <c r="AA1011" s="163">
        <v>0</v>
      </c>
      <c r="AB1011" s="163">
        <v>0</v>
      </c>
      <c r="AC1011" s="163">
        <v>2</v>
      </c>
      <c r="AD1011" s="163">
        <v>0</v>
      </c>
      <c r="AE1011" s="165">
        <v>0.1483223238723681</v>
      </c>
      <c r="AF1011" s="166">
        <v>9.8881549248245396E-2</v>
      </c>
    </row>
    <row r="1012" spans="1:32">
      <c r="A1012" s="161">
        <v>22</v>
      </c>
      <c r="B1012" s="162">
        <v>4.1666666666666664E-2</v>
      </c>
      <c r="C1012" s="163">
        <v>0.70963991764020129</v>
      </c>
      <c r="D1012" s="163">
        <v>675.81706794232775</v>
      </c>
      <c r="E1012" s="164">
        <v>0.76570000000000016</v>
      </c>
      <c r="F1012" s="164">
        <v>0.76570000000000016</v>
      </c>
      <c r="G1012" s="163">
        <v>3</v>
      </c>
      <c r="H1012" s="163">
        <v>3.333333333333333</v>
      </c>
      <c r="I1012" s="163">
        <v>0.33333333333333304</v>
      </c>
      <c r="J1012" s="163">
        <v>2</v>
      </c>
      <c r="K1012" s="163">
        <v>2.3242105263157895</v>
      </c>
      <c r="L1012" s="163">
        <v>0.3242105263157895</v>
      </c>
      <c r="M1012" s="163">
        <v>3</v>
      </c>
      <c r="N1012" s="163">
        <v>2.9824561403508771</v>
      </c>
      <c r="O1012" s="163">
        <v>-1.7543859649122862E-2</v>
      </c>
      <c r="P1012" s="163"/>
      <c r="Q1012" s="163">
        <v>2</v>
      </c>
      <c r="R1012" s="163">
        <v>0</v>
      </c>
      <c r="S1012" s="163">
        <v>0</v>
      </c>
      <c r="T1012" s="163">
        <v>0</v>
      </c>
      <c r="U1012" s="163">
        <v>0</v>
      </c>
      <c r="V1012" s="163">
        <v>0</v>
      </c>
      <c r="W1012" s="163">
        <v>0</v>
      </c>
      <c r="X1012" s="163">
        <v>0</v>
      </c>
      <c r="Y1012" s="163">
        <v>2</v>
      </c>
      <c r="Z1012" s="163">
        <v>2</v>
      </c>
      <c r="AA1012" s="163">
        <v>0</v>
      </c>
      <c r="AB1012" s="163">
        <v>0</v>
      </c>
      <c r="AC1012" s="163">
        <v>2</v>
      </c>
      <c r="AD1012" s="163">
        <v>0</v>
      </c>
      <c r="AE1012" s="165">
        <v>0.17195328729344578</v>
      </c>
      <c r="AF1012" s="166">
        <v>0.11463552486229718</v>
      </c>
    </row>
    <row r="1013" spans="1:32">
      <c r="A1013" s="161">
        <v>22</v>
      </c>
      <c r="B1013" s="162">
        <v>6.25E-2</v>
      </c>
      <c r="C1013" s="163">
        <v>0.50610448245095041</v>
      </c>
      <c r="D1013" s="163">
        <v>672.05684314681741</v>
      </c>
      <c r="E1013" s="164">
        <v>0.82989999999999997</v>
      </c>
      <c r="F1013" s="164">
        <v>0.82989999999999997</v>
      </c>
      <c r="G1013" s="163">
        <v>2</v>
      </c>
      <c r="H1013" s="163">
        <v>3.333333333333333</v>
      </c>
      <c r="I1013" s="163">
        <v>1.333333333333333</v>
      </c>
      <c r="J1013" s="163">
        <v>1</v>
      </c>
      <c r="K1013" s="163">
        <v>1.5494736842105263</v>
      </c>
      <c r="L1013" s="163">
        <v>0.54947368421052634</v>
      </c>
      <c r="M1013" s="163">
        <v>2</v>
      </c>
      <c r="N1013" s="163">
        <v>2.9824561403508771</v>
      </c>
      <c r="O1013" s="163">
        <v>0.98245614035087714</v>
      </c>
      <c r="P1013" s="163"/>
      <c r="Q1013" s="163">
        <v>2</v>
      </c>
      <c r="R1013" s="163">
        <v>0</v>
      </c>
      <c r="S1013" s="163">
        <v>0</v>
      </c>
      <c r="T1013" s="163">
        <v>0</v>
      </c>
      <c r="U1013" s="163">
        <v>0</v>
      </c>
      <c r="V1013" s="163">
        <v>0</v>
      </c>
      <c r="W1013" s="163">
        <v>0</v>
      </c>
      <c r="X1013" s="163">
        <v>0</v>
      </c>
      <c r="Y1013" s="163">
        <v>2</v>
      </c>
      <c r="Z1013" s="163">
        <v>2</v>
      </c>
      <c r="AA1013" s="163">
        <v>0</v>
      </c>
      <c r="AB1013" s="163">
        <v>0</v>
      </c>
      <c r="AC1013" s="163">
        <v>2</v>
      </c>
      <c r="AD1013" s="163">
        <v>0</v>
      </c>
      <c r="AE1013" s="165">
        <v>0.12195215569879138</v>
      </c>
      <c r="AF1013" s="166">
        <v>0.12195215569879138</v>
      </c>
    </row>
    <row r="1014" spans="1:32">
      <c r="A1014" s="161">
        <v>22</v>
      </c>
      <c r="B1014" s="162">
        <v>8.3333333333333329E-2</v>
      </c>
      <c r="C1014" s="163">
        <v>0.38972539057777145</v>
      </c>
      <c r="D1014" s="163">
        <v>670.18859969994855</v>
      </c>
      <c r="E1014" s="164">
        <v>0.86770000000000003</v>
      </c>
      <c r="F1014" s="164">
        <v>0.86770000000000003</v>
      </c>
      <c r="G1014" s="163">
        <v>2</v>
      </c>
      <c r="H1014" s="163">
        <v>3.333333333333333</v>
      </c>
      <c r="I1014" s="163">
        <v>1.333333333333333</v>
      </c>
      <c r="J1014" s="163">
        <v>1</v>
      </c>
      <c r="K1014" s="163">
        <v>1.5494736842105263</v>
      </c>
      <c r="L1014" s="163">
        <v>0.54947368421052634</v>
      </c>
      <c r="M1014" s="163">
        <v>2</v>
      </c>
      <c r="N1014" s="163">
        <v>2.9824561403508771</v>
      </c>
      <c r="O1014" s="163">
        <v>0.98245614035087714</v>
      </c>
      <c r="P1014" s="163"/>
      <c r="Q1014" s="163">
        <v>2</v>
      </c>
      <c r="R1014" s="163">
        <v>0</v>
      </c>
      <c r="S1014" s="163">
        <v>0</v>
      </c>
      <c r="T1014" s="163">
        <v>0</v>
      </c>
      <c r="U1014" s="163">
        <v>0</v>
      </c>
      <c r="V1014" s="163">
        <v>0</v>
      </c>
      <c r="W1014" s="163">
        <v>0</v>
      </c>
      <c r="X1014" s="163">
        <v>0</v>
      </c>
      <c r="Y1014" s="163">
        <v>2</v>
      </c>
      <c r="Z1014" s="163">
        <v>2</v>
      </c>
      <c r="AA1014" s="163">
        <v>0</v>
      </c>
      <c r="AB1014" s="163">
        <v>0</v>
      </c>
      <c r="AC1014" s="163">
        <v>2</v>
      </c>
      <c r="AD1014" s="163">
        <v>0</v>
      </c>
      <c r="AE1014" s="165">
        <v>9.3648112201800471E-2</v>
      </c>
      <c r="AF1014" s="166">
        <v>9.3648112201800471E-2</v>
      </c>
    </row>
    <row r="1015" spans="1:32">
      <c r="A1015" s="161">
        <v>22</v>
      </c>
      <c r="B1015" s="162">
        <v>0.10416666666666667</v>
      </c>
      <c r="C1015" s="163">
        <v>0.32296994964477915</v>
      </c>
      <c r="D1015" s="163">
        <v>632.14839294553803</v>
      </c>
      <c r="E1015" s="164">
        <v>0.89580000000000004</v>
      </c>
      <c r="F1015" s="164">
        <v>0.89580000000000004</v>
      </c>
      <c r="G1015" s="163">
        <v>2</v>
      </c>
      <c r="H1015" s="163">
        <v>3.333333333333333</v>
      </c>
      <c r="I1015" s="163">
        <v>1.333333333333333</v>
      </c>
      <c r="J1015" s="163">
        <v>1</v>
      </c>
      <c r="K1015" s="163">
        <v>1.5494736842105263</v>
      </c>
      <c r="L1015" s="163">
        <v>0.54947368421052634</v>
      </c>
      <c r="M1015" s="163">
        <v>2</v>
      </c>
      <c r="N1015" s="163">
        <v>2.9824561403508771</v>
      </c>
      <c r="O1015" s="163">
        <v>0.98245614035087714</v>
      </c>
      <c r="P1015" s="163"/>
      <c r="Q1015" s="163">
        <v>2</v>
      </c>
      <c r="R1015" s="163">
        <v>0</v>
      </c>
      <c r="S1015" s="163">
        <v>0</v>
      </c>
      <c r="T1015" s="163">
        <v>0</v>
      </c>
      <c r="U1015" s="163">
        <v>0</v>
      </c>
      <c r="V1015" s="163">
        <v>0</v>
      </c>
      <c r="W1015" s="163">
        <v>0</v>
      </c>
      <c r="X1015" s="163">
        <v>0</v>
      </c>
      <c r="Y1015" s="163">
        <v>2</v>
      </c>
      <c r="Z1015" s="163">
        <v>2</v>
      </c>
      <c r="AA1015" s="163">
        <v>0</v>
      </c>
      <c r="AB1015" s="163">
        <v>0</v>
      </c>
      <c r="AC1015" s="163">
        <v>2</v>
      </c>
      <c r="AD1015" s="163">
        <v>0</v>
      </c>
      <c r="AE1015" s="165">
        <v>7.3202252379893598E-2</v>
      </c>
      <c r="AF1015" s="166">
        <v>7.3202252379893598E-2</v>
      </c>
    </row>
    <row r="1016" spans="1:32">
      <c r="A1016" s="161">
        <v>22</v>
      </c>
      <c r="B1016" s="162">
        <v>0.125</v>
      </c>
      <c r="C1016" s="163">
        <v>0.2453040836893548</v>
      </c>
      <c r="D1016" s="163">
        <v>634.93930615459146</v>
      </c>
      <c r="E1016" s="164">
        <v>0.91979999999999995</v>
      </c>
      <c r="F1016" s="164">
        <v>0.91979999999999995</v>
      </c>
      <c r="G1016" s="163">
        <v>2</v>
      </c>
      <c r="H1016" s="163">
        <v>3.333333333333333</v>
      </c>
      <c r="I1016" s="163">
        <v>1.333333333333333</v>
      </c>
      <c r="J1016" s="163">
        <v>1</v>
      </c>
      <c r="K1016" s="163">
        <v>1.5494736842105263</v>
      </c>
      <c r="L1016" s="163">
        <v>0.54947368421052634</v>
      </c>
      <c r="M1016" s="163">
        <v>2</v>
      </c>
      <c r="N1016" s="163">
        <v>2.9824561403508771</v>
      </c>
      <c r="O1016" s="163">
        <v>0.98245614035087714</v>
      </c>
      <c r="P1016" s="163"/>
      <c r="Q1016" s="163">
        <v>2</v>
      </c>
      <c r="R1016" s="163">
        <v>0</v>
      </c>
      <c r="S1016" s="163">
        <v>0</v>
      </c>
      <c r="T1016" s="163">
        <v>0</v>
      </c>
      <c r="U1016" s="163">
        <v>0</v>
      </c>
      <c r="V1016" s="163">
        <v>0</v>
      </c>
      <c r="W1016" s="163">
        <v>0</v>
      </c>
      <c r="X1016" s="163">
        <v>0</v>
      </c>
      <c r="Y1016" s="163">
        <v>2</v>
      </c>
      <c r="Z1016" s="163">
        <v>2</v>
      </c>
      <c r="AA1016" s="163">
        <v>0</v>
      </c>
      <c r="AB1016" s="163">
        <v>0</v>
      </c>
      <c r="AC1016" s="163">
        <v>2</v>
      </c>
      <c r="AD1016" s="163">
        <v>0</v>
      </c>
      <c r="AE1016" s="165">
        <v>5.5844483869216643E-2</v>
      </c>
      <c r="AF1016" s="166">
        <v>5.5844483869216643E-2</v>
      </c>
    </row>
    <row r="1017" spans="1:32">
      <c r="A1017" s="161">
        <v>22</v>
      </c>
      <c r="B1017" s="162">
        <v>0.14583333333333334</v>
      </c>
      <c r="C1017" s="163">
        <v>0.19403393312346418</v>
      </c>
      <c r="D1017" s="163">
        <v>663.60950711733472</v>
      </c>
      <c r="E1017" s="164">
        <v>0.93319999999999992</v>
      </c>
      <c r="F1017" s="164">
        <v>0.93319999999999992</v>
      </c>
      <c r="G1017" s="163">
        <v>2</v>
      </c>
      <c r="H1017" s="163">
        <v>3.333333333333333</v>
      </c>
      <c r="I1017" s="163">
        <v>1.333333333333333</v>
      </c>
      <c r="J1017" s="163">
        <v>1</v>
      </c>
      <c r="K1017" s="163">
        <v>1.5494736842105263</v>
      </c>
      <c r="L1017" s="163">
        <v>0.54947368421052634</v>
      </c>
      <c r="M1017" s="163">
        <v>2</v>
      </c>
      <c r="N1017" s="163">
        <v>2.9824561403508771</v>
      </c>
      <c r="O1017" s="163">
        <v>0.98245614035087714</v>
      </c>
      <c r="P1017" s="163"/>
      <c r="Q1017" s="163">
        <v>2</v>
      </c>
      <c r="R1017" s="163">
        <v>0</v>
      </c>
      <c r="S1017" s="163">
        <v>0</v>
      </c>
      <c r="T1017" s="163">
        <v>0</v>
      </c>
      <c r="U1017" s="163">
        <v>0</v>
      </c>
      <c r="V1017" s="163">
        <v>0</v>
      </c>
      <c r="W1017" s="163">
        <v>0</v>
      </c>
      <c r="X1017" s="163">
        <v>0</v>
      </c>
      <c r="Y1017" s="163">
        <v>2</v>
      </c>
      <c r="Z1017" s="163">
        <v>2</v>
      </c>
      <c r="AA1017" s="163">
        <v>0</v>
      </c>
      <c r="AB1017" s="163">
        <v>0</v>
      </c>
      <c r="AC1017" s="163">
        <v>2</v>
      </c>
      <c r="AD1017" s="163">
        <v>0</v>
      </c>
      <c r="AE1017" s="165">
        <v>4.6167204328160835E-2</v>
      </c>
      <c r="AF1017" s="166">
        <v>4.6167204328160835E-2</v>
      </c>
    </row>
    <row r="1018" spans="1:32">
      <c r="A1018" s="161">
        <v>22</v>
      </c>
      <c r="B1018" s="162">
        <v>0.16666666666666666</v>
      </c>
      <c r="C1018" s="163">
        <v>0.22899186860768794</v>
      </c>
      <c r="D1018" s="163">
        <v>625.90829974754024</v>
      </c>
      <c r="E1018" s="164">
        <v>0.92620000000000002</v>
      </c>
      <c r="F1018" s="164">
        <v>0.92620000000000002</v>
      </c>
      <c r="G1018" s="163">
        <v>2</v>
      </c>
      <c r="H1018" s="163">
        <v>3.333333333333333</v>
      </c>
      <c r="I1018" s="163">
        <v>1.333333333333333</v>
      </c>
      <c r="J1018" s="163">
        <v>1</v>
      </c>
      <c r="K1018" s="163">
        <v>1.5494736842105263</v>
      </c>
      <c r="L1018" s="163">
        <v>0.54947368421052634</v>
      </c>
      <c r="M1018" s="163">
        <v>2</v>
      </c>
      <c r="N1018" s="163">
        <v>2.9824561403508771</v>
      </c>
      <c r="O1018" s="163">
        <v>0.98245614035087714</v>
      </c>
      <c r="P1018" s="163"/>
      <c r="Q1018" s="163">
        <v>2</v>
      </c>
      <c r="R1018" s="163">
        <v>0</v>
      </c>
      <c r="S1018" s="163">
        <v>0</v>
      </c>
      <c r="T1018" s="163">
        <v>0</v>
      </c>
      <c r="U1018" s="163">
        <v>0</v>
      </c>
      <c r="V1018" s="163">
        <v>0</v>
      </c>
      <c r="W1018" s="163">
        <v>0</v>
      </c>
      <c r="X1018" s="163">
        <v>0</v>
      </c>
      <c r="Y1018" s="163">
        <v>2</v>
      </c>
      <c r="Z1018" s="163">
        <v>2</v>
      </c>
      <c r="AA1018" s="163">
        <v>0</v>
      </c>
      <c r="AB1018" s="163">
        <v>0</v>
      </c>
      <c r="AC1018" s="163">
        <v>2</v>
      </c>
      <c r="AD1018" s="163">
        <v>0</v>
      </c>
      <c r="AE1018" s="165">
        <v>5.1389460891997883E-2</v>
      </c>
      <c r="AF1018" s="166">
        <v>5.1389460891997883E-2</v>
      </c>
    </row>
    <row r="1019" spans="1:32">
      <c r="A1019" s="161">
        <v>22</v>
      </c>
      <c r="B1019" s="162">
        <v>0.1875</v>
      </c>
      <c r="C1019" s="163">
        <v>0.34360475379520494</v>
      </c>
      <c r="D1019" s="163">
        <v>609.77634691862113</v>
      </c>
      <c r="E1019" s="164">
        <v>0.89329999999999998</v>
      </c>
      <c r="F1019" s="164">
        <v>0.89329999999999998</v>
      </c>
      <c r="G1019" s="163">
        <v>2</v>
      </c>
      <c r="H1019" s="163">
        <v>3.333333333333333</v>
      </c>
      <c r="I1019" s="163">
        <v>1.333333333333333</v>
      </c>
      <c r="J1019" s="163">
        <v>1</v>
      </c>
      <c r="K1019" s="163">
        <v>1.5494736842105263</v>
      </c>
      <c r="L1019" s="163">
        <v>0.54947368421052634</v>
      </c>
      <c r="M1019" s="163">
        <v>2</v>
      </c>
      <c r="N1019" s="163">
        <v>2.9824561403508771</v>
      </c>
      <c r="O1019" s="163">
        <v>0.98245614035087714</v>
      </c>
      <c r="P1019" s="163"/>
      <c r="Q1019" s="163">
        <v>2</v>
      </c>
      <c r="R1019" s="163">
        <v>0</v>
      </c>
      <c r="S1019" s="163">
        <v>0</v>
      </c>
      <c r="T1019" s="163">
        <v>0</v>
      </c>
      <c r="U1019" s="163">
        <v>0</v>
      </c>
      <c r="V1019" s="163">
        <v>0</v>
      </c>
      <c r="W1019" s="163">
        <v>0</v>
      </c>
      <c r="X1019" s="163">
        <v>0</v>
      </c>
      <c r="Y1019" s="163">
        <v>2</v>
      </c>
      <c r="Z1019" s="163">
        <v>2</v>
      </c>
      <c r="AA1019" s="163">
        <v>0</v>
      </c>
      <c r="AB1019" s="163">
        <v>0</v>
      </c>
      <c r="AC1019" s="163">
        <v>2</v>
      </c>
      <c r="AD1019" s="163">
        <v>0</v>
      </c>
      <c r="AE1019" s="165">
        <v>7.5123018182162077E-2</v>
      </c>
      <c r="AF1019" s="166">
        <v>7.5123018182162077E-2</v>
      </c>
    </row>
    <row r="1020" spans="1:32">
      <c r="A1020" s="161">
        <v>22</v>
      </c>
      <c r="B1020" s="162">
        <v>0.20833333333333334</v>
      </c>
      <c r="C1020" s="163">
        <v>0.63079351814290796</v>
      </c>
      <c r="D1020" s="163">
        <v>659.5671743455764</v>
      </c>
      <c r="E1020" s="164">
        <v>0.79479999999999995</v>
      </c>
      <c r="F1020" s="164">
        <v>0.79479999999999995</v>
      </c>
      <c r="G1020" s="163">
        <v>3</v>
      </c>
      <c r="H1020" s="163">
        <v>3.333333333333333</v>
      </c>
      <c r="I1020" s="163">
        <v>0.33333333333333304</v>
      </c>
      <c r="J1020" s="163">
        <v>2</v>
      </c>
      <c r="K1020" s="163">
        <v>2.3242105263157895</v>
      </c>
      <c r="L1020" s="163">
        <v>0.3242105263157895</v>
      </c>
      <c r="M1020" s="163">
        <v>3</v>
      </c>
      <c r="N1020" s="163">
        <v>2.9824561403508771</v>
      </c>
      <c r="O1020" s="163">
        <v>-1.7543859649122862E-2</v>
      </c>
      <c r="P1020" s="163"/>
      <c r="Q1020" s="163">
        <v>2</v>
      </c>
      <c r="R1020" s="163">
        <v>0</v>
      </c>
      <c r="S1020" s="163">
        <v>0</v>
      </c>
      <c r="T1020" s="163">
        <v>0</v>
      </c>
      <c r="U1020" s="163">
        <v>0</v>
      </c>
      <c r="V1020" s="163">
        <v>0</v>
      </c>
      <c r="W1020" s="163">
        <v>0</v>
      </c>
      <c r="X1020" s="163">
        <v>0</v>
      </c>
      <c r="Y1020" s="163">
        <v>2</v>
      </c>
      <c r="Z1020" s="163">
        <v>2</v>
      </c>
      <c r="AA1020" s="163">
        <v>0</v>
      </c>
      <c r="AB1020" s="163">
        <v>0</v>
      </c>
      <c r="AC1020" s="163">
        <v>2</v>
      </c>
      <c r="AD1020" s="163">
        <v>0</v>
      </c>
      <c r="AE1020" s="165">
        <v>0.14917276699847967</v>
      </c>
      <c r="AF1020" s="166">
        <v>9.9448511332319772E-2</v>
      </c>
    </row>
    <row r="1021" spans="1:32">
      <c r="A1021" s="161">
        <v>22</v>
      </c>
      <c r="B1021" s="162">
        <v>0.22916666666666666</v>
      </c>
      <c r="C1021" s="163">
        <v>1.0916098008784263</v>
      </c>
      <c r="D1021" s="163">
        <v>681.07357740790417</v>
      </c>
      <c r="E1021" s="164">
        <v>0.65149999999999997</v>
      </c>
      <c r="F1021" s="164">
        <v>0.65149999999999997</v>
      </c>
      <c r="G1021" s="163">
        <v>3</v>
      </c>
      <c r="H1021" s="163">
        <v>3.333333333333333</v>
      </c>
      <c r="I1021" s="163">
        <v>0.33333333333333304</v>
      </c>
      <c r="J1021" s="163">
        <v>2</v>
      </c>
      <c r="K1021" s="163">
        <v>2.3242105263157895</v>
      </c>
      <c r="L1021" s="163">
        <v>0.3242105263157895</v>
      </c>
      <c r="M1021" s="163">
        <v>3</v>
      </c>
      <c r="N1021" s="163">
        <v>2.9824561403508771</v>
      </c>
      <c r="O1021" s="163">
        <v>-1.7543859649122862E-2</v>
      </c>
      <c r="P1021" s="163"/>
      <c r="Q1021" s="163">
        <v>2</v>
      </c>
      <c r="R1021" s="163">
        <v>0</v>
      </c>
      <c r="S1021" s="163">
        <v>0</v>
      </c>
      <c r="T1021" s="163">
        <v>0</v>
      </c>
      <c r="U1021" s="163">
        <v>0</v>
      </c>
      <c r="V1021" s="163">
        <v>0</v>
      </c>
      <c r="W1021" s="163">
        <v>0</v>
      </c>
      <c r="X1021" s="163">
        <v>0</v>
      </c>
      <c r="Y1021" s="163">
        <v>2</v>
      </c>
      <c r="Z1021" s="163">
        <v>2</v>
      </c>
      <c r="AA1021" s="163">
        <v>0</v>
      </c>
      <c r="AB1021" s="163">
        <v>0</v>
      </c>
      <c r="AC1021" s="163">
        <v>2</v>
      </c>
      <c r="AD1021" s="163">
        <v>0</v>
      </c>
      <c r="AE1021" s="165">
        <v>0.2665659958510378</v>
      </c>
      <c r="AF1021" s="166">
        <v>0.17771066390069187</v>
      </c>
    </row>
    <row r="1022" spans="1:32">
      <c r="A1022" s="161">
        <v>22</v>
      </c>
      <c r="B1022" s="162">
        <v>0.25</v>
      </c>
      <c r="C1022" s="163">
        <v>1.6469751381879767</v>
      </c>
      <c r="D1022" s="163">
        <v>782.87705228710695</v>
      </c>
      <c r="E1022" s="164">
        <v>0.44080000000000003</v>
      </c>
      <c r="F1022" s="164">
        <v>0.44080000000000003</v>
      </c>
      <c r="G1022" s="163">
        <v>3</v>
      </c>
      <c r="H1022" s="163">
        <v>3.333333333333333</v>
      </c>
      <c r="I1022" s="163">
        <v>0.33333333333333304</v>
      </c>
      <c r="J1022" s="163">
        <v>2</v>
      </c>
      <c r="K1022" s="163">
        <v>2.3242105263157895</v>
      </c>
      <c r="L1022" s="163">
        <v>0.3242105263157895</v>
      </c>
      <c r="M1022" s="163">
        <v>3</v>
      </c>
      <c r="N1022" s="163">
        <v>2.9824561403508771</v>
      </c>
      <c r="O1022" s="163">
        <v>-1.7543859649122862E-2</v>
      </c>
      <c r="P1022" s="163"/>
      <c r="Q1022" s="163">
        <v>2</v>
      </c>
      <c r="R1022" s="163">
        <v>0</v>
      </c>
      <c r="S1022" s="163">
        <v>0</v>
      </c>
      <c r="T1022" s="163">
        <v>0</v>
      </c>
      <c r="U1022" s="163">
        <v>0</v>
      </c>
      <c r="V1022" s="163">
        <v>0</v>
      </c>
      <c r="W1022" s="163">
        <v>0</v>
      </c>
      <c r="X1022" s="163">
        <v>0</v>
      </c>
      <c r="Y1022" s="163">
        <v>2</v>
      </c>
      <c r="Z1022" s="163">
        <v>2</v>
      </c>
      <c r="AA1022" s="163">
        <v>0</v>
      </c>
      <c r="AB1022" s="163">
        <v>0</v>
      </c>
      <c r="AC1022" s="163">
        <v>2</v>
      </c>
      <c r="AD1022" s="163">
        <v>0</v>
      </c>
      <c r="AE1022" s="165">
        <v>0.46230000351223433</v>
      </c>
      <c r="AF1022" s="166">
        <v>0.30820000234148953</v>
      </c>
    </row>
    <row r="1023" spans="1:32">
      <c r="A1023" s="161">
        <v>22</v>
      </c>
      <c r="B1023" s="162">
        <v>0.27083333333333331</v>
      </c>
      <c r="C1023" s="163">
        <v>2.4395611673320223</v>
      </c>
      <c r="D1023" s="163">
        <v>770.48392191783159</v>
      </c>
      <c r="E1023" s="164">
        <v>0.24779999999999999</v>
      </c>
      <c r="F1023" s="164">
        <v>0.24779999999999999</v>
      </c>
      <c r="G1023" s="163">
        <v>4</v>
      </c>
      <c r="H1023" s="163">
        <v>3.333333333333333</v>
      </c>
      <c r="I1023" s="163">
        <v>-0.66666666666666696</v>
      </c>
      <c r="J1023" s="163">
        <v>3</v>
      </c>
      <c r="K1023" s="163">
        <v>3.0989473684210527</v>
      </c>
      <c r="L1023" s="163">
        <v>9.8947368421052673E-2</v>
      </c>
      <c r="M1023" s="163">
        <v>4</v>
      </c>
      <c r="N1023" s="163">
        <v>2.9824561403508771</v>
      </c>
      <c r="O1023" s="163">
        <v>-1.0175438596491229</v>
      </c>
      <c r="P1023" s="163"/>
      <c r="Q1023" s="163">
        <v>2</v>
      </c>
      <c r="R1023" s="163">
        <v>0</v>
      </c>
      <c r="S1023" s="163">
        <v>0</v>
      </c>
      <c r="T1023" s="163">
        <v>0</v>
      </c>
      <c r="U1023" s="163">
        <v>0</v>
      </c>
      <c r="V1023" s="163">
        <v>0</v>
      </c>
      <c r="W1023" s="163">
        <v>0</v>
      </c>
      <c r="X1023" s="163">
        <v>0</v>
      </c>
      <c r="Y1023" s="163">
        <v>2</v>
      </c>
      <c r="Z1023" s="163">
        <v>2</v>
      </c>
      <c r="AA1023" s="163">
        <v>0</v>
      </c>
      <c r="AB1023" s="163">
        <v>0</v>
      </c>
      <c r="AC1023" s="163">
        <v>2</v>
      </c>
      <c r="AD1023" s="163">
        <v>0</v>
      </c>
      <c r="AE1023" s="165">
        <v>0.67393588585680808</v>
      </c>
      <c r="AF1023" s="166">
        <v>0.33696794292840404</v>
      </c>
    </row>
    <row r="1024" spans="1:32">
      <c r="A1024" s="161">
        <v>22</v>
      </c>
      <c r="B1024" s="162">
        <v>0.29166666666666669</v>
      </c>
      <c r="C1024" s="163">
        <v>3.4002532177446918</v>
      </c>
      <c r="D1024" s="163">
        <v>780.62935032127484</v>
      </c>
      <c r="E1024" s="164">
        <v>3.3599999999999998E-2</v>
      </c>
      <c r="F1024" s="164">
        <v>3.3599999999999998E-2</v>
      </c>
      <c r="G1024" s="163">
        <v>6</v>
      </c>
      <c r="H1024" s="163">
        <v>3.333333333333333</v>
      </c>
      <c r="I1024" s="163">
        <v>-2.666666666666667</v>
      </c>
      <c r="J1024" s="163">
        <v>4</v>
      </c>
      <c r="K1024" s="163">
        <v>4.648421052631579</v>
      </c>
      <c r="L1024" s="163">
        <v>0.64842105263157901</v>
      </c>
      <c r="M1024" s="163">
        <v>5</v>
      </c>
      <c r="N1024" s="163">
        <v>2.9824561403508771</v>
      </c>
      <c r="O1024" s="163">
        <v>-2.0175438596491229</v>
      </c>
      <c r="P1024" s="163"/>
      <c r="Q1024" s="163">
        <v>2</v>
      </c>
      <c r="R1024" s="163">
        <v>0</v>
      </c>
      <c r="S1024" s="163">
        <v>0</v>
      </c>
      <c r="T1024" s="163">
        <v>0</v>
      </c>
      <c r="U1024" s="163">
        <v>0</v>
      </c>
      <c r="V1024" s="163">
        <v>0</v>
      </c>
      <c r="W1024" s="163">
        <v>0</v>
      </c>
      <c r="X1024" s="163">
        <v>0</v>
      </c>
      <c r="Y1024" s="163">
        <v>2</v>
      </c>
      <c r="Z1024" s="163">
        <v>2</v>
      </c>
      <c r="AA1024" s="163">
        <v>0</v>
      </c>
      <c r="AB1024" s="163">
        <v>0</v>
      </c>
      <c r="AC1024" s="163">
        <v>2</v>
      </c>
      <c r="AD1024" s="163">
        <v>0</v>
      </c>
      <c r="AE1024" s="165">
        <v>0.95169859121417189</v>
      </c>
      <c r="AF1024" s="166">
        <v>0.31723286373805726</v>
      </c>
    </row>
    <row r="1025" spans="1:32">
      <c r="A1025" s="161">
        <v>22</v>
      </c>
      <c r="B1025" s="162">
        <v>0.3125</v>
      </c>
      <c r="C1025" s="163">
        <v>4.3218582214528807</v>
      </c>
      <c r="D1025" s="163">
        <v>790.39983847726319</v>
      </c>
      <c r="E1025" s="164">
        <v>0.62670000000000003</v>
      </c>
      <c r="F1025" s="164">
        <v>0.62670000000000003</v>
      </c>
      <c r="G1025" s="163">
        <v>6</v>
      </c>
      <c r="H1025" s="163">
        <v>6.6666666666666661</v>
      </c>
      <c r="I1025" s="163">
        <v>0.66666666666666607</v>
      </c>
      <c r="J1025" s="163">
        <v>4</v>
      </c>
      <c r="K1025" s="163">
        <v>4.648421052631579</v>
      </c>
      <c r="L1025" s="163">
        <v>0.64842105263157901</v>
      </c>
      <c r="M1025" s="163">
        <v>5</v>
      </c>
      <c r="N1025" s="163">
        <v>5.9649122807017543</v>
      </c>
      <c r="O1025" s="163">
        <v>0.96491228070175428</v>
      </c>
      <c r="P1025" s="163"/>
      <c r="Q1025" s="163">
        <v>4</v>
      </c>
      <c r="R1025" s="163">
        <v>0</v>
      </c>
      <c r="S1025" s="163">
        <v>0</v>
      </c>
      <c r="T1025" s="163">
        <v>0</v>
      </c>
      <c r="U1025" s="163">
        <v>0</v>
      </c>
      <c r="V1025" s="163">
        <v>0</v>
      </c>
      <c r="W1025" s="163">
        <v>0</v>
      </c>
      <c r="X1025" s="163">
        <v>0</v>
      </c>
      <c r="Y1025" s="163">
        <v>4</v>
      </c>
      <c r="Z1025" s="163">
        <v>4</v>
      </c>
      <c r="AA1025" s="163">
        <v>0</v>
      </c>
      <c r="AB1025" s="163">
        <v>0</v>
      </c>
      <c r="AC1025" s="163">
        <v>4</v>
      </c>
      <c r="AD1025" s="163">
        <v>0</v>
      </c>
      <c r="AE1025" s="165">
        <v>0.61239361378134227</v>
      </c>
      <c r="AF1025" s="166">
        <v>0.40826240918756151</v>
      </c>
    </row>
    <row r="1026" spans="1:32">
      <c r="A1026" s="161">
        <v>22</v>
      </c>
      <c r="B1026" s="162">
        <v>0.33333333333333331</v>
      </c>
      <c r="C1026" s="163">
        <v>5.2352527764428265</v>
      </c>
      <c r="D1026" s="163">
        <v>792.35052306144371</v>
      </c>
      <c r="E1026" s="164">
        <v>0.78739999999999999</v>
      </c>
      <c r="F1026" s="164">
        <v>0.78739999999999999</v>
      </c>
      <c r="G1026" s="163">
        <v>7</v>
      </c>
      <c r="H1026" s="163">
        <v>10</v>
      </c>
      <c r="I1026" s="163">
        <v>3</v>
      </c>
      <c r="J1026" s="163">
        <v>5</v>
      </c>
      <c r="K1026" s="163">
        <v>5.4231578947368426</v>
      </c>
      <c r="L1026" s="163">
        <v>0.42315789473684262</v>
      </c>
      <c r="M1026" s="163">
        <v>6</v>
      </c>
      <c r="N1026" s="163">
        <v>8.9473684210526319</v>
      </c>
      <c r="O1026" s="163">
        <v>2.9473684210526319</v>
      </c>
      <c r="P1026" s="163"/>
      <c r="Q1026" s="163">
        <v>6</v>
      </c>
      <c r="R1026" s="163">
        <v>0</v>
      </c>
      <c r="S1026" s="163">
        <v>0</v>
      </c>
      <c r="T1026" s="163">
        <v>0</v>
      </c>
      <c r="U1026" s="163">
        <v>0</v>
      </c>
      <c r="V1026" s="163">
        <v>0</v>
      </c>
      <c r="W1026" s="163">
        <v>0</v>
      </c>
      <c r="X1026" s="163">
        <v>0</v>
      </c>
      <c r="Y1026" s="163">
        <v>6</v>
      </c>
      <c r="Z1026" s="163">
        <v>6</v>
      </c>
      <c r="AA1026" s="163">
        <v>0</v>
      </c>
      <c r="AB1026" s="163">
        <v>0</v>
      </c>
      <c r="AC1026" s="163">
        <v>6</v>
      </c>
      <c r="AD1026" s="163">
        <v>0</v>
      </c>
      <c r="AE1026" s="165">
        <v>0.49576634359710658</v>
      </c>
      <c r="AF1026" s="166">
        <v>0.42494258022609138</v>
      </c>
    </row>
    <row r="1027" spans="1:32">
      <c r="A1027" s="161">
        <v>22</v>
      </c>
      <c r="B1027" s="162">
        <v>0.35416666666666669</v>
      </c>
      <c r="C1027" s="163">
        <v>6.1446563017810414</v>
      </c>
      <c r="D1027" s="163">
        <v>792.19938306138874</v>
      </c>
      <c r="E1027" s="164">
        <v>0.68269999999999997</v>
      </c>
      <c r="F1027" s="164">
        <v>0.68269999999999997</v>
      </c>
      <c r="G1027" s="163">
        <v>7</v>
      </c>
      <c r="H1027" s="163">
        <v>10</v>
      </c>
      <c r="I1027" s="163">
        <v>3</v>
      </c>
      <c r="J1027" s="163">
        <v>5</v>
      </c>
      <c r="K1027" s="163">
        <v>5.4231578947368426</v>
      </c>
      <c r="L1027" s="163">
        <v>0.42315789473684262</v>
      </c>
      <c r="M1027" s="163">
        <v>6</v>
      </c>
      <c r="N1027" s="163">
        <v>8.9473684210526319</v>
      </c>
      <c r="O1027" s="163">
        <v>2.9473684210526319</v>
      </c>
      <c r="P1027" s="163"/>
      <c r="Q1027" s="163">
        <v>6</v>
      </c>
      <c r="R1027" s="163">
        <v>0</v>
      </c>
      <c r="S1027" s="163">
        <v>0</v>
      </c>
      <c r="T1027" s="163">
        <v>0</v>
      </c>
      <c r="U1027" s="163">
        <v>0</v>
      </c>
      <c r="V1027" s="163">
        <v>0</v>
      </c>
      <c r="W1027" s="163">
        <v>0</v>
      </c>
      <c r="X1027" s="163">
        <v>0</v>
      </c>
      <c r="Y1027" s="163">
        <v>6</v>
      </c>
      <c r="Z1027" s="163">
        <v>6</v>
      </c>
      <c r="AA1027" s="163">
        <v>0</v>
      </c>
      <c r="AB1027" s="163">
        <v>0</v>
      </c>
      <c r="AC1027" s="163">
        <v>6</v>
      </c>
      <c r="AD1027" s="163">
        <v>0</v>
      </c>
      <c r="AE1027" s="165">
        <v>0.58177376268436176</v>
      </c>
      <c r="AF1027" s="166">
        <v>0.49866322515802436</v>
      </c>
    </row>
    <row r="1028" spans="1:32">
      <c r="A1028" s="161">
        <v>22</v>
      </c>
      <c r="B1028" s="162">
        <v>0.375</v>
      </c>
      <c r="C1028" s="163">
        <v>6.782811294517348</v>
      </c>
      <c r="D1028" s="163">
        <v>787.52180677822639</v>
      </c>
      <c r="E1028" s="164">
        <v>0.60470000000000002</v>
      </c>
      <c r="F1028" s="164">
        <v>0.60470000000000002</v>
      </c>
      <c r="G1028" s="163">
        <v>8</v>
      </c>
      <c r="H1028" s="163">
        <v>10</v>
      </c>
      <c r="I1028" s="163">
        <v>2</v>
      </c>
      <c r="J1028" s="163">
        <v>6</v>
      </c>
      <c r="K1028" s="163">
        <v>6.1978947368421053</v>
      </c>
      <c r="L1028" s="163">
        <v>0.19789473684210535</v>
      </c>
      <c r="M1028" s="163">
        <v>7</v>
      </c>
      <c r="N1028" s="163">
        <v>8.9473684210526319</v>
      </c>
      <c r="O1028" s="163">
        <v>1.9473684210526319</v>
      </c>
      <c r="P1028" s="163"/>
      <c r="Q1028" s="163">
        <v>6</v>
      </c>
      <c r="R1028" s="163">
        <v>0</v>
      </c>
      <c r="S1028" s="163">
        <v>0</v>
      </c>
      <c r="T1028" s="163">
        <v>0</v>
      </c>
      <c r="U1028" s="163">
        <v>0</v>
      </c>
      <c r="V1028" s="163">
        <v>0</v>
      </c>
      <c r="W1028" s="163">
        <v>0</v>
      </c>
      <c r="X1028" s="163">
        <v>0</v>
      </c>
      <c r="Y1028" s="163">
        <v>6</v>
      </c>
      <c r="Z1028" s="163">
        <v>6</v>
      </c>
      <c r="AA1028" s="163">
        <v>0</v>
      </c>
      <c r="AB1028" s="163">
        <v>0</v>
      </c>
      <c r="AC1028" s="163">
        <v>6</v>
      </c>
      <c r="AD1028" s="163">
        <v>0</v>
      </c>
      <c r="AE1028" s="165">
        <v>0.63840217585162029</v>
      </c>
      <c r="AF1028" s="166">
        <v>0.47880163188871522</v>
      </c>
    </row>
    <row r="1029" spans="1:32">
      <c r="A1029" s="161">
        <v>22</v>
      </c>
      <c r="B1029" s="162">
        <v>0.39583333333333331</v>
      </c>
      <c r="C1029" s="163">
        <v>7.2907631042459338</v>
      </c>
      <c r="D1029" s="163">
        <v>860.79290158921492</v>
      </c>
      <c r="E1029" s="164">
        <v>0.84150000000000003</v>
      </c>
      <c r="F1029" s="164">
        <v>0.84150000000000003</v>
      </c>
      <c r="G1029" s="163">
        <v>8</v>
      </c>
      <c r="H1029" s="163">
        <v>13.333333333333332</v>
      </c>
      <c r="I1029" s="163">
        <v>5.3333333333333321</v>
      </c>
      <c r="J1029" s="163">
        <v>6</v>
      </c>
      <c r="K1029" s="163">
        <v>6.1978947368421053</v>
      </c>
      <c r="L1029" s="163">
        <v>0.19789473684210535</v>
      </c>
      <c r="M1029" s="163">
        <v>7</v>
      </c>
      <c r="N1029" s="163">
        <v>11.929824561403509</v>
      </c>
      <c r="O1029" s="163">
        <v>4.9298245614035086</v>
      </c>
      <c r="P1029" s="163"/>
      <c r="Q1029" s="163">
        <v>8</v>
      </c>
      <c r="R1029" s="163">
        <v>0</v>
      </c>
      <c r="S1029" s="163">
        <v>0</v>
      </c>
      <c r="T1029" s="163">
        <v>0</v>
      </c>
      <c r="U1029" s="163">
        <v>0</v>
      </c>
      <c r="V1029" s="163">
        <v>0</v>
      </c>
      <c r="W1029" s="163">
        <v>0</v>
      </c>
      <c r="X1029" s="163">
        <v>0</v>
      </c>
      <c r="Y1029" s="163">
        <v>8</v>
      </c>
      <c r="Z1029" s="163">
        <v>8</v>
      </c>
      <c r="AA1029" s="163">
        <v>0</v>
      </c>
      <c r="AB1029" s="163">
        <v>0</v>
      </c>
      <c r="AC1029" s="163">
        <v>8</v>
      </c>
      <c r="AD1029" s="163">
        <v>0</v>
      </c>
      <c r="AE1029" s="165">
        <v>0.56254201303388018</v>
      </c>
      <c r="AF1029" s="166">
        <v>0.56254201303388018</v>
      </c>
    </row>
    <row r="1030" spans="1:32">
      <c r="A1030" s="161">
        <v>22</v>
      </c>
      <c r="B1030" s="162">
        <v>0.41666666666666669</v>
      </c>
      <c r="C1030" s="163">
        <v>7.6551892254785159</v>
      </c>
      <c r="D1030" s="163">
        <v>776.16942827549883</v>
      </c>
      <c r="E1030" s="164">
        <v>0.87160000000000004</v>
      </c>
      <c r="F1030" s="164">
        <v>0.87160000000000004</v>
      </c>
      <c r="G1030" s="163">
        <v>8</v>
      </c>
      <c r="H1030" s="163">
        <v>13.333333333333332</v>
      </c>
      <c r="I1030" s="163">
        <v>5.3333333333333321</v>
      </c>
      <c r="J1030" s="163">
        <v>6</v>
      </c>
      <c r="K1030" s="163">
        <v>6.1978947368421053</v>
      </c>
      <c r="L1030" s="163">
        <v>0.19789473684210535</v>
      </c>
      <c r="M1030" s="163">
        <v>7</v>
      </c>
      <c r="N1030" s="163">
        <v>11.929824561403509</v>
      </c>
      <c r="O1030" s="163">
        <v>4.9298245614035086</v>
      </c>
      <c r="P1030" s="163"/>
      <c r="Q1030" s="163">
        <v>8</v>
      </c>
      <c r="R1030" s="163">
        <v>0</v>
      </c>
      <c r="S1030" s="163">
        <v>0</v>
      </c>
      <c r="T1030" s="163">
        <v>0</v>
      </c>
      <c r="U1030" s="163">
        <v>0</v>
      </c>
      <c r="V1030" s="163">
        <v>0</v>
      </c>
      <c r="W1030" s="163">
        <v>0</v>
      </c>
      <c r="X1030" s="163">
        <v>0</v>
      </c>
      <c r="Y1030" s="163">
        <v>8</v>
      </c>
      <c r="Z1030" s="163">
        <v>8</v>
      </c>
      <c r="AA1030" s="163">
        <v>0</v>
      </c>
      <c r="AB1030" s="163">
        <v>0</v>
      </c>
      <c r="AC1030" s="163">
        <v>8</v>
      </c>
      <c r="AD1030" s="163">
        <v>0</v>
      </c>
      <c r="AE1030" s="165">
        <v>0.53259337751513403</v>
      </c>
      <c r="AF1030" s="166">
        <v>0.53259337751513403</v>
      </c>
    </row>
    <row r="1031" spans="1:32">
      <c r="A1031" s="161">
        <v>22</v>
      </c>
      <c r="B1031" s="162">
        <v>0.4375</v>
      </c>
      <c r="C1031" s="163">
        <v>7.9384994398791981</v>
      </c>
      <c r="D1031" s="163">
        <v>769.1153776558923</v>
      </c>
      <c r="E1031" s="164">
        <v>0.85799999999999998</v>
      </c>
      <c r="F1031" s="164">
        <v>0.85799999999999998</v>
      </c>
      <c r="G1031" s="163">
        <v>8</v>
      </c>
      <c r="H1031" s="163">
        <v>13.333333333333332</v>
      </c>
      <c r="I1031" s="163">
        <v>5.3333333333333321</v>
      </c>
      <c r="J1031" s="163">
        <v>6</v>
      </c>
      <c r="K1031" s="163">
        <v>6.1978947368421053</v>
      </c>
      <c r="L1031" s="163">
        <v>0.19789473684210535</v>
      </c>
      <c r="M1031" s="163">
        <v>7</v>
      </c>
      <c r="N1031" s="163">
        <v>11.929824561403509</v>
      </c>
      <c r="O1031" s="163">
        <v>4.9298245614035086</v>
      </c>
      <c r="P1031" s="163"/>
      <c r="Q1031" s="163">
        <v>8</v>
      </c>
      <c r="R1031" s="163">
        <v>0</v>
      </c>
      <c r="S1031" s="163">
        <v>0</v>
      </c>
      <c r="T1031" s="163">
        <v>0</v>
      </c>
      <c r="U1031" s="163">
        <v>0</v>
      </c>
      <c r="V1031" s="163">
        <v>0</v>
      </c>
      <c r="W1031" s="163">
        <v>0</v>
      </c>
      <c r="X1031" s="163">
        <v>0</v>
      </c>
      <c r="Y1031" s="163">
        <v>8</v>
      </c>
      <c r="Z1031" s="163">
        <v>8</v>
      </c>
      <c r="AA1031" s="163">
        <v>0</v>
      </c>
      <c r="AB1031" s="163">
        <v>0</v>
      </c>
      <c r="AC1031" s="163">
        <v>8</v>
      </c>
      <c r="AD1031" s="163">
        <v>0</v>
      </c>
      <c r="AE1031" s="165">
        <v>0.54728458021848492</v>
      </c>
      <c r="AF1031" s="166">
        <v>0.54728458021848492</v>
      </c>
    </row>
    <row r="1032" spans="1:32">
      <c r="A1032" s="161">
        <v>22</v>
      </c>
      <c r="B1032" s="162">
        <v>0.45833333333333331</v>
      </c>
      <c r="C1032" s="163">
        <v>7.7626223675821189</v>
      </c>
      <c r="D1032" s="163">
        <v>760.83886243535107</v>
      </c>
      <c r="E1032" s="164">
        <v>0.87480000000000002</v>
      </c>
      <c r="F1032" s="164">
        <v>0.87480000000000002</v>
      </c>
      <c r="G1032" s="163">
        <v>8</v>
      </c>
      <c r="H1032" s="163">
        <v>13.333333333333332</v>
      </c>
      <c r="I1032" s="163">
        <v>5.3333333333333321</v>
      </c>
      <c r="J1032" s="163">
        <v>6</v>
      </c>
      <c r="K1032" s="163">
        <v>6.1978947368421053</v>
      </c>
      <c r="L1032" s="163">
        <v>0.19789473684210535</v>
      </c>
      <c r="M1032" s="163">
        <v>7</v>
      </c>
      <c r="N1032" s="163">
        <v>11.929824561403509</v>
      </c>
      <c r="O1032" s="163">
        <v>4.9298245614035086</v>
      </c>
      <c r="P1032" s="163"/>
      <c r="Q1032" s="163">
        <v>8</v>
      </c>
      <c r="R1032" s="163">
        <v>0</v>
      </c>
      <c r="S1032" s="163">
        <v>0</v>
      </c>
      <c r="T1032" s="163">
        <v>0</v>
      </c>
      <c r="U1032" s="163">
        <v>0</v>
      </c>
      <c r="V1032" s="163">
        <v>0</v>
      </c>
      <c r="W1032" s="163">
        <v>0</v>
      </c>
      <c r="X1032" s="163">
        <v>0</v>
      </c>
      <c r="Y1032" s="163">
        <v>8</v>
      </c>
      <c r="Z1032" s="163">
        <v>8</v>
      </c>
      <c r="AA1032" s="163">
        <v>0</v>
      </c>
      <c r="AB1032" s="163">
        <v>0</v>
      </c>
      <c r="AC1032" s="163">
        <v>8</v>
      </c>
      <c r="AD1032" s="163">
        <v>0</v>
      </c>
      <c r="AE1032" s="165">
        <v>0.52940062019579104</v>
      </c>
      <c r="AF1032" s="166">
        <v>0.52940062019579104</v>
      </c>
    </row>
    <row r="1033" spans="1:32">
      <c r="A1033" s="161">
        <v>22</v>
      </c>
      <c r="B1033" s="162">
        <v>0.47916666666666669</v>
      </c>
      <c r="C1033" s="163">
        <v>7.0618190093605122</v>
      </c>
      <c r="D1033" s="163">
        <v>787.32489152926735</v>
      </c>
      <c r="E1033" s="164">
        <v>0.90039999999999998</v>
      </c>
      <c r="F1033" s="164">
        <v>0.90039999999999998</v>
      </c>
      <c r="G1033" s="163">
        <v>8</v>
      </c>
      <c r="H1033" s="163">
        <v>13.333333333333332</v>
      </c>
      <c r="I1033" s="163">
        <v>5.3333333333333321</v>
      </c>
      <c r="J1033" s="163">
        <v>6</v>
      </c>
      <c r="K1033" s="163">
        <v>6.1978947368421053</v>
      </c>
      <c r="L1033" s="163">
        <v>0.19789473684210535</v>
      </c>
      <c r="M1033" s="163">
        <v>7</v>
      </c>
      <c r="N1033" s="163">
        <v>11.929824561403509</v>
      </c>
      <c r="O1033" s="163">
        <v>4.9298245614035086</v>
      </c>
      <c r="P1033" s="163"/>
      <c r="Q1033" s="163">
        <v>8</v>
      </c>
      <c r="R1033" s="163">
        <v>0</v>
      </c>
      <c r="S1033" s="163">
        <v>0</v>
      </c>
      <c r="T1033" s="163">
        <v>0</v>
      </c>
      <c r="U1033" s="163">
        <v>0</v>
      </c>
      <c r="V1033" s="163">
        <v>0</v>
      </c>
      <c r="W1033" s="163">
        <v>0</v>
      </c>
      <c r="X1033" s="163">
        <v>0</v>
      </c>
      <c r="Y1033" s="163">
        <v>8</v>
      </c>
      <c r="Z1033" s="163">
        <v>8</v>
      </c>
      <c r="AA1033" s="163">
        <v>0</v>
      </c>
      <c r="AB1033" s="163">
        <v>0</v>
      </c>
      <c r="AC1033" s="163">
        <v>8</v>
      </c>
      <c r="AD1033" s="163">
        <v>0</v>
      </c>
      <c r="AE1033" s="165">
        <v>0.49837226291391901</v>
      </c>
      <c r="AF1033" s="166">
        <v>0.49837226291391901</v>
      </c>
    </row>
    <row r="1034" spans="1:32">
      <c r="A1034" s="161">
        <v>22</v>
      </c>
      <c r="B1034" s="162">
        <v>0.5</v>
      </c>
      <c r="C1034" s="163">
        <v>6.2707373659280199</v>
      </c>
      <c r="D1034" s="163">
        <v>732.96017226402535</v>
      </c>
      <c r="E1034" s="164">
        <v>0.95409999999999995</v>
      </c>
      <c r="F1034" s="164">
        <v>0.95409999999999995</v>
      </c>
      <c r="G1034" s="163">
        <v>7</v>
      </c>
      <c r="H1034" s="163">
        <v>13.333333333333332</v>
      </c>
      <c r="I1034" s="163">
        <v>6.3333333333333321</v>
      </c>
      <c r="J1034" s="163">
        <v>5</v>
      </c>
      <c r="K1034" s="163">
        <v>5.4231578947368426</v>
      </c>
      <c r="L1034" s="163">
        <v>0.42315789473684262</v>
      </c>
      <c r="M1034" s="163">
        <v>6</v>
      </c>
      <c r="N1034" s="163">
        <v>11.929824561403509</v>
      </c>
      <c r="O1034" s="163">
        <v>5.9298245614035086</v>
      </c>
      <c r="P1034" s="163"/>
      <c r="Q1034" s="163">
        <v>8</v>
      </c>
      <c r="R1034" s="163">
        <v>0</v>
      </c>
      <c r="S1034" s="163">
        <v>0</v>
      </c>
      <c r="T1034" s="163">
        <v>0</v>
      </c>
      <c r="U1034" s="163">
        <v>0</v>
      </c>
      <c r="V1034" s="163">
        <v>0</v>
      </c>
      <c r="W1034" s="163">
        <v>0</v>
      </c>
      <c r="X1034" s="163">
        <v>0</v>
      </c>
      <c r="Y1034" s="163">
        <v>8</v>
      </c>
      <c r="Z1034" s="163">
        <v>8</v>
      </c>
      <c r="AA1034" s="163">
        <v>0</v>
      </c>
      <c r="AB1034" s="163">
        <v>0</v>
      </c>
      <c r="AC1034" s="163">
        <v>8</v>
      </c>
      <c r="AD1034" s="163">
        <v>0</v>
      </c>
      <c r="AE1034" s="165">
        <v>0.41198583776375758</v>
      </c>
      <c r="AF1034" s="166">
        <v>0.47084095744429438</v>
      </c>
    </row>
    <row r="1035" spans="1:32">
      <c r="A1035" s="161">
        <v>22</v>
      </c>
      <c r="B1035" s="162">
        <v>0.52083333333333337</v>
      </c>
      <c r="C1035" s="163">
        <v>6.3279184801531585</v>
      </c>
      <c r="D1035" s="163">
        <v>729.68641962411164</v>
      </c>
      <c r="E1035" s="164">
        <v>0.79930000000000012</v>
      </c>
      <c r="F1035" s="164">
        <v>0.79930000000000012</v>
      </c>
      <c r="G1035" s="163">
        <v>7</v>
      </c>
      <c r="H1035" s="163">
        <v>12</v>
      </c>
      <c r="I1035" s="163">
        <v>5</v>
      </c>
      <c r="J1035" s="163">
        <v>5</v>
      </c>
      <c r="K1035" s="163">
        <v>5.4231578947368426</v>
      </c>
      <c r="L1035" s="163">
        <v>0.42315789473684262</v>
      </c>
      <c r="M1035" s="163">
        <v>6</v>
      </c>
      <c r="N1035" s="163">
        <v>10.736842105263158</v>
      </c>
      <c r="O1035" s="163">
        <v>4.7368421052631575</v>
      </c>
      <c r="P1035" s="163"/>
      <c r="Q1035" s="163">
        <v>8</v>
      </c>
      <c r="R1035" s="163">
        <v>0</v>
      </c>
      <c r="S1035" s="163">
        <v>0</v>
      </c>
      <c r="T1035" s="163">
        <v>0</v>
      </c>
      <c r="U1035" s="163">
        <v>0</v>
      </c>
      <c r="V1035" s="163">
        <v>0</v>
      </c>
      <c r="W1035" s="163">
        <v>0</v>
      </c>
      <c r="X1035" s="163">
        <v>0</v>
      </c>
      <c r="Y1035" s="163">
        <v>8</v>
      </c>
      <c r="Z1035" s="163">
        <v>8</v>
      </c>
      <c r="AA1035" s="163">
        <v>0</v>
      </c>
      <c r="AB1035" s="163">
        <v>0</v>
      </c>
      <c r="AC1035" s="163">
        <v>8</v>
      </c>
      <c r="AD1035" s="163">
        <v>0</v>
      </c>
      <c r="AE1035" s="165">
        <v>0.41388571581402833</v>
      </c>
      <c r="AF1035" s="166">
        <v>0.47301224664460384</v>
      </c>
    </row>
    <row r="1036" spans="1:32">
      <c r="A1036" s="161">
        <v>22</v>
      </c>
      <c r="B1036" s="162">
        <v>0.54166666666666663</v>
      </c>
      <c r="C1036" s="163">
        <v>5.6127330865144671</v>
      </c>
      <c r="D1036" s="163">
        <v>738.92529068179431</v>
      </c>
      <c r="E1036" s="164">
        <v>0.78839999999999988</v>
      </c>
      <c r="F1036" s="164">
        <v>0.78839999999999988</v>
      </c>
      <c r="G1036" s="163">
        <v>7</v>
      </c>
      <c r="H1036" s="163">
        <v>10</v>
      </c>
      <c r="I1036" s="163">
        <v>3</v>
      </c>
      <c r="J1036" s="163">
        <v>5</v>
      </c>
      <c r="K1036" s="163">
        <v>5.4231578947368426</v>
      </c>
      <c r="L1036" s="163">
        <v>0.42315789473684262</v>
      </c>
      <c r="M1036" s="163">
        <v>6</v>
      </c>
      <c r="N1036" s="163">
        <v>8.9473684210526319</v>
      </c>
      <c r="O1036" s="163">
        <v>2.9473684210526319</v>
      </c>
      <c r="P1036" s="163"/>
      <c r="Q1036" s="163">
        <v>6</v>
      </c>
      <c r="R1036" s="163">
        <v>0</v>
      </c>
      <c r="S1036" s="163">
        <v>0</v>
      </c>
      <c r="T1036" s="163">
        <v>0</v>
      </c>
      <c r="U1036" s="163">
        <v>0</v>
      </c>
      <c r="V1036" s="163">
        <v>0</v>
      </c>
      <c r="W1036" s="163">
        <v>0</v>
      </c>
      <c r="X1036" s="163">
        <v>0</v>
      </c>
      <c r="Y1036" s="163">
        <v>6</v>
      </c>
      <c r="Z1036" s="163">
        <v>6</v>
      </c>
      <c r="AA1036" s="163">
        <v>0</v>
      </c>
      <c r="AB1036" s="163">
        <v>0</v>
      </c>
      <c r="AC1036" s="163">
        <v>6</v>
      </c>
      <c r="AD1036" s="163">
        <v>0</v>
      </c>
      <c r="AE1036" s="165">
        <v>0.49567493283243075</v>
      </c>
      <c r="AF1036" s="166">
        <v>0.42486422814208352</v>
      </c>
    </row>
    <row r="1037" spans="1:32">
      <c r="A1037" s="161">
        <v>22</v>
      </c>
      <c r="B1037" s="162">
        <v>0.5625</v>
      </c>
      <c r="C1037" s="163">
        <v>5.0728701178187272</v>
      </c>
      <c r="D1037" s="163">
        <v>748.05827889033731</v>
      </c>
      <c r="E1037" s="164">
        <v>0.83250000000000002</v>
      </c>
      <c r="F1037" s="164">
        <v>0.83250000000000002</v>
      </c>
      <c r="G1037" s="163">
        <v>6</v>
      </c>
      <c r="H1037" s="163">
        <v>10</v>
      </c>
      <c r="I1037" s="163">
        <v>4</v>
      </c>
      <c r="J1037" s="163">
        <v>4</v>
      </c>
      <c r="K1037" s="163">
        <v>4.648421052631579</v>
      </c>
      <c r="L1037" s="163">
        <v>0.64842105263157901</v>
      </c>
      <c r="M1037" s="163">
        <v>5</v>
      </c>
      <c r="N1037" s="163">
        <v>8.9473684210526319</v>
      </c>
      <c r="O1037" s="163">
        <v>3.9473684210526319</v>
      </c>
      <c r="P1037" s="163"/>
      <c r="Q1037" s="163">
        <v>6</v>
      </c>
      <c r="R1037" s="163">
        <v>0</v>
      </c>
      <c r="S1037" s="163">
        <v>0</v>
      </c>
      <c r="T1037" s="163">
        <v>0</v>
      </c>
      <c r="U1037" s="163">
        <v>0</v>
      </c>
      <c r="V1037" s="163">
        <v>0</v>
      </c>
      <c r="W1037" s="163">
        <v>0</v>
      </c>
      <c r="X1037" s="163">
        <v>0</v>
      </c>
      <c r="Y1037" s="163">
        <v>6</v>
      </c>
      <c r="Z1037" s="163">
        <v>6</v>
      </c>
      <c r="AA1037" s="163">
        <v>0</v>
      </c>
      <c r="AB1037" s="163">
        <v>0</v>
      </c>
      <c r="AC1037" s="163">
        <v>6</v>
      </c>
      <c r="AD1037" s="163">
        <v>0</v>
      </c>
      <c r="AE1037" s="165">
        <v>0.45353542231547073</v>
      </c>
      <c r="AF1037" s="166">
        <v>0.45353542231547073</v>
      </c>
    </row>
    <row r="1038" spans="1:32">
      <c r="A1038" s="161">
        <v>22</v>
      </c>
      <c r="B1038" s="162">
        <v>0.58333333333333337</v>
      </c>
      <c r="C1038" s="163">
        <v>5.3781997743995387</v>
      </c>
      <c r="D1038" s="163">
        <v>760.54693078763842</v>
      </c>
      <c r="E1038" s="164">
        <v>0.79549999999999998</v>
      </c>
      <c r="F1038" s="164">
        <v>0.79549999999999998</v>
      </c>
      <c r="G1038" s="163">
        <v>7</v>
      </c>
      <c r="H1038" s="163">
        <v>10</v>
      </c>
      <c r="I1038" s="163">
        <v>3</v>
      </c>
      <c r="J1038" s="163">
        <v>5</v>
      </c>
      <c r="K1038" s="163">
        <v>5.4231578947368426</v>
      </c>
      <c r="L1038" s="163">
        <v>0.42315789473684262</v>
      </c>
      <c r="M1038" s="163">
        <v>6</v>
      </c>
      <c r="N1038" s="163">
        <v>8.9473684210526319</v>
      </c>
      <c r="O1038" s="163">
        <v>2.9473684210526319</v>
      </c>
      <c r="P1038" s="163"/>
      <c r="Q1038" s="163">
        <v>6</v>
      </c>
      <c r="R1038" s="163">
        <v>0</v>
      </c>
      <c r="S1038" s="163">
        <v>0</v>
      </c>
      <c r="T1038" s="163">
        <v>0</v>
      </c>
      <c r="U1038" s="163">
        <v>0</v>
      </c>
      <c r="V1038" s="163">
        <v>0</v>
      </c>
      <c r="W1038" s="163">
        <v>0</v>
      </c>
      <c r="X1038" s="163">
        <v>0</v>
      </c>
      <c r="Y1038" s="163">
        <v>6</v>
      </c>
      <c r="Z1038" s="163">
        <v>6</v>
      </c>
      <c r="AA1038" s="163">
        <v>0</v>
      </c>
      <c r="AB1038" s="163">
        <v>0</v>
      </c>
      <c r="AC1038" s="163">
        <v>6</v>
      </c>
      <c r="AD1038" s="163">
        <v>0</v>
      </c>
      <c r="AE1038" s="165">
        <v>0.48886054058514761</v>
      </c>
      <c r="AF1038" s="166">
        <v>0.41902332050155511</v>
      </c>
    </row>
    <row r="1039" spans="1:32">
      <c r="A1039" s="161">
        <v>22</v>
      </c>
      <c r="B1039" s="162">
        <v>0.60416666666666663</v>
      </c>
      <c r="C1039" s="163">
        <v>4.9485890493606508</v>
      </c>
      <c r="D1039" s="163">
        <v>780.6394175846458</v>
      </c>
      <c r="E1039" s="164">
        <v>0.82379999999999998</v>
      </c>
      <c r="F1039" s="164">
        <v>0.82379999999999998</v>
      </c>
      <c r="G1039" s="163">
        <v>7</v>
      </c>
      <c r="H1039" s="163">
        <v>10</v>
      </c>
      <c r="I1039" s="163">
        <v>3</v>
      </c>
      <c r="J1039" s="163">
        <v>5</v>
      </c>
      <c r="K1039" s="163">
        <v>5.4231578947368426</v>
      </c>
      <c r="L1039" s="163">
        <v>0.42315789473684262</v>
      </c>
      <c r="M1039" s="163">
        <v>6</v>
      </c>
      <c r="N1039" s="163">
        <v>8.9473684210526319</v>
      </c>
      <c r="O1039" s="163">
        <v>2.9473684210526319</v>
      </c>
      <c r="P1039" s="163"/>
      <c r="Q1039" s="163">
        <v>6</v>
      </c>
      <c r="R1039" s="163">
        <v>0</v>
      </c>
      <c r="S1039" s="163">
        <v>0</v>
      </c>
      <c r="T1039" s="163">
        <v>0</v>
      </c>
      <c r="U1039" s="163">
        <v>0</v>
      </c>
      <c r="V1039" s="163">
        <v>0</v>
      </c>
      <c r="W1039" s="163">
        <v>0</v>
      </c>
      <c r="X1039" s="163">
        <v>0</v>
      </c>
      <c r="Y1039" s="163">
        <v>6</v>
      </c>
      <c r="Z1039" s="163">
        <v>6</v>
      </c>
      <c r="AA1039" s="163">
        <v>0</v>
      </c>
      <c r="AB1039" s="163">
        <v>0</v>
      </c>
      <c r="AC1039" s="163">
        <v>6</v>
      </c>
      <c r="AD1039" s="163">
        <v>0</v>
      </c>
      <c r="AE1039" s="165">
        <v>0.46169365057502032</v>
      </c>
      <c r="AF1039" s="166">
        <v>0.39573741477858887</v>
      </c>
    </row>
    <row r="1040" spans="1:32">
      <c r="A1040" s="161">
        <v>22</v>
      </c>
      <c r="B1040" s="162">
        <v>0.625</v>
      </c>
      <c r="C1040" s="163">
        <v>4.8040682473717009</v>
      </c>
      <c r="D1040" s="163">
        <v>788.4496965526032</v>
      </c>
      <c r="E1040" s="164">
        <v>0.8327</v>
      </c>
      <c r="F1040" s="164">
        <v>0.8327</v>
      </c>
      <c r="G1040" s="163">
        <v>6</v>
      </c>
      <c r="H1040" s="163">
        <v>10</v>
      </c>
      <c r="I1040" s="163">
        <v>4</v>
      </c>
      <c r="J1040" s="163">
        <v>4</v>
      </c>
      <c r="K1040" s="163">
        <v>4.648421052631579</v>
      </c>
      <c r="L1040" s="163">
        <v>0.64842105263157901</v>
      </c>
      <c r="M1040" s="163">
        <v>5</v>
      </c>
      <c r="N1040" s="163">
        <v>8.9473684210526319</v>
      </c>
      <c r="O1040" s="163">
        <v>3.9473684210526319</v>
      </c>
      <c r="P1040" s="163"/>
      <c r="Q1040" s="163">
        <v>6</v>
      </c>
      <c r="R1040" s="163">
        <v>0</v>
      </c>
      <c r="S1040" s="163">
        <v>0</v>
      </c>
      <c r="T1040" s="163">
        <v>0</v>
      </c>
      <c r="U1040" s="163">
        <v>0</v>
      </c>
      <c r="V1040" s="163">
        <v>0</v>
      </c>
      <c r="W1040" s="163">
        <v>0</v>
      </c>
      <c r="X1040" s="163">
        <v>0</v>
      </c>
      <c r="Y1040" s="163">
        <v>6</v>
      </c>
      <c r="Z1040" s="163">
        <v>6</v>
      </c>
      <c r="AA1040" s="163">
        <v>0</v>
      </c>
      <c r="AB1040" s="163">
        <v>0</v>
      </c>
      <c r="AC1040" s="163">
        <v>6</v>
      </c>
      <c r="AD1040" s="163">
        <v>0</v>
      </c>
      <c r="AE1040" s="165">
        <v>0.45269447517427824</v>
      </c>
      <c r="AF1040" s="166">
        <v>0.45269447517427824</v>
      </c>
    </row>
    <row r="1041" spans="1:32">
      <c r="A1041" s="161">
        <v>22</v>
      </c>
      <c r="B1041" s="162">
        <v>0.64583333333333337</v>
      </c>
      <c r="C1041" s="163">
        <v>4.63020131486397</v>
      </c>
      <c r="D1041" s="163">
        <v>787.16578956903197</v>
      </c>
      <c r="E1041" s="164">
        <v>0.84920000000000007</v>
      </c>
      <c r="F1041" s="164">
        <v>0.84920000000000007</v>
      </c>
      <c r="G1041" s="163">
        <v>6</v>
      </c>
      <c r="H1041" s="163">
        <v>10</v>
      </c>
      <c r="I1041" s="163">
        <v>4</v>
      </c>
      <c r="J1041" s="163">
        <v>4</v>
      </c>
      <c r="K1041" s="163">
        <v>4.648421052631579</v>
      </c>
      <c r="L1041" s="163">
        <v>0.64842105263157901</v>
      </c>
      <c r="M1041" s="163">
        <v>5</v>
      </c>
      <c r="N1041" s="163">
        <v>8.9473684210526319</v>
      </c>
      <c r="O1041" s="163">
        <v>3.9473684210526319</v>
      </c>
      <c r="P1041" s="163"/>
      <c r="Q1041" s="163">
        <v>6</v>
      </c>
      <c r="R1041" s="163">
        <v>0</v>
      </c>
      <c r="S1041" s="163">
        <v>0</v>
      </c>
      <c r="T1041" s="163">
        <v>0</v>
      </c>
      <c r="U1041" s="163">
        <v>0</v>
      </c>
      <c r="V1041" s="163">
        <v>0</v>
      </c>
      <c r="W1041" s="163">
        <v>0</v>
      </c>
      <c r="X1041" s="163">
        <v>0</v>
      </c>
      <c r="Y1041" s="163">
        <v>6</v>
      </c>
      <c r="Z1041" s="163">
        <v>6</v>
      </c>
      <c r="AA1041" s="163">
        <v>0</v>
      </c>
      <c r="AB1041" s="163">
        <v>0</v>
      </c>
      <c r="AC1041" s="163">
        <v>6</v>
      </c>
      <c r="AD1041" s="163">
        <v>0</v>
      </c>
      <c r="AE1041" s="165">
        <v>0.43560025037547095</v>
      </c>
      <c r="AF1041" s="166">
        <v>0.43560025037547095</v>
      </c>
    </row>
    <row r="1042" spans="1:32">
      <c r="A1042" s="161">
        <v>22</v>
      </c>
      <c r="B1042" s="162">
        <v>0.66666666666666663</v>
      </c>
      <c r="C1042" s="163">
        <v>4.4626644296814302</v>
      </c>
      <c r="D1042" s="163">
        <v>784.26843149911781</v>
      </c>
      <c r="E1042" s="164">
        <v>0.86509999999999998</v>
      </c>
      <c r="F1042" s="164">
        <v>0.86509999999999998</v>
      </c>
      <c r="G1042" s="163">
        <v>6</v>
      </c>
      <c r="H1042" s="163">
        <v>10</v>
      </c>
      <c r="I1042" s="163">
        <v>4</v>
      </c>
      <c r="J1042" s="163">
        <v>4</v>
      </c>
      <c r="K1042" s="163">
        <v>4.648421052631579</v>
      </c>
      <c r="L1042" s="163">
        <v>0.64842105263157901</v>
      </c>
      <c r="M1042" s="163">
        <v>5</v>
      </c>
      <c r="N1042" s="163">
        <v>8.9473684210526319</v>
      </c>
      <c r="O1042" s="163">
        <v>3.9473684210526319</v>
      </c>
      <c r="P1042" s="163"/>
      <c r="Q1042" s="163">
        <v>6</v>
      </c>
      <c r="R1042" s="163">
        <v>0</v>
      </c>
      <c r="S1042" s="163">
        <v>0</v>
      </c>
      <c r="T1042" s="163">
        <v>0</v>
      </c>
      <c r="U1042" s="163">
        <v>0</v>
      </c>
      <c r="V1042" s="163">
        <v>0</v>
      </c>
      <c r="W1042" s="163">
        <v>0</v>
      </c>
      <c r="X1042" s="163">
        <v>0</v>
      </c>
      <c r="Y1042" s="163">
        <v>6</v>
      </c>
      <c r="Z1042" s="163">
        <v>6</v>
      </c>
      <c r="AA1042" s="163">
        <v>0</v>
      </c>
      <c r="AB1042" s="163">
        <v>0</v>
      </c>
      <c r="AC1042" s="163">
        <v>6</v>
      </c>
      <c r="AD1042" s="163">
        <v>0</v>
      </c>
      <c r="AE1042" s="165">
        <v>0.4182933890580342</v>
      </c>
      <c r="AF1042" s="166">
        <v>0.4182933890580342</v>
      </c>
    </row>
    <row r="1043" spans="1:32">
      <c r="A1043" s="161">
        <v>22</v>
      </c>
      <c r="B1043" s="162">
        <v>0.6875</v>
      </c>
      <c r="C1043" s="163">
        <v>4.3139536078396743</v>
      </c>
      <c r="D1043" s="163">
        <v>779.2089367324553</v>
      </c>
      <c r="E1043" s="164">
        <v>0.87949999999999984</v>
      </c>
      <c r="F1043" s="164">
        <v>0.87949999999999984</v>
      </c>
      <c r="G1043" s="163">
        <v>6</v>
      </c>
      <c r="H1043" s="163">
        <v>10</v>
      </c>
      <c r="I1043" s="163">
        <v>4</v>
      </c>
      <c r="J1043" s="163">
        <v>4</v>
      </c>
      <c r="K1043" s="163">
        <v>4.648421052631579</v>
      </c>
      <c r="L1043" s="163">
        <v>0.64842105263157901</v>
      </c>
      <c r="M1043" s="163">
        <v>5</v>
      </c>
      <c r="N1043" s="163">
        <v>8.9473684210526319</v>
      </c>
      <c r="O1043" s="163">
        <v>3.9473684210526319</v>
      </c>
      <c r="P1043" s="163"/>
      <c r="Q1043" s="163">
        <v>6</v>
      </c>
      <c r="R1043" s="163">
        <v>0</v>
      </c>
      <c r="S1043" s="163">
        <v>0</v>
      </c>
      <c r="T1043" s="163">
        <v>0</v>
      </c>
      <c r="U1043" s="163">
        <v>0</v>
      </c>
      <c r="V1043" s="163">
        <v>0</v>
      </c>
      <c r="W1043" s="163">
        <v>0</v>
      </c>
      <c r="X1043" s="163">
        <v>0</v>
      </c>
      <c r="Y1043" s="163">
        <v>6</v>
      </c>
      <c r="Z1043" s="163">
        <v>6</v>
      </c>
      <c r="AA1043" s="163">
        <v>0</v>
      </c>
      <c r="AB1043" s="163">
        <v>0</v>
      </c>
      <c r="AC1043" s="163">
        <v>6</v>
      </c>
      <c r="AD1043" s="163">
        <v>0</v>
      </c>
      <c r="AE1043" s="165">
        <v>0.40174587908665432</v>
      </c>
      <c r="AF1043" s="166">
        <v>0.40174587908665432</v>
      </c>
    </row>
    <row r="1044" spans="1:32">
      <c r="A1044" s="161">
        <v>22</v>
      </c>
      <c r="B1044" s="162">
        <v>0.70833333333333337</v>
      </c>
      <c r="C1044" s="163">
        <v>4.2409067060494738</v>
      </c>
      <c r="D1044" s="163">
        <v>760.65483897871763</v>
      </c>
      <c r="E1044" s="164">
        <v>0.89290000000000003</v>
      </c>
      <c r="F1044" s="164">
        <v>0.89290000000000003</v>
      </c>
      <c r="G1044" s="163">
        <v>6</v>
      </c>
      <c r="H1044" s="163">
        <v>10</v>
      </c>
      <c r="I1044" s="163">
        <v>4</v>
      </c>
      <c r="J1044" s="163">
        <v>4</v>
      </c>
      <c r="K1044" s="163">
        <v>4.648421052631579</v>
      </c>
      <c r="L1044" s="163">
        <v>0.64842105263157901</v>
      </c>
      <c r="M1044" s="163">
        <v>5</v>
      </c>
      <c r="N1044" s="163">
        <v>8.9473684210526319</v>
      </c>
      <c r="O1044" s="163">
        <v>3.9473684210526319</v>
      </c>
      <c r="P1044" s="163"/>
      <c r="Q1044" s="163">
        <v>6</v>
      </c>
      <c r="R1044" s="163">
        <v>0</v>
      </c>
      <c r="S1044" s="163">
        <v>0</v>
      </c>
      <c r="T1044" s="163">
        <v>0</v>
      </c>
      <c r="U1044" s="163">
        <v>0</v>
      </c>
      <c r="V1044" s="163">
        <v>0</v>
      </c>
      <c r="W1044" s="163">
        <v>0</v>
      </c>
      <c r="X1044" s="163">
        <v>0</v>
      </c>
      <c r="Y1044" s="163">
        <v>6</v>
      </c>
      <c r="Z1044" s="163">
        <v>6</v>
      </c>
      <c r="AA1044" s="163">
        <v>0</v>
      </c>
      <c r="AB1044" s="163">
        <v>0</v>
      </c>
      <c r="AC1044" s="163">
        <v>6</v>
      </c>
      <c r="AD1044" s="163">
        <v>0</v>
      </c>
      <c r="AE1044" s="165">
        <v>0.38553906215191414</v>
      </c>
      <c r="AF1044" s="166">
        <v>0.38553906215191414</v>
      </c>
    </row>
    <row r="1045" spans="1:32">
      <c r="A1045" s="161">
        <v>22</v>
      </c>
      <c r="B1045" s="162">
        <v>0.72916666666666663</v>
      </c>
      <c r="C1045" s="163">
        <v>3.959545624186998</v>
      </c>
      <c r="D1045" s="163">
        <v>743.5228155772993</v>
      </c>
      <c r="E1045" s="164">
        <v>0.9684666666666667</v>
      </c>
      <c r="F1045" s="164">
        <v>0.9684666666666667</v>
      </c>
      <c r="G1045" s="163">
        <v>6</v>
      </c>
      <c r="H1045" s="163">
        <v>11.333333333333332</v>
      </c>
      <c r="I1045" s="163">
        <v>5.3333333333333321</v>
      </c>
      <c r="J1045" s="163">
        <v>4</v>
      </c>
      <c r="K1045" s="163">
        <v>4.648421052631579</v>
      </c>
      <c r="L1045" s="163">
        <v>0.64842105263157901</v>
      </c>
      <c r="M1045" s="163">
        <v>5</v>
      </c>
      <c r="N1045" s="163">
        <v>10.140350877192981</v>
      </c>
      <c r="O1045" s="163">
        <v>5.1403508771929811</v>
      </c>
      <c r="P1045" s="163"/>
      <c r="Q1045" s="163">
        <v>6</v>
      </c>
      <c r="R1045" s="163">
        <v>0</v>
      </c>
      <c r="S1045" s="163">
        <v>0</v>
      </c>
      <c r="T1045" s="163">
        <v>0</v>
      </c>
      <c r="U1045" s="163">
        <v>0</v>
      </c>
      <c r="V1045" s="163">
        <v>0</v>
      </c>
      <c r="W1045" s="163">
        <v>0</v>
      </c>
      <c r="X1045" s="163">
        <v>0</v>
      </c>
      <c r="Y1045" s="163">
        <v>6</v>
      </c>
      <c r="Z1045" s="163">
        <v>6</v>
      </c>
      <c r="AA1045" s="163">
        <v>0</v>
      </c>
      <c r="AB1045" s="163">
        <v>0</v>
      </c>
      <c r="AC1045" s="163">
        <v>6</v>
      </c>
      <c r="AD1045" s="163">
        <v>0</v>
      </c>
      <c r="AE1045" s="165">
        <v>0.35185334709102972</v>
      </c>
      <c r="AF1045" s="166">
        <v>0.35185334709102972</v>
      </c>
    </row>
    <row r="1046" spans="1:32">
      <c r="A1046" s="161">
        <v>22</v>
      </c>
      <c r="B1046" s="162">
        <v>0.75</v>
      </c>
      <c r="C1046" s="163">
        <v>4.1775694837804176</v>
      </c>
      <c r="D1046" s="163">
        <v>727.10843935693856</v>
      </c>
      <c r="E1046" s="164">
        <v>0.99280000000000002</v>
      </c>
      <c r="F1046" s="164">
        <v>0.99280000000000002</v>
      </c>
      <c r="G1046" s="163">
        <v>6</v>
      </c>
      <c r="H1046" s="163">
        <v>13.333333333333332</v>
      </c>
      <c r="I1046" s="163">
        <v>7.3333333333333321</v>
      </c>
      <c r="J1046" s="163">
        <v>4</v>
      </c>
      <c r="K1046" s="163">
        <v>4.648421052631579</v>
      </c>
      <c r="L1046" s="163">
        <v>0.64842105263157901</v>
      </c>
      <c r="M1046" s="163">
        <v>5</v>
      </c>
      <c r="N1046" s="163">
        <v>11.929824561403509</v>
      </c>
      <c r="O1046" s="163">
        <v>6.9298245614035086</v>
      </c>
      <c r="P1046" s="163"/>
      <c r="Q1046" s="163">
        <v>8</v>
      </c>
      <c r="R1046" s="163">
        <v>0</v>
      </c>
      <c r="S1046" s="163">
        <v>0</v>
      </c>
      <c r="T1046" s="163">
        <v>0</v>
      </c>
      <c r="U1046" s="163">
        <v>0</v>
      </c>
      <c r="V1046" s="163">
        <v>0</v>
      </c>
      <c r="W1046" s="163">
        <v>0</v>
      </c>
      <c r="X1046" s="163">
        <v>0</v>
      </c>
      <c r="Y1046" s="163">
        <v>8</v>
      </c>
      <c r="Z1046" s="163">
        <v>8</v>
      </c>
      <c r="AA1046" s="163">
        <v>0</v>
      </c>
      <c r="AB1046" s="163">
        <v>0</v>
      </c>
      <c r="AC1046" s="163">
        <v>8</v>
      </c>
      <c r="AD1046" s="163">
        <v>0</v>
      </c>
      <c r="AE1046" s="165">
        <v>0.27227399666684721</v>
      </c>
      <c r="AF1046" s="166">
        <v>0.36303199555579624</v>
      </c>
    </row>
    <row r="1047" spans="1:32">
      <c r="A1047" s="161">
        <v>22</v>
      </c>
      <c r="B1047" s="162">
        <v>0.77083333333333337</v>
      </c>
      <c r="C1047" s="163">
        <v>4.4539923084767796</v>
      </c>
      <c r="D1047" s="163">
        <v>710.84942922267817</v>
      </c>
      <c r="E1047" s="164">
        <v>0.99129999999999996</v>
      </c>
      <c r="F1047" s="164">
        <v>0.99129999999999996</v>
      </c>
      <c r="G1047" s="163">
        <v>6</v>
      </c>
      <c r="H1047" s="163">
        <v>13.333333333333332</v>
      </c>
      <c r="I1047" s="163">
        <v>7.3333333333333321</v>
      </c>
      <c r="J1047" s="163">
        <v>4</v>
      </c>
      <c r="K1047" s="163">
        <v>4.648421052631579</v>
      </c>
      <c r="L1047" s="163">
        <v>0.64842105263157901</v>
      </c>
      <c r="M1047" s="163">
        <v>5</v>
      </c>
      <c r="N1047" s="163">
        <v>11.929824561403509</v>
      </c>
      <c r="O1047" s="163">
        <v>6.9298245614035086</v>
      </c>
      <c r="P1047" s="163"/>
      <c r="Q1047" s="163">
        <v>8</v>
      </c>
      <c r="R1047" s="163">
        <v>0</v>
      </c>
      <c r="S1047" s="163">
        <v>0</v>
      </c>
      <c r="T1047" s="163">
        <v>0</v>
      </c>
      <c r="U1047" s="163">
        <v>0</v>
      </c>
      <c r="V1047" s="163">
        <v>0</v>
      </c>
      <c r="W1047" s="163">
        <v>0</v>
      </c>
      <c r="X1047" s="163">
        <v>0</v>
      </c>
      <c r="Y1047" s="163">
        <v>8</v>
      </c>
      <c r="Z1047" s="163">
        <v>8</v>
      </c>
      <c r="AA1047" s="163">
        <v>0</v>
      </c>
      <c r="AB1047" s="163">
        <v>0</v>
      </c>
      <c r="AC1047" s="163">
        <v>8</v>
      </c>
      <c r="AD1047" s="163">
        <v>0</v>
      </c>
      <c r="AE1047" s="165">
        <v>0.28379868619138471</v>
      </c>
      <c r="AF1047" s="166">
        <v>0.37839824825517965</v>
      </c>
    </row>
    <row r="1048" spans="1:32">
      <c r="A1048" s="161">
        <v>22</v>
      </c>
      <c r="B1048" s="162">
        <v>0.79166666666666663</v>
      </c>
      <c r="C1048" s="163">
        <v>4.1514462566262136</v>
      </c>
      <c r="D1048" s="163">
        <v>699.83927274078985</v>
      </c>
      <c r="E1048" s="164">
        <v>0.99419999999999986</v>
      </c>
      <c r="F1048" s="164">
        <v>0.99419999999999986</v>
      </c>
      <c r="G1048" s="163">
        <v>6</v>
      </c>
      <c r="H1048" s="163">
        <v>13.333333333333332</v>
      </c>
      <c r="I1048" s="163">
        <v>7.3333333333333321</v>
      </c>
      <c r="J1048" s="163">
        <v>4</v>
      </c>
      <c r="K1048" s="163">
        <v>4.648421052631579</v>
      </c>
      <c r="L1048" s="163">
        <v>0.64842105263157901</v>
      </c>
      <c r="M1048" s="163">
        <v>5</v>
      </c>
      <c r="N1048" s="163">
        <v>11.929824561403509</v>
      </c>
      <c r="O1048" s="163">
        <v>6.9298245614035086</v>
      </c>
      <c r="P1048" s="163"/>
      <c r="Q1048" s="163">
        <v>8</v>
      </c>
      <c r="R1048" s="163">
        <v>0</v>
      </c>
      <c r="S1048" s="163">
        <v>0</v>
      </c>
      <c r="T1048" s="163">
        <v>0</v>
      </c>
      <c r="U1048" s="163">
        <v>0</v>
      </c>
      <c r="V1048" s="163">
        <v>0</v>
      </c>
      <c r="W1048" s="163">
        <v>0</v>
      </c>
      <c r="X1048" s="163">
        <v>0</v>
      </c>
      <c r="Y1048" s="163">
        <v>8</v>
      </c>
      <c r="Z1048" s="163">
        <v>8</v>
      </c>
      <c r="AA1048" s="163">
        <v>0</v>
      </c>
      <c r="AB1048" s="163">
        <v>0</v>
      </c>
      <c r="AC1048" s="163">
        <v>8</v>
      </c>
      <c r="AD1048" s="163">
        <v>0</v>
      </c>
      <c r="AE1048" s="165">
        <v>0.26042401424807288</v>
      </c>
      <c r="AF1048" s="166">
        <v>0.3472320189974305</v>
      </c>
    </row>
    <row r="1049" spans="1:32">
      <c r="A1049" s="161">
        <v>22</v>
      </c>
      <c r="B1049" s="162">
        <v>0.8125</v>
      </c>
      <c r="C1049" s="163">
        <v>3.8702320933255461</v>
      </c>
      <c r="D1049" s="163">
        <v>696.44101457798081</v>
      </c>
      <c r="E1049" s="164">
        <v>0.996</v>
      </c>
      <c r="F1049" s="164">
        <v>0.996</v>
      </c>
      <c r="G1049" s="163">
        <v>6</v>
      </c>
      <c r="H1049" s="163">
        <v>13.333333333333332</v>
      </c>
      <c r="I1049" s="163">
        <v>7.3333333333333321</v>
      </c>
      <c r="J1049" s="163">
        <v>4</v>
      </c>
      <c r="K1049" s="163">
        <v>4.648421052631579</v>
      </c>
      <c r="L1049" s="163">
        <v>0.64842105263157901</v>
      </c>
      <c r="M1049" s="163">
        <v>5</v>
      </c>
      <c r="N1049" s="163">
        <v>11.929824561403509</v>
      </c>
      <c r="O1049" s="163">
        <v>6.9298245614035086</v>
      </c>
      <c r="P1049" s="163"/>
      <c r="Q1049" s="163">
        <v>8</v>
      </c>
      <c r="R1049" s="163">
        <v>0</v>
      </c>
      <c r="S1049" s="163">
        <v>0</v>
      </c>
      <c r="T1049" s="163">
        <v>0</v>
      </c>
      <c r="U1049" s="163">
        <v>0</v>
      </c>
      <c r="V1049" s="163">
        <v>0</v>
      </c>
      <c r="W1049" s="163">
        <v>0</v>
      </c>
      <c r="X1049" s="163">
        <v>0</v>
      </c>
      <c r="Y1049" s="163">
        <v>8</v>
      </c>
      <c r="Z1049" s="163">
        <v>8</v>
      </c>
      <c r="AA1049" s="163">
        <v>0</v>
      </c>
      <c r="AB1049" s="163">
        <v>0</v>
      </c>
      <c r="AC1049" s="163">
        <v>8</v>
      </c>
      <c r="AD1049" s="163">
        <v>0</v>
      </c>
      <c r="AE1049" s="165">
        <v>0.24160429380298068</v>
      </c>
      <c r="AF1049" s="166">
        <v>0.32213905840397422</v>
      </c>
    </row>
    <row r="1050" spans="1:32">
      <c r="A1050" s="161">
        <v>22</v>
      </c>
      <c r="B1050" s="162">
        <v>0.83333333333333337</v>
      </c>
      <c r="C1050" s="163">
        <v>3.6810022485604588</v>
      </c>
      <c r="D1050" s="163">
        <v>689.18008276787486</v>
      </c>
      <c r="E1050" s="164">
        <v>0.9641333333333334</v>
      </c>
      <c r="F1050" s="164">
        <v>0.9641333333333334</v>
      </c>
      <c r="G1050" s="163">
        <v>4</v>
      </c>
      <c r="H1050" s="163">
        <v>12</v>
      </c>
      <c r="I1050" s="163">
        <v>8</v>
      </c>
      <c r="J1050" s="163">
        <v>3</v>
      </c>
      <c r="K1050" s="163">
        <v>3.0989473684210527</v>
      </c>
      <c r="L1050" s="163">
        <v>9.8947368421052673E-2</v>
      </c>
      <c r="M1050" s="163">
        <v>4</v>
      </c>
      <c r="N1050" s="163">
        <v>10.736842105263158</v>
      </c>
      <c r="O1050" s="163">
        <v>6.7368421052631575</v>
      </c>
      <c r="P1050" s="163"/>
      <c r="Q1050" s="163">
        <v>8</v>
      </c>
      <c r="R1050" s="163">
        <v>0</v>
      </c>
      <c r="S1050" s="163">
        <v>0</v>
      </c>
      <c r="T1050" s="163">
        <v>0</v>
      </c>
      <c r="U1050" s="163">
        <v>0</v>
      </c>
      <c r="V1050" s="163">
        <v>0</v>
      </c>
      <c r="W1050" s="163">
        <v>0</v>
      </c>
      <c r="X1050" s="163">
        <v>0</v>
      </c>
      <c r="Y1050" s="163">
        <v>8</v>
      </c>
      <c r="Z1050" s="163">
        <v>8</v>
      </c>
      <c r="AA1050" s="163">
        <v>0</v>
      </c>
      <c r="AB1050" s="163">
        <v>0</v>
      </c>
      <c r="AC1050" s="163">
        <v>8</v>
      </c>
      <c r="AD1050" s="163">
        <v>0</v>
      </c>
      <c r="AE1050" s="165">
        <v>0.22739562222741627</v>
      </c>
      <c r="AF1050" s="166">
        <v>0.45479124445483254</v>
      </c>
    </row>
    <row r="1051" spans="1:32">
      <c r="A1051" s="161">
        <v>22</v>
      </c>
      <c r="B1051" s="162">
        <v>0.85416666666666663</v>
      </c>
      <c r="C1051" s="163">
        <v>3.3012372279712938</v>
      </c>
      <c r="D1051" s="163">
        <v>684.47433387731212</v>
      </c>
      <c r="E1051" s="164">
        <v>0.89049999999999996</v>
      </c>
      <c r="F1051" s="164">
        <v>0.89049999999999996</v>
      </c>
      <c r="G1051" s="163">
        <v>4</v>
      </c>
      <c r="H1051" s="163">
        <v>8.6666666666666661</v>
      </c>
      <c r="I1051" s="163">
        <v>4.6666666666666661</v>
      </c>
      <c r="J1051" s="163">
        <v>3</v>
      </c>
      <c r="K1051" s="163">
        <v>3.0989473684210527</v>
      </c>
      <c r="L1051" s="163">
        <v>9.8947368421052673E-2</v>
      </c>
      <c r="M1051" s="163">
        <v>4</v>
      </c>
      <c r="N1051" s="163">
        <v>7.7543859649122799</v>
      </c>
      <c r="O1051" s="163">
        <v>3.7543859649122799</v>
      </c>
      <c r="P1051" s="163"/>
      <c r="Q1051" s="163">
        <v>6</v>
      </c>
      <c r="R1051" s="163">
        <v>0</v>
      </c>
      <c r="S1051" s="163">
        <v>0</v>
      </c>
      <c r="T1051" s="163">
        <v>0</v>
      </c>
      <c r="U1051" s="163">
        <v>0</v>
      </c>
      <c r="V1051" s="163">
        <v>0</v>
      </c>
      <c r="W1051" s="163">
        <v>0</v>
      </c>
      <c r="X1051" s="163">
        <v>0</v>
      </c>
      <c r="Y1051" s="163">
        <v>6</v>
      </c>
      <c r="Z1051" s="163">
        <v>6</v>
      </c>
      <c r="AA1051" s="163">
        <v>0</v>
      </c>
      <c r="AB1051" s="163">
        <v>0</v>
      </c>
      <c r="AC1051" s="163">
        <v>6</v>
      </c>
      <c r="AD1051" s="163">
        <v>0</v>
      </c>
      <c r="AE1051" s="165">
        <v>0.27005730990304244</v>
      </c>
      <c r="AF1051" s="166">
        <v>0.40508596485456372</v>
      </c>
    </row>
    <row r="1052" spans="1:32">
      <c r="A1052" s="161">
        <v>22</v>
      </c>
      <c r="B1052" s="162">
        <v>0.875</v>
      </c>
      <c r="C1052" s="163">
        <v>2.7589396324237847</v>
      </c>
      <c r="D1052" s="163">
        <v>686.17980518651541</v>
      </c>
      <c r="E1052" s="164">
        <v>0.90459999999999996</v>
      </c>
      <c r="F1052" s="164">
        <v>0.90459999999999996</v>
      </c>
      <c r="G1052" s="163">
        <v>4</v>
      </c>
      <c r="H1052" s="163">
        <v>6.6666666666666661</v>
      </c>
      <c r="I1052" s="163">
        <v>2.6666666666666661</v>
      </c>
      <c r="J1052" s="163">
        <v>3</v>
      </c>
      <c r="K1052" s="163">
        <v>3.0989473684210527</v>
      </c>
      <c r="L1052" s="163">
        <v>9.8947368421052673E-2</v>
      </c>
      <c r="M1052" s="163">
        <v>4</v>
      </c>
      <c r="N1052" s="163">
        <v>5.9649122807017543</v>
      </c>
      <c r="O1052" s="163">
        <v>1.9649122807017543</v>
      </c>
      <c r="P1052" s="163"/>
      <c r="Q1052" s="163">
        <v>4</v>
      </c>
      <c r="R1052" s="163">
        <v>0</v>
      </c>
      <c r="S1052" s="163">
        <v>0</v>
      </c>
      <c r="T1052" s="163">
        <v>0</v>
      </c>
      <c r="U1052" s="163">
        <v>0</v>
      </c>
      <c r="V1052" s="163">
        <v>0</v>
      </c>
      <c r="W1052" s="163">
        <v>0</v>
      </c>
      <c r="X1052" s="163">
        <v>0</v>
      </c>
      <c r="Y1052" s="163">
        <v>4</v>
      </c>
      <c r="Z1052" s="163">
        <v>4</v>
      </c>
      <c r="AA1052" s="163">
        <v>0</v>
      </c>
      <c r="AB1052" s="163">
        <v>0</v>
      </c>
      <c r="AC1052" s="163">
        <v>4</v>
      </c>
      <c r="AD1052" s="163">
        <v>0</v>
      </c>
      <c r="AE1052" s="165">
        <v>0.33938561037949377</v>
      </c>
      <c r="AF1052" s="166">
        <v>0.33938561037949377</v>
      </c>
    </row>
    <row r="1053" spans="1:32">
      <c r="A1053" s="161">
        <v>22</v>
      </c>
      <c r="B1053" s="162">
        <v>0.89583333333333337</v>
      </c>
      <c r="C1053" s="163">
        <v>2.4129848362499819</v>
      </c>
      <c r="D1053" s="163">
        <v>675.42537177928796</v>
      </c>
      <c r="E1053" s="164">
        <v>0.93420000000000003</v>
      </c>
      <c r="F1053" s="164">
        <v>0.93420000000000003</v>
      </c>
      <c r="G1053" s="163">
        <v>4</v>
      </c>
      <c r="H1053" s="163">
        <v>6.6666666666666661</v>
      </c>
      <c r="I1053" s="163">
        <v>2.6666666666666661</v>
      </c>
      <c r="J1053" s="163">
        <v>3</v>
      </c>
      <c r="K1053" s="163">
        <v>3.0989473684210527</v>
      </c>
      <c r="L1053" s="163">
        <v>9.8947368421052673E-2</v>
      </c>
      <c r="M1053" s="163">
        <v>4</v>
      </c>
      <c r="N1053" s="163">
        <v>5.9649122807017543</v>
      </c>
      <c r="O1053" s="163">
        <v>1.9649122807017543</v>
      </c>
      <c r="P1053" s="163"/>
      <c r="Q1053" s="163">
        <v>4</v>
      </c>
      <c r="R1053" s="163">
        <v>0</v>
      </c>
      <c r="S1053" s="163">
        <v>0</v>
      </c>
      <c r="T1053" s="163">
        <v>0</v>
      </c>
      <c r="U1053" s="163">
        <v>0</v>
      </c>
      <c r="V1053" s="163">
        <v>0</v>
      </c>
      <c r="W1053" s="163">
        <v>0</v>
      </c>
      <c r="X1053" s="163">
        <v>0</v>
      </c>
      <c r="Y1053" s="163">
        <v>4</v>
      </c>
      <c r="Z1053" s="163">
        <v>4</v>
      </c>
      <c r="AA1053" s="163">
        <v>0</v>
      </c>
      <c r="AB1053" s="163">
        <v>0</v>
      </c>
      <c r="AC1053" s="163">
        <v>4</v>
      </c>
      <c r="AD1053" s="163">
        <v>0</v>
      </c>
      <c r="AE1053" s="165">
        <v>0.2921764834533197</v>
      </c>
      <c r="AF1053" s="166">
        <v>0.2921764834533197</v>
      </c>
    </row>
    <row r="1054" spans="1:32">
      <c r="A1054" s="161">
        <v>22</v>
      </c>
      <c r="B1054" s="162">
        <v>0.91666666666666663</v>
      </c>
      <c r="C1054" s="163">
        <v>2.0666690814454487</v>
      </c>
      <c r="D1054" s="163">
        <v>669.27768843834531</v>
      </c>
      <c r="E1054" s="164">
        <v>0.59219999999999995</v>
      </c>
      <c r="F1054" s="164">
        <v>0.59219999999999995</v>
      </c>
      <c r="G1054" s="163">
        <v>4</v>
      </c>
      <c r="H1054" s="163">
        <v>5.333333333333333</v>
      </c>
      <c r="I1054" s="163">
        <v>1.333333333333333</v>
      </c>
      <c r="J1054" s="163">
        <v>3</v>
      </c>
      <c r="K1054" s="163">
        <v>3.0989473684210527</v>
      </c>
      <c r="L1054" s="163">
        <v>9.8947368421052673E-2</v>
      </c>
      <c r="M1054" s="163">
        <v>4</v>
      </c>
      <c r="N1054" s="163">
        <v>4.7719298245614032</v>
      </c>
      <c r="O1054" s="163">
        <v>0.77192982456140324</v>
      </c>
      <c r="P1054" s="163"/>
      <c r="Q1054" s="163">
        <v>4</v>
      </c>
      <c r="R1054" s="163">
        <v>0</v>
      </c>
      <c r="S1054" s="163">
        <v>0</v>
      </c>
      <c r="T1054" s="163">
        <v>0</v>
      </c>
      <c r="U1054" s="163">
        <v>0</v>
      </c>
      <c r="V1054" s="163">
        <v>0</v>
      </c>
      <c r="W1054" s="163">
        <v>0</v>
      </c>
      <c r="X1054" s="163">
        <v>0</v>
      </c>
      <c r="Y1054" s="163">
        <v>4</v>
      </c>
      <c r="Z1054" s="163">
        <v>4</v>
      </c>
      <c r="AA1054" s="163">
        <v>0</v>
      </c>
      <c r="AB1054" s="163">
        <v>0</v>
      </c>
      <c r="AC1054" s="163">
        <v>4</v>
      </c>
      <c r="AD1054" s="163">
        <v>0</v>
      </c>
      <c r="AE1054" s="165">
        <v>0.24796511366186741</v>
      </c>
      <c r="AF1054" s="166">
        <v>0.24796511366186741</v>
      </c>
    </row>
    <row r="1055" spans="1:32">
      <c r="A1055" s="161">
        <v>22</v>
      </c>
      <c r="B1055" s="162">
        <v>0.9375</v>
      </c>
      <c r="C1055" s="163">
        <v>1.799525146953092</v>
      </c>
      <c r="D1055" s="163">
        <v>656.90814106205789</v>
      </c>
      <c r="E1055" s="164">
        <v>0.48159999999999997</v>
      </c>
      <c r="F1055" s="164">
        <v>0.48159999999999997</v>
      </c>
      <c r="G1055" s="163">
        <v>3</v>
      </c>
      <c r="H1055" s="163">
        <v>3.333333333333333</v>
      </c>
      <c r="I1055" s="163">
        <v>0.33333333333333304</v>
      </c>
      <c r="J1055" s="163">
        <v>2</v>
      </c>
      <c r="K1055" s="163">
        <v>2.3242105263157895</v>
      </c>
      <c r="L1055" s="163">
        <v>0.3242105263157895</v>
      </c>
      <c r="M1055" s="163">
        <v>3</v>
      </c>
      <c r="N1055" s="163">
        <v>2.9824561403508771</v>
      </c>
      <c r="O1055" s="163">
        <v>-1.7543859649122862E-2</v>
      </c>
      <c r="P1055" s="163"/>
      <c r="Q1055" s="163">
        <v>2</v>
      </c>
      <c r="R1055" s="163">
        <v>0</v>
      </c>
      <c r="S1055" s="163">
        <v>0</v>
      </c>
      <c r="T1055" s="163">
        <v>0</v>
      </c>
      <c r="U1055" s="163">
        <v>0</v>
      </c>
      <c r="V1055" s="163">
        <v>0</v>
      </c>
      <c r="W1055" s="163">
        <v>0</v>
      </c>
      <c r="X1055" s="163">
        <v>0</v>
      </c>
      <c r="Y1055" s="163">
        <v>2</v>
      </c>
      <c r="Z1055" s="163">
        <v>2</v>
      </c>
      <c r="AA1055" s="163">
        <v>0</v>
      </c>
      <c r="AB1055" s="163">
        <v>0</v>
      </c>
      <c r="AC1055" s="163">
        <v>2</v>
      </c>
      <c r="AD1055" s="163">
        <v>0</v>
      </c>
      <c r="AE1055" s="165">
        <v>0.42384381911436181</v>
      </c>
      <c r="AF1055" s="166">
        <v>0.28256254607624121</v>
      </c>
    </row>
    <row r="1056" spans="1:32">
      <c r="A1056" s="161">
        <v>22</v>
      </c>
      <c r="B1056" s="162">
        <v>0.95833333333333337</v>
      </c>
      <c r="C1056" s="163">
        <v>1.5216902716803689</v>
      </c>
      <c r="D1056" s="163">
        <v>646.3138098076688</v>
      </c>
      <c r="E1056" s="164">
        <v>0.55630000000000002</v>
      </c>
      <c r="F1056" s="164">
        <v>0.55630000000000002</v>
      </c>
      <c r="G1056" s="163">
        <v>3</v>
      </c>
      <c r="H1056" s="163">
        <v>3.333333333333333</v>
      </c>
      <c r="I1056" s="163">
        <v>0.33333333333333304</v>
      </c>
      <c r="J1056" s="163">
        <v>2</v>
      </c>
      <c r="K1056" s="163">
        <v>2.3242105263157895</v>
      </c>
      <c r="L1056" s="163">
        <v>0.3242105263157895</v>
      </c>
      <c r="M1056" s="163">
        <v>3</v>
      </c>
      <c r="N1056" s="163">
        <v>2.9824561403508771</v>
      </c>
      <c r="O1056" s="163">
        <v>-1.7543859649122862E-2</v>
      </c>
      <c r="P1056" s="163"/>
      <c r="Q1056" s="163">
        <v>2</v>
      </c>
      <c r="R1056" s="163">
        <v>0</v>
      </c>
      <c r="S1056" s="163">
        <v>0</v>
      </c>
      <c r="T1056" s="163">
        <v>0</v>
      </c>
      <c r="U1056" s="163">
        <v>0</v>
      </c>
      <c r="V1056" s="163">
        <v>0</v>
      </c>
      <c r="W1056" s="163">
        <v>0</v>
      </c>
      <c r="X1056" s="163">
        <v>0</v>
      </c>
      <c r="Y1056" s="163">
        <v>2</v>
      </c>
      <c r="Z1056" s="163">
        <v>2</v>
      </c>
      <c r="AA1056" s="163">
        <v>0</v>
      </c>
      <c r="AB1056" s="163">
        <v>0</v>
      </c>
      <c r="AC1056" s="163">
        <v>2</v>
      </c>
      <c r="AD1056" s="163">
        <v>0</v>
      </c>
      <c r="AE1056" s="165">
        <v>0.35262491130553869</v>
      </c>
      <c r="AF1056" s="166">
        <v>0.23508327420369246</v>
      </c>
    </row>
    <row r="1057" spans="1:32">
      <c r="A1057" s="161">
        <v>22</v>
      </c>
      <c r="B1057" s="162">
        <v>0.97916666666666663</v>
      </c>
      <c r="C1057" s="163">
        <v>1.1675582662341084</v>
      </c>
      <c r="D1057" s="163">
        <v>581.56443016933724</v>
      </c>
      <c r="E1057" s="164">
        <v>0.6804</v>
      </c>
      <c r="F1057" s="164">
        <v>0.6804</v>
      </c>
      <c r="G1057" s="163">
        <v>3</v>
      </c>
      <c r="H1057" s="163">
        <v>3.333333333333333</v>
      </c>
      <c r="I1057" s="163">
        <v>0.33333333333333304</v>
      </c>
      <c r="J1057" s="163">
        <v>2</v>
      </c>
      <c r="K1057" s="163">
        <v>2.3242105263157895</v>
      </c>
      <c r="L1057" s="163">
        <v>0.3242105263157895</v>
      </c>
      <c r="M1057" s="163">
        <v>3</v>
      </c>
      <c r="N1057" s="163">
        <v>2.9824561403508771</v>
      </c>
      <c r="O1057" s="163">
        <v>-1.7543859649122862E-2</v>
      </c>
      <c r="P1057" s="163"/>
      <c r="Q1057" s="163">
        <v>2</v>
      </c>
      <c r="R1057" s="163">
        <v>0</v>
      </c>
      <c r="S1057" s="163">
        <v>0</v>
      </c>
      <c r="T1057" s="163">
        <v>0</v>
      </c>
      <c r="U1057" s="163">
        <v>0</v>
      </c>
      <c r="V1057" s="163">
        <v>0</v>
      </c>
      <c r="W1057" s="163">
        <v>0</v>
      </c>
      <c r="X1057" s="163">
        <v>0</v>
      </c>
      <c r="Y1057" s="163">
        <v>2</v>
      </c>
      <c r="Z1057" s="163">
        <v>2</v>
      </c>
      <c r="AA1057" s="163">
        <v>0</v>
      </c>
      <c r="AB1057" s="163">
        <v>0</v>
      </c>
      <c r="AC1057" s="163">
        <v>2</v>
      </c>
      <c r="AD1057" s="163">
        <v>0</v>
      </c>
      <c r="AE1057" s="165">
        <v>0.24345555551869777</v>
      </c>
      <c r="AF1057" s="166">
        <v>0.16230370367913186</v>
      </c>
    </row>
    <row r="1058" spans="1:32">
      <c r="A1058" s="161">
        <v>23</v>
      </c>
      <c r="B1058" s="162">
        <v>0</v>
      </c>
      <c r="C1058" s="163">
        <v>0.6667585609433655</v>
      </c>
      <c r="D1058" s="163">
        <v>651.8973435066373</v>
      </c>
      <c r="E1058" s="164">
        <v>0.78630000000000011</v>
      </c>
      <c r="F1058" s="164">
        <v>0.78630000000000011</v>
      </c>
      <c r="G1058" s="163">
        <v>3</v>
      </c>
      <c r="H1058" s="163">
        <v>3.333333333333333</v>
      </c>
      <c r="I1058" s="163">
        <v>0.33333333333333304</v>
      </c>
      <c r="J1058" s="163">
        <v>2</v>
      </c>
      <c r="K1058" s="163">
        <v>2.3242105263157895</v>
      </c>
      <c r="L1058" s="163">
        <v>0.3242105263157895</v>
      </c>
      <c r="M1058" s="163">
        <v>3</v>
      </c>
      <c r="N1058" s="163">
        <v>2.9824561403508771</v>
      </c>
      <c r="O1058" s="163">
        <v>-1.7543859649122862E-2</v>
      </c>
      <c r="P1058" s="163"/>
      <c r="Q1058" s="163">
        <v>2</v>
      </c>
      <c r="R1058" s="163">
        <v>0</v>
      </c>
      <c r="S1058" s="163">
        <v>0</v>
      </c>
      <c r="T1058" s="163">
        <v>0</v>
      </c>
      <c r="U1058" s="163">
        <v>0</v>
      </c>
      <c r="V1058" s="163">
        <v>0</v>
      </c>
      <c r="W1058" s="163">
        <v>0</v>
      </c>
      <c r="X1058" s="163">
        <v>0</v>
      </c>
      <c r="Y1058" s="163">
        <v>2</v>
      </c>
      <c r="Z1058" s="163">
        <v>2</v>
      </c>
      <c r="AA1058" s="163">
        <v>0</v>
      </c>
      <c r="AB1058" s="163">
        <v>0</v>
      </c>
      <c r="AC1058" s="163">
        <v>2</v>
      </c>
      <c r="AD1058" s="163">
        <v>0</v>
      </c>
      <c r="AE1058" s="165">
        <v>0.15584436439738975</v>
      </c>
      <c r="AF1058" s="166">
        <v>0.10389624293159318</v>
      </c>
    </row>
    <row r="1059" spans="1:32">
      <c r="A1059" s="161">
        <v>23</v>
      </c>
      <c r="B1059" s="162">
        <v>2.0833333333333332E-2</v>
      </c>
      <c r="C1059" s="163">
        <v>0.42359865376389816</v>
      </c>
      <c r="D1059" s="163">
        <v>651.73518353044255</v>
      </c>
      <c r="E1059" s="164">
        <v>0.86060000000000014</v>
      </c>
      <c r="F1059" s="164">
        <v>0.86060000000000014</v>
      </c>
      <c r="G1059" s="163">
        <v>2</v>
      </c>
      <c r="H1059" s="163">
        <v>3.333333333333333</v>
      </c>
      <c r="I1059" s="163">
        <v>1.333333333333333</v>
      </c>
      <c r="J1059" s="163">
        <v>1</v>
      </c>
      <c r="K1059" s="163">
        <v>1.5494736842105263</v>
      </c>
      <c r="L1059" s="163">
        <v>0.54947368421052634</v>
      </c>
      <c r="M1059" s="163">
        <v>2</v>
      </c>
      <c r="N1059" s="163">
        <v>2.9824561403508771</v>
      </c>
      <c r="O1059" s="163">
        <v>0.98245614035087714</v>
      </c>
      <c r="P1059" s="163"/>
      <c r="Q1059" s="163">
        <v>2</v>
      </c>
      <c r="R1059" s="163">
        <v>0</v>
      </c>
      <c r="S1059" s="163">
        <v>0</v>
      </c>
      <c r="T1059" s="163">
        <v>0</v>
      </c>
      <c r="U1059" s="163">
        <v>0</v>
      </c>
      <c r="V1059" s="163">
        <v>0</v>
      </c>
      <c r="W1059" s="163">
        <v>0</v>
      </c>
      <c r="X1059" s="163">
        <v>0</v>
      </c>
      <c r="Y1059" s="163">
        <v>2</v>
      </c>
      <c r="Z1059" s="163">
        <v>2</v>
      </c>
      <c r="AA1059" s="163">
        <v>0</v>
      </c>
      <c r="AB1059" s="163">
        <v>0</v>
      </c>
      <c r="AC1059" s="163">
        <v>2</v>
      </c>
      <c r="AD1059" s="163">
        <v>0</v>
      </c>
      <c r="AE1059" s="165">
        <v>9.8984918114568013E-2</v>
      </c>
      <c r="AF1059" s="166">
        <v>9.8984918114568013E-2</v>
      </c>
    </row>
    <row r="1060" spans="1:32">
      <c r="A1060" s="161">
        <v>23</v>
      </c>
      <c r="B1060" s="162">
        <v>4.1666666666666664E-2</v>
      </c>
      <c r="C1060" s="163">
        <v>0.58445486961547954</v>
      </c>
      <c r="D1060" s="163">
        <v>609.02679751314406</v>
      </c>
      <c r="E1060" s="164">
        <v>0.82320000000000004</v>
      </c>
      <c r="F1060" s="164">
        <v>0.82320000000000004</v>
      </c>
      <c r="G1060" s="163">
        <v>2</v>
      </c>
      <c r="H1060" s="163">
        <v>3.333333333333333</v>
      </c>
      <c r="I1060" s="163">
        <v>1.333333333333333</v>
      </c>
      <c r="J1060" s="163">
        <v>1</v>
      </c>
      <c r="K1060" s="163">
        <v>1.5494736842105263</v>
      </c>
      <c r="L1060" s="163">
        <v>0.54947368421052634</v>
      </c>
      <c r="M1060" s="163">
        <v>2</v>
      </c>
      <c r="N1060" s="163">
        <v>2.9824561403508771</v>
      </c>
      <c r="O1060" s="163">
        <v>0.98245614035087714</v>
      </c>
      <c r="P1060" s="163"/>
      <c r="Q1060" s="163">
        <v>2</v>
      </c>
      <c r="R1060" s="163">
        <v>0</v>
      </c>
      <c r="S1060" s="163">
        <v>0</v>
      </c>
      <c r="T1060" s="163">
        <v>0</v>
      </c>
      <c r="U1060" s="163">
        <v>0</v>
      </c>
      <c r="V1060" s="163">
        <v>0</v>
      </c>
      <c r="W1060" s="163">
        <v>0</v>
      </c>
      <c r="X1060" s="163">
        <v>0</v>
      </c>
      <c r="Y1060" s="163">
        <v>2</v>
      </c>
      <c r="Z1060" s="163">
        <v>2</v>
      </c>
      <c r="AA1060" s="163">
        <v>0</v>
      </c>
      <c r="AB1060" s="163">
        <v>0</v>
      </c>
      <c r="AC1060" s="163">
        <v>2</v>
      </c>
      <c r="AD1060" s="163">
        <v>0</v>
      </c>
      <c r="AE1060" s="165">
        <v>0.12762350681470175</v>
      </c>
      <c r="AF1060" s="166">
        <v>0.12762350681470175</v>
      </c>
    </row>
    <row r="1061" spans="1:32">
      <c r="A1061" s="161">
        <v>23</v>
      </c>
      <c r="B1061" s="162">
        <v>6.25E-2</v>
      </c>
      <c r="C1061" s="163">
        <v>0.45701318214173181</v>
      </c>
      <c r="D1061" s="163">
        <v>659.41609004615555</v>
      </c>
      <c r="E1061" s="164">
        <v>0.84850000000000003</v>
      </c>
      <c r="F1061" s="164">
        <v>0.84850000000000003</v>
      </c>
      <c r="G1061" s="163">
        <v>2</v>
      </c>
      <c r="H1061" s="163">
        <v>3.333333333333333</v>
      </c>
      <c r="I1061" s="163">
        <v>1.333333333333333</v>
      </c>
      <c r="J1061" s="163">
        <v>1</v>
      </c>
      <c r="K1061" s="163">
        <v>1.5494736842105263</v>
      </c>
      <c r="L1061" s="163">
        <v>0.54947368421052634</v>
      </c>
      <c r="M1061" s="163">
        <v>2</v>
      </c>
      <c r="N1061" s="163">
        <v>2.9824561403508771</v>
      </c>
      <c r="O1061" s="163">
        <v>0.98245614035087714</v>
      </c>
      <c r="P1061" s="163"/>
      <c r="Q1061" s="163">
        <v>2</v>
      </c>
      <c r="R1061" s="163">
        <v>0</v>
      </c>
      <c r="S1061" s="163">
        <v>0</v>
      </c>
      <c r="T1061" s="163">
        <v>0</v>
      </c>
      <c r="U1061" s="163">
        <v>0</v>
      </c>
      <c r="V1061" s="163">
        <v>0</v>
      </c>
      <c r="W1061" s="163">
        <v>0</v>
      </c>
      <c r="X1061" s="163">
        <v>0</v>
      </c>
      <c r="Y1061" s="163">
        <v>2</v>
      </c>
      <c r="Z1061" s="163">
        <v>2</v>
      </c>
      <c r="AA1061" s="163">
        <v>0</v>
      </c>
      <c r="AB1061" s="163">
        <v>0</v>
      </c>
      <c r="AC1061" s="163">
        <v>2</v>
      </c>
      <c r="AD1061" s="163">
        <v>0</v>
      </c>
      <c r="AE1061" s="165">
        <v>0.10805168832430544</v>
      </c>
      <c r="AF1061" s="166">
        <v>0.10805168832430544</v>
      </c>
    </row>
    <row r="1062" spans="1:32">
      <c r="A1062" s="161">
        <v>23</v>
      </c>
      <c r="B1062" s="162">
        <v>8.3333333333333329E-2</v>
      </c>
      <c r="C1062" s="163">
        <v>0.35018545129086776</v>
      </c>
      <c r="D1062" s="163">
        <v>621.10065695231344</v>
      </c>
      <c r="E1062" s="164">
        <v>0.88929999999999998</v>
      </c>
      <c r="F1062" s="164">
        <v>0.88929999999999998</v>
      </c>
      <c r="G1062" s="163">
        <v>2</v>
      </c>
      <c r="H1062" s="163">
        <v>3.333333333333333</v>
      </c>
      <c r="I1062" s="163">
        <v>1.333333333333333</v>
      </c>
      <c r="J1062" s="163">
        <v>1</v>
      </c>
      <c r="K1062" s="163">
        <v>1.5494736842105263</v>
      </c>
      <c r="L1062" s="163">
        <v>0.54947368421052634</v>
      </c>
      <c r="M1062" s="163">
        <v>2</v>
      </c>
      <c r="N1062" s="163">
        <v>2.9824561403508771</v>
      </c>
      <c r="O1062" s="163">
        <v>0.98245614035087714</v>
      </c>
      <c r="P1062" s="163"/>
      <c r="Q1062" s="163">
        <v>2</v>
      </c>
      <c r="R1062" s="163">
        <v>0</v>
      </c>
      <c r="S1062" s="163">
        <v>0</v>
      </c>
      <c r="T1062" s="163">
        <v>0</v>
      </c>
      <c r="U1062" s="163">
        <v>0</v>
      </c>
      <c r="V1062" s="163">
        <v>0</v>
      </c>
      <c r="W1062" s="163">
        <v>0</v>
      </c>
      <c r="X1062" s="163">
        <v>0</v>
      </c>
      <c r="Y1062" s="163">
        <v>2</v>
      </c>
      <c r="Z1062" s="163">
        <v>2</v>
      </c>
      <c r="AA1062" s="163">
        <v>0</v>
      </c>
      <c r="AB1062" s="163">
        <v>0</v>
      </c>
      <c r="AC1062" s="163">
        <v>2</v>
      </c>
      <c r="AD1062" s="163">
        <v>0</v>
      </c>
      <c r="AE1062" s="165">
        <v>7.7983617587298187E-2</v>
      </c>
      <c r="AF1062" s="166">
        <v>7.7983617587298187E-2</v>
      </c>
    </row>
    <row r="1063" spans="1:32">
      <c r="A1063" s="161">
        <v>23</v>
      </c>
      <c r="B1063" s="162">
        <v>0.10416666666666667</v>
      </c>
      <c r="C1063" s="163">
        <v>0.2574792682369425</v>
      </c>
      <c r="D1063" s="163">
        <v>653.70489080466689</v>
      </c>
      <c r="E1063" s="164">
        <v>0.91339999999999988</v>
      </c>
      <c r="F1063" s="164">
        <v>0.91339999999999988</v>
      </c>
      <c r="G1063" s="163">
        <v>2</v>
      </c>
      <c r="H1063" s="163">
        <v>3.333333333333333</v>
      </c>
      <c r="I1063" s="163">
        <v>1.333333333333333</v>
      </c>
      <c r="J1063" s="163">
        <v>1</v>
      </c>
      <c r="K1063" s="163">
        <v>1.5494736842105263</v>
      </c>
      <c r="L1063" s="163">
        <v>0.54947368421052634</v>
      </c>
      <c r="M1063" s="163">
        <v>2</v>
      </c>
      <c r="N1063" s="163">
        <v>2.9824561403508771</v>
      </c>
      <c r="O1063" s="163">
        <v>0.98245614035087714</v>
      </c>
      <c r="P1063" s="163"/>
      <c r="Q1063" s="163">
        <v>2</v>
      </c>
      <c r="R1063" s="163">
        <v>0</v>
      </c>
      <c r="S1063" s="163">
        <v>0</v>
      </c>
      <c r="T1063" s="163">
        <v>0</v>
      </c>
      <c r="U1063" s="163">
        <v>0</v>
      </c>
      <c r="V1063" s="163">
        <v>0</v>
      </c>
      <c r="W1063" s="163">
        <v>0</v>
      </c>
      <c r="X1063" s="163">
        <v>0</v>
      </c>
      <c r="Y1063" s="163">
        <v>2</v>
      </c>
      <c r="Z1063" s="163">
        <v>2</v>
      </c>
      <c r="AA1063" s="163">
        <v>0</v>
      </c>
      <c r="AB1063" s="163">
        <v>0</v>
      </c>
      <c r="AC1063" s="163">
        <v>2</v>
      </c>
      <c r="AD1063" s="163">
        <v>0</v>
      </c>
      <c r="AE1063" s="165">
        <v>6.0348612651317642E-2</v>
      </c>
      <c r="AF1063" s="166">
        <v>6.0348612651317642E-2</v>
      </c>
    </row>
    <row r="1064" spans="1:32">
      <c r="A1064" s="161">
        <v>23</v>
      </c>
      <c r="B1064" s="162">
        <v>0.125</v>
      </c>
      <c r="C1064" s="163">
        <v>0.22223870949946867</v>
      </c>
      <c r="D1064" s="163">
        <v>588.58496225474426</v>
      </c>
      <c r="E1064" s="164">
        <v>0.93269999999999997</v>
      </c>
      <c r="F1064" s="164">
        <v>0.93269999999999997</v>
      </c>
      <c r="G1064" s="163">
        <v>2</v>
      </c>
      <c r="H1064" s="163">
        <v>3.333333333333333</v>
      </c>
      <c r="I1064" s="163">
        <v>1.333333333333333</v>
      </c>
      <c r="J1064" s="163">
        <v>1</v>
      </c>
      <c r="K1064" s="163">
        <v>1.5494736842105263</v>
      </c>
      <c r="L1064" s="163">
        <v>0.54947368421052634</v>
      </c>
      <c r="M1064" s="163">
        <v>2</v>
      </c>
      <c r="N1064" s="163">
        <v>2.9824561403508771</v>
      </c>
      <c r="O1064" s="163">
        <v>0.98245614035087714</v>
      </c>
      <c r="P1064" s="163"/>
      <c r="Q1064" s="163">
        <v>2</v>
      </c>
      <c r="R1064" s="163">
        <v>0</v>
      </c>
      <c r="S1064" s="163">
        <v>0</v>
      </c>
      <c r="T1064" s="163">
        <v>0</v>
      </c>
      <c r="U1064" s="163">
        <v>0</v>
      </c>
      <c r="V1064" s="163">
        <v>0</v>
      </c>
      <c r="W1064" s="163">
        <v>0</v>
      </c>
      <c r="X1064" s="163">
        <v>0</v>
      </c>
      <c r="Y1064" s="163">
        <v>2</v>
      </c>
      <c r="Z1064" s="163">
        <v>2</v>
      </c>
      <c r="AA1064" s="163">
        <v>0</v>
      </c>
      <c r="AB1064" s="163">
        <v>0</v>
      </c>
      <c r="AC1064" s="163">
        <v>2</v>
      </c>
      <c r="AD1064" s="163">
        <v>0</v>
      </c>
      <c r="AE1064" s="165">
        <v>4.6899926147408455E-2</v>
      </c>
      <c r="AF1064" s="166">
        <v>4.6899926147408455E-2</v>
      </c>
    </row>
    <row r="1065" spans="1:32">
      <c r="A1065" s="161">
        <v>23</v>
      </c>
      <c r="B1065" s="162">
        <v>0.14583333333333334</v>
      </c>
      <c r="C1065" s="163">
        <v>0.22279173681869002</v>
      </c>
      <c r="D1065" s="163">
        <v>659.23540089197741</v>
      </c>
      <c r="E1065" s="164">
        <v>0.92420000000000002</v>
      </c>
      <c r="F1065" s="164">
        <v>0.92420000000000002</v>
      </c>
      <c r="G1065" s="163">
        <v>2</v>
      </c>
      <c r="H1065" s="163">
        <v>3.333333333333333</v>
      </c>
      <c r="I1065" s="163">
        <v>1.333333333333333</v>
      </c>
      <c r="J1065" s="163">
        <v>1</v>
      </c>
      <c r="K1065" s="163">
        <v>1.5494736842105263</v>
      </c>
      <c r="L1065" s="163">
        <v>0.54947368421052634</v>
      </c>
      <c r="M1065" s="163">
        <v>2</v>
      </c>
      <c r="N1065" s="163">
        <v>2.9824561403508771</v>
      </c>
      <c r="O1065" s="163">
        <v>0.98245614035087714</v>
      </c>
      <c r="P1065" s="163"/>
      <c r="Q1065" s="163">
        <v>2</v>
      </c>
      <c r="R1065" s="163">
        <v>0</v>
      </c>
      <c r="S1065" s="163">
        <v>0</v>
      </c>
      <c r="T1065" s="163">
        <v>0</v>
      </c>
      <c r="U1065" s="163">
        <v>0</v>
      </c>
      <c r="V1065" s="163">
        <v>0</v>
      </c>
      <c r="W1065" s="163">
        <v>0</v>
      </c>
      <c r="X1065" s="163">
        <v>0</v>
      </c>
      <c r="Y1065" s="163">
        <v>2</v>
      </c>
      <c r="Z1065" s="163">
        <v>2</v>
      </c>
      <c r="AA1065" s="163">
        <v>0</v>
      </c>
      <c r="AB1065" s="163">
        <v>0</v>
      </c>
      <c r="AC1065" s="163">
        <v>2</v>
      </c>
      <c r="AD1065" s="163">
        <v>0</v>
      </c>
      <c r="AE1065" s="165">
        <v>5.2660246807153754E-2</v>
      </c>
      <c r="AF1065" s="166">
        <v>5.2660246807153754E-2</v>
      </c>
    </row>
    <row r="1066" spans="1:32">
      <c r="A1066" s="161">
        <v>23</v>
      </c>
      <c r="B1066" s="162">
        <v>0.16666666666666666</v>
      </c>
      <c r="C1066" s="163">
        <v>0.19128112591338314</v>
      </c>
      <c r="D1066" s="163">
        <v>687.82517288076576</v>
      </c>
      <c r="E1066" s="164">
        <v>0.93179999999999996</v>
      </c>
      <c r="F1066" s="164">
        <v>0.93179999999999996</v>
      </c>
      <c r="G1066" s="163">
        <v>2</v>
      </c>
      <c r="H1066" s="163">
        <v>3.333333333333333</v>
      </c>
      <c r="I1066" s="163">
        <v>1.333333333333333</v>
      </c>
      <c r="J1066" s="163">
        <v>1</v>
      </c>
      <c r="K1066" s="163">
        <v>1.5494736842105263</v>
      </c>
      <c r="L1066" s="163">
        <v>0.54947368421052634</v>
      </c>
      <c r="M1066" s="163">
        <v>2</v>
      </c>
      <c r="N1066" s="163">
        <v>2.9824561403508771</v>
      </c>
      <c r="O1066" s="163">
        <v>0.98245614035087714</v>
      </c>
      <c r="P1066" s="163"/>
      <c r="Q1066" s="163">
        <v>2</v>
      </c>
      <c r="R1066" s="163">
        <v>0</v>
      </c>
      <c r="S1066" s="163">
        <v>0</v>
      </c>
      <c r="T1066" s="163">
        <v>0</v>
      </c>
      <c r="U1066" s="163">
        <v>0</v>
      </c>
      <c r="V1066" s="163">
        <v>0</v>
      </c>
      <c r="W1066" s="163">
        <v>0</v>
      </c>
      <c r="X1066" s="163">
        <v>0</v>
      </c>
      <c r="Y1066" s="163">
        <v>2</v>
      </c>
      <c r="Z1066" s="163">
        <v>2</v>
      </c>
      <c r="AA1066" s="163">
        <v>0</v>
      </c>
      <c r="AB1066" s="163">
        <v>0</v>
      </c>
      <c r="AC1066" s="163">
        <v>2</v>
      </c>
      <c r="AD1066" s="163">
        <v>0</v>
      </c>
      <c r="AE1066" s="165">
        <v>4.717299774501444E-2</v>
      </c>
      <c r="AF1066" s="166">
        <v>4.717299774501444E-2</v>
      </c>
    </row>
    <row r="1067" spans="1:32">
      <c r="A1067" s="161">
        <v>23</v>
      </c>
      <c r="B1067" s="162">
        <v>0.1875</v>
      </c>
      <c r="C1067" s="163">
        <v>0.22546360301398449</v>
      </c>
      <c r="D1067" s="163">
        <v>681.21450395193779</v>
      </c>
      <c r="E1067" s="164">
        <v>0.92069999999999996</v>
      </c>
      <c r="F1067" s="164">
        <v>0.92069999999999996</v>
      </c>
      <c r="G1067" s="163">
        <v>2</v>
      </c>
      <c r="H1067" s="163">
        <v>3.333333333333333</v>
      </c>
      <c r="I1067" s="163">
        <v>1.333333333333333</v>
      </c>
      <c r="J1067" s="163">
        <v>1</v>
      </c>
      <c r="K1067" s="163">
        <v>1.5494736842105263</v>
      </c>
      <c r="L1067" s="163">
        <v>0.54947368421052634</v>
      </c>
      <c r="M1067" s="163">
        <v>2</v>
      </c>
      <c r="N1067" s="163">
        <v>2.9824561403508771</v>
      </c>
      <c r="O1067" s="163">
        <v>0.98245614035087714</v>
      </c>
      <c r="P1067" s="163"/>
      <c r="Q1067" s="163">
        <v>2</v>
      </c>
      <c r="R1067" s="163">
        <v>0</v>
      </c>
      <c r="S1067" s="163">
        <v>0</v>
      </c>
      <c r="T1067" s="163">
        <v>0</v>
      </c>
      <c r="U1067" s="163">
        <v>0</v>
      </c>
      <c r="V1067" s="163">
        <v>0</v>
      </c>
      <c r="W1067" s="163">
        <v>0</v>
      </c>
      <c r="X1067" s="163">
        <v>0</v>
      </c>
      <c r="Y1067" s="163">
        <v>2</v>
      </c>
      <c r="Z1067" s="163">
        <v>2</v>
      </c>
      <c r="AA1067" s="163">
        <v>0</v>
      </c>
      <c r="AB1067" s="163">
        <v>0</v>
      </c>
      <c r="AC1067" s="163">
        <v>2</v>
      </c>
      <c r="AD1067" s="163">
        <v>0</v>
      </c>
      <c r="AE1067" s="165">
        <v>5.5068547200358045E-2</v>
      </c>
      <c r="AF1067" s="166">
        <v>5.5068547200358045E-2</v>
      </c>
    </row>
    <row r="1068" spans="1:32">
      <c r="A1068" s="161">
        <v>23</v>
      </c>
      <c r="B1068" s="162">
        <v>0.20833333333333334</v>
      </c>
      <c r="C1068" s="163">
        <v>0.3171117044310372</v>
      </c>
      <c r="D1068" s="163">
        <v>638.16718656928742</v>
      </c>
      <c r="E1068" s="164">
        <v>0.89670000000000005</v>
      </c>
      <c r="F1068" s="164">
        <v>0.89670000000000005</v>
      </c>
      <c r="G1068" s="163">
        <v>2</v>
      </c>
      <c r="H1068" s="163">
        <v>3.333333333333333</v>
      </c>
      <c r="I1068" s="163">
        <v>1.333333333333333</v>
      </c>
      <c r="J1068" s="163">
        <v>1</v>
      </c>
      <c r="K1068" s="163">
        <v>1.5494736842105263</v>
      </c>
      <c r="L1068" s="163">
        <v>0.54947368421052634</v>
      </c>
      <c r="M1068" s="163">
        <v>2</v>
      </c>
      <c r="N1068" s="163">
        <v>2.9824561403508771</v>
      </c>
      <c r="O1068" s="163">
        <v>0.98245614035087714</v>
      </c>
      <c r="P1068" s="163"/>
      <c r="Q1068" s="163">
        <v>2</v>
      </c>
      <c r="R1068" s="163">
        <v>0</v>
      </c>
      <c r="S1068" s="163">
        <v>0</v>
      </c>
      <c r="T1068" s="163">
        <v>0</v>
      </c>
      <c r="U1068" s="163">
        <v>0</v>
      </c>
      <c r="V1068" s="163">
        <v>0</v>
      </c>
      <c r="W1068" s="163">
        <v>0</v>
      </c>
      <c r="X1068" s="163">
        <v>0</v>
      </c>
      <c r="Y1068" s="163">
        <v>2</v>
      </c>
      <c r="Z1068" s="163">
        <v>2</v>
      </c>
      <c r="AA1068" s="163">
        <v>0</v>
      </c>
      <c r="AB1068" s="163">
        <v>0</v>
      </c>
      <c r="AC1068" s="163">
        <v>2</v>
      </c>
      <c r="AD1068" s="163">
        <v>0</v>
      </c>
      <c r="AE1068" s="165">
        <v>7.255879001837981E-2</v>
      </c>
      <c r="AF1068" s="166">
        <v>7.255879001837981E-2</v>
      </c>
    </row>
    <row r="1069" spans="1:32">
      <c r="A1069" s="161">
        <v>23</v>
      </c>
      <c r="B1069" s="162">
        <v>0.22916666666666666</v>
      </c>
      <c r="C1069" s="163">
        <v>0.48878898235683887</v>
      </c>
      <c r="D1069" s="163">
        <v>658.28219813475289</v>
      </c>
      <c r="E1069" s="164">
        <v>0.83879999999999999</v>
      </c>
      <c r="F1069" s="164">
        <v>0.83879999999999999</v>
      </c>
      <c r="G1069" s="163">
        <v>2</v>
      </c>
      <c r="H1069" s="163">
        <v>3.333333333333333</v>
      </c>
      <c r="I1069" s="163">
        <v>1.333333333333333</v>
      </c>
      <c r="J1069" s="163">
        <v>1</v>
      </c>
      <c r="K1069" s="163">
        <v>1.5494736842105263</v>
      </c>
      <c r="L1069" s="163">
        <v>0.54947368421052634</v>
      </c>
      <c r="M1069" s="163">
        <v>2</v>
      </c>
      <c r="N1069" s="163">
        <v>2.9824561403508771</v>
      </c>
      <c r="O1069" s="163">
        <v>0.98245614035087714</v>
      </c>
      <c r="P1069" s="163"/>
      <c r="Q1069" s="163">
        <v>2</v>
      </c>
      <c r="R1069" s="163">
        <v>0</v>
      </c>
      <c r="S1069" s="163">
        <v>0</v>
      </c>
      <c r="T1069" s="163">
        <v>0</v>
      </c>
      <c r="U1069" s="163">
        <v>0</v>
      </c>
      <c r="V1069" s="163">
        <v>0</v>
      </c>
      <c r="W1069" s="163">
        <v>0</v>
      </c>
      <c r="X1069" s="163">
        <v>0</v>
      </c>
      <c r="Y1069" s="163">
        <v>2</v>
      </c>
      <c r="Z1069" s="163">
        <v>2</v>
      </c>
      <c r="AA1069" s="163">
        <v>0</v>
      </c>
      <c r="AB1069" s="163">
        <v>0</v>
      </c>
      <c r="AC1069" s="163">
        <v>2</v>
      </c>
      <c r="AD1069" s="163">
        <v>0</v>
      </c>
      <c r="AE1069" s="165">
        <v>0.11536572744694044</v>
      </c>
      <c r="AF1069" s="166">
        <v>0.11536572744694044</v>
      </c>
    </row>
    <row r="1070" spans="1:32">
      <c r="A1070" s="161">
        <v>23</v>
      </c>
      <c r="B1070" s="162">
        <v>0.25</v>
      </c>
      <c r="C1070" s="163">
        <v>0.73761170549252086</v>
      </c>
      <c r="D1070" s="163">
        <v>748.0337159093649</v>
      </c>
      <c r="E1070" s="164">
        <v>0.73250000000000004</v>
      </c>
      <c r="F1070" s="164">
        <v>0.73250000000000004</v>
      </c>
      <c r="G1070" s="163">
        <v>3</v>
      </c>
      <c r="H1070" s="163">
        <v>3.333333333333333</v>
      </c>
      <c r="I1070" s="163">
        <v>0.33333333333333304</v>
      </c>
      <c r="J1070" s="163">
        <v>2</v>
      </c>
      <c r="K1070" s="163">
        <v>2.3242105263157895</v>
      </c>
      <c r="L1070" s="163">
        <v>0.3242105263157895</v>
      </c>
      <c r="M1070" s="163">
        <v>3</v>
      </c>
      <c r="N1070" s="163">
        <v>2.9824561403508771</v>
      </c>
      <c r="O1070" s="163">
        <v>-1.7543859649122862E-2</v>
      </c>
      <c r="P1070" s="163"/>
      <c r="Q1070" s="163">
        <v>2</v>
      </c>
      <c r="R1070" s="163">
        <v>0</v>
      </c>
      <c r="S1070" s="163">
        <v>0</v>
      </c>
      <c r="T1070" s="163">
        <v>0</v>
      </c>
      <c r="U1070" s="163">
        <v>0</v>
      </c>
      <c r="V1070" s="163">
        <v>0</v>
      </c>
      <c r="W1070" s="163">
        <v>0</v>
      </c>
      <c r="X1070" s="163">
        <v>0</v>
      </c>
      <c r="Y1070" s="163">
        <v>2</v>
      </c>
      <c r="Z1070" s="163">
        <v>2</v>
      </c>
      <c r="AA1070" s="163">
        <v>0</v>
      </c>
      <c r="AB1070" s="163">
        <v>0</v>
      </c>
      <c r="AC1070" s="163">
        <v>2</v>
      </c>
      <c r="AD1070" s="163">
        <v>0</v>
      </c>
      <c r="AE1070" s="165">
        <v>0.19783005121902314</v>
      </c>
      <c r="AF1070" s="166">
        <v>0.13188670081268211</v>
      </c>
    </row>
    <row r="1071" spans="1:32">
      <c r="A1071" s="161">
        <v>23</v>
      </c>
      <c r="B1071" s="162">
        <v>0.27083333333333331</v>
      </c>
      <c r="C1071" s="163">
        <v>1.1279949882965619</v>
      </c>
      <c r="D1071" s="163">
        <v>757.54235685768174</v>
      </c>
      <c r="E1071" s="164">
        <v>0.60509999999999997</v>
      </c>
      <c r="F1071" s="164">
        <v>0.60509999999999997</v>
      </c>
      <c r="G1071" s="163">
        <v>3</v>
      </c>
      <c r="H1071" s="163">
        <v>3.333333333333333</v>
      </c>
      <c r="I1071" s="163">
        <v>0.33333333333333304</v>
      </c>
      <c r="J1071" s="163">
        <v>2</v>
      </c>
      <c r="K1071" s="163">
        <v>2.3242105263157895</v>
      </c>
      <c r="L1071" s="163">
        <v>0.3242105263157895</v>
      </c>
      <c r="M1071" s="163">
        <v>3</v>
      </c>
      <c r="N1071" s="163">
        <v>2.9824561403508771</v>
      </c>
      <c r="O1071" s="163">
        <v>-1.7543859649122862E-2</v>
      </c>
      <c r="P1071" s="163"/>
      <c r="Q1071" s="163">
        <v>2</v>
      </c>
      <c r="R1071" s="163">
        <v>0</v>
      </c>
      <c r="S1071" s="163">
        <v>0</v>
      </c>
      <c r="T1071" s="163">
        <v>0</v>
      </c>
      <c r="U1071" s="163">
        <v>0</v>
      </c>
      <c r="V1071" s="163">
        <v>0</v>
      </c>
      <c r="W1071" s="163">
        <v>0</v>
      </c>
      <c r="X1071" s="163">
        <v>0</v>
      </c>
      <c r="Y1071" s="163">
        <v>2</v>
      </c>
      <c r="Z1071" s="163">
        <v>2</v>
      </c>
      <c r="AA1071" s="163">
        <v>0</v>
      </c>
      <c r="AB1071" s="163">
        <v>0</v>
      </c>
      <c r="AC1071" s="163">
        <v>2</v>
      </c>
      <c r="AD1071" s="163">
        <v>0</v>
      </c>
      <c r="AE1071" s="165">
        <v>0.30637786188856397</v>
      </c>
      <c r="AF1071" s="166">
        <v>0.20425190792570933</v>
      </c>
    </row>
    <row r="1072" spans="1:32">
      <c r="A1072" s="161">
        <v>23</v>
      </c>
      <c r="B1072" s="162">
        <v>0.29166666666666669</v>
      </c>
      <c r="C1072" s="163">
        <v>1.6400218204700092</v>
      </c>
      <c r="D1072" s="163">
        <v>812.83888880529003</v>
      </c>
      <c r="E1072" s="164">
        <v>0.42499999999999999</v>
      </c>
      <c r="F1072" s="164">
        <v>0.42499999999999999</v>
      </c>
      <c r="G1072" s="163">
        <v>3</v>
      </c>
      <c r="H1072" s="163">
        <v>3.333333333333333</v>
      </c>
      <c r="I1072" s="163">
        <v>0.33333333333333304</v>
      </c>
      <c r="J1072" s="163">
        <v>2</v>
      </c>
      <c r="K1072" s="163">
        <v>2.3242105263157895</v>
      </c>
      <c r="L1072" s="163">
        <v>0.3242105263157895</v>
      </c>
      <c r="M1072" s="163">
        <v>3</v>
      </c>
      <c r="N1072" s="163">
        <v>2.9824561403508771</v>
      </c>
      <c r="O1072" s="163">
        <v>-1.7543859649122862E-2</v>
      </c>
      <c r="P1072" s="163"/>
      <c r="Q1072" s="163">
        <v>2</v>
      </c>
      <c r="R1072" s="163">
        <v>0</v>
      </c>
      <c r="S1072" s="163">
        <v>0</v>
      </c>
      <c r="T1072" s="163">
        <v>0</v>
      </c>
      <c r="U1072" s="163">
        <v>0</v>
      </c>
      <c r="V1072" s="163">
        <v>0</v>
      </c>
      <c r="W1072" s="163">
        <v>0</v>
      </c>
      <c r="X1072" s="163">
        <v>0</v>
      </c>
      <c r="Y1072" s="163">
        <v>2</v>
      </c>
      <c r="Z1072" s="163">
        <v>2</v>
      </c>
      <c r="AA1072" s="163">
        <v>0</v>
      </c>
      <c r="AB1072" s="163">
        <v>0</v>
      </c>
      <c r="AC1072" s="163">
        <v>2</v>
      </c>
      <c r="AD1072" s="163">
        <v>0</v>
      </c>
      <c r="AE1072" s="165">
        <v>0.47796642453914079</v>
      </c>
      <c r="AF1072" s="166">
        <v>0.31864428302609388</v>
      </c>
    </row>
    <row r="1073" spans="1:32">
      <c r="A1073" s="161">
        <v>23</v>
      </c>
      <c r="B1073" s="162">
        <v>0.3125</v>
      </c>
      <c r="C1073" s="163">
        <v>2.206486626656329</v>
      </c>
      <c r="D1073" s="163">
        <v>815.19101009012911</v>
      </c>
      <c r="E1073" s="164">
        <v>0.91500000000000004</v>
      </c>
      <c r="F1073" s="164">
        <v>0.91500000000000004</v>
      </c>
      <c r="G1073" s="163">
        <v>4</v>
      </c>
      <c r="H1073" s="163">
        <v>6.6666666666666661</v>
      </c>
      <c r="I1073" s="163">
        <v>2.6666666666666661</v>
      </c>
      <c r="J1073" s="163">
        <v>3</v>
      </c>
      <c r="K1073" s="163">
        <v>3.0989473684210527</v>
      </c>
      <c r="L1073" s="163">
        <v>9.8947368421052673E-2</v>
      </c>
      <c r="M1073" s="163">
        <v>4</v>
      </c>
      <c r="N1073" s="163">
        <v>5.9649122807017543</v>
      </c>
      <c r="O1073" s="163">
        <v>1.9649122807017543</v>
      </c>
      <c r="P1073" s="163"/>
      <c r="Q1073" s="163">
        <v>4</v>
      </c>
      <c r="R1073" s="163">
        <v>0</v>
      </c>
      <c r="S1073" s="163">
        <v>0</v>
      </c>
      <c r="T1073" s="163">
        <v>0</v>
      </c>
      <c r="U1073" s="163">
        <v>0</v>
      </c>
      <c r="V1073" s="163">
        <v>0</v>
      </c>
      <c r="W1073" s="163">
        <v>0</v>
      </c>
      <c r="X1073" s="163">
        <v>0</v>
      </c>
      <c r="Y1073" s="163">
        <v>4</v>
      </c>
      <c r="Z1073" s="163">
        <v>4</v>
      </c>
      <c r="AA1073" s="163">
        <v>0</v>
      </c>
      <c r="AB1073" s="163">
        <v>0</v>
      </c>
      <c r="AC1073" s="163">
        <v>4</v>
      </c>
      <c r="AD1073" s="163">
        <v>0</v>
      </c>
      <c r="AE1073" s="165">
        <v>0.32245860862726783</v>
      </c>
      <c r="AF1073" s="166">
        <v>0.32245860862726783</v>
      </c>
    </row>
    <row r="1074" spans="1:32">
      <c r="A1074" s="161">
        <v>23</v>
      </c>
      <c r="B1074" s="162">
        <v>0.33333333333333331</v>
      </c>
      <c r="C1074" s="163">
        <v>2.8897589797414454</v>
      </c>
      <c r="D1074" s="163">
        <v>799.78520506910365</v>
      </c>
      <c r="E1074" s="164">
        <v>0.84489999999999998</v>
      </c>
      <c r="F1074" s="164">
        <v>0.84489999999999998</v>
      </c>
      <c r="G1074" s="163">
        <v>4</v>
      </c>
      <c r="H1074" s="163">
        <v>6.6666666666666661</v>
      </c>
      <c r="I1074" s="163">
        <v>2.6666666666666661</v>
      </c>
      <c r="J1074" s="163">
        <v>3</v>
      </c>
      <c r="K1074" s="163">
        <v>3.0989473684210527</v>
      </c>
      <c r="L1074" s="163">
        <v>9.8947368421052673E-2</v>
      </c>
      <c r="M1074" s="163">
        <v>4</v>
      </c>
      <c r="N1074" s="163">
        <v>5.9649122807017543</v>
      </c>
      <c r="O1074" s="163">
        <v>1.9649122807017543</v>
      </c>
      <c r="P1074" s="163"/>
      <c r="Q1074" s="163">
        <v>4</v>
      </c>
      <c r="R1074" s="163">
        <v>0</v>
      </c>
      <c r="S1074" s="163">
        <v>0</v>
      </c>
      <c r="T1074" s="163">
        <v>0</v>
      </c>
      <c r="U1074" s="163">
        <v>0</v>
      </c>
      <c r="V1074" s="163">
        <v>0</v>
      </c>
      <c r="W1074" s="163">
        <v>0</v>
      </c>
      <c r="X1074" s="163">
        <v>0</v>
      </c>
      <c r="Y1074" s="163">
        <v>4</v>
      </c>
      <c r="Z1074" s="163">
        <v>4</v>
      </c>
      <c r="AA1074" s="163">
        <v>0</v>
      </c>
      <c r="AB1074" s="163">
        <v>0</v>
      </c>
      <c r="AC1074" s="163">
        <v>4</v>
      </c>
      <c r="AD1074" s="163">
        <v>0</v>
      </c>
      <c r="AE1074" s="165">
        <v>0.41433181504796113</v>
      </c>
      <c r="AF1074" s="166">
        <v>0.41433181504796113</v>
      </c>
    </row>
    <row r="1075" spans="1:32">
      <c r="A1075" s="161">
        <v>23</v>
      </c>
      <c r="B1075" s="162">
        <v>0.35416666666666669</v>
      </c>
      <c r="C1075" s="163">
        <v>3.5038201620920608</v>
      </c>
      <c r="D1075" s="163">
        <v>782.02509800523785</v>
      </c>
      <c r="E1075" s="164">
        <v>0.77049999999999985</v>
      </c>
      <c r="F1075" s="164">
        <v>0.77049999999999985</v>
      </c>
      <c r="G1075" s="163">
        <v>6</v>
      </c>
      <c r="H1075" s="163">
        <v>6.6666666666666661</v>
      </c>
      <c r="I1075" s="163">
        <v>0.66666666666666607</v>
      </c>
      <c r="J1075" s="163">
        <v>4</v>
      </c>
      <c r="K1075" s="163">
        <v>4.648421052631579</v>
      </c>
      <c r="L1075" s="163">
        <v>0.64842105263157901</v>
      </c>
      <c r="M1075" s="163">
        <v>5</v>
      </c>
      <c r="N1075" s="163">
        <v>5.9649122807017543</v>
      </c>
      <c r="O1075" s="163">
        <v>0.96491228070175428</v>
      </c>
      <c r="P1075" s="163"/>
      <c r="Q1075" s="163">
        <v>4</v>
      </c>
      <c r="R1075" s="163">
        <v>0</v>
      </c>
      <c r="S1075" s="163">
        <v>0</v>
      </c>
      <c r="T1075" s="163">
        <v>0</v>
      </c>
      <c r="U1075" s="163">
        <v>0</v>
      </c>
      <c r="V1075" s="163">
        <v>0</v>
      </c>
      <c r="W1075" s="163">
        <v>0</v>
      </c>
      <c r="X1075" s="163">
        <v>0</v>
      </c>
      <c r="Y1075" s="163">
        <v>4</v>
      </c>
      <c r="Z1075" s="163">
        <v>4</v>
      </c>
      <c r="AA1075" s="163">
        <v>0</v>
      </c>
      <c r="AB1075" s="163">
        <v>0</v>
      </c>
      <c r="AC1075" s="163">
        <v>4</v>
      </c>
      <c r="AD1075" s="163">
        <v>0</v>
      </c>
      <c r="AE1075" s="165">
        <v>0.49121972002757652</v>
      </c>
      <c r="AF1075" s="166">
        <v>0.32747981335171772</v>
      </c>
    </row>
    <row r="1076" spans="1:32">
      <c r="A1076" s="161">
        <v>23</v>
      </c>
      <c r="B1076" s="162">
        <v>0.375</v>
      </c>
      <c r="C1076" s="163">
        <v>4.0398977095064801</v>
      </c>
      <c r="D1076" s="163">
        <v>786.12763595105048</v>
      </c>
      <c r="E1076" s="164">
        <v>0.89729999999999999</v>
      </c>
      <c r="F1076" s="164">
        <v>0.89729999999999999</v>
      </c>
      <c r="G1076" s="163">
        <v>6</v>
      </c>
      <c r="H1076" s="163">
        <v>10</v>
      </c>
      <c r="I1076" s="163">
        <v>4</v>
      </c>
      <c r="J1076" s="163">
        <v>4</v>
      </c>
      <c r="K1076" s="163">
        <v>4.648421052631579</v>
      </c>
      <c r="L1076" s="163">
        <v>0.64842105263157901</v>
      </c>
      <c r="M1076" s="163">
        <v>5</v>
      </c>
      <c r="N1076" s="163">
        <v>8.9473684210526319</v>
      </c>
      <c r="O1076" s="163">
        <v>3.9473684210526319</v>
      </c>
      <c r="P1076" s="163"/>
      <c r="Q1076" s="163">
        <v>6</v>
      </c>
      <c r="R1076" s="163">
        <v>0</v>
      </c>
      <c r="S1076" s="163">
        <v>0</v>
      </c>
      <c r="T1076" s="163">
        <v>0</v>
      </c>
      <c r="U1076" s="163">
        <v>0</v>
      </c>
      <c r="V1076" s="163">
        <v>0</v>
      </c>
      <c r="W1076" s="163">
        <v>0</v>
      </c>
      <c r="X1076" s="163">
        <v>0</v>
      </c>
      <c r="Y1076" s="163">
        <v>6</v>
      </c>
      <c r="Z1076" s="163">
        <v>6</v>
      </c>
      <c r="AA1076" s="163">
        <v>0</v>
      </c>
      <c r="AB1076" s="163">
        <v>0</v>
      </c>
      <c r="AC1076" s="163">
        <v>6</v>
      </c>
      <c r="AD1076" s="163">
        <v>0</v>
      </c>
      <c r="AE1076" s="165">
        <v>0.37956439639511291</v>
      </c>
      <c r="AF1076" s="166">
        <v>0.37956439639511291</v>
      </c>
    </row>
    <row r="1077" spans="1:32">
      <c r="A1077" s="161">
        <v>23</v>
      </c>
      <c r="B1077" s="162">
        <v>0.39583333333333331</v>
      </c>
      <c r="C1077" s="163">
        <v>4.5149289549816487</v>
      </c>
      <c r="D1077" s="163">
        <v>823.9936503314724</v>
      </c>
      <c r="E1077" s="164">
        <v>0.84009999999999996</v>
      </c>
      <c r="F1077" s="164">
        <v>0.84009999999999996</v>
      </c>
      <c r="G1077" s="163">
        <v>6</v>
      </c>
      <c r="H1077" s="163">
        <v>10</v>
      </c>
      <c r="I1077" s="163">
        <v>4</v>
      </c>
      <c r="J1077" s="163">
        <v>4</v>
      </c>
      <c r="K1077" s="163">
        <v>4.648421052631579</v>
      </c>
      <c r="L1077" s="163">
        <v>0.64842105263157901</v>
      </c>
      <c r="M1077" s="163">
        <v>5</v>
      </c>
      <c r="N1077" s="163">
        <v>8.9473684210526319</v>
      </c>
      <c r="O1077" s="163">
        <v>3.9473684210526319</v>
      </c>
      <c r="P1077" s="163"/>
      <c r="Q1077" s="163">
        <v>6</v>
      </c>
      <c r="R1077" s="163">
        <v>0</v>
      </c>
      <c r="S1077" s="163">
        <v>0</v>
      </c>
      <c r="T1077" s="163">
        <v>0</v>
      </c>
      <c r="U1077" s="163">
        <v>0</v>
      </c>
      <c r="V1077" s="163">
        <v>0</v>
      </c>
      <c r="W1077" s="163">
        <v>0</v>
      </c>
      <c r="X1077" s="163">
        <v>0</v>
      </c>
      <c r="Y1077" s="163">
        <v>6</v>
      </c>
      <c r="Z1077" s="163">
        <v>6</v>
      </c>
      <c r="AA1077" s="163">
        <v>0</v>
      </c>
      <c r="AB1077" s="163">
        <v>0</v>
      </c>
      <c r="AC1077" s="163">
        <v>6</v>
      </c>
      <c r="AD1077" s="163">
        <v>0</v>
      </c>
      <c r="AE1077" s="165">
        <v>0.44462801316833472</v>
      </c>
      <c r="AF1077" s="166">
        <v>0.44462801316833472</v>
      </c>
    </row>
    <row r="1078" spans="1:32">
      <c r="A1078" s="161">
        <v>23</v>
      </c>
      <c r="B1078" s="162">
        <v>0.41666666666666669</v>
      </c>
      <c r="C1078" s="163">
        <v>4.8240530607310816</v>
      </c>
      <c r="D1078" s="163">
        <v>809.20963709071293</v>
      </c>
      <c r="E1078" s="164">
        <v>0.81840000000000002</v>
      </c>
      <c r="F1078" s="164">
        <v>0.81840000000000002</v>
      </c>
      <c r="G1078" s="163">
        <v>7</v>
      </c>
      <c r="H1078" s="163">
        <v>10</v>
      </c>
      <c r="I1078" s="163">
        <v>3</v>
      </c>
      <c r="J1078" s="163">
        <v>5</v>
      </c>
      <c r="K1078" s="163">
        <v>5.4231578947368426</v>
      </c>
      <c r="L1078" s="163">
        <v>0.42315789473684262</v>
      </c>
      <c r="M1078" s="163">
        <v>6</v>
      </c>
      <c r="N1078" s="163">
        <v>8.9473684210526319</v>
      </c>
      <c r="O1078" s="163">
        <v>2.9473684210526319</v>
      </c>
      <c r="P1078" s="163"/>
      <c r="Q1078" s="163">
        <v>6</v>
      </c>
      <c r="R1078" s="163">
        <v>0</v>
      </c>
      <c r="S1078" s="163">
        <v>0</v>
      </c>
      <c r="T1078" s="163">
        <v>0</v>
      </c>
      <c r="U1078" s="163">
        <v>0</v>
      </c>
      <c r="V1078" s="163">
        <v>0</v>
      </c>
      <c r="W1078" s="163">
        <v>0</v>
      </c>
      <c r="X1078" s="163">
        <v>0</v>
      </c>
      <c r="Y1078" s="163">
        <v>6</v>
      </c>
      <c r="Z1078" s="163">
        <v>6</v>
      </c>
      <c r="AA1078" s="163">
        <v>0</v>
      </c>
      <c r="AB1078" s="163">
        <v>0</v>
      </c>
      <c r="AC1078" s="163">
        <v>6</v>
      </c>
      <c r="AD1078" s="163">
        <v>0</v>
      </c>
      <c r="AE1078" s="165">
        <v>0.46654673853305084</v>
      </c>
      <c r="AF1078" s="166">
        <v>0.39989720445690075</v>
      </c>
    </row>
    <row r="1079" spans="1:32">
      <c r="A1079" s="161">
        <v>23</v>
      </c>
      <c r="B1079" s="162">
        <v>0.4375</v>
      </c>
      <c r="C1079" s="163">
        <v>5.0306577350829862</v>
      </c>
      <c r="D1079" s="163">
        <v>772.84369362105963</v>
      </c>
      <c r="E1079" s="164">
        <v>0.82079999999999986</v>
      </c>
      <c r="F1079" s="164">
        <v>0.82079999999999986</v>
      </c>
      <c r="G1079" s="163">
        <v>7</v>
      </c>
      <c r="H1079" s="163">
        <v>10</v>
      </c>
      <c r="I1079" s="163">
        <v>3</v>
      </c>
      <c r="J1079" s="163">
        <v>5</v>
      </c>
      <c r="K1079" s="163">
        <v>5.4231578947368426</v>
      </c>
      <c r="L1079" s="163">
        <v>0.42315789473684262</v>
      </c>
      <c r="M1079" s="163">
        <v>6</v>
      </c>
      <c r="N1079" s="163">
        <v>8.9473684210526319</v>
      </c>
      <c r="O1079" s="163">
        <v>2.9473684210526319</v>
      </c>
      <c r="P1079" s="163"/>
      <c r="Q1079" s="163">
        <v>6</v>
      </c>
      <c r="R1079" s="163">
        <v>0</v>
      </c>
      <c r="S1079" s="163">
        <v>0</v>
      </c>
      <c r="T1079" s="163">
        <v>0</v>
      </c>
      <c r="U1079" s="163">
        <v>0</v>
      </c>
      <c r="V1079" s="163">
        <v>0</v>
      </c>
      <c r="W1079" s="163">
        <v>0</v>
      </c>
      <c r="X1079" s="163">
        <v>0</v>
      </c>
      <c r="Y1079" s="163">
        <v>6</v>
      </c>
      <c r="Z1079" s="163">
        <v>6</v>
      </c>
      <c r="AA1079" s="163">
        <v>0</v>
      </c>
      <c r="AB1079" s="163">
        <v>0</v>
      </c>
      <c r="AC1079" s="163">
        <v>6</v>
      </c>
      <c r="AD1079" s="163">
        <v>0</v>
      </c>
      <c r="AE1079" s="165">
        <v>0.46466340832058223</v>
      </c>
      <c r="AF1079" s="166">
        <v>0.39828292141764193</v>
      </c>
    </row>
    <row r="1080" spans="1:32">
      <c r="A1080" s="161">
        <v>23</v>
      </c>
      <c r="B1080" s="162">
        <v>0.45833333333333331</v>
      </c>
      <c r="C1080" s="163">
        <v>5.3712780880133035</v>
      </c>
      <c r="D1080" s="163">
        <v>772.17033008867929</v>
      </c>
      <c r="E1080" s="164">
        <v>0.78779999999999994</v>
      </c>
      <c r="F1080" s="164">
        <v>0.78779999999999994</v>
      </c>
      <c r="G1080" s="163">
        <v>7</v>
      </c>
      <c r="H1080" s="163">
        <v>10</v>
      </c>
      <c r="I1080" s="163">
        <v>3</v>
      </c>
      <c r="J1080" s="163">
        <v>5</v>
      </c>
      <c r="K1080" s="163">
        <v>5.4231578947368426</v>
      </c>
      <c r="L1080" s="163">
        <v>0.42315789473684262</v>
      </c>
      <c r="M1080" s="163">
        <v>6</v>
      </c>
      <c r="N1080" s="163">
        <v>8.9473684210526319</v>
      </c>
      <c r="O1080" s="163">
        <v>2.9473684210526319</v>
      </c>
      <c r="P1080" s="163"/>
      <c r="Q1080" s="163">
        <v>6</v>
      </c>
      <c r="R1080" s="163">
        <v>0</v>
      </c>
      <c r="S1080" s="163">
        <v>0</v>
      </c>
      <c r="T1080" s="163">
        <v>0</v>
      </c>
      <c r="U1080" s="163">
        <v>0</v>
      </c>
      <c r="V1080" s="163">
        <v>0</v>
      </c>
      <c r="W1080" s="163">
        <v>0</v>
      </c>
      <c r="X1080" s="163">
        <v>0</v>
      </c>
      <c r="Y1080" s="163">
        <v>6</v>
      </c>
      <c r="Z1080" s="163">
        <v>6</v>
      </c>
      <c r="AA1080" s="163">
        <v>0</v>
      </c>
      <c r="AB1080" s="163">
        <v>0</v>
      </c>
      <c r="AC1080" s="163">
        <v>6</v>
      </c>
      <c r="AD1080" s="163">
        <v>0</v>
      </c>
      <c r="AE1080" s="165">
        <v>0.49569299712011322</v>
      </c>
      <c r="AF1080" s="166">
        <v>0.42487971181723994</v>
      </c>
    </row>
    <row r="1081" spans="1:32">
      <c r="A1081" s="161">
        <v>23</v>
      </c>
      <c r="B1081" s="162">
        <v>0.47916666666666669</v>
      </c>
      <c r="C1081" s="163">
        <v>5.1125938853642339</v>
      </c>
      <c r="D1081" s="163">
        <v>758.38220528960881</v>
      </c>
      <c r="E1081" s="164">
        <v>0.82240000000000002</v>
      </c>
      <c r="F1081" s="164">
        <v>0.82240000000000002</v>
      </c>
      <c r="G1081" s="163">
        <v>7</v>
      </c>
      <c r="H1081" s="163">
        <v>10</v>
      </c>
      <c r="I1081" s="163">
        <v>3</v>
      </c>
      <c r="J1081" s="163">
        <v>5</v>
      </c>
      <c r="K1081" s="163">
        <v>5.4231578947368426</v>
      </c>
      <c r="L1081" s="163">
        <v>0.42315789473684262</v>
      </c>
      <c r="M1081" s="163">
        <v>6</v>
      </c>
      <c r="N1081" s="163">
        <v>8.9473684210526319</v>
      </c>
      <c r="O1081" s="163">
        <v>2.9473684210526319</v>
      </c>
      <c r="P1081" s="163"/>
      <c r="Q1081" s="163">
        <v>6</v>
      </c>
      <c r="R1081" s="163">
        <v>0</v>
      </c>
      <c r="S1081" s="163">
        <v>0</v>
      </c>
      <c r="T1081" s="163">
        <v>0</v>
      </c>
      <c r="U1081" s="163">
        <v>0</v>
      </c>
      <c r="V1081" s="163">
        <v>0</v>
      </c>
      <c r="W1081" s="163">
        <v>0</v>
      </c>
      <c r="X1081" s="163">
        <v>0</v>
      </c>
      <c r="Y1081" s="163">
        <v>6</v>
      </c>
      <c r="Z1081" s="163">
        <v>6</v>
      </c>
      <c r="AA1081" s="163">
        <v>0</v>
      </c>
      <c r="AB1081" s="163">
        <v>0</v>
      </c>
      <c r="AC1081" s="163">
        <v>6</v>
      </c>
      <c r="AD1081" s="163">
        <v>0</v>
      </c>
      <c r="AE1081" s="165">
        <v>0.46339513061796267</v>
      </c>
      <c r="AF1081" s="166">
        <v>0.39719582624396804</v>
      </c>
    </row>
    <row r="1082" spans="1:32">
      <c r="A1082" s="161">
        <v>23</v>
      </c>
      <c r="B1082" s="162">
        <v>0.5</v>
      </c>
      <c r="C1082" s="163">
        <v>4.9495958012393135</v>
      </c>
      <c r="D1082" s="163">
        <v>754.38242522502787</v>
      </c>
      <c r="E1082" s="164">
        <v>0.83940000000000003</v>
      </c>
      <c r="F1082" s="164">
        <v>0.83940000000000003</v>
      </c>
      <c r="G1082" s="163">
        <v>6</v>
      </c>
      <c r="H1082" s="163">
        <v>10</v>
      </c>
      <c r="I1082" s="163">
        <v>4</v>
      </c>
      <c r="J1082" s="163">
        <v>4</v>
      </c>
      <c r="K1082" s="163">
        <v>4.648421052631579</v>
      </c>
      <c r="L1082" s="163">
        <v>0.64842105263157901</v>
      </c>
      <c r="M1082" s="163">
        <v>5</v>
      </c>
      <c r="N1082" s="163">
        <v>8.9473684210526319</v>
      </c>
      <c r="O1082" s="163">
        <v>3.9473684210526319</v>
      </c>
      <c r="P1082" s="163"/>
      <c r="Q1082" s="163">
        <v>6</v>
      </c>
      <c r="R1082" s="163">
        <v>0</v>
      </c>
      <c r="S1082" s="163">
        <v>0</v>
      </c>
      <c r="T1082" s="163">
        <v>0</v>
      </c>
      <c r="U1082" s="163">
        <v>0</v>
      </c>
      <c r="V1082" s="163">
        <v>0</v>
      </c>
      <c r="W1082" s="163">
        <v>0</v>
      </c>
      <c r="X1082" s="163">
        <v>0</v>
      </c>
      <c r="Y1082" s="163">
        <v>6</v>
      </c>
      <c r="Z1082" s="163">
        <v>6</v>
      </c>
      <c r="AA1082" s="163">
        <v>0</v>
      </c>
      <c r="AB1082" s="163">
        <v>0</v>
      </c>
      <c r="AC1082" s="163">
        <v>6</v>
      </c>
      <c r="AD1082" s="163">
        <v>0</v>
      </c>
      <c r="AE1082" s="165">
        <v>0.44625524358411356</v>
      </c>
      <c r="AF1082" s="166">
        <v>0.44625524358411356</v>
      </c>
    </row>
    <row r="1083" spans="1:32">
      <c r="A1083" s="161">
        <v>23</v>
      </c>
      <c r="B1083" s="162">
        <v>0.52083333333333337</v>
      </c>
      <c r="C1083" s="163">
        <v>4.4441167522097995</v>
      </c>
      <c r="D1083" s="163">
        <v>763.78087077078078</v>
      </c>
      <c r="E1083" s="164">
        <v>0.87629999999999997</v>
      </c>
      <c r="F1083" s="164">
        <v>0.87629999999999997</v>
      </c>
      <c r="G1083" s="163">
        <v>6</v>
      </c>
      <c r="H1083" s="163">
        <v>10</v>
      </c>
      <c r="I1083" s="163">
        <v>4</v>
      </c>
      <c r="J1083" s="163">
        <v>4</v>
      </c>
      <c r="K1083" s="163">
        <v>4.648421052631579</v>
      </c>
      <c r="L1083" s="163">
        <v>0.64842105263157901</v>
      </c>
      <c r="M1083" s="163">
        <v>5</v>
      </c>
      <c r="N1083" s="163">
        <v>8.9473684210526319</v>
      </c>
      <c r="O1083" s="163">
        <v>3.9473684210526319</v>
      </c>
      <c r="P1083" s="163"/>
      <c r="Q1083" s="163">
        <v>6</v>
      </c>
      <c r="R1083" s="163">
        <v>0</v>
      </c>
      <c r="S1083" s="163">
        <v>0</v>
      </c>
      <c r="T1083" s="163">
        <v>0</v>
      </c>
      <c r="U1083" s="163">
        <v>0</v>
      </c>
      <c r="V1083" s="163">
        <v>0</v>
      </c>
      <c r="W1083" s="163">
        <v>0</v>
      </c>
      <c r="X1083" s="163">
        <v>0</v>
      </c>
      <c r="Y1083" s="163">
        <v>6</v>
      </c>
      <c r="Z1083" s="163">
        <v>6</v>
      </c>
      <c r="AA1083" s="163">
        <v>0</v>
      </c>
      <c r="AB1083" s="163">
        <v>0</v>
      </c>
      <c r="AC1083" s="163">
        <v>6</v>
      </c>
      <c r="AD1083" s="163">
        <v>0</v>
      </c>
      <c r="AE1083" s="165">
        <v>0.40567315754193389</v>
      </c>
      <c r="AF1083" s="166">
        <v>0.40567315754193389</v>
      </c>
    </row>
    <row r="1084" spans="1:32">
      <c r="A1084" s="161">
        <v>23</v>
      </c>
      <c r="B1084" s="162">
        <v>0.54166666666666663</v>
      </c>
      <c r="C1084" s="163">
        <v>4.2843641601872555</v>
      </c>
      <c r="D1084" s="163">
        <v>762.62835550830312</v>
      </c>
      <c r="E1084" s="164">
        <v>0.88890000000000002</v>
      </c>
      <c r="F1084" s="164">
        <v>0.88890000000000002</v>
      </c>
      <c r="G1084" s="163">
        <v>6</v>
      </c>
      <c r="H1084" s="163">
        <v>10</v>
      </c>
      <c r="I1084" s="163">
        <v>4</v>
      </c>
      <c r="J1084" s="163">
        <v>4</v>
      </c>
      <c r="K1084" s="163">
        <v>4.648421052631579</v>
      </c>
      <c r="L1084" s="163">
        <v>0.64842105263157901</v>
      </c>
      <c r="M1084" s="163">
        <v>5</v>
      </c>
      <c r="N1084" s="163">
        <v>8.9473684210526319</v>
      </c>
      <c r="O1084" s="163">
        <v>3.9473684210526319</v>
      </c>
      <c r="P1084" s="163"/>
      <c r="Q1084" s="163">
        <v>6</v>
      </c>
      <c r="R1084" s="163">
        <v>0</v>
      </c>
      <c r="S1084" s="163">
        <v>0</v>
      </c>
      <c r="T1084" s="163">
        <v>0</v>
      </c>
      <c r="U1084" s="163">
        <v>0</v>
      </c>
      <c r="V1084" s="163">
        <v>0</v>
      </c>
      <c r="W1084" s="163">
        <v>0</v>
      </c>
      <c r="X1084" s="163">
        <v>0</v>
      </c>
      <c r="Y1084" s="163">
        <v>6</v>
      </c>
      <c r="Z1084" s="163">
        <v>6</v>
      </c>
      <c r="AA1084" s="163">
        <v>0</v>
      </c>
      <c r="AB1084" s="163">
        <v>0</v>
      </c>
      <c r="AC1084" s="163">
        <v>6</v>
      </c>
      <c r="AD1084" s="163">
        <v>0</v>
      </c>
      <c r="AE1084" s="165">
        <v>0.39050029113680085</v>
      </c>
      <c r="AF1084" s="166">
        <v>0.39050029113680085</v>
      </c>
    </row>
    <row r="1085" spans="1:32">
      <c r="A1085" s="161">
        <v>23</v>
      </c>
      <c r="B1085" s="162">
        <v>0.5625</v>
      </c>
      <c r="C1085" s="163">
        <v>4.1283900335109287</v>
      </c>
      <c r="D1085" s="163">
        <v>764.3968509297838</v>
      </c>
      <c r="E1085" s="164">
        <v>0.89929999999999988</v>
      </c>
      <c r="F1085" s="164">
        <v>0.89929999999999988</v>
      </c>
      <c r="G1085" s="163">
        <v>6</v>
      </c>
      <c r="H1085" s="163">
        <v>10</v>
      </c>
      <c r="I1085" s="163">
        <v>4</v>
      </c>
      <c r="J1085" s="163">
        <v>4</v>
      </c>
      <c r="K1085" s="163">
        <v>4.648421052631579</v>
      </c>
      <c r="L1085" s="163">
        <v>0.64842105263157901</v>
      </c>
      <c r="M1085" s="163">
        <v>5</v>
      </c>
      <c r="N1085" s="163">
        <v>8.9473684210526319</v>
      </c>
      <c r="O1085" s="163">
        <v>3.9473684210526319</v>
      </c>
      <c r="P1085" s="163"/>
      <c r="Q1085" s="163">
        <v>6</v>
      </c>
      <c r="R1085" s="163">
        <v>0</v>
      </c>
      <c r="S1085" s="163">
        <v>0</v>
      </c>
      <c r="T1085" s="163">
        <v>0</v>
      </c>
      <c r="U1085" s="163">
        <v>0</v>
      </c>
      <c r="V1085" s="163">
        <v>0</v>
      </c>
      <c r="W1085" s="163">
        <v>0</v>
      </c>
      <c r="X1085" s="163">
        <v>0</v>
      </c>
      <c r="Y1085" s="163">
        <v>6</v>
      </c>
      <c r="Z1085" s="163">
        <v>6</v>
      </c>
      <c r="AA1085" s="163">
        <v>0</v>
      </c>
      <c r="AB1085" s="163">
        <v>0</v>
      </c>
      <c r="AC1085" s="163">
        <v>6</v>
      </c>
      <c r="AD1085" s="163">
        <v>0</v>
      </c>
      <c r="AE1085" s="165">
        <v>0.37715654236795182</v>
      </c>
      <c r="AF1085" s="166">
        <v>0.37715654236795182</v>
      </c>
    </row>
    <row r="1086" spans="1:32">
      <c r="A1086" s="161">
        <v>23</v>
      </c>
      <c r="B1086" s="162">
        <v>0.58333333333333337</v>
      </c>
      <c r="C1086" s="163">
        <v>3.4800146630635949</v>
      </c>
      <c r="D1086" s="163">
        <v>773.80139356338304</v>
      </c>
      <c r="E1086" s="164">
        <v>0.93669999999999998</v>
      </c>
      <c r="F1086" s="164">
        <v>0.93669999999999998</v>
      </c>
      <c r="G1086" s="163">
        <v>6</v>
      </c>
      <c r="H1086" s="163">
        <v>10</v>
      </c>
      <c r="I1086" s="163">
        <v>4</v>
      </c>
      <c r="J1086" s="163">
        <v>4</v>
      </c>
      <c r="K1086" s="163">
        <v>4.648421052631579</v>
      </c>
      <c r="L1086" s="163">
        <v>0.64842105263157901</v>
      </c>
      <c r="M1086" s="163">
        <v>5</v>
      </c>
      <c r="N1086" s="163">
        <v>8.9473684210526319</v>
      </c>
      <c r="O1086" s="163">
        <v>3.9473684210526319</v>
      </c>
      <c r="P1086" s="163"/>
      <c r="Q1086" s="163">
        <v>6</v>
      </c>
      <c r="R1086" s="163">
        <v>0</v>
      </c>
      <c r="S1086" s="163">
        <v>0</v>
      </c>
      <c r="T1086" s="163">
        <v>0</v>
      </c>
      <c r="U1086" s="163">
        <v>0</v>
      </c>
      <c r="V1086" s="163">
        <v>0</v>
      </c>
      <c r="W1086" s="163">
        <v>0</v>
      </c>
      <c r="X1086" s="163">
        <v>0</v>
      </c>
      <c r="Y1086" s="163">
        <v>6</v>
      </c>
      <c r="Z1086" s="163">
        <v>6</v>
      </c>
      <c r="AA1086" s="163">
        <v>0</v>
      </c>
      <c r="AB1086" s="163">
        <v>0</v>
      </c>
      <c r="AC1086" s="163">
        <v>6</v>
      </c>
      <c r="AD1086" s="163">
        <v>0</v>
      </c>
      <c r="AE1086" s="165">
        <v>0.32183451415366293</v>
      </c>
      <c r="AF1086" s="166">
        <v>0.32183451415366293</v>
      </c>
    </row>
    <row r="1087" spans="1:32">
      <c r="A1087" s="161">
        <v>23</v>
      </c>
      <c r="B1087" s="162">
        <v>0.60416666666666663</v>
      </c>
      <c r="C1087" s="163">
        <v>3.2707461493233794</v>
      </c>
      <c r="D1087" s="163">
        <v>774.47064511247129</v>
      </c>
      <c r="E1087" s="164">
        <v>0.94740000000000002</v>
      </c>
      <c r="F1087" s="164">
        <v>0.94740000000000002</v>
      </c>
      <c r="G1087" s="163">
        <v>4</v>
      </c>
      <c r="H1087" s="163">
        <v>10</v>
      </c>
      <c r="I1087" s="163">
        <v>6</v>
      </c>
      <c r="J1087" s="163">
        <v>3</v>
      </c>
      <c r="K1087" s="163">
        <v>3.0989473684210527</v>
      </c>
      <c r="L1087" s="163">
        <v>9.8947368421052673E-2</v>
      </c>
      <c r="M1087" s="163">
        <v>4</v>
      </c>
      <c r="N1087" s="163">
        <v>8.9473684210526319</v>
      </c>
      <c r="O1087" s="163">
        <v>4.9473684210526319</v>
      </c>
      <c r="P1087" s="163"/>
      <c r="Q1087" s="163">
        <v>6</v>
      </c>
      <c r="R1087" s="163">
        <v>0</v>
      </c>
      <c r="S1087" s="163">
        <v>0</v>
      </c>
      <c r="T1087" s="163">
        <v>0</v>
      </c>
      <c r="U1087" s="163">
        <v>0</v>
      </c>
      <c r="V1087" s="163">
        <v>0</v>
      </c>
      <c r="W1087" s="163">
        <v>0</v>
      </c>
      <c r="X1087" s="163">
        <v>0</v>
      </c>
      <c r="Y1087" s="163">
        <v>6</v>
      </c>
      <c r="Z1087" s="163">
        <v>6</v>
      </c>
      <c r="AA1087" s="163">
        <v>0</v>
      </c>
      <c r="AB1087" s="163">
        <v>0</v>
      </c>
      <c r="AC1087" s="163">
        <v>6</v>
      </c>
      <c r="AD1087" s="163">
        <v>0</v>
      </c>
      <c r="AE1087" s="165">
        <v>0.30274280850597934</v>
      </c>
      <c r="AF1087" s="166">
        <v>0.45411421275896902</v>
      </c>
    </row>
    <row r="1088" spans="1:32">
      <c r="A1088" s="161">
        <v>23</v>
      </c>
      <c r="B1088" s="162">
        <v>0.625</v>
      </c>
      <c r="C1088" s="163">
        <v>3.0824629722358527</v>
      </c>
      <c r="D1088" s="163">
        <v>768.55893625682847</v>
      </c>
      <c r="E1088" s="164">
        <v>0.91676666666666673</v>
      </c>
      <c r="F1088" s="164">
        <v>0.91676666666666673</v>
      </c>
      <c r="G1088" s="163">
        <v>4</v>
      </c>
      <c r="H1088" s="163">
        <v>9.3333333333333339</v>
      </c>
      <c r="I1088" s="163">
        <v>5.3333333333333339</v>
      </c>
      <c r="J1088" s="163">
        <v>3</v>
      </c>
      <c r="K1088" s="163">
        <v>3.0989473684210527</v>
      </c>
      <c r="L1088" s="163">
        <v>9.8947368421052673E-2</v>
      </c>
      <c r="M1088" s="163">
        <v>4</v>
      </c>
      <c r="N1088" s="163">
        <v>8.3508771929824572</v>
      </c>
      <c r="O1088" s="163">
        <v>4.3508771929824572</v>
      </c>
      <c r="P1088" s="163"/>
      <c r="Q1088" s="163">
        <v>6</v>
      </c>
      <c r="R1088" s="163">
        <v>0</v>
      </c>
      <c r="S1088" s="163">
        <v>0</v>
      </c>
      <c r="T1088" s="163">
        <v>0</v>
      </c>
      <c r="U1088" s="163">
        <v>0</v>
      </c>
      <c r="V1088" s="163">
        <v>0</v>
      </c>
      <c r="W1088" s="163">
        <v>0</v>
      </c>
      <c r="X1088" s="163">
        <v>0</v>
      </c>
      <c r="Y1088" s="163">
        <v>6</v>
      </c>
      <c r="Z1088" s="163">
        <v>6</v>
      </c>
      <c r="AA1088" s="163">
        <v>0</v>
      </c>
      <c r="AB1088" s="163">
        <v>0</v>
      </c>
      <c r="AC1088" s="163">
        <v>6</v>
      </c>
      <c r="AD1088" s="163">
        <v>0</v>
      </c>
      <c r="AE1088" s="165">
        <v>0.28313729617590283</v>
      </c>
      <c r="AF1088" s="166">
        <v>0.42470594426385422</v>
      </c>
    </row>
    <row r="1089" spans="1:32">
      <c r="A1089" s="161">
        <v>23</v>
      </c>
      <c r="B1089" s="162">
        <v>0.64583333333333337</v>
      </c>
      <c r="C1089" s="163">
        <v>3.1804493187572782</v>
      </c>
      <c r="D1089" s="163">
        <v>769.6250078866675</v>
      </c>
      <c r="E1089" s="164">
        <v>0.82290000000000008</v>
      </c>
      <c r="F1089" s="164">
        <v>0.82290000000000008</v>
      </c>
      <c r="G1089" s="163">
        <v>4</v>
      </c>
      <c r="H1089" s="163">
        <v>6.6666666666666661</v>
      </c>
      <c r="I1089" s="163">
        <v>2.6666666666666661</v>
      </c>
      <c r="J1089" s="163">
        <v>3</v>
      </c>
      <c r="K1089" s="163">
        <v>3.0989473684210527</v>
      </c>
      <c r="L1089" s="163">
        <v>9.8947368421052673E-2</v>
      </c>
      <c r="M1089" s="163">
        <v>4</v>
      </c>
      <c r="N1089" s="163">
        <v>5.9649122807017543</v>
      </c>
      <c r="O1089" s="163">
        <v>1.9649122807017543</v>
      </c>
      <c r="P1089" s="163"/>
      <c r="Q1089" s="163">
        <v>4</v>
      </c>
      <c r="R1089" s="163">
        <v>0</v>
      </c>
      <c r="S1089" s="163">
        <v>0</v>
      </c>
      <c r="T1089" s="163">
        <v>0</v>
      </c>
      <c r="U1089" s="163">
        <v>0</v>
      </c>
      <c r="V1089" s="163">
        <v>0</v>
      </c>
      <c r="W1089" s="163">
        <v>0</v>
      </c>
      <c r="X1089" s="163">
        <v>0</v>
      </c>
      <c r="Y1089" s="163">
        <v>4</v>
      </c>
      <c r="Z1089" s="163">
        <v>4</v>
      </c>
      <c r="AA1089" s="163">
        <v>0</v>
      </c>
      <c r="AB1089" s="163">
        <v>0</v>
      </c>
      <c r="AC1089" s="163">
        <v>4</v>
      </c>
      <c r="AD1089" s="163">
        <v>0</v>
      </c>
      <c r="AE1089" s="165">
        <v>0.43881447490755787</v>
      </c>
      <c r="AF1089" s="166">
        <v>0.43881447490755787</v>
      </c>
    </row>
    <row r="1090" spans="1:32">
      <c r="A1090" s="161">
        <v>23</v>
      </c>
      <c r="B1090" s="162">
        <v>0.66666666666666663</v>
      </c>
      <c r="C1090" s="163">
        <v>3.136572188015835</v>
      </c>
      <c r="D1090" s="163">
        <v>773.93280840998636</v>
      </c>
      <c r="E1090" s="164">
        <v>0.82620000000000005</v>
      </c>
      <c r="F1090" s="164">
        <v>0.82620000000000005</v>
      </c>
      <c r="G1090" s="163">
        <v>4</v>
      </c>
      <c r="H1090" s="163">
        <v>6.6666666666666661</v>
      </c>
      <c r="I1090" s="163">
        <v>2.6666666666666661</v>
      </c>
      <c r="J1090" s="163">
        <v>3</v>
      </c>
      <c r="K1090" s="163">
        <v>3.0989473684210527</v>
      </c>
      <c r="L1090" s="163">
        <v>9.8947368421052673E-2</v>
      </c>
      <c r="M1090" s="163">
        <v>4</v>
      </c>
      <c r="N1090" s="163">
        <v>5.9649122807017543</v>
      </c>
      <c r="O1090" s="163">
        <v>1.9649122807017543</v>
      </c>
      <c r="P1090" s="163"/>
      <c r="Q1090" s="163">
        <v>4</v>
      </c>
      <c r="R1090" s="163">
        <v>0</v>
      </c>
      <c r="S1090" s="163">
        <v>0</v>
      </c>
      <c r="T1090" s="163">
        <v>0</v>
      </c>
      <c r="U1090" s="163">
        <v>0</v>
      </c>
      <c r="V1090" s="163">
        <v>0</v>
      </c>
      <c r="W1090" s="163">
        <v>0</v>
      </c>
      <c r="X1090" s="163">
        <v>0</v>
      </c>
      <c r="Y1090" s="163">
        <v>4</v>
      </c>
      <c r="Z1090" s="163">
        <v>4</v>
      </c>
      <c r="AA1090" s="163">
        <v>0</v>
      </c>
      <c r="AB1090" s="163">
        <v>0</v>
      </c>
      <c r="AC1090" s="163">
        <v>4</v>
      </c>
      <c r="AD1090" s="163">
        <v>0</v>
      </c>
      <c r="AE1090" s="165">
        <v>0.43518291744775883</v>
      </c>
      <c r="AF1090" s="166">
        <v>0.43518291744775883</v>
      </c>
    </row>
    <row r="1091" spans="1:32">
      <c r="A1091" s="161">
        <v>23</v>
      </c>
      <c r="B1091" s="162">
        <v>0.6875</v>
      </c>
      <c r="C1091" s="163">
        <v>3.2908017274223873</v>
      </c>
      <c r="D1091" s="163">
        <v>776.30522892065039</v>
      </c>
      <c r="E1091" s="164">
        <v>0.80439999999999989</v>
      </c>
      <c r="F1091" s="164">
        <v>0.80439999999999989</v>
      </c>
      <c r="G1091" s="163">
        <v>6</v>
      </c>
      <c r="H1091" s="163">
        <v>6.6666666666666661</v>
      </c>
      <c r="I1091" s="163">
        <v>0.66666666666666607</v>
      </c>
      <c r="J1091" s="163">
        <v>4</v>
      </c>
      <c r="K1091" s="163">
        <v>4.648421052631579</v>
      </c>
      <c r="L1091" s="163">
        <v>0.64842105263157901</v>
      </c>
      <c r="M1091" s="163">
        <v>5</v>
      </c>
      <c r="N1091" s="163">
        <v>5.9649122807017543</v>
      </c>
      <c r="O1091" s="163">
        <v>0.96491228070175428</v>
      </c>
      <c r="P1091" s="163"/>
      <c r="Q1091" s="163">
        <v>4</v>
      </c>
      <c r="R1091" s="163">
        <v>0</v>
      </c>
      <c r="S1091" s="163">
        <v>0</v>
      </c>
      <c r="T1091" s="163">
        <v>0</v>
      </c>
      <c r="U1091" s="163">
        <v>0</v>
      </c>
      <c r="V1091" s="163">
        <v>0</v>
      </c>
      <c r="W1091" s="163">
        <v>0</v>
      </c>
      <c r="X1091" s="163">
        <v>0</v>
      </c>
      <c r="Y1091" s="163">
        <v>4</v>
      </c>
      <c r="Z1091" s="163">
        <v>4</v>
      </c>
      <c r="AA1091" s="163">
        <v>0</v>
      </c>
      <c r="AB1091" s="163">
        <v>0</v>
      </c>
      <c r="AC1091" s="163">
        <v>4</v>
      </c>
      <c r="AD1091" s="163">
        <v>0</v>
      </c>
      <c r="AE1091" s="165">
        <v>0.45798106486302692</v>
      </c>
      <c r="AF1091" s="166">
        <v>0.30532070990868465</v>
      </c>
    </row>
    <row r="1092" spans="1:32">
      <c r="A1092" s="161">
        <v>23</v>
      </c>
      <c r="B1092" s="162">
        <v>0.70833333333333337</v>
      </c>
      <c r="C1092" s="163">
        <v>3.2558714406357545</v>
      </c>
      <c r="D1092" s="163">
        <v>769.40794644335494</v>
      </c>
      <c r="E1092" s="164">
        <v>0.81320000000000003</v>
      </c>
      <c r="F1092" s="164">
        <v>0.81320000000000003</v>
      </c>
      <c r="G1092" s="163">
        <v>4</v>
      </c>
      <c r="H1092" s="163">
        <v>6.6666666666666661</v>
      </c>
      <c r="I1092" s="163">
        <v>2.6666666666666661</v>
      </c>
      <c r="J1092" s="163">
        <v>3</v>
      </c>
      <c r="K1092" s="163">
        <v>3.0989473684210527</v>
      </c>
      <c r="L1092" s="163">
        <v>9.8947368421052673E-2</v>
      </c>
      <c r="M1092" s="163">
        <v>4</v>
      </c>
      <c r="N1092" s="163">
        <v>5.9649122807017543</v>
      </c>
      <c r="O1092" s="163">
        <v>1.9649122807017543</v>
      </c>
      <c r="P1092" s="163"/>
      <c r="Q1092" s="163">
        <v>4</v>
      </c>
      <c r="R1092" s="163">
        <v>0</v>
      </c>
      <c r="S1092" s="163">
        <v>0</v>
      </c>
      <c r="T1092" s="163">
        <v>0</v>
      </c>
      <c r="U1092" s="163">
        <v>0</v>
      </c>
      <c r="V1092" s="163">
        <v>0</v>
      </c>
      <c r="W1092" s="163">
        <v>0</v>
      </c>
      <c r="X1092" s="163">
        <v>0</v>
      </c>
      <c r="Y1092" s="163">
        <v>4</v>
      </c>
      <c r="Z1092" s="163">
        <v>4</v>
      </c>
      <c r="AA1092" s="163">
        <v>0</v>
      </c>
      <c r="AB1092" s="163">
        <v>0</v>
      </c>
      <c r="AC1092" s="163">
        <v>4</v>
      </c>
      <c r="AD1092" s="163">
        <v>0</v>
      </c>
      <c r="AE1092" s="165">
        <v>0.44909395589371354</v>
      </c>
      <c r="AF1092" s="166">
        <v>0.44909395589371354</v>
      </c>
    </row>
    <row r="1093" spans="1:32">
      <c r="A1093" s="161">
        <v>23</v>
      </c>
      <c r="B1093" s="162">
        <v>0.72916666666666663</v>
      </c>
      <c r="C1093" s="163">
        <v>3.3018703874338282</v>
      </c>
      <c r="D1093" s="163">
        <v>724.06426706851971</v>
      </c>
      <c r="E1093" s="164">
        <v>0.91509999999999991</v>
      </c>
      <c r="F1093" s="164">
        <v>0.91509999999999991</v>
      </c>
      <c r="G1093" s="163">
        <v>4</v>
      </c>
      <c r="H1093" s="163">
        <v>8</v>
      </c>
      <c r="I1093" s="163">
        <v>4</v>
      </c>
      <c r="J1093" s="163">
        <v>3</v>
      </c>
      <c r="K1093" s="163">
        <v>3.0989473684210527</v>
      </c>
      <c r="L1093" s="163">
        <v>9.8947368421052673E-2</v>
      </c>
      <c r="M1093" s="163">
        <v>4</v>
      </c>
      <c r="N1093" s="163">
        <v>7.1578947368421053</v>
      </c>
      <c r="O1093" s="163">
        <v>3.1578947368421053</v>
      </c>
      <c r="P1093" s="163"/>
      <c r="Q1093" s="163">
        <v>4</v>
      </c>
      <c r="R1093" s="163">
        <v>0</v>
      </c>
      <c r="S1093" s="163">
        <v>0</v>
      </c>
      <c r="T1093" s="163">
        <v>0</v>
      </c>
      <c r="U1093" s="163">
        <v>0</v>
      </c>
      <c r="V1093" s="163">
        <v>0</v>
      </c>
      <c r="W1093" s="163">
        <v>0</v>
      </c>
      <c r="X1093" s="163">
        <v>0</v>
      </c>
      <c r="Y1093" s="163">
        <v>4</v>
      </c>
      <c r="Z1093" s="163">
        <v>4</v>
      </c>
      <c r="AA1093" s="163">
        <v>0</v>
      </c>
      <c r="AB1093" s="163">
        <v>0</v>
      </c>
      <c r="AC1093" s="163">
        <v>4</v>
      </c>
      <c r="AD1093" s="163">
        <v>0</v>
      </c>
      <c r="AE1093" s="165">
        <v>0.42859828727560723</v>
      </c>
      <c r="AF1093" s="166">
        <v>0.42859828727560723</v>
      </c>
    </row>
    <row r="1094" spans="1:32">
      <c r="A1094" s="161">
        <v>23</v>
      </c>
      <c r="B1094" s="162">
        <v>0.75</v>
      </c>
      <c r="C1094" s="163">
        <v>3.5896927741043934</v>
      </c>
      <c r="D1094" s="163">
        <v>758.48996057257625</v>
      </c>
      <c r="E1094" s="164">
        <v>0.93459999999999999</v>
      </c>
      <c r="F1094" s="164">
        <v>0.93459999999999999</v>
      </c>
      <c r="G1094" s="163">
        <v>6</v>
      </c>
      <c r="H1094" s="163">
        <v>10</v>
      </c>
      <c r="I1094" s="163">
        <v>4</v>
      </c>
      <c r="J1094" s="163">
        <v>4</v>
      </c>
      <c r="K1094" s="163">
        <v>4.648421052631579</v>
      </c>
      <c r="L1094" s="163">
        <v>0.64842105263157901</v>
      </c>
      <c r="M1094" s="163">
        <v>5</v>
      </c>
      <c r="N1094" s="163">
        <v>8.9473684210526319</v>
      </c>
      <c r="O1094" s="163">
        <v>3.9473684210526319</v>
      </c>
      <c r="P1094" s="163"/>
      <c r="Q1094" s="163">
        <v>6</v>
      </c>
      <c r="R1094" s="163">
        <v>0</v>
      </c>
      <c r="S1094" s="163">
        <v>0</v>
      </c>
      <c r="T1094" s="163">
        <v>0</v>
      </c>
      <c r="U1094" s="163">
        <v>0</v>
      </c>
      <c r="V1094" s="163">
        <v>0</v>
      </c>
      <c r="W1094" s="163">
        <v>0</v>
      </c>
      <c r="X1094" s="163">
        <v>0</v>
      </c>
      <c r="Y1094" s="163">
        <v>6</v>
      </c>
      <c r="Z1094" s="163">
        <v>6</v>
      </c>
      <c r="AA1094" s="163">
        <v>0</v>
      </c>
      <c r="AB1094" s="163">
        <v>0</v>
      </c>
      <c r="AC1094" s="163">
        <v>6</v>
      </c>
      <c r="AD1094" s="163">
        <v>0</v>
      </c>
      <c r="AE1094" s="165">
        <v>0.32540869491787411</v>
      </c>
      <c r="AF1094" s="166">
        <v>0.32540869491787411</v>
      </c>
    </row>
    <row r="1095" spans="1:32">
      <c r="A1095" s="161">
        <v>23</v>
      </c>
      <c r="B1095" s="162">
        <v>0.77083333333333337</v>
      </c>
      <c r="C1095" s="163">
        <v>3.715661920422102</v>
      </c>
      <c r="D1095" s="163">
        <v>753.28556247722031</v>
      </c>
      <c r="E1095" s="164">
        <v>0.92910000000000004</v>
      </c>
      <c r="F1095" s="164">
        <v>0.92910000000000004</v>
      </c>
      <c r="G1095" s="163">
        <v>6</v>
      </c>
      <c r="H1095" s="163">
        <v>10</v>
      </c>
      <c r="I1095" s="163">
        <v>4</v>
      </c>
      <c r="J1095" s="163">
        <v>4</v>
      </c>
      <c r="K1095" s="163">
        <v>4.648421052631579</v>
      </c>
      <c r="L1095" s="163">
        <v>0.64842105263157901</v>
      </c>
      <c r="M1095" s="163">
        <v>5</v>
      </c>
      <c r="N1095" s="163">
        <v>8.9473684210526319</v>
      </c>
      <c r="O1095" s="163">
        <v>3.9473684210526319</v>
      </c>
      <c r="P1095" s="163"/>
      <c r="Q1095" s="163">
        <v>6</v>
      </c>
      <c r="R1095" s="163">
        <v>0</v>
      </c>
      <c r="S1095" s="163">
        <v>0</v>
      </c>
      <c r="T1095" s="163">
        <v>0</v>
      </c>
      <c r="U1095" s="163">
        <v>0</v>
      </c>
      <c r="V1095" s="163">
        <v>0</v>
      </c>
      <c r="W1095" s="163">
        <v>0</v>
      </c>
      <c r="X1095" s="163">
        <v>0</v>
      </c>
      <c r="Y1095" s="163">
        <v>6</v>
      </c>
      <c r="Z1095" s="163">
        <v>6</v>
      </c>
      <c r="AA1095" s="163">
        <v>0</v>
      </c>
      <c r="AB1095" s="163">
        <v>0</v>
      </c>
      <c r="AC1095" s="163">
        <v>6</v>
      </c>
      <c r="AD1095" s="163">
        <v>0</v>
      </c>
      <c r="AE1095" s="165">
        <v>0.33451675167513761</v>
      </c>
      <c r="AF1095" s="166">
        <v>0.33451675167513761</v>
      </c>
    </row>
    <row r="1096" spans="1:32">
      <c r="A1096" s="161">
        <v>23</v>
      </c>
      <c r="B1096" s="162">
        <v>0.79166666666666663</v>
      </c>
      <c r="C1096" s="163">
        <v>3.4752864813003663</v>
      </c>
      <c r="D1096" s="163">
        <v>739.46932891938354</v>
      </c>
      <c r="E1096" s="164">
        <v>0.80220000000000002</v>
      </c>
      <c r="F1096" s="164">
        <v>0.80220000000000002</v>
      </c>
      <c r="G1096" s="163">
        <v>6</v>
      </c>
      <c r="H1096" s="163">
        <v>6.6666666666666661</v>
      </c>
      <c r="I1096" s="163">
        <v>0.66666666666666607</v>
      </c>
      <c r="J1096" s="163">
        <v>4</v>
      </c>
      <c r="K1096" s="163">
        <v>4.648421052631579</v>
      </c>
      <c r="L1096" s="163">
        <v>0.64842105263157901</v>
      </c>
      <c r="M1096" s="163">
        <v>5</v>
      </c>
      <c r="N1096" s="163">
        <v>5.9649122807017543</v>
      </c>
      <c r="O1096" s="163">
        <v>0.96491228070175428</v>
      </c>
      <c r="P1096" s="163"/>
      <c r="Q1096" s="163">
        <v>4</v>
      </c>
      <c r="R1096" s="163">
        <v>0</v>
      </c>
      <c r="S1096" s="163">
        <v>0</v>
      </c>
      <c r="T1096" s="163">
        <v>0</v>
      </c>
      <c r="U1096" s="163">
        <v>0</v>
      </c>
      <c r="V1096" s="163">
        <v>0</v>
      </c>
      <c r="W1096" s="163">
        <v>0</v>
      </c>
      <c r="X1096" s="163">
        <v>0</v>
      </c>
      <c r="Y1096" s="163">
        <v>4</v>
      </c>
      <c r="Z1096" s="163">
        <v>4</v>
      </c>
      <c r="AA1096" s="163">
        <v>0</v>
      </c>
      <c r="AB1096" s="163">
        <v>0</v>
      </c>
      <c r="AC1096" s="163">
        <v>4</v>
      </c>
      <c r="AD1096" s="163">
        <v>0</v>
      </c>
      <c r="AE1096" s="165">
        <v>0.46070621490475888</v>
      </c>
      <c r="AF1096" s="166">
        <v>0.30713747660317259</v>
      </c>
    </row>
    <row r="1097" spans="1:32">
      <c r="A1097" s="161">
        <v>23</v>
      </c>
      <c r="B1097" s="162">
        <v>0.8125</v>
      </c>
      <c r="C1097" s="163">
        <v>3.4739179845405186</v>
      </c>
      <c r="D1097" s="163">
        <v>738.07747810165245</v>
      </c>
      <c r="E1097" s="164">
        <v>0.80320000000000003</v>
      </c>
      <c r="F1097" s="164">
        <v>0.80320000000000003</v>
      </c>
      <c r="G1097" s="163">
        <v>6</v>
      </c>
      <c r="H1097" s="163">
        <v>6.6666666666666661</v>
      </c>
      <c r="I1097" s="163">
        <v>0.66666666666666607</v>
      </c>
      <c r="J1097" s="163">
        <v>4</v>
      </c>
      <c r="K1097" s="163">
        <v>4.648421052631579</v>
      </c>
      <c r="L1097" s="163">
        <v>0.64842105263157901</v>
      </c>
      <c r="M1097" s="163">
        <v>5</v>
      </c>
      <c r="N1097" s="163">
        <v>5.9649122807017543</v>
      </c>
      <c r="O1097" s="163">
        <v>0.96491228070175428</v>
      </c>
      <c r="P1097" s="163"/>
      <c r="Q1097" s="163">
        <v>4</v>
      </c>
      <c r="R1097" s="163">
        <v>0</v>
      </c>
      <c r="S1097" s="163">
        <v>0</v>
      </c>
      <c r="T1097" s="163">
        <v>0</v>
      </c>
      <c r="U1097" s="163">
        <v>0</v>
      </c>
      <c r="V1097" s="163">
        <v>0</v>
      </c>
      <c r="W1097" s="163">
        <v>0</v>
      </c>
      <c r="X1097" s="163">
        <v>0</v>
      </c>
      <c r="Y1097" s="163">
        <v>4</v>
      </c>
      <c r="Z1097" s="163">
        <v>4</v>
      </c>
      <c r="AA1097" s="163">
        <v>0</v>
      </c>
      <c r="AB1097" s="163">
        <v>0</v>
      </c>
      <c r="AC1097" s="163">
        <v>4</v>
      </c>
      <c r="AD1097" s="163">
        <v>0</v>
      </c>
      <c r="AE1097" s="165">
        <v>0.45965798496066557</v>
      </c>
      <c r="AF1097" s="166">
        <v>0.30643865664044373</v>
      </c>
    </row>
    <row r="1098" spans="1:32">
      <c r="A1098" s="161">
        <v>23</v>
      </c>
      <c r="B1098" s="162">
        <v>0.83333333333333337</v>
      </c>
      <c r="C1098" s="163">
        <v>3.3494839742730567</v>
      </c>
      <c r="D1098" s="163">
        <v>749.47835826814367</v>
      </c>
      <c r="E1098" s="164">
        <v>0.31796666666666668</v>
      </c>
      <c r="F1098" s="164">
        <v>0.31796666666666668</v>
      </c>
      <c r="G1098" s="163">
        <v>4</v>
      </c>
      <c r="H1098" s="163">
        <v>5.333333333333333</v>
      </c>
      <c r="I1098" s="163">
        <v>1.333333333333333</v>
      </c>
      <c r="J1098" s="163">
        <v>3</v>
      </c>
      <c r="K1098" s="163">
        <v>3.0989473684210527</v>
      </c>
      <c r="L1098" s="163">
        <v>9.8947368421052673E-2</v>
      </c>
      <c r="M1098" s="163">
        <v>4</v>
      </c>
      <c r="N1098" s="163">
        <v>4.7719298245614032</v>
      </c>
      <c r="O1098" s="163">
        <v>0.77192982456140324</v>
      </c>
      <c r="P1098" s="163"/>
      <c r="Q1098" s="163">
        <v>4</v>
      </c>
      <c r="R1098" s="163">
        <v>0</v>
      </c>
      <c r="S1098" s="163">
        <v>0</v>
      </c>
      <c r="T1098" s="163">
        <v>0</v>
      </c>
      <c r="U1098" s="163">
        <v>0</v>
      </c>
      <c r="V1098" s="163">
        <v>0</v>
      </c>
      <c r="W1098" s="163">
        <v>0</v>
      </c>
      <c r="X1098" s="163">
        <v>0</v>
      </c>
      <c r="Y1098" s="163">
        <v>4</v>
      </c>
      <c r="Z1098" s="163">
        <v>4</v>
      </c>
      <c r="AA1098" s="163">
        <v>0</v>
      </c>
      <c r="AB1098" s="163">
        <v>0</v>
      </c>
      <c r="AC1098" s="163">
        <v>4</v>
      </c>
      <c r="AD1098" s="163">
        <v>0</v>
      </c>
      <c r="AE1098" s="165">
        <v>0.45003914979231702</v>
      </c>
      <c r="AF1098" s="166">
        <v>0.45003914979231702</v>
      </c>
    </row>
    <row r="1099" spans="1:32">
      <c r="A1099" s="161">
        <v>23</v>
      </c>
      <c r="B1099" s="162">
        <v>0.85416666666666663</v>
      </c>
      <c r="C1099" s="163">
        <v>3.1402834066317058</v>
      </c>
      <c r="D1099" s="163">
        <v>743.8584293936467</v>
      </c>
      <c r="E1099" s="164">
        <v>0.1173</v>
      </c>
      <c r="F1099" s="164">
        <v>0.1173</v>
      </c>
      <c r="G1099" s="163">
        <v>4</v>
      </c>
      <c r="H1099" s="163">
        <v>3.333333333333333</v>
      </c>
      <c r="I1099" s="163">
        <v>-0.66666666666666696</v>
      </c>
      <c r="J1099" s="163">
        <v>3</v>
      </c>
      <c r="K1099" s="163">
        <v>3.0989473684210527</v>
      </c>
      <c r="L1099" s="163">
        <v>9.8947368421052673E-2</v>
      </c>
      <c r="M1099" s="163">
        <v>4</v>
      </c>
      <c r="N1099" s="163">
        <v>2.9824561403508771</v>
      </c>
      <c r="O1099" s="163">
        <v>-1.0175438596491229</v>
      </c>
      <c r="P1099" s="163"/>
      <c r="Q1099" s="163">
        <v>2</v>
      </c>
      <c r="R1099" s="163">
        <v>0</v>
      </c>
      <c r="S1099" s="163">
        <v>0</v>
      </c>
      <c r="T1099" s="163">
        <v>0</v>
      </c>
      <c r="U1099" s="163">
        <v>0</v>
      </c>
      <c r="V1099" s="163">
        <v>0</v>
      </c>
      <c r="W1099" s="163">
        <v>0</v>
      </c>
      <c r="X1099" s="163">
        <v>0</v>
      </c>
      <c r="Y1099" s="163">
        <v>2</v>
      </c>
      <c r="Z1099" s="163">
        <v>2</v>
      </c>
      <c r="AA1099" s="163">
        <v>0</v>
      </c>
      <c r="AB1099" s="163">
        <v>0</v>
      </c>
      <c r="AC1099" s="163">
        <v>2</v>
      </c>
      <c r="AD1099" s="163">
        <v>0</v>
      </c>
      <c r="AE1099" s="165">
        <v>0.83753395553011445</v>
      </c>
      <c r="AF1099" s="166">
        <v>0.41876697776505722</v>
      </c>
    </row>
    <row r="1100" spans="1:32">
      <c r="A1100" s="161">
        <v>23</v>
      </c>
      <c r="B1100" s="162">
        <v>0.875</v>
      </c>
      <c r="C1100" s="163">
        <v>2.8056613687872107</v>
      </c>
      <c r="D1100" s="163">
        <v>705.1385583118273</v>
      </c>
      <c r="E1100" s="164">
        <v>0.21909999999999999</v>
      </c>
      <c r="F1100" s="164">
        <v>0.21909999999999999</v>
      </c>
      <c r="G1100" s="163">
        <v>4</v>
      </c>
      <c r="H1100" s="163">
        <v>3.333333333333333</v>
      </c>
      <c r="I1100" s="163">
        <v>-0.66666666666666696</v>
      </c>
      <c r="J1100" s="163">
        <v>3</v>
      </c>
      <c r="K1100" s="163">
        <v>3.0989473684210527</v>
      </c>
      <c r="L1100" s="163">
        <v>9.8947368421052673E-2</v>
      </c>
      <c r="M1100" s="163">
        <v>4</v>
      </c>
      <c r="N1100" s="163">
        <v>2.9824561403508771</v>
      </c>
      <c r="O1100" s="163">
        <v>-1.0175438596491229</v>
      </c>
      <c r="P1100" s="163"/>
      <c r="Q1100" s="163">
        <v>2</v>
      </c>
      <c r="R1100" s="163">
        <v>0</v>
      </c>
      <c r="S1100" s="163">
        <v>0</v>
      </c>
      <c r="T1100" s="163">
        <v>0</v>
      </c>
      <c r="U1100" s="163">
        <v>0</v>
      </c>
      <c r="V1100" s="163">
        <v>0</v>
      </c>
      <c r="W1100" s="163">
        <v>0</v>
      </c>
      <c r="X1100" s="163">
        <v>0</v>
      </c>
      <c r="Y1100" s="163">
        <v>2</v>
      </c>
      <c r="Z1100" s="163">
        <v>2</v>
      </c>
      <c r="AA1100" s="163">
        <v>0</v>
      </c>
      <c r="AB1100" s="163">
        <v>0</v>
      </c>
      <c r="AC1100" s="163">
        <v>2</v>
      </c>
      <c r="AD1100" s="163">
        <v>0</v>
      </c>
      <c r="AE1100" s="165">
        <v>0.70933764042229452</v>
      </c>
      <c r="AF1100" s="166">
        <v>0.35466882021114726</v>
      </c>
    </row>
    <row r="1101" spans="1:32">
      <c r="A1101" s="161">
        <v>23</v>
      </c>
      <c r="B1101" s="162">
        <v>0.89583333333333337</v>
      </c>
      <c r="C1101" s="163">
        <v>2.5431288817714286</v>
      </c>
      <c r="D1101" s="163">
        <v>746.54562329690839</v>
      </c>
      <c r="E1101" s="164">
        <v>0.24250000000000002</v>
      </c>
      <c r="F1101" s="164">
        <v>0.24250000000000002</v>
      </c>
      <c r="G1101" s="163">
        <v>4</v>
      </c>
      <c r="H1101" s="163">
        <v>3.333333333333333</v>
      </c>
      <c r="I1101" s="163">
        <v>-0.66666666666666696</v>
      </c>
      <c r="J1101" s="163">
        <v>3</v>
      </c>
      <c r="K1101" s="163">
        <v>3.0989473684210527</v>
      </c>
      <c r="L1101" s="163">
        <v>9.8947368421052673E-2</v>
      </c>
      <c r="M1101" s="163">
        <v>4</v>
      </c>
      <c r="N1101" s="163">
        <v>2.9824561403508771</v>
      </c>
      <c r="O1101" s="163">
        <v>-1.0175438596491229</v>
      </c>
      <c r="P1101" s="163"/>
      <c r="Q1101" s="163">
        <v>2</v>
      </c>
      <c r="R1101" s="163">
        <v>0</v>
      </c>
      <c r="S1101" s="163">
        <v>0</v>
      </c>
      <c r="T1101" s="163">
        <v>0</v>
      </c>
      <c r="U1101" s="163">
        <v>0</v>
      </c>
      <c r="V1101" s="163">
        <v>0</v>
      </c>
      <c r="W1101" s="163">
        <v>0</v>
      </c>
      <c r="X1101" s="163">
        <v>0</v>
      </c>
      <c r="Y1101" s="163">
        <v>2</v>
      </c>
      <c r="Z1101" s="163">
        <v>2</v>
      </c>
      <c r="AA1101" s="163">
        <v>0</v>
      </c>
      <c r="AB1101" s="163">
        <v>0</v>
      </c>
      <c r="AC1101" s="163">
        <v>2</v>
      </c>
      <c r="AD1101" s="163">
        <v>0</v>
      </c>
      <c r="AE1101" s="165">
        <v>0.68071922152706044</v>
      </c>
      <c r="AF1101" s="166">
        <v>0.34035961076353022</v>
      </c>
    </row>
    <row r="1102" spans="1:32">
      <c r="A1102" s="161">
        <v>23</v>
      </c>
      <c r="B1102" s="162">
        <v>0.91666666666666663</v>
      </c>
      <c r="C1102" s="163">
        <v>2.1868801030664193</v>
      </c>
      <c r="D1102" s="163">
        <v>750.53535840441373</v>
      </c>
      <c r="E1102" s="164">
        <v>0.3226</v>
      </c>
      <c r="F1102" s="164">
        <v>0.3226</v>
      </c>
      <c r="G1102" s="163">
        <v>4</v>
      </c>
      <c r="H1102" s="163">
        <v>3.333333333333333</v>
      </c>
      <c r="I1102" s="163">
        <v>-0.66666666666666696</v>
      </c>
      <c r="J1102" s="163">
        <v>3</v>
      </c>
      <c r="K1102" s="163">
        <v>3.0989473684210527</v>
      </c>
      <c r="L1102" s="163">
        <v>9.8947368421052673E-2</v>
      </c>
      <c r="M1102" s="163">
        <v>4</v>
      </c>
      <c r="N1102" s="163">
        <v>2.9824561403508771</v>
      </c>
      <c r="O1102" s="163">
        <v>-1.0175438596491229</v>
      </c>
      <c r="P1102" s="163"/>
      <c r="Q1102" s="163">
        <v>2</v>
      </c>
      <c r="R1102" s="163">
        <v>0</v>
      </c>
      <c r="S1102" s="163">
        <v>0</v>
      </c>
      <c r="T1102" s="163">
        <v>0</v>
      </c>
      <c r="U1102" s="163">
        <v>0</v>
      </c>
      <c r="V1102" s="163">
        <v>0</v>
      </c>
      <c r="W1102" s="163">
        <v>0</v>
      </c>
      <c r="X1102" s="163">
        <v>0</v>
      </c>
      <c r="Y1102" s="163">
        <v>2</v>
      </c>
      <c r="Z1102" s="163">
        <v>2</v>
      </c>
      <c r="AA1102" s="163">
        <v>0</v>
      </c>
      <c r="AB1102" s="163">
        <v>0</v>
      </c>
      <c r="AC1102" s="163">
        <v>2</v>
      </c>
      <c r="AD1102" s="163">
        <v>0</v>
      </c>
      <c r="AE1102" s="165">
        <v>0.58849045133050804</v>
      </c>
      <c r="AF1102" s="166">
        <v>0.29424522566525402</v>
      </c>
    </row>
    <row r="1103" spans="1:32">
      <c r="A1103" s="161">
        <v>23</v>
      </c>
      <c r="B1103" s="162">
        <v>0.9375</v>
      </c>
      <c r="C1103" s="163">
        <v>1.5779400131660073</v>
      </c>
      <c r="D1103" s="163">
        <v>698.73047100259839</v>
      </c>
      <c r="E1103" s="164">
        <v>0.5101</v>
      </c>
      <c r="F1103" s="164">
        <v>0.5101</v>
      </c>
      <c r="G1103" s="163">
        <v>3</v>
      </c>
      <c r="H1103" s="163">
        <v>3.333333333333333</v>
      </c>
      <c r="I1103" s="163">
        <v>0.33333333333333304</v>
      </c>
      <c r="J1103" s="163">
        <v>2</v>
      </c>
      <c r="K1103" s="163">
        <v>2.3242105263157895</v>
      </c>
      <c r="L1103" s="163">
        <v>0.3242105263157895</v>
      </c>
      <c r="M1103" s="163">
        <v>3</v>
      </c>
      <c r="N1103" s="163">
        <v>2.9824561403508771</v>
      </c>
      <c r="O1103" s="163">
        <v>-1.7543859649122862E-2</v>
      </c>
      <c r="P1103" s="163"/>
      <c r="Q1103" s="163">
        <v>2</v>
      </c>
      <c r="R1103" s="163">
        <v>0</v>
      </c>
      <c r="S1103" s="163">
        <v>0</v>
      </c>
      <c r="T1103" s="163">
        <v>0</v>
      </c>
      <c r="U1103" s="163">
        <v>0</v>
      </c>
      <c r="V1103" s="163">
        <v>0</v>
      </c>
      <c r="W1103" s="163">
        <v>0</v>
      </c>
      <c r="X1103" s="163">
        <v>0</v>
      </c>
      <c r="Y1103" s="163">
        <v>2</v>
      </c>
      <c r="Z1103" s="163">
        <v>2</v>
      </c>
      <c r="AA1103" s="163">
        <v>0</v>
      </c>
      <c r="AB1103" s="163">
        <v>0</v>
      </c>
      <c r="AC1103" s="163">
        <v>2</v>
      </c>
      <c r="AD1103" s="163">
        <v>0</v>
      </c>
      <c r="AE1103" s="165">
        <v>0.39531515329961653</v>
      </c>
      <c r="AF1103" s="166">
        <v>0.26354343553307769</v>
      </c>
    </row>
    <row r="1104" spans="1:32">
      <c r="A1104" s="161">
        <v>23</v>
      </c>
      <c r="B1104" s="162">
        <v>0.95833333333333337</v>
      </c>
      <c r="C1104" s="163">
        <v>1.1065660072123444</v>
      </c>
      <c r="D1104" s="163">
        <v>652.40111311554006</v>
      </c>
      <c r="E1104" s="164">
        <v>0.66100000000000003</v>
      </c>
      <c r="F1104" s="164">
        <v>0.66100000000000003</v>
      </c>
      <c r="G1104" s="163">
        <v>3</v>
      </c>
      <c r="H1104" s="163">
        <v>3.333333333333333</v>
      </c>
      <c r="I1104" s="163">
        <v>0.33333333333333304</v>
      </c>
      <c r="J1104" s="163">
        <v>2</v>
      </c>
      <c r="K1104" s="163">
        <v>2.3242105263157895</v>
      </c>
      <c r="L1104" s="163">
        <v>0.3242105263157895</v>
      </c>
      <c r="M1104" s="163">
        <v>3</v>
      </c>
      <c r="N1104" s="163">
        <v>2.9824561403508771</v>
      </c>
      <c r="O1104" s="163">
        <v>-1.7543859649122862E-2</v>
      </c>
      <c r="P1104" s="163"/>
      <c r="Q1104" s="163">
        <v>2</v>
      </c>
      <c r="R1104" s="163">
        <v>0</v>
      </c>
      <c r="S1104" s="163">
        <v>0</v>
      </c>
      <c r="T1104" s="163">
        <v>0</v>
      </c>
      <c r="U1104" s="163">
        <v>0</v>
      </c>
      <c r="V1104" s="163">
        <v>0</v>
      </c>
      <c r="W1104" s="163">
        <v>0</v>
      </c>
      <c r="X1104" s="163">
        <v>0</v>
      </c>
      <c r="Y1104" s="163">
        <v>2</v>
      </c>
      <c r="Z1104" s="163">
        <v>2</v>
      </c>
      <c r="AA1104" s="163">
        <v>0</v>
      </c>
      <c r="AB1104" s="163">
        <v>0</v>
      </c>
      <c r="AC1104" s="163">
        <v>2</v>
      </c>
      <c r="AD1104" s="163">
        <v>0</v>
      </c>
      <c r="AE1104" s="165">
        <v>0.25884233472942886</v>
      </c>
      <c r="AF1104" s="166">
        <v>0.17256155648628591</v>
      </c>
    </row>
    <row r="1105" spans="1:32">
      <c r="A1105" s="161">
        <v>23</v>
      </c>
      <c r="B1105" s="162">
        <v>0.97916666666666663</v>
      </c>
      <c r="C1105" s="163">
        <v>0.84907122552263792</v>
      </c>
      <c r="D1105" s="163">
        <v>521.80609742364845</v>
      </c>
      <c r="E1105" s="164">
        <v>0.78459999999999985</v>
      </c>
      <c r="F1105" s="164">
        <v>0.78459999999999985</v>
      </c>
      <c r="G1105" s="163">
        <v>3</v>
      </c>
      <c r="H1105" s="163">
        <v>3.333333333333333</v>
      </c>
      <c r="I1105" s="163">
        <v>0.33333333333333304</v>
      </c>
      <c r="J1105" s="163">
        <v>2</v>
      </c>
      <c r="K1105" s="163">
        <v>2.3242105263157895</v>
      </c>
      <c r="L1105" s="163">
        <v>0.3242105263157895</v>
      </c>
      <c r="M1105" s="163">
        <v>3</v>
      </c>
      <c r="N1105" s="163">
        <v>2.9824561403508771</v>
      </c>
      <c r="O1105" s="163">
        <v>-1.7543859649122862E-2</v>
      </c>
      <c r="P1105" s="163"/>
      <c r="Q1105" s="163">
        <v>2</v>
      </c>
      <c r="R1105" s="163">
        <v>0</v>
      </c>
      <c r="S1105" s="163">
        <v>0</v>
      </c>
      <c r="T1105" s="163">
        <v>0</v>
      </c>
      <c r="U1105" s="163">
        <v>0</v>
      </c>
      <c r="V1105" s="163">
        <v>0</v>
      </c>
      <c r="W1105" s="163">
        <v>0</v>
      </c>
      <c r="X1105" s="163">
        <v>0</v>
      </c>
      <c r="Y1105" s="163">
        <v>2</v>
      </c>
      <c r="Z1105" s="163">
        <v>2</v>
      </c>
      <c r="AA1105" s="163">
        <v>0</v>
      </c>
      <c r="AB1105" s="163">
        <v>0</v>
      </c>
      <c r="AC1105" s="163">
        <v>2</v>
      </c>
      <c r="AD1105" s="163">
        <v>0</v>
      </c>
      <c r="AE1105" s="165">
        <v>0.15885341768321559</v>
      </c>
      <c r="AF1105" s="166">
        <v>0.10590227845547706</v>
      </c>
    </row>
    <row r="1106" spans="1:32">
      <c r="A1106" s="161">
        <v>24</v>
      </c>
      <c r="B1106" s="162">
        <v>0</v>
      </c>
      <c r="C1106" s="163">
        <v>1.2874172788149105</v>
      </c>
      <c r="D1106" s="163">
        <v>638.90667594896604</v>
      </c>
      <c r="E1106" s="164">
        <v>0.98929999999999996</v>
      </c>
      <c r="F1106" s="164">
        <v>0.98929999999999996</v>
      </c>
      <c r="G1106" s="163">
        <v>3</v>
      </c>
      <c r="H1106" s="163">
        <v>6.6666666666666661</v>
      </c>
      <c r="I1106" s="163">
        <v>3.6666666666666661</v>
      </c>
      <c r="J1106" s="163">
        <v>2</v>
      </c>
      <c r="K1106" s="163">
        <v>2.445506072874494</v>
      </c>
      <c r="L1106" s="163">
        <v>0.44550607287449395</v>
      </c>
      <c r="M1106" s="163">
        <v>3</v>
      </c>
      <c r="N1106" s="163">
        <v>6.0908681961313533</v>
      </c>
      <c r="O1106" s="163">
        <v>3.0908681961313533</v>
      </c>
      <c r="P1106" s="163"/>
      <c r="Q1106" s="163">
        <v>4</v>
      </c>
      <c r="R1106" s="163">
        <v>0</v>
      </c>
      <c r="S1106" s="163">
        <v>0</v>
      </c>
      <c r="T1106" s="163">
        <v>0</v>
      </c>
      <c r="U1106" s="163">
        <v>0</v>
      </c>
      <c r="V1106" s="163">
        <v>0</v>
      </c>
      <c r="W1106" s="163">
        <v>0</v>
      </c>
      <c r="X1106" s="163">
        <v>0</v>
      </c>
      <c r="Y1106" s="163">
        <v>4</v>
      </c>
      <c r="Z1106" s="163">
        <v>4</v>
      </c>
      <c r="AA1106" s="163">
        <v>0</v>
      </c>
      <c r="AB1106" s="163">
        <v>0</v>
      </c>
      <c r="AC1106" s="163">
        <v>4</v>
      </c>
      <c r="AD1106" s="163">
        <v>0</v>
      </c>
      <c r="AE1106" s="165">
        <v>0.14014473038431763</v>
      </c>
      <c r="AF1106" s="166">
        <v>0.18685964051242349</v>
      </c>
    </row>
    <row r="1107" spans="1:32">
      <c r="A1107" s="161">
        <v>24</v>
      </c>
      <c r="B1107" s="162">
        <v>2.0833333333333332E-2</v>
      </c>
      <c r="C1107" s="163">
        <v>0.90038097044623266</v>
      </c>
      <c r="D1107" s="163">
        <v>638.77750503258778</v>
      </c>
      <c r="E1107" s="164">
        <v>0.996</v>
      </c>
      <c r="F1107" s="164">
        <v>0.996</v>
      </c>
      <c r="G1107" s="163">
        <v>3</v>
      </c>
      <c r="H1107" s="163">
        <v>6.6666666666666661</v>
      </c>
      <c r="I1107" s="163">
        <v>3.6666666666666661</v>
      </c>
      <c r="J1107" s="163">
        <v>2</v>
      </c>
      <c r="K1107" s="163">
        <v>2.445506072874494</v>
      </c>
      <c r="L1107" s="163">
        <v>0.44550607287449395</v>
      </c>
      <c r="M1107" s="163">
        <v>3</v>
      </c>
      <c r="N1107" s="163">
        <v>6.0908681961313533</v>
      </c>
      <c r="O1107" s="163">
        <v>3.0908681961313533</v>
      </c>
      <c r="P1107" s="163"/>
      <c r="Q1107" s="163">
        <v>4</v>
      </c>
      <c r="R1107" s="163">
        <v>0</v>
      </c>
      <c r="S1107" s="163">
        <v>0</v>
      </c>
      <c r="T1107" s="163">
        <v>0</v>
      </c>
      <c r="U1107" s="163">
        <v>0</v>
      </c>
      <c r="V1107" s="163">
        <v>0</v>
      </c>
      <c r="W1107" s="163">
        <v>0</v>
      </c>
      <c r="X1107" s="163">
        <v>0</v>
      </c>
      <c r="Y1107" s="163">
        <v>4</v>
      </c>
      <c r="Z1107" s="163">
        <v>4</v>
      </c>
      <c r="AA1107" s="163">
        <v>0</v>
      </c>
      <c r="AB1107" s="163">
        <v>0</v>
      </c>
      <c r="AC1107" s="163">
        <v>4</v>
      </c>
      <c r="AD1107" s="163">
        <v>0</v>
      </c>
      <c r="AE1107" s="165">
        <v>9.7993198670945345E-2</v>
      </c>
      <c r="AF1107" s="166">
        <v>0.13065759822792711</v>
      </c>
    </row>
    <row r="1108" spans="1:32">
      <c r="A1108" s="161">
        <v>24</v>
      </c>
      <c r="B1108" s="162">
        <v>4.1666666666666664E-2</v>
      </c>
      <c r="C1108" s="163">
        <v>0.68551422161294329</v>
      </c>
      <c r="D1108" s="163">
        <v>605.35511160703379</v>
      </c>
      <c r="E1108" s="164">
        <v>0.99850000000000005</v>
      </c>
      <c r="F1108" s="164">
        <v>0.99850000000000005</v>
      </c>
      <c r="G1108" s="163">
        <v>3</v>
      </c>
      <c r="H1108" s="163">
        <v>6.6666666666666661</v>
      </c>
      <c r="I1108" s="163">
        <v>3.6666666666666661</v>
      </c>
      <c r="J1108" s="163">
        <v>2</v>
      </c>
      <c r="K1108" s="163">
        <v>2.445506072874494</v>
      </c>
      <c r="L1108" s="163">
        <v>0.44550607287449395</v>
      </c>
      <c r="M1108" s="163">
        <v>3</v>
      </c>
      <c r="N1108" s="163">
        <v>6.0908681961313533</v>
      </c>
      <c r="O1108" s="163">
        <v>3.0908681961313533</v>
      </c>
      <c r="P1108" s="163"/>
      <c r="Q1108" s="163">
        <v>4</v>
      </c>
      <c r="R1108" s="163">
        <v>0</v>
      </c>
      <c r="S1108" s="163">
        <v>0</v>
      </c>
      <c r="T1108" s="163">
        <v>0</v>
      </c>
      <c r="U1108" s="163">
        <v>0</v>
      </c>
      <c r="V1108" s="163">
        <v>0</v>
      </c>
      <c r="W1108" s="163">
        <v>0</v>
      </c>
      <c r="X1108" s="163">
        <v>0</v>
      </c>
      <c r="Y1108" s="163">
        <v>4</v>
      </c>
      <c r="Z1108" s="163">
        <v>4</v>
      </c>
      <c r="AA1108" s="163">
        <v>0</v>
      </c>
      <c r="AB1108" s="163">
        <v>0</v>
      </c>
      <c r="AC1108" s="163">
        <v>4</v>
      </c>
      <c r="AD1108" s="163">
        <v>0</v>
      </c>
      <c r="AE1108" s="165">
        <v>7.0704441426878387E-2</v>
      </c>
      <c r="AF1108" s="166">
        <v>9.4272588569171173E-2</v>
      </c>
    </row>
    <row r="1109" spans="1:32">
      <c r="A1109" s="161">
        <v>24</v>
      </c>
      <c r="B1109" s="162">
        <v>6.25E-2</v>
      </c>
      <c r="C1109" s="163">
        <v>0.54319791013648944</v>
      </c>
      <c r="D1109" s="163">
        <v>589.43932606045394</v>
      </c>
      <c r="E1109" s="164">
        <v>0.99929999999999997</v>
      </c>
      <c r="F1109" s="164">
        <v>0.99929999999999997</v>
      </c>
      <c r="G1109" s="163">
        <v>2</v>
      </c>
      <c r="H1109" s="163">
        <v>6.6666666666666661</v>
      </c>
      <c r="I1109" s="163">
        <v>4.6666666666666661</v>
      </c>
      <c r="J1109" s="163">
        <v>1</v>
      </c>
      <c r="K1109" s="163">
        <v>1.6303373819163294</v>
      </c>
      <c r="L1109" s="163">
        <v>0.63033738191632938</v>
      </c>
      <c r="M1109" s="163">
        <v>2</v>
      </c>
      <c r="N1109" s="163">
        <v>6.0908681961313533</v>
      </c>
      <c r="O1109" s="163">
        <v>4.0908681961313533</v>
      </c>
      <c r="P1109" s="163"/>
      <c r="Q1109" s="163">
        <v>4</v>
      </c>
      <c r="R1109" s="163">
        <v>0</v>
      </c>
      <c r="S1109" s="163">
        <v>0</v>
      </c>
      <c r="T1109" s="163">
        <v>0</v>
      </c>
      <c r="U1109" s="163">
        <v>0</v>
      </c>
      <c r="V1109" s="163">
        <v>0</v>
      </c>
      <c r="W1109" s="163">
        <v>0</v>
      </c>
      <c r="X1109" s="163">
        <v>0</v>
      </c>
      <c r="Y1109" s="163">
        <v>4</v>
      </c>
      <c r="Z1109" s="163">
        <v>4</v>
      </c>
      <c r="AA1109" s="163">
        <v>0</v>
      </c>
      <c r="AB1109" s="163">
        <v>0</v>
      </c>
      <c r="AC1109" s="163">
        <v>4</v>
      </c>
      <c r="AD1109" s="163">
        <v>0</v>
      </c>
      <c r="AE1109" s="165">
        <v>5.4552820651274425E-2</v>
      </c>
      <c r="AF1109" s="166">
        <v>0.10910564130254885</v>
      </c>
    </row>
    <row r="1110" spans="1:32">
      <c r="A1110" s="161">
        <v>24</v>
      </c>
      <c r="B1110" s="162">
        <v>8.3333333333333329E-2</v>
      </c>
      <c r="C1110" s="163">
        <v>0.43721793156564137</v>
      </c>
      <c r="D1110" s="163">
        <v>606.89152544784599</v>
      </c>
      <c r="E1110" s="164">
        <v>0.99949999999999994</v>
      </c>
      <c r="F1110" s="164">
        <v>0.99949999999999994</v>
      </c>
      <c r="G1110" s="163">
        <v>2</v>
      </c>
      <c r="H1110" s="163">
        <v>6.6666666666666661</v>
      </c>
      <c r="I1110" s="163">
        <v>4.6666666666666661</v>
      </c>
      <c r="J1110" s="163">
        <v>1</v>
      </c>
      <c r="K1110" s="163">
        <v>1.6303373819163294</v>
      </c>
      <c r="L1110" s="163">
        <v>0.63033738191632938</v>
      </c>
      <c r="M1110" s="163">
        <v>2</v>
      </c>
      <c r="N1110" s="163">
        <v>6.0908681961313533</v>
      </c>
      <c r="O1110" s="163">
        <v>4.0908681961313533</v>
      </c>
      <c r="P1110" s="163"/>
      <c r="Q1110" s="163">
        <v>4</v>
      </c>
      <c r="R1110" s="163">
        <v>0</v>
      </c>
      <c r="S1110" s="163">
        <v>0</v>
      </c>
      <c r="T1110" s="163">
        <v>0</v>
      </c>
      <c r="U1110" s="163">
        <v>0</v>
      </c>
      <c r="V1110" s="163">
        <v>0</v>
      </c>
      <c r="W1110" s="163">
        <v>0</v>
      </c>
      <c r="X1110" s="163">
        <v>0</v>
      </c>
      <c r="Y1110" s="163">
        <v>4</v>
      </c>
      <c r="Z1110" s="163">
        <v>4</v>
      </c>
      <c r="AA1110" s="163">
        <v>0</v>
      </c>
      <c r="AB1110" s="163">
        <v>0</v>
      </c>
      <c r="AC1110" s="163">
        <v>4</v>
      </c>
      <c r="AD1110" s="163">
        <v>0</v>
      </c>
      <c r="AE1110" s="165">
        <v>4.5209432038118981E-2</v>
      </c>
      <c r="AF1110" s="166">
        <v>9.0418864076237962E-2</v>
      </c>
    </row>
    <row r="1111" spans="1:32">
      <c r="A1111" s="161">
        <v>24</v>
      </c>
      <c r="B1111" s="162">
        <v>0.10416666666666667</v>
      </c>
      <c r="C1111" s="163">
        <v>0.34806181382969437</v>
      </c>
      <c r="D1111" s="163">
        <v>577.55714845526256</v>
      </c>
      <c r="E1111" s="164">
        <v>0.99980000000000002</v>
      </c>
      <c r="F1111" s="164">
        <v>0.99980000000000002</v>
      </c>
      <c r="G1111" s="163">
        <v>2</v>
      </c>
      <c r="H1111" s="163">
        <v>6.6666666666666661</v>
      </c>
      <c r="I1111" s="163">
        <v>4.6666666666666661</v>
      </c>
      <c r="J1111" s="163">
        <v>1</v>
      </c>
      <c r="K1111" s="163">
        <v>1.6303373819163294</v>
      </c>
      <c r="L1111" s="163">
        <v>0.63033738191632938</v>
      </c>
      <c r="M1111" s="163">
        <v>2</v>
      </c>
      <c r="N1111" s="163">
        <v>6.0908681961313533</v>
      </c>
      <c r="O1111" s="163">
        <v>4.0908681961313533</v>
      </c>
      <c r="P1111" s="163"/>
      <c r="Q1111" s="163">
        <v>4</v>
      </c>
      <c r="R1111" s="163">
        <v>0</v>
      </c>
      <c r="S1111" s="163">
        <v>0</v>
      </c>
      <c r="T1111" s="163">
        <v>0</v>
      </c>
      <c r="U1111" s="163">
        <v>0</v>
      </c>
      <c r="V1111" s="163">
        <v>0</v>
      </c>
      <c r="W1111" s="163">
        <v>0</v>
      </c>
      <c r="X1111" s="163">
        <v>0</v>
      </c>
      <c r="Y1111" s="163">
        <v>4</v>
      </c>
      <c r="Z1111" s="163">
        <v>4</v>
      </c>
      <c r="AA1111" s="163">
        <v>0</v>
      </c>
      <c r="AB1111" s="163">
        <v>0</v>
      </c>
      <c r="AC1111" s="163">
        <v>4</v>
      </c>
      <c r="AD1111" s="163">
        <v>0</v>
      </c>
      <c r="AE1111" s="165">
        <v>3.4250850112276132E-2</v>
      </c>
      <c r="AF1111" s="166">
        <v>6.8501700224552264E-2</v>
      </c>
    </row>
    <row r="1112" spans="1:32">
      <c r="A1112" s="161">
        <v>24</v>
      </c>
      <c r="B1112" s="162">
        <v>0.125</v>
      </c>
      <c r="C1112" s="163">
        <v>0.31384907439762944</v>
      </c>
      <c r="D1112" s="163">
        <v>577.46023386956097</v>
      </c>
      <c r="E1112" s="164">
        <v>0.99980000000000002</v>
      </c>
      <c r="F1112" s="164">
        <v>0.99980000000000002</v>
      </c>
      <c r="G1112" s="163">
        <v>2</v>
      </c>
      <c r="H1112" s="163">
        <v>6.6666666666666661</v>
      </c>
      <c r="I1112" s="163">
        <v>4.6666666666666661</v>
      </c>
      <c r="J1112" s="163">
        <v>1</v>
      </c>
      <c r="K1112" s="163">
        <v>1.6303373819163294</v>
      </c>
      <c r="L1112" s="163">
        <v>0.63033738191632938</v>
      </c>
      <c r="M1112" s="163">
        <v>2</v>
      </c>
      <c r="N1112" s="163">
        <v>6.0908681961313533</v>
      </c>
      <c r="O1112" s="163">
        <v>4.0908681961313533</v>
      </c>
      <c r="P1112" s="163"/>
      <c r="Q1112" s="163">
        <v>4</v>
      </c>
      <c r="R1112" s="163">
        <v>0</v>
      </c>
      <c r="S1112" s="163">
        <v>0</v>
      </c>
      <c r="T1112" s="163">
        <v>0</v>
      </c>
      <c r="U1112" s="163">
        <v>0</v>
      </c>
      <c r="V1112" s="163">
        <v>0</v>
      </c>
      <c r="W1112" s="163">
        <v>0</v>
      </c>
      <c r="X1112" s="163">
        <v>0</v>
      </c>
      <c r="Y1112" s="163">
        <v>4</v>
      </c>
      <c r="Z1112" s="163">
        <v>4</v>
      </c>
      <c r="AA1112" s="163">
        <v>0</v>
      </c>
      <c r="AB1112" s="163">
        <v>0</v>
      </c>
      <c r="AC1112" s="163">
        <v>4</v>
      </c>
      <c r="AD1112" s="163">
        <v>0</v>
      </c>
      <c r="AE1112" s="165">
        <v>3.087898007281932E-2</v>
      </c>
      <c r="AF1112" s="166">
        <v>6.1757960145638641E-2</v>
      </c>
    </row>
    <row r="1113" spans="1:32">
      <c r="A1113" s="161">
        <v>24</v>
      </c>
      <c r="B1113" s="162">
        <v>0.14583333333333334</v>
      </c>
      <c r="C1113" s="163">
        <v>0.31620720075159547</v>
      </c>
      <c r="D1113" s="163">
        <v>611.47614826437257</v>
      </c>
      <c r="E1113" s="164">
        <v>0.99980000000000002</v>
      </c>
      <c r="F1113" s="164">
        <v>0.99980000000000002</v>
      </c>
      <c r="G1113" s="163">
        <v>2</v>
      </c>
      <c r="H1113" s="163">
        <v>6.6666666666666661</v>
      </c>
      <c r="I1113" s="163">
        <v>4.6666666666666661</v>
      </c>
      <c r="J1113" s="163">
        <v>1</v>
      </c>
      <c r="K1113" s="163">
        <v>1.6303373819163294</v>
      </c>
      <c r="L1113" s="163">
        <v>0.63033738191632938</v>
      </c>
      <c r="M1113" s="163">
        <v>2</v>
      </c>
      <c r="N1113" s="163">
        <v>6.0908681961313533</v>
      </c>
      <c r="O1113" s="163">
        <v>4.0908681961313533</v>
      </c>
      <c r="P1113" s="163"/>
      <c r="Q1113" s="163">
        <v>4</v>
      </c>
      <c r="R1113" s="163">
        <v>0</v>
      </c>
      <c r="S1113" s="163">
        <v>0</v>
      </c>
      <c r="T1113" s="163">
        <v>0</v>
      </c>
      <c r="U1113" s="163">
        <v>0</v>
      </c>
      <c r="V1113" s="163">
        <v>0</v>
      </c>
      <c r="W1113" s="163">
        <v>0</v>
      </c>
      <c r="X1113" s="163">
        <v>0</v>
      </c>
      <c r="Y1113" s="163">
        <v>4</v>
      </c>
      <c r="Z1113" s="163">
        <v>4</v>
      </c>
      <c r="AA1113" s="163">
        <v>0</v>
      </c>
      <c r="AB1113" s="163">
        <v>0</v>
      </c>
      <c r="AC1113" s="163">
        <v>4</v>
      </c>
      <c r="AD1113" s="163">
        <v>0</v>
      </c>
      <c r="AE1113" s="165">
        <v>3.2943617702438352E-2</v>
      </c>
      <c r="AF1113" s="166">
        <v>6.5887235404876704E-2</v>
      </c>
    </row>
    <row r="1114" spans="1:32">
      <c r="A1114" s="161">
        <v>24</v>
      </c>
      <c r="B1114" s="162">
        <v>0.16666666666666666</v>
      </c>
      <c r="C1114" s="163">
        <v>0.35563725252673029</v>
      </c>
      <c r="D1114" s="163">
        <v>611.47339813694441</v>
      </c>
      <c r="E1114" s="164">
        <v>0.99970000000000014</v>
      </c>
      <c r="F1114" s="164">
        <v>0.99970000000000014</v>
      </c>
      <c r="G1114" s="163">
        <v>2</v>
      </c>
      <c r="H1114" s="163">
        <v>6.6666666666666661</v>
      </c>
      <c r="I1114" s="163">
        <v>4.6666666666666661</v>
      </c>
      <c r="J1114" s="163">
        <v>1</v>
      </c>
      <c r="K1114" s="163">
        <v>1.6303373819163294</v>
      </c>
      <c r="L1114" s="163">
        <v>0.63033738191632938</v>
      </c>
      <c r="M1114" s="163">
        <v>2</v>
      </c>
      <c r="N1114" s="163">
        <v>6.0908681961313533</v>
      </c>
      <c r="O1114" s="163">
        <v>4.0908681961313533</v>
      </c>
      <c r="P1114" s="163"/>
      <c r="Q1114" s="163">
        <v>4</v>
      </c>
      <c r="R1114" s="163">
        <v>0</v>
      </c>
      <c r="S1114" s="163">
        <v>0</v>
      </c>
      <c r="T1114" s="163">
        <v>0</v>
      </c>
      <c r="U1114" s="163">
        <v>0</v>
      </c>
      <c r="V1114" s="163">
        <v>0</v>
      </c>
      <c r="W1114" s="163">
        <v>0</v>
      </c>
      <c r="X1114" s="163">
        <v>0</v>
      </c>
      <c r="Y1114" s="163">
        <v>4</v>
      </c>
      <c r="Z1114" s="163">
        <v>4</v>
      </c>
      <c r="AA1114" s="163">
        <v>0</v>
      </c>
      <c r="AB1114" s="163">
        <v>0</v>
      </c>
      <c r="AC1114" s="163">
        <v>4</v>
      </c>
      <c r="AD1114" s="163">
        <v>0</v>
      </c>
      <c r="AE1114" s="165">
        <v>3.7051417448024815E-2</v>
      </c>
      <c r="AF1114" s="166">
        <v>7.410283489604963E-2</v>
      </c>
    </row>
    <row r="1115" spans="1:32">
      <c r="A1115" s="161">
        <v>24</v>
      </c>
      <c r="B1115" s="162">
        <v>0.1875</v>
      </c>
      <c r="C1115" s="163">
        <v>0.52431654688012497</v>
      </c>
      <c r="D1115" s="163">
        <v>649.67698908370892</v>
      </c>
      <c r="E1115" s="164">
        <v>0.99909999999999999</v>
      </c>
      <c r="F1115" s="164">
        <v>0.99909999999999999</v>
      </c>
      <c r="G1115" s="163">
        <v>2</v>
      </c>
      <c r="H1115" s="163">
        <v>6.6666666666666661</v>
      </c>
      <c r="I1115" s="163">
        <v>4.6666666666666661</v>
      </c>
      <c r="J1115" s="163">
        <v>1</v>
      </c>
      <c r="K1115" s="163">
        <v>1.6303373819163294</v>
      </c>
      <c r="L1115" s="163">
        <v>0.63033738191632938</v>
      </c>
      <c r="M1115" s="163">
        <v>2</v>
      </c>
      <c r="N1115" s="163">
        <v>6.0908681961313533</v>
      </c>
      <c r="O1115" s="163">
        <v>4.0908681961313533</v>
      </c>
      <c r="P1115" s="163"/>
      <c r="Q1115" s="163">
        <v>4</v>
      </c>
      <c r="R1115" s="163">
        <v>0</v>
      </c>
      <c r="S1115" s="163">
        <v>0</v>
      </c>
      <c r="T1115" s="163">
        <v>0</v>
      </c>
      <c r="U1115" s="163">
        <v>0</v>
      </c>
      <c r="V1115" s="163">
        <v>0</v>
      </c>
      <c r="W1115" s="163">
        <v>0</v>
      </c>
      <c r="X1115" s="163">
        <v>0</v>
      </c>
      <c r="Y1115" s="163">
        <v>4</v>
      </c>
      <c r="Z1115" s="163">
        <v>4</v>
      </c>
      <c r="AA1115" s="163">
        <v>0</v>
      </c>
      <c r="AB1115" s="163">
        <v>0</v>
      </c>
      <c r="AC1115" s="163">
        <v>4</v>
      </c>
      <c r="AD1115" s="163">
        <v>0</v>
      </c>
      <c r="AE1115" s="165">
        <v>5.8037815990007686E-2</v>
      </c>
      <c r="AF1115" s="166">
        <v>0.11607563198001537</v>
      </c>
    </row>
    <row r="1116" spans="1:32">
      <c r="A1116" s="161">
        <v>24</v>
      </c>
      <c r="B1116" s="162">
        <v>0.20833333333333334</v>
      </c>
      <c r="C1116" s="163">
        <v>0.91953594058570187</v>
      </c>
      <c r="D1116" s="163">
        <v>683.16131309102229</v>
      </c>
      <c r="E1116" s="164">
        <v>0.99490000000000001</v>
      </c>
      <c r="F1116" s="164">
        <v>0.99490000000000001</v>
      </c>
      <c r="G1116" s="163">
        <v>3</v>
      </c>
      <c r="H1116" s="163">
        <v>6.6666666666666661</v>
      </c>
      <c r="I1116" s="163">
        <v>3.6666666666666661</v>
      </c>
      <c r="J1116" s="163">
        <v>2</v>
      </c>
      <c r="K1116" s="163">
        <v>2.445506072874494</v>
      </c>
      <c r="L1116" s="163">
        <v>0.44550607287449395</v>
      </c>
      <c r="M1116" s="163">
        <v>3</v>
      </c>
      <c r="N1116" s="163">
        <v>6.0908681961313533</v>
      </c>
      <c r="O1116" s="163">
        <v>3.0908681961313533</v>
      </c>
      <c r="P1116" s="163"/>
      <c r="Q1116" s="163">
        <v>4</v>
      </c>
      <c r="R1116" s="163">
        <v>0</v>
      </c>
      <c r="S1116" s="163">
        <v>0</v>
      </c>
      <c r="T1116" s="163">
        <v>0</v>
      </c>
      <c r="U1116" s="163">
        <v>0</v>
      </c>
      <c r="V1116" s="163">
        <v>0</v>
      </c>
      <c r="W1116" s="163">
        <v>0</v>
      </c>
      <c r="X1116" s="163">
        <v>0</v>
      </c>
      <c r="Y1116" s="163">
        <v>4</v>
      </c>
      <c r="Z1116" s="163">
        <v>4</v>
      </c>
      <c r="AA1116" s="163">
        <v>0</v>
      </c>
      <c r="AB1116" s="163">
        <v>0</v>
      </c>
      <c r="AC1116" s="163">
        <v>4</v>
      </c>
      <c r="AD1116" s="163">
        <v>0</v>
      </c>
      <c r="AE1116" s="165">
        <v>0.1070315921471911</v>
      </c>
      <c r="AF1116" s="166">
        <v>0.14270878952958813</v>
      </c>
    </row>
    <row r="1117" spans="1:32">
      <c r="A1117" s="161">
        <v>24</v>
      </c>
      <c r="B1117" s="162">
        <v>0.22916666666666666</v>
      </c>
      <c r="C1117" s="163">
        <v>1.5384533110539773</v>
      </c>
      <c r="D1117" s="163">
        <v>698.25781977604004</v>
      </c>
      <c r="E1117" s="164">
        <v>0.97789999999999999</v>
      </c>
      <c r="F1117" s="164">
        <v>0.97789999999999999</v>
      </c>
      <c r="G1117" s="163">
        <v>3</v>
      </c>
      <c r="H1117" s="163">
        <v>6.6666666666666661</v>
      </c>
      <c r="I1117" s="163">
        <v>3.6666666666666661</v>
      </c>
      <c r="J1117" s="163">
        <v>2</v>
      </c>
      <c r="K1117" s="163">
        <v>2.445506072874494</v>
      </c>
      <c r="L1117" s="163">
        <v>0.44550607287449395</v>
      </c>
      <c r="M1117" s="163">
        <v>3</v>
      </c>
      <c r="N1117" s="163">
        <v>6.0908681961313533</v>
      </c>
      <c r="O1117" s="163">
        <v>3.0908681961313533</v>
      </c>
      <c r="P1117" s="163"/>
      <c r="Q1117" s="163">
        <v>4</v>
      </c>
      <c r="R1117" s="163">
        <v>0</v>
      </c>
      <c r="S1117" s="163">
        <v>0</v>
      </c>
      <c r="T1117" s="163">
        <v>0</v>
      </c>
      <c r="U1117" s="163">
        <v>0</v>
      </c>
      <c r="V1117" s="163">
        <v>0</v>
      </c>
      <c r="W1117" s="163">
        <v>0</v>
      </c>
      <c r="X1117" s="163">
        <v>0</v>
      </c>
      <c r="Y1117" s="163">
        <v>4</v>
      </c>
      <c r="Z1117" s="163">
        <v>4</v>
      </c>
      <c r="AA1117" s="163">
        <v>0</v>
      </c>
      <c r="AB1117" s="163">
        <v>0</v>
      </c>
      <c r="AC1117" s="163">
        <v>4</v>
      </c>
      <c r="AD1117" s="163">
        <v>0</v>
      </c>
      <c r="AE1117" s="165">
        <v>0.18302909888454802</v>
      </c>
      <c r="AF1117" s="166">
        <v>0.24403879851273066</v>
      </c>
    </row>
    <row r="1118" spans="1:32">
      <c r="A1118" s="161">
        <v>24</v>
      </c>
      <c r="B1118" s="162">
        <v>0.25</v>
      </c>
      <c r="C1118" s="163">
        <v>2.3636499483599023</v>
      </c>
      <c r="D1118" s="163">
        <v>705.56487462845882</v>
      </c>
      <c r="E1118" s="164">
        <v>0.93179999999999996</v>
      </c>
      <c r="F1118" s="164">
        <v>0.93179999999999996</v>
      </c>
      <c r="G1118" s="163">
        <v>4</v>
      </c>
      <c r="H1118" s="163">
        <v>6.6666666666666661</v>
      </c>
      <c r="I1118" s="163">
        <v>2.6666666666666661</v>
      </c>
      <c r="J1118" s="163">
        <v>3</v>
      </c>
      <c r="K1118" s="163">
        <v>3.2606747638326588</v>
      </c>
      <c r="L1118" s="163">
        <v>0.26067476383265875</v>
      </c>
      <c r="M1118" s="163">
        <v>4</v>
      </c>
      <c r="N1118" s="163">
        <v>6.0908681961313533</v>
      </c>
      <c r="O1118" s="163">
        <v>2.0908681961313533</v>
      </c>
      <c r="P1118" s="163"/>
      <c r="Q1118" s="163">
        <v>4</v>
      </c>
      <c r="R1118" s="163">
        <v>0</v>
      </c>
      <c r="S1118" s="163">
        <v>0</v>
      </c>
      <c r="T1118" s="163">
        <v>0</v>
      </c>
      <c r="U1118" s="163">
        <v>0</v>
      </c>
      <c r="V1118" s="163">
        <v>0</v>
      </c>
      <c r="W1118" s="163">
        <v>0</v>
      </c>
      <c r="X1118" s="163">
        <v>0</v>
      </c>
      <c r="Y1118" s="163">
        <v>4</v>
      </c>
      <c r="Z1118" s="163">
        <v>4</v>
      </c>
      <c r="AA1118" s="163">
        <v>0</v>
      </c>
      <c r="AB1118" s="163">
        <v>0</v>
      </c>
      <c r="AC1118" s="163">
        <v>4</v>
      </c>
      <c r="AD1118" s="163">
        <v>0</v>
      </c>
      <c r="AE1118" s="165">
        <v>0.28414506885001339</v>
      </c>
      <c r="AF1118" s="166">
        <v>0.28414506885001339</v>
      </c>
    </row>
    <row r="1119" spans="1:32">
      <c r="A1119" s="161">
        <v>24</v>
      </c>
      <c r="B1119" s="162">
        <v>0.27083333333333331</v>
      </c>
      <c r="C1119" s="163">
        <v>3.4164044457379359</v>
      </c>
      <c r="D1119" s="163">
        <v>773.28208257002063</v>
      </c>
      <c r="E1119" s="164">
        <v>0.79679999999999984</v>
      </c>
      <c r="F1119" s="164">
        <v>0.79679999999999984</v>
      </c>
      <c r="G1119" s="163">
        <v>5</v>
      </c>
      <c r="H1119" s="163">
        <v>6.6666666666666661</v>
      </c>
      <c r="I1119" s="163">
        <v>1.6666666666666661</v>
      </c>
      <c r="J1119" s="163">
        <v>4</v>
      </c>
      <c r="K1119" s="163">
        <v>4.0758434547908236</v>
      </c>
      <c r="L1119" s="163">
        <v>7.584345479082355E-2</v>
      </c>
      <c r="M1119" s="163">
        <v>5</v>
      </c>
      <c r="N1119" s="163">
        <v>6.0908681961313533</v>
      </c>
      <c r="O1119" s="163">
        <v>1.0908681961313533</v>
      </c>
      <c r="P1119" s="163"/>
      <c r="Q1119" s="163">
        <v>4</v>
      </c>
      <c r="R1119" s="163">
        <v>0</v>
      </c>
      <c r="S1119" s="163">
        <v>0</v>
      </c>
      <c r="T1119" s="163">
        <v>0</v>
      </c>
      <c r="U1119" s="163">
        <v>0</v>
      </c>
      <c r="V1119" s="163">
        <v>0</v>
      </c>
      <c r="W1119" s="163">
        <v>0</v>
      </c>
      <c r="X1119" s="163">
        <v>0</v>
      </c>
      <c r="Y1119" s="163">
        <v>4</v>
      </c>
      <c r="Z1119" s="163">
        <v>4</v>
      </c>
      <c r="AA1119" s="163">
        <v>0</v>
      </c>
      <c r="AB1119" s="163">
        <v>0</v>
      </c>
      <c r="AC1119" s="163">
        <v>4</v>
      </c>
      <c r="AD1119" s="163">
        <v>0</v>
      </c>
      <c r="AE1119" s="165">
        <v>0.45011888916112197</v>
      </c>
      <c r="AF1119" s="166">
        <v>0.3600951113288976</v>
      </c>
    </row>
    <row r="1120" spans="1:32">
      <c r="A1120" s="161">
        <v>24</v>
      </c>
      <c r="B1120" s="162">
        <v>0.29166666666666669</v>
      </c>
      <c r="C1120" s="163">
        <v>9.0023823164943373</v>
      </c>
      <c r="D1120" s="163">
        <v>808.96924708648112</v>
      </c>
      <c r="E1120" s="164">
        <v>0.55179999999999996</v>
      </c>
      <c r="F1120" s="164">
        <v>0.55179999999999996</v>
      </c>
      <c r="G1120" s="163">
        <v>9</v>
      </c>
      <c r="H1120" s="163">
        <v>11.666666666666668</v>
      </c>
      <c r="I1120" s="163">
        <v>2.6666666666666679</v>
      </c>
      <c r="J1120" s="163">
        <v>7</v>
      </c>
      <c r="K1120" s="163">
        <v>7.3365182186234819</v>
      </c>
      <c r="L1120" s="163">
        <v>0.33651821862348186</v>
      </c>
      <c r="M1120" s="163">
        <v>8</v>
      </c>
      <c r="N1120" s="163">
        <v>10.65901934322987</v>
      </c>
      <c r="O1120" s="163">
        <v>2.6590193432298701</v>
      </c>
      <c r="P1120" s="163"/>
      <c r="Q1120" s="163">
        <v>7</v>
      </c>
      <c r="R1120" s="163">
        <v>0</v>
      </c>
      <c r="S1120" s="163">
        <v>0</v>
      </c>
      <c r="T1120" s="163">
        <v>0</v>
      </c>
      <c r="U1120" s="163">
        <v>0</v>
      </c>
      <c r="V1120" s="163">
        <v>0</v>
      </c>
      <c r="W1120" s="163">
        <v>0</v>
      </c>
      <c r="X1120" s="163">
        <v>0</v>
      </c>
      <c r="Y1120" s="163">
        <v>7</v>
      </c>
      <c r="Z1120" s="163">
        <v>7</v>
      </c>
      <c r="AA1120" s="163">
        <v>0</v>
      </c>
      <c r="AB1120" s="163">
        <v>0</v>
      </c>
      <c r="AC1120" s="163">
        <v>4</v>
      </c>
      <c r="AD1120" s="163">
        <v>3</v>
      </c>
      <c r="AE1120" s="165">
        <v>0.70904113091142318</v>
      </c>
      <c r="AF1120" s="166">
        <v>0.55147643515332911</v>
      </c>
    </row>
    <row r="1121" spans="1:32">
      <c r="A1121" s="161">
        <v>24</v>
      </c>
      <c r="B1121" s="162">
        <v>0.3125</v>
      </c>
      <c r="C1121" s="163">
        <v>10.555239229526709</v>
      </c>
      <c r="D1121" s="163">
        <v>779.52107413202202</v>
      </c>
      <c r="E1121" s="164">
        <v>0.91149999999999987</v>
      </c>
      <c r="F1121" s="164">
        <v>0.91149999999999987</v>
      </c>
      <c r="G1121" s="163">
        <v>10</v>
      </c>
      <c r="H1121" s="163">
        <v>18.333333333333332</v>
      </c>
      <c r="I1121" s="163">
        <v>8.3333333333333321</v>
      </c>
      <c r="J1121" s="163">
        <v>8</v>
      </c>
      <c r="K1121" s="163">
        <v>8.1516869095816471</v>
      </c>
      <c r="L1121" s="163">
        <v>0.1516869095816471</v>
      </c>
      <c r="M1121" s="163">
        <v>9</v>
      </c>
      <c r="N1121" s="163">
        <v>16.749887539361222</v>
      </c>
      <c r="O1121" s="163">
        <v>7.7498875393612217</v>
      </c>
      <c r="P1121" s="163"/>
      <c r="Q1121" s="163">
        <v>11</v>
      </c>
      <c r="R1121" s="163">
        <v>0</v>
      </c>
      <c r="S1121" s="163">
        <v>0</v>
      </c>
      <c r="T1121" s="163">
        <v>0</v>
      </c>
      <c r="U1121" s="163">
        <v>0</v>
      </c>
      <c r="V1121" s="163">
        <v>0</v>
      </c>
      <c r="W1121" s="163">
        <v>0</v>
      </c>
      <c r="X1121" s="163">
        <v>0</v>
      </c>
      <c r="Y1121" s="163">
        <v>11</v>
      </c>
      <c r="Z1121" s="163">
        <v>11</v>
      </c>
      <c r="AA1121" s="163">
        <v>0</v>
      </c>
      <c r="AB1121" s="163">
        <v>0</v>
      </c>
      <c r="AC1121" s="163">
        <v>8</v>
      </c>
      <c r="AD1121" s="163">
        <v>3</v>
      </c>
      <c r="AE1121" s="165">
        <v>0.50978054865283751</v>
      </c>
      <c r="AF1121" s="166">
        <v>0.56075860351812135</v>
      </c>
    </row>
    <row r="1122" spans="1:32">
      <c r="A1122" s="161">
        <v>24</v>
      </c>
      <c r="B1122" s="162">
        <v>0.33333333333333331</v>
      </c>
      <c r="C1122" s="163">
        <v>15.564005405886974</v>
      </c>
      <c r="D1122" s="163">
        <v>821.79396051130539</v>
      </c>
      <c r="E1122" s="164">
        <v>0.80209999999999992</v>
      </c>
      <c r="F1122" s="164">
        <v>0.80209999999999992</v>
      </c>
      <c r="G1122" s="163">
        <v>14</v>
      </c>
      <c r="H1122" s="163">
        <v>21.666666666666664</v>
      </c>
      <c r="I1122" s="163">
        <v>7.6666666666666643</v>
      </c>
      <c r="J1122" s="163">
        <v>11</v>
      </c>
      <c r="K1122" s="163">
        <v>11.412361673414306</v>
      </c>
      <c r="L1122" s="163">
        <v>0.4123616734143063</v>
      </c>
      <c r="M1122" s="163">
        <v>13</v>
      </c>
      <c r="N1122" s="163">
        <v>19.795321637426898</v>
      </c>
      <c r="O1122" s="163">
        <v>6.7953216374268983</v>
      </c>
      <c r="P1122" s="163"/>
      <c r="Q1122" s="163">
        <v>13</v>
      </c>
      <c r="R1122" s="163">
        <v>0</v>
      </c>
      <c r="S1122" s="163">
        <v>0</v>
      </c>
      <c r="T1122" s="163">
        <v>0</v>
      </c>
      <c r="U1122" s="163">
        <v>0</v>
      </c>
      <c r="V1122" s="163">
        <v>0</v>
      </c>
      <c r="W1122" s="163">
        <v>0</v>
      </c>
      <c r="X1122" s="163">
        <v>0</v>
      </c>
      <c r="Y1122" s="163">
        <v>13</v>
      </c>
      <c r="Z1122" s="163">
        <v>13</v>
      </c>
      <c r="AA1122" s="163">
        <v>0</v>
      </c>
      <c r="AB1122" s="163">
        <v>0</v>
      </c>
      <c r="AC1122" s="163">
        <v>10</v>
      </c>
      <c r="AD1122" s="163">
        <v>3</v>
      </c>
      <c r="AE1122" s="165">
        <v>0.67053425610484196</v>
      </c>
      <c r="AF1122" s="166">
        <v>0.6226389520973532</v>
      </c>
    </row>
    <row r="1123" spans="1:32">
      <c r="A1123" s="161">
        <v>24</v>
      </c>
      <c r="B1123" s="162">
        <v>0.35416666666666669</v>
      </c>
      <c r="C1123" s="163">
        <v>17.979282479387294</v>
      </c>
      <c r="D1123" s="163">
        <v>910.65872314026876</v>
      </c>
      <c r="E1123" s="164">
        <v>0.74809999999999999</v>
      </c>
      <c r="F1123" s="164">
        <v>0.74809999999999999</v>
      </c>
      <c r="G1123" s="163">
        <v>16</v>
      </c>
      <c r="H1123" s="163">
        <v>25</v>
      </c>
      <c r="I1123" s="163">
        <v>9</v>
      </c>
      <c r="J1123" s="163">
        <v>13</v>
      </c>
      <c r="K1123" s="163">
        <v>13.042699055330635</v>
      </c>
      <c r="L1123" s="163">
        <v>4.2699055330635005E-2</v>
      </c>
      <c r="M1123" s="163">
        <v>15</v>
      </c>
      <c r="N1123" s="163">
        <v>22.840755735492575</v>
      </c>
      <c r="O1123" s="163">
        <v>7.840755735492575</v>
      </c>
      <c r="P1123" s="163"/>
      <c r="Q1123" s="163">
        <v>15</v>
      </c>
      <c r="R1123" s="163">
        <v>0</v>
      </c>
      <c r="S1123" s="163">
        <v>0</v>
      </c>
      <c r="T1123" s="163">
        <v>0</v>
      </c>
      <c r="U1123" s="163">
        <v>0</v>
      </c>
      <c r="V1123" s="163">
        <v>0</v>
      </c>
      <c r="W1123" s="163">
        <v>0</v>
      </c>
      <c r="X1123" s="163">
        <v>0</v>
      </c>
      <c r="Y1123" s="163">
        <v>15</v>
      </c>
      <c r="Z1123" s="163">
        <v>15</v>
      </c>
      <c r="AA1123" s="163">
        <v>0</v>
      </c>
      <c r="AB1123" s="163">
        <v>0</v>
      </c>
      <c r="AC1123" s="163">
        <v>10</v>
      </c>
      <c r="AD1123" s="163">
        <v>5</v>
      </c>
      <c r="AE1123" s="165">
        <v>0.74390375823846988</v>
      </c>
      <c r="AF1123" s="166">
        <v>0.69740977334856558</v>
      </c>
    </row>
    <row r="1124" spans="1:32">
      <c r="A1124" s="161">
        <v>24</v>
      </c>
      <c r="B1124" s="162">
        <v>0.375</v>
      </c>
      <c r="C1124" s="163">
        <v>21.492063095121861</v>
      </c>
      <c r="D1124" s="163">
        <v>876.90045164626747</v>
      </c>
      <c r="E1124" s="164">
        <v>0.7107</v>
      </c>
      <c r="F1124" s="164">
        <v>0.7107</v>
      </c>
      <c r="G1124" s="163">
        <v>19</v>
      </c>
      <c r="H1124" s="163">
        <v>28.333333333333336</v>
      </c>
      <c r="I1124" s="163">
        <v>9.3333333333333357</v>
      </c>
      <c r="J1124" s="163">
        <v>15</v>
      </c>
      <c r="K1124" s="163">
        <v>15.488205128205129</v>
      </c>
      <c r="L1124" s="163">
        <v>0.48820512820512896</v>
      </c>
      <c r="M1124" s="163">
        <v>17</v>
      </c>
      <c r="N1124" s="163">
        <v>25.886189833558255</v>
      </c>
      <c r="O1124" s="163">
        <v>8.8861898335582552</v>
      </c>
      <c r="P1124" s="163"/>
      <c r="Q1124" s="163">
        <v>17</v>
      </c>
      <c r="R1124" s="163">
        <v>0</v>
      </c>
      <c r="S1124" s="163">
        <v>0</v>
      </c>
      <c r="T1124" s="163">
        <v>0</v>
      </c>
      <c r="U1124" s="163">
        <v>0</v>
      </c>
      <c r="V1124" s="163">
        <v>0</v>
      </c>
      <c r="W1124" s="163">
        <v>0</v>
      </c>
      <c r="X1124" s="163">
        <v>0</v>
      </c>
      <c r="Y1124" s="163">
        <v>17</v>
      </c>
      <c r="Z1124" s="163">
        <v>17</v>
      </c>
      <c r="AA1124" s="163">
        <v>0</v>
      </c>
      <c r="AB1124" s="163">
        <v>0</v>
      </c>
      <c r="AC1124" s="163">
        <v>12</v>
      </c>
      <c r="AD1124" s="163">
        <v>5</v>
      </c>
      <c r="AE1124" s="165">
        <v>0.75554351666521258</v>
      </c>
      <c r="AF1124" s="166">
        <v>0.67601262017413755</v>
      </c>
    </row>
    <row r="1125" spans="1:32">
      <c r="A1125" s="161">
        <v>24</v>
      </c>
      <c r="B1125" s="162">
        <v>0.39583333333333331</v>
      </c>
      <c r="C1125" s="163">
        <v>24.040755771186987</v>
      </c>
      <c r="D1125" s="163">
        <v>894.57029075195055</v>
      </c>
      <c r="E1125" s="164">
        <v>0.7349</v>
      </c>
      <c r="F1125" s="164">
        <v>0.7349</v>
      </c>
      <c r="G1125" s="163">
        <v>20</v>
      </c>
      <c r="H1125" s="163">
        <v>31.666666666666664</v>
      </c>
      <c r="I1125" s="163">
        <v>11.666666666666664</v>
      </c>
      <c r="J1125" s="163">
        <v>16</v>
      </c>
      <c r="K1125" s="163">
        <v>16.303373819163294</v>
      </c>
      <c r="L1125" s="163">
        <v>0.3033738191632942</v>
      </c>
      <c r="M1125" s="163">
        <v>18</v>
      </c>
      <c r="N1125" s="163">
        <v>28.931623931623928</v>
      </c>
      <c r="O1125" s="163">
        <v>10.931623931623928</v>
      </c>
      <c r="P1125" s="163"/>
      <c r="Q1125" s="163">
        <v>19</v>
      </c>
      <c r="R1125" s="163">
        <v>0</v>
      </c>
      <c r="S1125" s="163">
        <v>0</v>
      </c>
      <c r="T1125" s="163">
        <v>0</v>
      </c>
      <c r="U1125" s="163">
        <v>0</v>
      </c>
      <c r="V1125" s="163">
        <v>0</v>
      </c>
      <c r="W1125" s="163">
        <v>0</v>
      </c>
      <c r="X1125" s="163">
        <v>0</v>
      </c>
      <c r="Y1125" s="163">
        <v>19</v>
      </c>
      <c r="Z1125" s="163">
        <v>19</v>
      </c>
      <c r="AA1125" s="163">
        <v>0</v>
      </c>
      <c r="AB1125" s="163">
        <v>0</v>
      </c>
      <c r="AC1125" s="163">
        <v>14</v>
      </c>
      <c r="AD1125" s="163">
        <v>5</v>
      </c>
      <c r="AE1125" s="165">
        <v>0.77141661821969809</v>
      </c>
      <c r="AF1125" s="166">
        <v>0.7328457873087133</v>
      </c>
    </row>
    <row r="1126" spans="1:32">
      <c r="A1126" s="161">
        <v>24</v>
      </c>
      <c r="B1126" s="162">
        <v>0.41666666666666669</v>
      </c>
      <c r="C1126" s="163">
        <v>25.112871263004294</v>
      </c>
      <c r="D1126" s="163">
        <v>905.72335164439619</v>
      </c>
      <c r="E1126" s="164">
        <v>0.63549999999999995</v>
      </c>
      <c r="F1126" s="164">
        <v>0.63549999999999995</v>
      </c>
      <c r="G1126" s="163">
        <v>21</v>
      </c>
      <c r="H1126" s="163">
        <v>31.666666666666664</v>
      </c>
      <c r="I1126" s="163">
        <v>10.666666666666664</v>
      </c>
      <c r="J1126" s="163">
        <v>17</v>
      </c>
      <c r="K1126" s="163">
        <v>17.118542510121458</v>
      </c>
      <c r="L1126" s="163">
        <v>0.11854251012145767</v>
      </c>
      <c r="M1126" s="163">
        <v>19</v>
      </c>
      <c r="N1126" s="163">
        <v>28.931623931623928</v>
      </c>
      <c r="O1126" s="163">
        <v>9.9316239316239283</v>
      </c>
      <c r="P1126" s="163"/>
      <c r="Q1126" s="163">
        <v>19</v>
      </c>
      <c r="R1126" s="163">
        <v>0</v>
      </c>
      <c r="S1126" s="163">
        <v>0</v>
      </c>
      <c r="T1126" s="163">
        <v>0</v>
      </c>
      <c r="U1126" s="163">
        <v>0</v>
      </c>
      <c r="V1126" s="163">
        <v>0</v>
      </c>
      <c r="W1126" s="163">
        <v>0</v>
      </c>
      <c r="X1126" s="163">
        <v>0</v>
      </c>
      <c r="Y1126" s="163">
        <v>19</v>
      </c>
      <c r="Z1126" s="163">
        <v>19</v>
      </c>
      <c r="AA1126" s="163">
        <v>0</v>
      </c>
      <c r="AB1126" s="163">
        <v>0</v>
      </c>
      <c r="AC1126" s="163">
        <v>14</v>
      </c>
      <c r="AD1126" s="163">
        <v>5</v>
      </c>
      <c r="AE1126" s="165">
        <v>0.81586506712207885</v>
      </c>
      <c r="AF1126" s="166">
        <v>0.73816363215807146</v>
      </c>
    </row>
    <row r="1127" spans="1:32">
      <c r="A1127" s="161">
        <v>24</v>
      </c>
      <c r="B1127" s="162">
        <v>0.4375</v>
      </c>
      <c r="C1127" s="163">
        <v>25.055275208526709</v>
      </c>
      <c r="D1127" s="163">
        <v>860.94638409777053</v>
      </c>
      <c r="E1127" s="164">
        <v>0.73099999999999998</v>
      </c>
      <c r="F1127" s="164">
        <v>0.73099999999999998</v>
      </c>
      <c r="G1127" s="163">
        <v>20</v>
      </c>
      <c r="H1127" s="163">
        <v>31.666666666666664</v>
      </c>
      <c r="I1127" s="163">
        <v>11.666666666666664</v>
      </c>
      <c r="J1127" s="163">
        <v>16</v>
      </c>
      <c r="K1127" s="163">
        <v>16.303373819163294</v>
      </c>
      <c r="L1127" s="163">
        <v>0.3033738191632942</v>
      </c>
      <c r="M1127" s="163">
        <v>18</v>
      </c>
      <c r="N1127" s="163">
        <v>28.931623931623928</v>
      </c>
      <c r="O1127" s="163">
        <v>10.931623931623928</v>
      </c>
      <c r="P1127" s="163"/>
      <c r="Q1127" s="163">
        <v>19</v>
      </c>
      <c r="R1127" s="163">
        <v>0</v>
      </c>
      <c r="S1127" s="163">
        <v>0</v>
      </c>
      <c r="T1127" s="163">
        <v>0</v>
      </c>
      <c r="U1127" s="163">
        <v>0</v>
      </c>
      <c r="V1127" s="163">
        <v>0</v>
      </c>
      <c r="W1127" s="163">
        <v>0</v>
      </c>
      <c r="X1127" s="163">
        <v>0</v>
      </c>
      <c r="Y1127" s="163">
        <v>19</v>
      </c>
      <c r="Z1127" s="163">
        <v>19</v>
      </c>
      <c r="AA1127" s="163">
        <v>0</v>
      </c>
      <c r="AB1127" s="163">
        <v>0</v>
      </c>
      <c r="AC1127" s="163">
        <v>14</v>
      </c>
      <c r="AD1127" s="163">
        <v>5</v>
      </c>
      <c r="AE1127" s="165">
        <v>0.77375182579967816</v>
      </c>
      <c r="AF1127" s="166">
        <v>0.73506423450969438</v>
      </c>
    </row>
    <row r="1128" spans="1:32">
      <c r="A1128" s="161">
        <v>24</v>
      </c>
      <c r="B1128" s="162">
        <v>0.45833333333333331</v>
      </c>
      <c r="C1128" s="163">
        <v>27.662310837610061</v>
      </c>
      <c r="D1128" s="163">
        <v>852.56624603250236</v>
      </c>
      <c r="E1128" s="164">
        <v>0.55810000000000004</v>
      </c>
      <c r="F1128" s="164">
        <v>0.55810000000000004</v>
      </c>
      <c r="G1128" s="163">
        <v>23</v>
      </c>
      <c r="H1128" s="163">
        <v>31.666666666666664</v>
      </c>
      <c r="I1128" s="163">
        <v>8.6666666666666643</v>
      </c>
      <c r="J1128" s="163">
        <v>18</v>
      </c>
      <c r="K1128" s="163">
        <v>18.748879892037788</v>
      </c>
      <c r="L1128" s="163">
        <v>0.74887989203778815</v>
      </c>
      <c r="M1128" s="163">
        <v>21</v>
      </c>
      <c r="N1128" s="163">
        <v>28.931623931623928</v>
      </c>
      <c r="O1128" s="163">
        <v>7.9316239316239283</v>
      </c>
      <c r="P1128" s="163"/>
      <c r="Q1128" s="163">
        <v>19</v>
      </c>
      <c r="R1128" s="163">
        <v>0</v>
      </c>
      <c r="S1128" s="163">
        <v>0</v>
      </c>
      <c r="T1128" s="163">
        <v>0</v>
      </c>
      <c r="U1128" s="163">
        <v>0</v>
      </c>
      <c r="V1128" s="163">
        <v>0</v>
      </c>
      <c r="W1128" s="163">
        <v>0</v>
      </c>
      <c r="X1128" s="163">
        <v>0</v>
      </c>
      <c r="Y1128" s="163">
        <v>19</v>
      </c>
      <c r="Z1128" s="163">
        <v>19</v>
      </c>
      <c r="AA1128" s="163">
        <v>0</v>
      </c>
      <c r="AB1128" s="163">
        <v>0</v>
      </c>
      <c r="AC1128" s="163">
        <v>14</v>
      </c>
      <c r="AD1128" s="163">
        <v>5</v>
      </c>
      <c r="AE1128" s="165">
        <v>0.84594668839886533</v>
      </c>
      <c r="AF1128" s="166">
        <v>0.69882552519906271</v>
      </c>
    </row>
    <row r="1129" spans="1:32">
      <c r="A1129" s="161">
        <v>24</v>
      </c>
      <c r="B1129" s="162">
        <v>0.47916666666666669</v>
      </c>
      <c r="C1129" s="163">
        <v>25.627768456270793</v>
      </c>
      <c r="D1129" s="163">
        <v>820.83958932103519</v>
      </c>
      <c r="E1129" s="164">
        <v>0.76900000000000002</v>
      </c>
      <c r="F1129" s="164">
        <v>0.76900000000000002</v>
      </c>
      <c r="G1129" s="163">
        <v>20</v>
      </c>
      <c r="H1129" s="163">
        <v>31.666666666666664</v>
      </c>
      <c r="I1129" s="163">
        <v>11.666666666666664</v>
      </c>
      <c r="J1129" s="163">
        <v>16</v>
      </c>
      <c r="K1129" s="163">
        <v>16.303373819163294</v>
      </c>
      <c r="L1129" s="163">
        <v>0.3033738191632942</v>
      </c>
      <c r="M1129" s="163">
        <v>18</v>
      </c>
      <c r="N1129" s="163">
        <v>28.931623931623928</v>
      </c>
      <c r="O1129" s="163">
        <v>10.931623931623928</v>
      </c>
      <c r="P1129" s="163"/>
      <c r="Q1129" s="163">
        <v>19</v>
      </c>
      <c r="R1129" s="163">
        <v>0</v>
      </c>
      <c r="S1129" s="163">
        <v>0</v>
      </c>
      <c r="T1129" s="163">
        <v>0</v>
      </c>
      <c r="U1129" s="163">
        <v>0</v>
      </c>
      <c r="V1129" s="163">
        <v>0</v>
      </c>
      <c r="W1129" s="163">
        <v>0</v>
      </c>
      <c r="X1129" s="163">
        <v>0</v>
      </c>
      <c r="Y1129" s="163">
        <v>19</v>
      </c>
      <c r="Z1129" s="163">
        <v>19</v>
      </c>
      <c r="AA1129" s="163">
        <v>0</v>
      </c>
      <c r="AB1129" s="163">
        <v>0</v>
      </c>
      <c r="AC1129" s="163">
        <v>14</v>
      </c>
      <c r="AD1129" s="163">
        <v>5</v>
      </c>
      <c r="AE1129" s="165">
        <v>0.75456297086610891</v>
      </c>
      <c r="AF1129" s="166">
        <v>0.7168348223228036</v>
      </c>
    </row>
    <row r="1130" spans="1:32">
      <c r="A1130" s="161">
        <v>24</v>
      </c>
      <c r="B1130" s="162">
        <v>0.5</v>
      </c>
      <c r="C1130" s="163">
        <v>25.695612075287407</v>
      </c>
      <c r="D1130" s="163">
        <v>872.467598345429</v>
      </c>
      <c r="E1130" s="164">
        <v>0.66449999999999998</v>
      </c>
      <c r="F1130" s="164">
        <v>0.66449999999999998</v>
      </c>
      <c r="G1130" s="163">
        <v>21</v>
      </c>
      <c r="H1130" s="163">
        <v>31.666666666666664</v>
      </c>
      <c r="I1130" s="163">
        <v>10.666666666666664</v>
      </c>
      <c r="J1130" s="163">
        <v>17</v>
      </c>
      <c r="K1130" s="163">
        <v>17.118542510121458</v>
      </c>
      <c r="L1130" s="163">
        <v>0.11854251012145767</v>
      </c>
      <c r="M1130" s="163">
        <v>19</v>
      </c>
      <c r="N1130" s="163">
        <v>28.931623931623928</v>
      </c>
      <c r="O1130" s="163">
        <v>9.9316239316239283</v>
      </c>
      <c r="P1130" s="163"/>
      <c r="Q1130" s="163">
        <v>19</v>
      </c>
      <c r="R1130" s="163">
        <v>0</v>
      </c>
      <c r="S1130" s="163">
        <v>0</v>
      </c>
      <c r="T1130" s="163">
        <v>0</v>
      </c>
      <c r="U1130" s="163">
        <v>0</v>
      </c>
      <c r="V1130" s="163">
        <v>0</v>
      </c>
      <c r="W1130" s="163">
        <v>0</v>
      </c>
      <c r="X1130" s="163">
        <v>0</v>
      </c>
      <c r="Y1130" s="163">
        <v>19</v>
      </c>
      <c r="Z1130" s="163">
        <v>19</v>
      </c>
      <c r="AA1130" s="163">
        <v>0</v>
      </c>
      <c r="AB1130" s="163">
        <v>0</v>
      </c>
      <c r="AC1130" s="163">
        <v>14</v>
      </c>
      <c r="AD1130" s="163">
        <v>5</v>
      </c>
      <c r="AE1130" s="165">
        <v>0.80414557650553897</v>
      </c>
      <c r="AF1130" s="166">
        <v>0.72756028350501156</v>
      </c>
    </row>
    <row r="1131" spans="1:32">
      <c r="A1131" s="161">
        <v>24</v>
      </c>
      <c r="B1131" s="162">
        <v>0.52083333333333337</v>
      </c>
      <c r="C1131" s="163">
        <v>23.210223098964388</v>
      </c>
      <c r="D1131" s="163">
        <v>821.61892285583156</v>
      </c>
      <c r="E1131" s="164">
        <v>0.7547666666666667</v>
      </c>
      <c r="F1131" s="164">
        <v>0.7547666666666667</v>
      </c>
      <c r="G1131" s="163">
        <v>19</v>
      </c>
      <c r="H1131" s="163">
        <v>30.333333333333336</v>
      </c>
      <c r="I1131" s="163">
        <v>11.333333333333336</v>
      </c>
      <c r="J1131" s="163">
        <v>15</v>
      </c>
      <c r="K1131" s="163">
        <v>15.488205128205129</v>
      </c>
      <c r="L1131" s="163">
        <v>0.48820512820512896</v>
      </c>
      <c r="M1131" s="163">
        <v>17</v>
      </c>
      <c r="N1131" s="163">
        <v>27.713450292397663</v>
      </c>
      <c r="O1131" s="163">
        <v>10.713450292397663</v>
      </c>
      <c r="P1131" s="163"/>
      <c r="Q1131" s="163">
        <v>19</v>
      </c>
      <c r="R1131" s="163">
        <v>0</v>
      </c>
      <c r="S1131" s="163">
        <v>0</v>
      </c>
      <c r="T1131" s="163">
        <v>0</v>
      </c>
      <c r="U1131" s="163">
        <v>0</v>
      </c>
      <c r="V1131" s="163">
        <v>0</v>
      </c>
      <c r="W1131" s="163">
        <v>0</v>
      </c>
      <c r="X1131" s="163">
        <v>0</v>
      </c>
      <c r="Y1131" s="163">
        <v>19</v>
      </c>
      <c r="Z1131" s="163">
        <v>19</v>
      </c>
      <c r="AA1131" s="163">
        <v>0</v>
      </c>
      <c r="AB1131" s="163">
        <v>0</v>
      </c>
      <c r="AC1131" s="163">
        <v>14</v>
      </c>
      <c r="AD1131" s="163">
        <v>5</v>
      </c>
      <c r="AE1131" s="165">
        <v>0.68403157771999246</v>
      </c>
      <c r="AF1131" s="166">
        <v>0.68403157771999246</v>
      </c>
    </row>
    <row r="1132" spans="1:32">
      <c r="A1132" s="161">
        <v>24</v>
      </c>
      <c r="B1132" s="162">
        <v>0.54166666666666663</v>
      </c>
      <c r="C1132" s="163">
        <v>23.122150205133771</v>
      </c>
      <c r="D1132" s="163">
        <v>817.33700043427132</v>
      </c>
      <c r="E1132" s="164">
        <v>0.70830000000000004</v>
      </c>
      <c r="F1132" s="164">
        <v>0.70830000000000004</v>
      </c>
      <c r="G1132" s="163">
        <v>19</v>
      </c>
      <c r="H1132" s="163">
        <v>28.333333333333336</v>
      </c>
      <c r="I1132" s="163">
        <v>9.3333333333333357</v>
      </c>
      <c r="J1132" s="163">
        <v>15</v>
      </c>
      <c r="K1132" s="163">
        <v>15.488205128205129</v>
      </c>
      <c r="L1132" s="163">
        <v>0.48820512820512896</v>
      </c>
      <c r="M1132" s="163">
        <v>17</v>
      </c>
      <c r="N1132" s="163">
        <v>25.886189833558255</v>
      </c>
      <c r="O1132" s="163">
        <v>8.8861898335582552</v>
      </c>
      <c r="P1132" s="163"/>
      <c r="Q1132" s="163">
        <v>17</v>
      </c>
      <c r="R1132" s="163">
        <v>0</v>
      </c>
      <c r="S1132" s="163">
        <v>0</v>
      </c>
      <c r="T1132" s="163">
        <v>0</v>
      </c>
      <c r="U1132" s="163">
        <v>0</v>
      </c>
      <c r="V1132" s="163">
        <v>0</v>
      </c>
      <c r="W1132" s="163">
        <v>0</v>
      </c>
      <c r="X1132" s="163">
        <v>0</v>
      </c>
      <c r="Y1132" s="163">
        <v>17</v>
      </c>
      <c r="Z1132" s="163">
        <v>17</v>
      </c>
      <c r="AA1132" s="163">
        <v>0</v>
      </c>
      <c r="AB1132" s="163">
        <v>0</v>
      </c>
      <c r="AC1132" s="163">
        <v>12</v>
      </c>
      <c r="AD1132" s="163">
        <v>5</v>
      </c>
      <c r="AE1132" s="165">
        <v>0.75763575201274047</v>
      </c>
      <c r="AF1132" s="166">
        <v>0.67788462022192564</v>
      </c>
    </row>
    <row r="1133" spans="1:32">
      <c r="A1133" s="161">
        <v>24</v>
      </c>
      <c r="B1133" s="162">
        <v>0.5625</v>
      </c>
      <c r="C1133" s="163">
        <v>21.329623565924653</v>
      </c>
      <c r="D1133" s="163">
        <v>791.16704046701136</v>
      </c>
      <c r="E1133" s="164">
        <v>0.84209999999999996</v>
      </c>
      <c r="F1133" s="164">
        <v>0.84209999999999996</v>
      </c>
      <c r="G1133" s="163">
        <v>16</v>
      </c>
      <c r="H1133" s="163">
        <v>28.333333333333336</v>
      </c>
      <c r="I1133" s="163">
        <v>12.333333333333336</v>
      </c>
      <c r="J1133" s="163">
        <v>13</v>
      </c>
      <c r="K1133" s="163">
        <v>13.042699055330635</v>
      </c>
      <c r="L1133" s="163">
        <v>4.2699055330635005E-2</v>
      </c>
      <c r="M1133" s="163">
        <v>15</v>
      </c>
      <c r="N1133" s="163">
        <v>25.886189833558255</v>
      </c>
      <c r="O1133" s="163">
        <v>10.886189833558255</v>
      </c>
      <c r="P1133" s="163"/>
      <c r="Q1133" s="163">
        <v>17</v>
      </c>
      <c r="R1133" s="163">
        <v>0</v>
      </c>
      <c r="S1133" s="163">
        <v>0</v>
      </c>
      <c r="T1133" s="163">
        <v>0</v>
      </c>
      <c r="U1133" s="163">
        <v>0</v>
      </c>
      <c r="V1133" s="163">
        <v>0</v>
      </c>
      <c r="W1133" s="163">
        <v>0</v>
      </c>
      <c r="X1133" s="163">
        <v>0</v>
      </c>
      <c r="Y1133" s="163">
        <v>17</v>
      </c>
      <c r="Z1133" s="163">
        <v>17</v>
      </c>
      <c r="AA1133" s="163">
        <v>0</v>
      </c>
      <c r="AB1133" s="163">
        <v>0</v>
      </c>
      <c r="AC1133" s="163">
        <v>12</v>
      </c>
      <c r="AD1133" s="163">
        <v>5</v>
      </c>
      <c r="AE1133" s="165">
        <v>0.6765228348530391</v>
      </c>
      <c r="AF1133" s="166">
        <v>0.71880551203135401</v>
      </c>
    </row>
    <row r="1134" spans="1:32">
      <c r="A1134" s="161">
        <v>24</v>
      </c>
      <c r="B1134" s="162">
        <v>0.58333333333333337</v>
      </c>
      <c r="C1134" s="163">
        <v>22.401378693113848</v>
      </c>
      <c r="D1134" s="163">
        <v>816.32514751137398</v>
      </c>
      <c r="E1134" s="164">
        <v>0.754</v>
      </c>
      <c r="F1134" s="164">
        <v>0.754</v>
      </c>
      <c r="G1134" s="163">
        <v>18</v>
      </c>
      <c r="H1134" s="163">
        <v>28.333333333333336</v>
      </c>
      <c r="I1134" s="163">
        <v>10.333333333333336</v>
      </c>
      <c r="J1134" s="163">
        <v>14</v>
      </c>
      <c r="K1134" s="163">
        <v>14.673036437246964</v>
      </c>
      <c r="L1134" s="163">
        <v>0.67303643724696371</v>
      </c>
      <c r="M1134" s="163">
        <v>16</v>
      </c>
      <c r="N1134" s="163">
        <v>25.886189833558255</v>
      </c>
      <c r="O1134" s="163">
        <v>9.8861898335582552</v>
      </c>
      <c r="P1134" s="163"/>
      <c r="Q1134" s="163">
        <v>17</v>
      </c>
      <c r="R1134" s="163">
        <v>0</v>
      </c>
      <c r="S1134" s="163">
        <v>0</v>
      </c>
      <c r="T1134" s="163">
        <v>0</v>
      </c>
      <c r="U1134" s="163">
        <v>0</v>
      </c>
      <c r="V1134" s="163">
        <v>0</v>
      </c>
      <c r="W1134" s="163">
        <v>0</v>
      </c>
      <c r="X1134" s="163">
        <v>0</v>
      </c>
      <c r="Y1134" s="163">
        <v>17</v>
      </c>
      <c r="Z1134" s="163">
        <v>17</v>
      </c>
      <c r="AA1134" s="163">
        <v>0</v>
      </c>
      <c r="AB1134" s="163">
        <v>0</v>
      </c>
      <c r="AC1134" s="163">
        <v>12</v>
      </c>
      <c r="AD1134" s="163">
        <v>5</v>
      </c>
      <c r="AE1134" s="165">
        <v>0.73310976763489155</v>
      </c>
      <c r="AF1134" s="166">
        <v>0.69238144721073092</v>
      </c>
    </row>
    <row r="1135" spans="1:32">
      <c r="A1135" s="161">
        <v>24</v>
      </c>
      <c r="B1135" s="162">
        <v>0.60416666666666663</v>
      </c>
      <c r="C1135" s="163">
        <v>21.216098573312955</v>
      </c>
      <c r="D1135" s="163">
        <v>799.41080027749661</v>
      </c>
      <c r="E1135" s="164">
        <v>0.9089666666666667</v>
      </c>
      <c r="F1135" s="164">
        <v>0.9089666666666667</v>
      </c>
      <c r="G1135" s="163">
        <v>16</v>
      </c>
      <c r="H1135" s="163">
        <v>29.666666666666664</v>
      </c>
      <c r="I1135" s="163">
        <v>13.666666666666664</v>
      </c>
      <c r="J1135" s="163">
        <v>13</v>
      </c>
      <c r="K1135" s="163">
        <v>13.042699055330635</v>
      </c>
      <c r="L1135" s="163">
        <v>4.2699055330635005E-2</v>
      </c>
      <c r="M1135" s="163">
        <v>15</v>
      </c>
      <c r="N1135" s="163">
        <v>27.104363472784524</v>
      </c>
      <c r="O1135" s="163">
        <v>12.104363472784524</v>
      </c>
      <c r="P1135" s="163"/>
      <c r="Q1135" s="163">
        <v>17</v>
      </c>
      <c r="R1135" s="163">
        <v>0</v>
      </c>
      <c r="S1135" s="163">
        <v>0</v>
      </c>
      <c r="T1135" s="163">
        <v>0</v>
      </c>
      <c r="U1135" s="163">
        <v>0</v>
      </c>
      <c r="V1135" s="163">
        <v>0</v>
      </c>
      <c r="W1135" s="163">
        <v>0</v>
      </c>
      <c r="X1135" s="163">
        <v>0</v>
      </c>
      <c r="Y1135" s="163">
        <v>17</v>
      </c>
      <c r="Z1135" s="163">
        <v>17</v>
      </c>
      <c r="AA1135" s="163">
        <v>0</v>
      </c>
      <c r="AB1135" s="163">
        <v>0</v>
      </c>
      <c r="AC1135" s="163">
        <v>12</v>
      </c>
      <c r="AD1135" s="163">
        <v>5</v>
      </c>
      <c r="AE1135" s="165">
        <v>0.67993378080999944</v>
      </c>
      <c r="AF1135" s="166">
        <v>0.72242964211062455</v>
      </c>
    </row>
    <row r="1136" spans="1:32">
      <c r="A1136" s="161">
        <v>24</v>
      </c>
      <c r="B1136" s="162">
        <v>0.625</v>
      </c>
      <c r="C1136" s="163">
        <v>21.529380113054465</v>
      </c>
      <c r="D1136" s="163">
        <v>830.19991806409348</v>
      </c>
      <c r="E1136" s="164">
        <v>0.69753333333333334</v>
      </c>
      <c r="F1136" s="164">
        <v>0.69753333333333334</v>
      </c>
      <c r="G1136" s="163">
        <v>18</v>
      </c>
      <c r="H1136" s="163">
        <v>29</v>
      </c>
      <c r="I1136" s="163">
        <v>11</v>
      </c>
      <c r="J1136" s="163">
        <v>14</v>
      </c>
      <c r="K1136" s="163">
        <v>14.673036437246964</v>
      </c>
      <c r="L1136" s="163">
        <v>0.67303643724696371</v>
      </c>
      <c r="M1136" s="163">
        <v>16</v>
      </c>
      <c r="N1136" s="163">
        <v>26.495276653171388</v>
      </c>
      <c r="O1136" s="163">
        <v>10.495276653171388</v>
      </c>
      <c r="P1136" s="163"/>
      <c r="Q1136" s="163">
        <v>19</v>
      </c>
      <c r="R1136" s="163">
        <v>0</v>
      </c>
      <c r="S1136" s="163">
        <v>0</v>
      </c>
      <c r="T1136" s="163">
        <v>0</v>
      </c>
      <c r="U1136" s="163">
        <v>0</v>
      </c>
      <c r="V1136" s="163">
        <v>0</v>
      </c>
      <c r="W1136" s="163">
        <v>0</v>
      </c>
      <c r="X1136" s="163">
        <v>0</v>
      </c>
      <c r="Y1136" s="163">
        <v>19</v>
      </c>
      <c r="Z1136" s="163">
        <v>19</v>
      </c>
      <c r="AA1136" s="163">
        <v>0</v>
      </c>
      <c r="AB1136" s="163">
        <v>0</v>
      </c>
      <c r="AC1136" s="163">
        <v>12</v>
      </c>
      <c r="AD1136" s="163">
        <v>7</v>
      </c>
      <c r="AE1136" s="165">
        <v>0.64112190383575873</v>
      </c>
      <c r="AF1136" s="166">
        <v>0.67673978738218976</v>
      </c>
    </row>
    <row r="1137" spans="1:32">
      <c r="A1137" s="161">
        <v>24</v>
      </c>
      <c r="B1137" s="162">
        <v>0.64583333333333337</v>
      </c>
      <c r="C1137" s="163">
        <v>20.251303115452842</v>
      </c>
      <c r="D1137" s="163">
        <v>834.75455218505624</v>
      </c>
      <c r="E1137" s="164">
        <v>0.54920000000000002</v>
      </c>
      <c r="F1137" s="164">
        <v>0.54920000000000002</v>
      </c>
      <c r="G1137" s="163">
        <v>16</v>
      </c>
      <c r="H1137" s="163">
        <v>23.333333333333336</v>
      </c>
      <c r="I1137" s="163">
        <v>7.3333333333333357</v>
      </c>
      <c r="J1137" s="163">
        <v>13</v>
      </c>
      <c r="K1137" s="163">
        <v>13.042699055330635</v>
      </c>
      <c r="L1137" s="163">
        <v>4.2699055330635005E-2</v>
      </c>
      <c r="M1137" s="163">
        <v>15</v>
      </c>
      <c r="N1137" s="163">
        <v>21.31803868645974</v>
      </c>
      <c r="O1137" s="163">
        <v>6.3180386864597402</v>
      </c>
      <c r="P1137" s="163"/>
      <c r="Q1137" s="163">
        <v>14</v>
      </c>
      <c r="R1137" s="163">
        <v>0</v>
      </c>
      <c r="S1137" s="163">
        <v>0</v>
      </c>
      <c r="T1137" s="163">
        <v>0</v>
      </c>
      <c r="U1137" s="163">
        <v>0</v>
      </c>
      <c r="V1137" s="163">
        <v>0</v>
      </c>
      <c r="W1137" s="163">
        <v>0</v>
      </c>
      <c r="X1137" s="163">
        <v>0</v>
      </c>
      <c r="Y1137" s="163">
        <v>14</v>
      </c>
      <c r="Z1137" s="163">
        <v>14</v>
      </c>
      <c r="AA1137" s="163">
        <v>0</v>
      </c>
      <c r="AB1137" s="163">
        <v>0</v>
      </c>
      <c r="AC1137" s="163">
        <v>10</v>
      </c>
      <c r="AD1137" s="163">
        <v>4</v>
      </c>
      <c r="AE1137" s="165">
        <v>0.8229315985530774</v>
      </c>
      <c r="AF1137" s="166">
        <v>0.72006514873394267</v>
      </c>
    </row>
    <row r="1138" spans="1:32">
      <c r="A1138" s="161">
        <v>24</v>
      </c>
      <c r="B1138" s="162">
        <v>0.66666666666666663</v>
      </c>
      <c r="C1138" s="163">
        <v>20.116308055636924</v>
      </c>
      <c r="D1138" s="163">
        <v>832.47029237063123</v>
      </c>
      <c r="E1138" s="164">
        <v>0.56779999999999997</v>
      </c>
      <c r="F1138" s="164">
        <v>0.56779999999999997</v>
      </c>
      <c r="G1138" s="163">
        <v>16</v>
      </c>
      <c r="H1138" s="163">
        <v>23.333333333333336</v>
      </c>
      <c r="I1138" s="163">
        <v>7.3333333333333357</v>
      </c>
      <c r="J1138" s="163">
        <v>13</v>
      </c>
      <c r="K1138" s="163">
        <v>13.042699055330635</v>
      </c>
      <c r="L1138" s="163">
        <v>4.2699055330635005E-2</v>
      </c>
      <c r="M1138" s="163">
        <v>15</v>
      </c>
      <c r="N1138" s="163">
        <v>21.31803868645974</v>
      </c>
      <c r="O1138" s="163">
        <v>6.3180386864597402</v>
      </c>
      <c r="P1138" s="163"/>
      <c r="Q1138" s="163">
        <v>14</v>
      </c>
      <c r="R1138" s="163">
        <v>0</v>
      </c>
      <c r="S1138" s="163">
        <v>0</v>
      </c>
      <c r="T1138" s="163">
        <v>0</v>
      </c>
      <c r="U1138" s="163">
        <v>0</v>
      </c>
      <c r="V1138" s="163">
        <v>0</v>
      </c>
      <c r="W1138" s="163">
        <v>0</v>
      </c>
      <c r="X1138" s="163">
        <v>0</v>
      </c>
      <c r="Y1138" s="163">
        <v>14</v>
      </c>
      <c r="Z1138" s="163">
        <v>14</v>
      </c>
      <c r="AA1138" s="163">
        <v>0</v>
      </c>
      <c r="AB1138" s="163">
        <v>0</v>
      </c>
      <c r="AC1138" s="163">
        <v>10</v>
      </c>
      <c r="AD1138" s="163">
        <v>4</v>
      </c>
      <c r="AE1138" s="165">
        <v>0.81520904591188326</v>
      </c>
      <c r="AF1138" s="166">
        <v>0.71330791517289793</v>
      </c>
    </row>
    <row r="1139" spans="1:32">
      <c r="A1139" s="161">
        <v>24</v>
      </c>
      <c r="B1139" s="162">
        <v>0.6875</v>
      </c>
      <c r="C1139" s="163">
        <v>19.020343657315976</v>
      </c>
      <c r="D1139" s="163">
        <v>867.06845769629683</v>
      </c>
      <c r="E1139" s="164">
        <v>0.32169999999999999</v>
      </c>
      <c r="F1139" s="164">
        <v>0.32169999999999999</v>
      </c>
      <c r="G1139" s="163">
        <v>16</v>
      </c>
      <c r="H1139" s="163">
        <v>22</v>
      </c>
      <c r="I1139" s="163">
        <v>6</v>
      </c>
      <c r="J1139" s="163">
        <v>13</v>
      </c>
      <c r="K1139" s="163">
        <v>13.042699055330635</v>
      </c>
      <c r="L1139" s="163">
        <v>4.2699055330635005E-2</v>
      </c>
      <c r="M1139" s="163">
        <v>15</v>
      </c>
      <c r="N1139" s="163">
        <v>20.099865047233468</v>
      </c>
      <c r="O1139" s="163">
        <v>5.0998650472334681</v>
      </c>
      <c r="P1139" s="163"/>
      <c r="Q1139" s="163">
        <v>14</v>
      </c>
      <c r="R1139" s="163">
        <v>0</v>
      </c>
      <c r="S1139" s="163">
        <v>0</v>
      </c>
      <c r="T1139" s="163">
        <v>0</v>
      </c>
      <c r="U1139" s="163">
        <v>0</v>
      </c>
      <c r="V1139" s="163">
        <v>0</v>
      </c>
      <c r="W1139" s="163">
        <v>0</v>
      </c>
      <c r="X1139" s="163">
        <v>0</v>
      </c>
      <c r="Y1139" s="163">
        <v>14</v>
      </c>
      <c r="Z1139" s="163">
        <v>14</v>
      </c>
      <c r="AA1139" s="163">
        <v>0</v>
      </c>
      <c r="AB1139" s="163">
        <v>0</v>
      </c>
      <c r="AC1139" s="163">
        <v>10</v>
      </c>
      <c r="AD1139" s="163">
        <v>4</v>
      </c>
      <c r="AE1139" s="165">
        <v>0.80283022683597471</v>
      </c>
      <c r="AF1139" s="166">
        <v>0.70247644848147794</v>
      </c>
    </row>
    <row r="1140" spans="1:32">
      <c r="A1140" s="161">
        <v>24</v>
      </c>
      <c r="B1140" s="162">
        <v>0.70833333333333337</v>
      </c>
      <c r="C1140" s="163">
        <v>19.01866786539075</v>
      </c>
      <c r="D1140" s="163">
        <v>840.68729848443922</v>
      </c>
      <c r="E1140" s="164">
        <v>0.26350000000000001</v>
      </c>
      <c r="F1140" s="164">
        <v>0.26350000000000001</v>
      </c>
      <c r="G1140" s="163">
        <v>16</v>
      </c>
      <c r="H1140" s="163">
        <v>20</v>
      </c>
      <c r="I1140" s="163">
        <v>4</v>
      </c>
      <c r="J1140" s="163">
        <v>13</v>
      </c>
      <c r="K1140" s="163">
        <v>13.042699055330635</v>
      </c>
      <c r="L1140" s="163">
        <v>4.2699055330635005E-2</v>
      </c>
      <c r="M1140" s="163">
        <v>15</v>
      </c>
      <c r="N1140" s="163">
        <v>18.27260458839406</v>
      </c>
      <c r="O1140" s="163">
        <v>3.27260458839406</v>
      </c>
      <c r="P1140" s="163"/>
      <c r="Q1140" s="163">
        <v>12</v>
      </c>
      <c r="R1140" s="163">
        <v>0</v>
      </c>
      <c r="S1140" s="163">
        <v>0</v>
      </c>
      <c r="T1140" s="163">
        <v>0</v>
      </c>
      <c r="U1140" s="163">
        <v>0</v>
      </c>
      <c r="V1140" s="163">
        <v>0</v>
      </c>
      <c r="W1140" s="163">
        <v>0</v>
      </c>
      <c r="X1140" s="163">
        <v>0</v>
      </c>
      <c r="Y1140" s="163">
        <v>12</v>
      </c>
      <c r="Z1140" s="163">
        <v>12</v>
      </c>
      <c r="AA1140" s="163">
        <v>0</v>
      </c>
      <c r="AB1140" s="163">
        <v>0</v>
      </c>
      <c r="AC1140" s="163">
        <v>10</v>
      </c>
      <c r="AD1140" s="163">
        <v>2</v>
      </c>
      <c r="AE1140" s="165">
        <v>0.90805747540782267</v>
      </c>
      <c r="AF1140" s="166">
        <v>0.68104310655586708</v>
      </c>
    </row>
    <row r="1141" spans="1:32">
      <c r="A1141" s="161">
        <v>24</v>
      </c>
      <c r="B1141" s="162">
        <v>0.72916666666666663</v>
      </c>
      <c r="C1141" s="163">
        <v>18.882777447018007</v>
      </c>
      <c r="D1141" s="163">
        <v>824.78962016636297</v>
      </c>
      <c r="E1141" s="164">
        <v>0.70113333333333328</v>
      </c>
      <c r="F1141" s="164">
        <v>0.70113333333333328</v>
      </c>
      <c r="G1141" s="163">
        <v>15</v>
      </c>
      <c r="H1141" s="163">
        <v>22.666666666666664</v>
      </c>
      <c r="I1141" s="163">
        <v>7.6666666666666643</v>
      </c>
      <c r="J1141" s="163">
        <v>12</v>
      </c>
      <c r="K1141" s="163">
        <v>12.22753036437247</v>
      </c>
      <c r="L1141" s="163">
        <v>0.22753036437246976</v>
      </c>
      <c r="M1141" s="163">
        <v>14</v>
      </c>
      <c r="N1141" s="163">
        <v>20.708951866846601</v>
      </c>
      <c r="O1141" s="163">
        <v>6.7089518668466006</v>
      </c>
      <c r="P1141" s="163"/>
      <c r="Q1141" s="163">
        <v>12</v>
      </c>
      <c r="R1141" s="163">
        <v>0</v>
      </c>
      <c r="S1141" s="163">
        <v>0</v>
      </c>
      <c r="T1141" s="163">
        <v>0</v>
      </c>
      <c r="U1141" s="163">
        <v>0</v>
      </c>
      <c r="V1141" s="163">
        <v>0</v>
      </c>
      <c r="W1141" s="163">
        <v>0</v>
      </c>
      <c r="X1141" s="163">
        <v>0</v>
      </c>
      <c r="Y1141" s="163">
        <v>12</v>
      </c>
      <c r="Z1141" s="163">
        <v>12</v>
      </c>
      <c r="AA1141" s="163">
        <v>0</v>
      </c>
      <c r="AB1141" s="163">
        <v>0</v>
      </c>
      <c r="AC1141" s="163">
        <v>10</v>
      </c>
      <c r="AD1141" s="163">
        <v>2</v>
      </c>
      <c r="AE1141" s="165">
        <v>0.88452033001823616</v>
      </c>
      <c r="AF1141" s="166">
        <v>0.70761626401458888</v>
      </c>
    </row>
    <row r="1142" spans="1:32">
      <c r="A1142" s="161">
        <v>24</v>
      </c>
      <c r="B1142" s="162">
        <v>0.75</v>
      </c>
      <c r="C1142" s="163">
        <v>18.193229525343881</v>
      </c>
      <c r="D1142" s="163">
        <v>828.88084688256322</v>
      </c>
      <c r="E1142" s="164">
        <v>0.9094000000000001</v>
      </c>
      <c r="F1142" s="164">
        <v>0.9094000000000001</v>
      </c>
      <c r="G1142" s="163">
        <v>15</v>
      </c>
      <c r="H1142" s="163">
        <v>26.666666666666664</v>
      </c>
      <c r="I1142" s="163">
        <v>11.666666666666664</v>
      </c>
      <c r="J1142" s="163">
        <v>12</v>
      </c>
      <c r="K1142" s="163">
        <v>12.22753036437247</v>
      </c>
      <c r="L1142" s="163">
        <v>0.22753036437246976</v>
      </c>
      <c r="M1142" s="163">
        <v>14</v>
      </c>
      <c r="N1142" s="163">
        <v>24.363472784525413</v>
      </c>
      <c r="O1142" s="163">
        <v>10.363472784525413</v>
      </c>
      <c r="P1142" s="163"/>
      <c r="Q1142" s="163">
        <v>16</v>
      </c>
      <c r="R1142" s="163">
        <v>0</v>
      </c>
      <c r="S1142" s="163">
        <v>0</v>
      </c>
      <c r="T1142" s="163">
        <v>0</v>
      </c>
      <c r="U1142" s="163">
        <v>0</v>
      </c>
      <c r="V1142" s="163">
        <v>0</v>
      </c>
      <c r="W1142" s="163">
        <v>0</v>
      </c>
      <c r="X1142" s="163">
        <v>0</v>
      </c>
      <c r="Y1142" s="163">
        <v>16</v>
      </c>
      <c r="Z1142" s="163">
        <v>16</v>
      </c>
      <c r="AA1142" s="163">
        <v>0</v>
      </c>
      <c r="AB1142" s="163">
        <v>0</v>
      </c>
      <c r="AC1142" s="163">
        <v>14</v>
      </c>
      <c r="AD1142" s="163">
        <v>2</v>
      </c>
      <c r="AE1142" s="165">
        <v>0.64233549924164868</v>
      </c>
      <c r="AF1142" s="166">
        <v>0.68515786585775851</v>
      </c>
    </row>
    <row r="1143" spans="1:32">
      <c r="A1143" s="161">
        <v>24</v>
      </c>
      <c r="B1143" s="162">
        <v>0.77083333333333337</v>
      </c>
      <c r="C1143" s="163">
        <v>17.687157186552497</v>
      </c>
      <c r="D1143" s="163">
        <v>778.01049975930925</v>
      </c>
      <c r="E1143" s="164">
        <v>0.95120000000000005</v>
      </c>
      <c r="F1143" s="164">
        <v>0.95120000000000005</v>
      </c>
      <c r="G1143" s="163">
        <v>14</v>
      </c>
      <c r="H1143" s="163">
        <v>26.666666666666664</v>
      </c>
      <c r="I1143" s="163">
        <v>12.666666666666664</v>
      </c>
      <c r="J1143" s="163">
        <v>11</v>
      </c>
      <c r="K1143" s="163">
        <v>11.412361673414306</v>
      </c>
      <c r="L1143" s="163">
        <v>0.4123616734143063</v>
      </c>
      <c r="M1143" s="163">
        <v>13</v>
      </c>
      <c r="N1143" s="163">
        <v>24.363472784525413</v>
      </c>
      <c r="O1143" s="163">
        <v>11.363472784525413</v>
      </c>
      <c r="P1143" s="163"/>
      <c r="Q1143" s="163">
        <v>16</v>
      </c>
      <c r="R1143" s="163">
        <v>0</v>
      </c>
      <c r="S1143" s="163">
        <v>0</v>
      </c>
      <c r="T1143" s="163">
        <v>0</v>
      </c>
      <c r="U1143" s="163">
        <v>0</v>
      </c>
      <c r="V1143" s="163">
        <v>0</v>
      </c>
      <c r="W1143" s="163">
        <v>0</v>
      </c>
      <c r="X1143" s="163">
        <v>0</v>
      </c>
      <c r="Y1143" s="163">
        <v>16</v>
      </c>
      <c r="Z1143" s="163">
        <v>16</v>
      </c>
      <c r="AA1143" s="163">
        <v>0</v>
      </c>
      <c r="AB1143" s="163">
        <v>0</v>
      </c>
      <c r="AC1143" s="163">
        <v>14</v>
      </c>
      <c r="AD1143" s="163">
        <v>2</v>
      </c>
      <c r="AE1143" s="165">
        <v>0.58614290832383109</v>
      </c>
      <c r="AF1143" s="166">
        <v>0.66987760951294972</v>
      </c>
    </row>
    <row r="1144" spans="1:32">
      <c r="A1144" s="161">
        <v>24</v>
      </c>
      <c r="B1144" s="162">
        <v>0.79166666666666663</v>
      </c>
      <c r="C1144" s="163">
        <v>15.723306267188587</v>
      </c>
      <c r="D1144" s="163">
        <v>774.20698545982407</v>
      </c>
      <c r="E1144" s="164">
        <v>0.91579999999999995</v>
      </c>
      <c r="F1144" s="164">
        <v>0.91579999999999995</v>
      </c>
      <c r="G1144" s="163">
        <v>13</v>
      </c>
      <c r="H1144" s="163">
        <v>23.333333333333336</v>
      </c>
      <c r="I1144" s="163">
        <v>10.333333333333336</v>
      </c>
      <c r="J1144" s="163">
        <v>10</v>
      </c>
      <c r="K1144" s="163">
        <v>10.597192982456141</v>
      </c>
      <c r="L1144" s="163">
        <v>0.59719298245614105</v>
      </c>
      <c r="M1144" s="163">
        <v>12</v>
      </c>
      <c r="N1144" s="163">
        <v>21.31803868645974</v>
      </c>
      <c r="O1144" s="163">
        <v>9.3180386864597402</v>
      </c>
      <c r="P1144" s="163"/>
      <c r="Q1144" s="163">
        <v>14</v>
      </c>
      <c r="R1144" s="163">
        <v>0</v>
      </c>
      <c r="S1144" s="163">
        <v>0</v>
      </c>
      <c r="T1144" s="163">
        <v>0</v>
      </c>
      <c r="U1144" s="163">
        <v>0</v>
      </c>
      <c r="V1144" s="163">
        <v>0</v>
      </c>
      <c r="W1144" s="163">
        <v>0</v>
      </c>
      <c r="X1144" s="163">
        <v>0</v>
      </c>
      <c r="Y1144" s="163">
        <v>14</v>
      </c>
      <c r="Z1144" s="163">
        <v>14</v>
      </c>
      <c r="AA1144" s="163">
        <v>0</v>
      </c>
      <c r="AB1144" s="163">
        <v>0</v>
      </c>
      <c r="AC1144" s="163">
        <v>12</v>
      </c>
      <c r="AD1144" s="163">
        <v>2</v>
      </c>
      <c r="AE1144" s="165">
        <v>0.59258810241312931</v>
      </c>
      <c r="AF1144" s="166">
        <v>0.63817180259875472</v>
      </c>
    </row>
    <row r="1145" spans="1:32">
      <c r="A1145" s="161">
        <v>24</v>
      </c>
      <c r="B1145" s="162">
        <v>0.8125</v>
      </c>
      <c r="C1145" s="163">
        <v>14.264913802333194</v>
      </c>
      <c r="D1145" s="163">
        <v>781.75090794454479</v>
      </c>
      <c r="E1145" s="164">
        <v>0.94989999999999997</v>
      </c>
      <c r="F1145" s="164">
        <v>0.94989999999999997</v>
      </c>
      <c r="G1145" s="163">
        <v>13</v>
      </c>
      <c r="H1145" s="163">
        <v>23.333333333333336</v>
      </c>
      <c r="I1145" s="163">
        <v>10.333333333333336</v>
      </c>
      <c r="J1145" s="163">
        <v>10</v>
      </c>
      <c r="K1145" s="163">
        <v>10.597192982456141</v>
      </c>
      <c r="L1145" s="163">
        <v>0.59719298245614105</v>
      </c>
      <c r="M1145" s="163">
        <v>12</v>
      </c>
      <c r="N1145" s="163">
        <v>21.31803868645974</v>
      </c>
      <c r="O1145" s="163">
        <v>9.3180386864597402</v>
      </c>
      <c r="P1145" s="163"/>
      <c r="Q1145" s="163">
        <v>14</v>
      </c>
      <c r="R1145" s="163">
        <v>0</v>
      </c>
      <c r="S1145" s="163">
        <v>0</v>
      </c>
      <c r="T1145" s="163">
        <v>0</v>
      </c>
      <c r="U1145" s="163">
        <v>0</v>
      </c>
      <c r="V1145" s="163">
        <v>0</v>
      </c>
      <c r="W1145" s="163">
        <v>0</v>
      </c>
      <c r="X1145" s="163">
        <v>0</v>
      </c>
      <c r="Y1145" s="163">
        <v>14</v>
      </c>
      <c r="Z1145" s="163">
        <v>14</v>
      </c>
      <c r="AA1145" s="163">
        <v>0</v>
      </c>
      <c r="AB1145" s="163">
        <v>0</v>
      </c>
      <c r="AC1145" s="163">
        <v>12</v>
      </c>
      <c r="AD1145" s="163">
        <v>2</v>
      </c>
      <c r="AE1145" s="165">
        <v>0.54286208994969321</v>
      </c>
      <c r="AF1145" s="166">
        <v>0.58462071225351575</v>
      </c>
    </row>
    <row r="1146" spans="1:32">
      <c r="A1146" s="161">
        <v>24</v>
      </c>
      <c r="B1146" s="162">
        <v>0.83333333333333337</v>
      </c>
      <c r="C1146" s="163">
        <v>14.639271683022098</v>
      </c>
      <c r="D1146" s="163">
        <v>759.29796253459062</v>
      </c>
      <c r="E1146" s="164">
        <v>0.74013333333333342</v>
      </c>
      <c r="F1146" s="164">
        <v>0.74013333333333342</v>
      </c>
      <c r="G1146" s="163">
        <v>13</v>
      </c>
      <c r="H1146" s="163">
        <v>20.666666666666668</v>
      </c>
      <c r="I1146" s="163">
        <v>7.6666666666666679</v>
      </c>
      <c r="J1146" s="163">
        <v>10</v>
      </c>
      <c r="K1146" s="163">
        <v>10.597192982456141</v>
      </c>
      <c r="L1146" s="163">
        <v>0.59719298245614105</v>
      </c>
      <c r="M1146" s="163">
        <v>12</v>
      </c>
      <c r="N1146" s="163">
        <v>18.881691408007196</v>
      </c>
      <c r="O1146" s="163">
        <v>6.881691408007196</v>
      </c>
      <c r="P1146" s="163"/>
      <c r="Q1146" s="163">
        <v>14</v>
      </c>
      <c r="R1146" s="163">
        <v>0</v>
      </c>
      <c r="S1146" s="163">
        <v>0</v>
      </c>
      <c r="T1146" s="163">
        <v>0</v>
      </c>
      <c r="U1146" s="163">
        <v>0</v>
      </c>
      <c r="V1146" s="163">
        <v>0</v>
      </c>
      <c r="W1146" s="163">
        <v>0</v>
      </c>
      <c r="X1146" s="163">
        <v>0</v>
      </c>
      <c r="Y1146" s="163">
        <v>14</v>
      </c>
      <c r="Z1146" s="163">
        <v>14</v>
      </c>
      <c r="AA1146" s="163">
        <v>0</v>
      </c>
      <c r="AB1146" s="163">
        <v>0</v>
      </c>
      <c r="AC1146" s="163">
        <v>12</v>
      </c>
      <c r="AD1146" s="163">
        <v>2</v>
      </c>
      <c r="AE1146" s="165">
        <v>0.54110764956269153</v>
      </c>
      <c r="AF1146" s="166">
        <v>0.58273131491366781</v>
      </c>
    </row>
    <row r="1147" spans="1:32">
      <c r="A1147" s="161">
        <v>24</v>
      </c>
      <c r="B1147" s="162">
        <v>0.85416666666666663</v>
      </c>
      <c r="C1147" s="163">
        <v>13.834599040716027</v>
      </c>
      <c r="D1147" s="163">
        <v>752.92389478535722</v>
      </c>
      <c r="E1147" s="164">
        <v>0.41776666666666662</v>
      </c>
      <c r="F1147" s="164">
        <v>0.41776666666666662</v>
      </c>
      <c r="G1147" s="163">
        <v>12</v>
      </c>
      <c r="H1147" s="163">
        <v>15.333333333333332</v>
      </c>
      <c r="I1147" s="163">
        <v>3.3333333333333321</v>
      </c>
      <c r="J1147" s="163">
        <v>9</v>
      </c>
      <c r="K1147" s="163">
        <v>9.7820242914979758</v>
      </c>
      <c r="L1147" s="163">
        <v>0.78202429149797581</v>
      </c>
      <c r="M1147" s="163">
        <v>11</v>
      </c>
      <c r="N1147" s="163">
        <v>14.008996851102113</v>
      </c>
      <c r="O1147" s="163">
        <v>3.008996851102113</v>
      </c>
      <c r="P1147" s="163"/>
      <c r="Q1147" s="163">
        <v>10</v>
      </c>
      <c r="R1147" s="163">
        <v>0</v>
      </c>
      <c r="S1147" s="163">
        <v>0</v>
      </c>
      <c r="T1147" s="163">
        <v>0</v>
      </c>
      <c r="U1147" s="163">
        <v>0</v>
      </c>
      <c r="V1147" s="163">
        <v>0</v>
      </c>
      <c r="W1147" s="163">
        <v>0</v>
      </c>
      <c r="X1147" s="163">
        <v>0</v>
      </c>
      <c r="Y1147" s="163">
        <v>10</v>
      </c>
      <c r="Z1147" s="163">
        <v>10</v>
      </c>
      <c r="AA1147" s="163">
        <v>0</v>
      </c>
      <c r="AB1147" s="163">
        <v>0</v>
      </c>
      <c r="AC1147" s="163">
        <v>8</v>
      </c>
      <c r="AD1147" s="163">
        <v>2</v>
      </c>
      <c r="AE1147" s="165">
        <v>0.70990079231917058</v>
      </c>
      <c r="AF1147" s="166">
        <v>0.59158399359930869</v>
      </c>
    </row>
    <row r="1148" spans="1:32">
      <c r="A1148" s="161">
        <v>24</v>
      </c>
      <c r="B1148" s="162">
        <v>0.875</v>
      </c>
      <c r="C1148" s="163">
        <v>12.217709739516053</v>
      </c>
      <c r="D1148" s="163">
        <v>748.87115572694552</v>
      </c>
      <c r="E1148" s="164">
        <v>0.49159999999999998</v>
      </c>
      <c r="F1148" s="164">
        <v>0.49159999999999998</v>
      </c>
      <c r="G1148" s="163">
        <v>10</v>
      </c>
      <c r="H1148" s="163">
        <v>13.333333333333332</v>
      </c>
      <c r="I1148" s="163">
        <v>3.3333333333333321</v>
      </c>
      <c r="J1148" s="163">
        <v>8</v>
      </c>
      <c r="K1148" s="163">
        <v>8.1516869095816471</v>
      </c>
      <c r="L1148" s="163">
        <v>0.1516869095816471</v>
      </c>
      <c r="M1148" s="163">
        <v>9</v>
      </c>
      <c r="N1148" s="163">
        <v>12.181736392262707</v>
      </c>
      <c r="O1148" s="163">
        <v>3.1817363922627067</v>
      </c>
      <c r="P1148" s="163"/>
      <c r="Q1148" s="163">
        <v>8</v>
      </c>
      <c r="R1148" s="163">
        <v>0</v>
      </c>
      <c r="S1148" s="163">
        <v>0</v>
      </c>
      <c r="T1148" s="163">
        <v>0</v>
      </c>
      <c r="U1148" s="163">
        <v>0</v>
      </c>
      <c r="V1148" s="163">
        <v>0</v>
      </c>
      <c r="W1148" s="163">
        <v>0</v>
      </c>
      <c r="X1148" s="163">
        <v>0</v>
      </c>
      <c r="Y1148" s="163">
        <v>8</v>
      </c>
      <c r="Z1148" s="163">
        <v>8</v>
      </c>
      <c r="AA1148" s="163">
        <v>0</v>
      </c>
      <c r="AB1148" s="163">
        <v>0</v>
      </c>
      <c r="AC1148" s="163">
        <v>6</v>
      </c>
      <c r="AD1148" s="163">
        <v>2</v>
      </c>
      <c r="AE1148" s="165">
        <v>0.77944759867000846</v>
      </c>
      <c r="AF1148" s="166">
        <v>0.62355807893600679</v>
      </c>
    </row>
    <row r="1149" spans="1:32">
      <c r="A1149" s="161">
        <v>24</v>
      </c>
      <c r="B1149" s="162">
        <v>0.89583333333333337</v>
      </c>
      <c r="C1149" s="163">
        <v>10.120539617011453</v>
      </c>
      <c r="D1149" s="163">
        <v>715.65187395057058</v>
      </c>
      <c r="E1149" s="164">
        <v>0.7571</v>
      </c>
      <c r="F1149" s="164">
        <v>0.7571</v>
      </c>
      <c r="G1149" s="163">
        <v>9</v>
      </c>
      <c r="H1149" s="163">
        <v>13.333333333333332</v>
      </c>
      <c r="I1149" s="163">
        <v>4.3333333333333321</v>
      </c>
      <c r="J1149" s="163">
        <v>7</v>
      </c>
      <c r="K1149" s="163">
        <v>7.3365182186234819</v>
      </c>
      <c r="L1149" s="163">
        <v>0.33651821862348186</v>
      </c>
      <c r="M1149" s="163">
        <v>8</v>
      </c>
      <c r="N1149" s="163">
        <v>12.181736392262707</v>
      </c>
      <c r="O1149" s="163">
        <v>4.1817363922627067</v>
      </c>
      <c r="P1149" s="163"/>
      <c r="Q1149" s="163">
        <v>8</v>
      </c>
      <c r="R1149" s="163">
        <v>0</v>
      </c>
      <c r="S1149" s="163">
        <v>0</v>
      </c>
      <c r="T1149" s="163">
        <v>0</v>
      </c>
      <c r="U1149" s="163">
        <v>0</v>
      </c>
      <c r="V1149" s="163">
        <v>0</v>
      </c>
      <c r="W1149" s="163">
        <v>0</v>
      </c>
      <c r="X1149" s="163">
        <v>0</v>
      </c>
      <c r="Y1149" s="163">
        <v>8</v>
      </c>
      <c r="Z1149" s="163">
        <v>8</v>
      </c>
      <c r="AA1149" s="163">
        <v>0</v>
      </c>
      <c r="AB1149" s="163">
        <v>0</v>
      </c>
      <c r="AC1149" s="163">
        <v>6</v>
      </c>
      <c r="AD1149" s="163">
        <v>2</v>
      </c>
      <c r="AE1149" s="165">
        <v>0.61701468312990904</v>
      </c>
      <c r="AF1149" s="166">
        <v>0.54845749611547467</v>
      </c>
    </row>
    <row r="1150" spans="1:32">
      <c r="A1150" s="161">
        <v>24</v>
      </c>
      <c r="B1150" s="162">
        <v>0.91666666666666663</v>
      </c>
      <c r="C1150" s="163">
        <v>4.9447197597556007</v>
      </c>
      <c r="D1150" s="163">
        <v>675.62149854816266</v>
      </c>
      <c r="E1150" s="164">
        <v>0.92099999999999993</v>
      </c>
      <c r="F1150" s="164">
        <v>0.92099999999999993</v>
      </c>
      <c r="G1150" s="163">
        <v>5</v>
      </c>
      <c r="H1150" s="163">
        <v>12</v>
      </c>
      <c r="I1150" s="163">
        <v>7</v>
      </c>
      <c r="J1150" s="163">
        <v>4</v>
      </c>
      <c r="K1150" s="163">
        <v>4.0758434547908236</v>
      </c>
      <c r="L1150" s="163">
        <v>7.584345479082355E-2</v>
      </c>
      <c r="M1150" s="163">
        <v>5</v>
      </c>
      <c r="N1150" s="163">
        <v>10.963562753036436</v>
      </c>
      <c r="O1150" s="163">
        <v>5.9635627530364363</v>
      </c>
      <c r="P1150" s="163"/>
      <c r="Q1150" s="163">
        <v>8</v>
      </c>
      <c r="R1150" s="163">
        <v>0</v>
      </c>
      <c r="S1150" s="163">
        <v>0</v>
      </c>
      <c r="T1150" s="163">
        <v>0</v>
      </c>
      <c r="U1150" s="163">
        <v>0</v>
      </c>
      <c r="V1150" s="163">
        <v>0</v>
      </c>
      <c r="W1150" s="163">
        <v>0</v>
      </c>
      <c r="X1150" s="163">
        <v>0</v>
      </c>
      <c r="Y1150" s="163">
        <v>8</v>
      </c>
      <c r="Z1150" s="163">
        <v>8</v>
      </c>
      <c r="AA1150" s="163">
        <v>0</v>
      </c>
      <c r="AB1150" s="163">
        <v>0</v>
      </c>
      <c r="AC1150" s="163">
        <v>6</v>
      </c>
      <c r="AD1150" s="163">
        <v>2</v>
      </c>
      <c r="AE1150" s="165">
        <v>0.28460017361389456</v>
      </c>
      <c r="AF1150" s="166">
        <v>0.45536027778223137</v>
      </c>
    </row>
    <row r="1151" spans="1:32">
      <c r="A1151" s="161">
        <v>24</v>
      </c>
      <c r="B1151" s="162">
        <v>0.9375</v>
      </c>
      <c r="C1151" s="163">
        <v>3.9490614433842786</v>
      </c>
      <c r="D1151" s="163">
        <v>672.70030396635775</v>
      </c>
      <c r="E1151" s="164">
        <v>0.89296666666666669</v>
      </c>
      <c r="F1151" s="164">
        <v>0.89296666666666669</v>
      </c>
      <c r="G1151" s="163">
        <v>5</v>
      </c>
      <c r="H1151" s="163">
        <v>9.3333333333333339</v>
      </c>
      <c r="I1151" s="163">
        <v>4.3333333333333339</v>
      </c>
      <c r="J1151" s="163">
        <v>4</v>
      </c>
      <c r="K1151" s="163">
        <v>4.0758434547908236</v>
      </c>
      <c r="L1151" s="163">
        <v>7.584345479082355E-2</v>
      </c>
      <c r="M1151" s="163">
        <v>5</v>
      </c>
      <c r="N1151" s="163">
        <v>8.5272154745838957</v>
      </c>
      <c r="O1151" s="163">
        <v>3.5272154745838957</v>
      </c>
      <c r="P1151" s="163"/>
      <c r="Q1151" s="163">
        <v>6</v>
      </c>
      <c r="R1151" s="163">
        <v>0</v>
      </c>
      <c r="S1151" s="163">
        <v>0</v>
      </c>
      <c r="T1151" s="163">
        <v>0</v>
      </c>
      <c r="U1151" s="163">
        <v>0</v>
      </c>
      <c r="V1151" s="163">
        <v>0</v>
      </c>
      <c r="W1151" s="163">
        <v>0</v>
      </c>
      <c r="X1151" s="163">
        <v>0</v>
      </c>
      <c r="Y1151" s="163">
        <v>6</v>
      </c>
      <c r="Z1151" s="163">
        <v>6</v>
      </c>
      <c r="AA1151" s="163">
        <v>0</v>
      </c>
      <c r="AB1151" s="163">
        <v>0</v>
      </c>
      <c r="AC1151" s="163">
        <v>4</v>
      </c>
      <c r="AD1151" s="163">
        <v>2</v>
      </c>
      <c r="AE1151" s="165">
        <v>0.30174790845187205</v>
      </c>
      <c r="AF1151" s="166">
        <v>0.36209749014224646</v>
      </c>
    </row>
    <row r="1152" spans="1:32">
      <c r="A1152" s="161">
        <v>24</v>
      </c>
      <c r="B1152" s="162">
        <v>0.95833333333333337</v>
      </c>
      <c r="C1152" s="163">
        <v>2.9005662059033948</v>
      </c>
      <c r="D1152" s="163">
        <v>639.30964152968409</v>
      </c>
      <c r="E1152" s="164">
        <v>0.91210000000000002</v>
      </c>
      <c r="F1152" s="164">
        <v>0.91210000000000002</v>
      </c>
      <c r="G1152" s="163">
        <v>4</v>
      </c>
      <c r="H1152" s="163">
        <v>6.6666666666666661</v>
      </c>
      <c r="I1152" s="163">
        <v>2.6666666666666661</v>
      </c>
      <c r="J1152" s="163">
        <v>3</v>
      </c>
      <c r="K1152" s="163">
        <v>3.2606747638326588</v>
      </c>
      <c r="L1152" s="163">
        <v>0.26067476383265875</v>
      </c>
      <c r="M1152" s="163">
        <v>4</v>
      </c>
      <c r="N1152" s="163">
        <v>6.0908681961313533</v>
      </c>
      <c r="O1152" s="163">
        <v>2.0908681961313533</v>
      </c>
      <c r="P1152" s="163"/>
      <c r="Q1152" s="163">
        <v>4</v>
      </c>
      <c r="R1152" s="163">
        <v>0</v>
      </c>
      <c r="S1152" s="163">
        <v>0</v>
      </c>
      <c r="T1152" s="163">
        <v>0</v>
      </c>
      <c r="U1152" s="163">
        <v>0</v>
      </c>
      <c r="V1152" s="163">
        <v>0</v>
      </c>
      <c r="W1152" s="163">
        <v>0</v>
      </c>
      <c r="X1152" s="163">
        <v>0</v>
      </c>
      <c r="Y1152" s="163">
        <v>4</v>
      </c>
      <c r="Z1152" s="163">
        <v>4</v>
      </c>
      <c r="AA1152" s="163">
        <v>0</v>
      </c>
      <c r="AB1152" s="163">
        <v>0</v>
      </c>
      <c r="AC1152" s="163">
        <v>4</v>
      </c>
      <c r="AD1152" s="163">
        <v>0</v>
      </c>
      <c r="AE1152" s="165">
        <v>0.31594686438281971</v>
      </c>
      <c r="AF1152" s="166">
        <v>0.31594686438281971</v>
      </c>
    </row>
    <row r="1153" spans="1:32">
      <c r="A1153" s="161">
        <v>24</v>
      </c>
      <c r="B1153" s="162">
        <v>0.97916666666666663</v>
      </c>
      <c r="C1153" s="163">
        <v>2.160421339004901</v>
      </c>
      <c r="D1153" s="163">
        <v>639.19436132655233</v>
      </c>
      <c r="E1153" s="164">
        <v>0.9578000000000001</v>
      </c>
      <c r="F1153" s="164">
        <v>0.9578000000000001</v>
      </c>
      <c r="G1153" s="163">
        <v>4</v>
      </c>
      <c r="H1153" s="163">
        <v>6.6666666666666661</v>
      </c>
      <c r="I1153" s="163">
        <v>2.6666666666666661</v>
      </c>
      <c r="J1153" s="163">
        <v>3</v>
      </c>
      <c r="K1153" s="163">
        <v>3.2606747638326588</v>
      </c>
      <c r="L1153" s="163">
        <v>0.26067476383265875</v>
      </c>
      <c r="M1153" s="163">
        <v>4</v>
      </c>
      <c r="N1153" s="163">
        <v>6.0908681961313533</v>
      </c>
      <c r="O1153" s="163">
        <v>2.0908681961313533</v>
      </c>
      <c r="P1153" s="163"/>
      <c r="Q1153" s="163">
        <v>4</v>
      </c>
      <c r="R1153" s="163">
        <v>0</v>
      </c>
      <c r="S1153" s="163">
        <v>0</v>
      </c>
      <c r="T1153" s="163">
        <v>0</v>
      </c>
      <c r="U1153" s="163">
        <v>0</v>
      </c>
      <c r="V1153" s="163">
        <v>0</v>
      </c>
      <c r="W1153" s="163">
        <v>0</v>
      </c>
      <c r="X1153" s="163">
        <v>0</v>
      </c>
      <c r="Y1153" s="163">
        <v>4</v>
      </c>
      <c r="Z1153" s="163">
        <v>4</v>
      </c>
      <c r="AA1153" s="163">
        <v>0</v>
      </c>
      <c r="AB1153" s="163">
        <v>0</v>
      </c>
      <c r="AC1153" s="163">
        <v>4</v>
      </c>
      <c r="AD1153" s="163">
        <v>0</v>
      </c>
      <c r="AE1153" s="165">
        <v>0.23528346431350344</v>
      </c>
      <c r="AF1153" s="166">
        <v>0.23528346431350344</v>
      </c>
    </row>
    <row r="1154" spans="1:32">
      <c r="A1154" s="161">
        <v>25</v>
      </c>
      <c r="B1154" s="162">
        <v>0</v>
      </c>
      <c r="C1154" s="163">
        <v>1.285223606125923</v>
      </c>
      <c r="D1154" s="163">
        <v>624.39874254802578</v>
      </c>
      <c r="E1154" s="164">
        <v>0.9899</v>
      </c>
      <c r="F1154" s="164">
        <v>0.9899</v>
      </c>
      <c r="G1154" s="163">
        <v>3</v>
      </c>
      <c r="H1154" s="163">
        <v>6.6666666666666661</v>
      </c>
      <c r="I1154" s="163">
        <v>3.6666666666666661</v>
      </c>
      <c r="J1154" s="163">
        <v>2</v>
      </c>
      <c r="K1154" s="163">
        <v>2.445506072874494</v>
      </c>
      <c r="L1154" s="163">
        <v>0.44550607287449395</v>
      </c>
      <c r="M1154" s="163">
        <v>3</v>
      </c>
      <c r="N1154" s="163">
        <v>6.0908681961313533</v>
      </c>
      <c r="O1154" s="163">
        <v>3.0908681961313533</v>
      </c>
      <c r="P1154" s="163"/>
      <c r="Q1154" s="163">
        <v>4</v>
      </c>
      <c r="R1154" s="163">
        <v>0</v>
      </c>
      <c r="S1154" s="163">
        <v>0</v>
      </c>
      <c r="T1154" s="163">
        <v>0</v>
      </c>
      <c r="U1154" s="163">
        <v>0</v>
      </c>
      <c r="V1154" s="163">
        <v>0</v>
      </c>
      <c r="W1154" s="163">
        <v>0</v>
      </c>
      <c r="X1154" s="163">
        <v>0</v>
      </c>
      <c r="Y1154" s="163">
        <v>4</v>
      </c>
      <c r="Z1154" s="163">
        <v>4</v>
      </c>
      <c r="AA1154" s="163">
        <v>0</v>
      </c>
      <c r="AB1154" s="163">
        <v>0</v>
      </c>
      <c r="AC1154" s="163">
        <v>4</v>
      </c>
      <c r="AD1154" s="163">
        <v>0</v>
      </c>
      <c r="AE1154" s="165">
        <v>0.13672902793333372</v>
      </c>
      <c r="AF1154" s="166">
        <v>0.18230537057777829</v>
      </c>
    </row>
    <row r="1155" spans="1:32">
      <c r="A1155" s="161">
        <v>25</v>
      </c>
      <c r="B1155" s="162">
        <v>2.0833333333333332E-2</v>
      </c>
      <c r="C1155" s="163">
        <v>0.89906135354489047</v>
      </c>
      <c r="D1155" s="163">
        <v>624.2665609331516</v>
      </c>
      <c r="E1155" s="164">
        <v>0.99630000000000007</v>
      </c>
      <c r="F1155" s="164">
        <v>0.99630000000000007</v>
      </c>
      <c r="G1155" s="163">
        <v>3</v>
      </c>
      <c r="H1155" s="163">
        <v>6.6666666666666661</v>
      </c>
      <c r="I1155" s="163">
        <v>3.6666666666666661</v>
      </c>
      <c r="J1155" s="163">
        <v>2</v>
      </c>
      <c r="K1155" s="163">
        <v>2.445506072874494</v>
      </c>
      <c r="L1155" s="163">
        <v>0.44550607287449395</v>
      </c>
      <c r="M1155" s="163">
        <v>3</v>
      </c>
      <c r="N1155" s="163">
        <v>6.0908681961313533</v>
      </c>
      <c r="O1155" s="163">
        <v>3.0908681961313533</v>
      </c>
      <c r="P1155" s="163"/>
      <c r="Q1155" s="163">
        <v>4</v>
      </c>
      <c r="R1155" s="163">
        <v>0</v>
      </c>
      <c r="S1155" s="163">
        <v>0</v>
      </c>
      <c r="T1155" s="163">
        <v>0</v>
      </c>
      <c r="U1155" s="163">
        <v>0</v>
      </c>
      <c r="V1155" s="163">
        <v>0</v>
      </c>
      <c r="W1155" s="163">
        <v>0</v>
      </c>
      <c r="X1155" s="163">
        <v>0</v>
      </c>
      <c r="Y1155" s="163">
        <v>4</v>
      </c>
      <c r="Z1155" s="163">
        <v>4</v>
      </c>
      <c r="AA1155" s="163">
        <v>0</v>
      </c>
      <c r="AB1155" s="163">
        <v>0</v>
      </c>
      <c r="AC1155" s="163">
        <v>4</v>
      </c>
      <c r="AD1155" s="163">
        <v>0</v>
      </c>
      <c r="AE1155" s="165">
        <v>9.5626754156462573E-2</v>
      </c>
      <c r="AF1155" s="166">
        <v>0.12750233887528342</v>
      </c>
    </row>
    <row r="1156" spans="1:32">
      <c r="A1156" s="161">
        <v>25</v>
      </c>
      <c r="B1156" s="162">
        <v>4.1666666666666664E-2</v>
      </c>
      <c r="C1156" s="163">
        <v>0.68424588955381294</v>
      </c>
      <c r="D1156" s="163">
        <v>591.61253374487444</v>
      </c>
      <c r="E1156" s="164">
        <v>0.99860000000000004</v>
      </c>
      <c r="F1156" s="164">
        <v>0.99860000000000004</v>
      </c>
      <c r="G1156" s="163">
        <v>3</v>
      </c>
      <c r="H1156" s="163">
        <v>6.6666666666666661</v>
      </c>
      <c r="I1156" s="163">
        <v>3.6666666666666661</v>
      </c>
      <c r="J1156" s="163">
        <v>2</v>
      </c>
      <c r="K1156" s="163">
        <v>2.445506072874494</v>
      </c>
      <c r="L1156" s="163">
        <v>0.44550607287449395</v>
      </c>
      <c r="M1156" s="163">
        <v>3</v>
      </c>
      <c r="N1156" s="163">
        <v>6.0908681961313533</v>
      </c>
      <c r="O1156" s="163">
        <v>3.0908681961313533</v>
      </c>
      <c r="P1156" s="163"/>
      <c r="Q1156" s="163">
        <v>4</v>
      </c>
      <c r="R1156" s="163">
        <v>0</v>
      </c>
      <c r="S1156" s="163">
        <v>0</v>
      </c>
      <c r="T1156" s="163">
        <v>0</v>
      </c>
      <c r="U1156" s="163">
        <v>0</v>
      </c>
      <c r="V1156" s="163">
        <v>0</v>
      </c>
      <c r="W1156" s="163">
        <v>0</v>
      </c>
      <c r="X1156" s="163">
        <v>0</v>
      </c>
      <c r="Y1156" s="163">
        <v>4</v>
      </c>
      <c r="Z1156" s="163">
        <v>4</v>
      </c>
      <c r="AA1156" s="163">
        <v>0</v>
      </c>
      <c r="AB1156" s="163">
        <v>0</v>
      </c>
      <c r="AC1156" s="163">
        <v>4</v>
      </c>
      <c r="AD1156" s="163">
        <v>0</v>
      </c>
      <c r="AE1156" s="165">
        <v>6.8971484899310848E-2</v>
      </c>
      <c r="AF1156" s="166">
        <v>9.1961979865747792E-2</v>
      </c>
    </row>
    <row r="1157" spans="1:32">
      <c r="A1157" s="161">
        <v>25</v>
      </c>
      <c r="B1157" s="162">
        <v>6.25E-2</v>
      </c>
      <c r="C1157" s="163">
        <v>0.5421117236071874</v>
      </c>
      <c r="D1157" s="163">
        <v>576.06229841974584</v>
      </c>
      <c r="E1157" s="164">
        <v>0.99929999999999997</v>
      </c>
      <c r="F1157" s="164">
        <v>0.99929999999999997</v>
      </c>
      <c r="G1157" s="163">
        <v>2</v>
      </c>
      <c r="H1157" s="163">
        <v>6.6666666666666661</v>
      </c>
      <c r="I1157" s="163">
        <v>4.6666666666666661</v>
      </c>
      <c r="J1157" s="163">
        <v>1</v>
      </c>
      <c r="K1157" s="163">
        <v>1.6303373819163294</v>
      </c>
      <c r="L1157" s="163">
        <v>0.63033738191632938</v>
      </c>
      <c r="M1157" s="163">
        <v>2</v>
      </c>
      <c r="N1157" s="163">
        <v>6.0908681961313533</v>
      </c>
      <c r="O1157" s="163">
        <v>4.0908681961313533</v>
      </c>
      <c r="P1157" s="163"/>
      <c r="Q1157" s="163">
        <v>4</v>
      </c>
      <c r="R1157" s="163">
        <v>0</v>
      </c>
      <c r="S1157" s="163">
        <v>0</v>
      </c>
      <c r="T1157" s="163">
        <v>0</v>
      </c>
      <c r="U1157" s="163">
        <v>0</v>
      </c>
      <c r="V1157" s="163">
        <v>0</v>
      </c>
      <c r="W1157" s="163">
        <v>0</v>
      </c>
      <c r="X1157" s="163">
        <v>0</v>
      </c>
      <c r="Y1157" s="163">
        <v>4</v>
      </c>
      <c r="Z1157" s="163">
        <v>4</v>
      </c>
      <c r="AA1157" s="163">
        <v>0</v>
      </c>
      <c r="AB1157" s="163">
        <v>0</v>
      </c>
      <c r="AC1157" s="163">
        <v>4</v>
      </c>
      <c r="AD1157" s="163">
        <v>0</v>
      </c>
      <c r="AE1157" s="165">
        <v>5.3208162951996318E-2</v>
      </c>
      <c r="AF1157" s="166">
        <v>0.10641632590399264</v>
      </c>
    </row>
    <row r="1158" spans="1:32">
      <c r="A1158" s="161">
        <v>25</v>
      </c>
      <c r="B1158" s="162">
        <v>8.3333333333333329E-2</v>
      </c>
      <c r="C1158" s="163">
        <v>0.43612640117962131</v>
      </c>
      <c r="D1158" s="163">
        <v>593.10303510985364</v>
      </c>
      <c r="E1158" s="164">
        <v>0.99960000000000004</v>
      </c>
      <c r="F1158" s="164">
        <v>0.99960000000000004</v>
      </c>
      <c r="G1158" s="163">
        <v>2</v>
      </c>
      <c r="H1158" s="163">
        <v>6.6666666666666661</v>
      </c>
      <c r="I1158" s="163">
        <v>4.6666666666666661</v>
      </c>
      <c r="J1158" s="163">
        <v>1</v>
      </c>
      <c r="K1158" s="163">
        <v>1.6303373819163294</v>
      </c>
      <c r="L1158" s="163">
        <v>0.63033738191632938</v>
      </c>
      <c r="M1158" s="163">
        <v>2</v>
      </c>
      <c r="N1158" s="163">
        <v>6.0908681961313533</v>
      </c>
      <c r="O1158" s="163">
        <v>4.0908681961313533</v>
      </c>
      <c r="P1158" s="163"/>
      <c r="Q1158" s="163">
        <v>4</v>
      </c>
      <c r="R1158" s="163">
        <v>0</v>
      </c>
      <c r="S1158" s="163">
        <v>0</v>
      </c>
      <c r="T1158" s="163">
        <v>0</v>
      </c>
      <c r="U1158" s="163">
        <v>0</v>
      </c>
      <c r="V1158" s="163">
        <v>0</v>
      </c>
      <c r="W1158" s="163">
        <v>0</v>
      </c>
      <c r="X1158" s="163">
        <v>0</v>
      </c>
      <c r="Y1158" s="163">
        <v>4</v>
      </c>
      <c r="Z1158" s="163">
        <v>4</v>
      </c>
      <c r="AA1158" s="163">
        <v>0</v>
      </c>
      <c r="AB1158" s="163">
        <v>0</v>
      </c>
      <c r="AC1158" s="163">
        <v>4</v>
      </c>
      <c r="AD1158" s="163">
        <v>0</v>
      </c>
      <c r="AE1158" s="165">
        <v>4.4071977422231456E-2</v>
      </c>
      <c r="AF1158" s="166">
        <v>8.8143954844462913E-2</v>
      </c>
    </row>
    <row r="1159" spans="1:32">
      <c r="A1159" s="161">
        <v>25</v>
      </c>
      <c r="B1159" s="162">
        <v>0.10416666666666667</v>
      </c>
      <c r="C1159" s="163">
        <v>0.346773631320417</v>
      </c>
      <c r="D1159" s="163">
        <v>564.38540677951858</v>
      </c>
      <c r="E1159" s="164">
        <v>0.99980000000000002</v>
      </c>
      <c r="F1159" s="164">
        <v>0.99980000000000002</v>
      </c>
      <c r="G1159" s="163">
        <v>2</v>
      </c>
      <c r="H1159" s="163">
        <v>6.6666666666666661</v>
      </c>
      <c r="I1159" s="163">
        <v>4.6666666666666661</v>
      </c>
      <c r="J1159" s="163">
        <v>1</v>
      </c>
      <c r="K1159" s="163">
        <v>1.6303373819163294</v>
      </c>
      <c r="L1159" s="163">
        <v>0.63033738191632938</v>
      </c>
      <c r="M1159" s="163">
        <v>2</v>
      </c>
      <c r="N1159" s="163">
        <v>6.0908681961313533</v>
      </c>
      <c r="O1159" s="163">
        <v>4.0908681961313533</v>
      </c>
      <c r="P1159" s="163"/>
      <c r="Q1159" s="163">
        <v>4</v>
      </c>
      <c r="R1159" s="163">
        <v>0</v>
      </c>
      <c r="S1159" s="163">
        <v>0</v>
      </c>
      <c r="T1159" s="163">
        <v>0</v>
      </c>
      <c r="U1159" s="163">
        <v>0</v>
      </c>
      <c r="V1159" s="163">
        <v>0</v>
      </c>
      <c r="W1159" s="163">
        <v>0</v>
      </c>
      <c r="X1159" s="163">
        <v>0</v>
      </c>
      <c r="Y1159" s="163">
        <v>4</v>
      </c>
      <c r="Z1159" s="163">
        <v>4</v>
      </c>
      <c r="AA1159" s="163">
        <v>0</v>
      </c>
      <c r="AB1159" s="163">
        <v>0</v>
      </c>
      <c r="AC1159" s="163">
        <v>4</v>
      </c>
      <c r="AD1159" s="163">
        <v>0</v>
      </c>
      <c r="AE1159" s="165">
        <v>3.3345854794644213E-2</v>
      </c>
      <c r="AF1159" s="166">
        <v>6.6691709589288425E-2</v>
      </c>
    </row>
    <row r="1160" spans="1:32">
      <c r="A1160" s="161">
        <v>25</v>
      </c>
      <c r="B1160" s="162">
        <v>0.125</v>
      </c>
      <c r="C1160" s="163">
        <v>0.31273802242463766</v>
      </c>
      <c r="D1160" s="163">
        <v>564.28641189350947</v>
      </c>
      <c r="E1160" s="164">
        <v>0.9998999999999999</v>
      </c>
      <c r="F1160" s="164">
        <v>0.9998999999999999</v>
      </c>
      <c r="G1160" s="163">
        <v>2</v>
      </c>
      <c r="H1160" s="163">
        <v>6.6666666666666661</v>
      </c>
      <c r="I1160" s="163">
        <v>4.6666666666666661</v>
      </c>
      <c r="J1160" s="163">
        <v>1</v>
      </c>
      <c r="K1160" s="163">
        <v>1.6303373819163294</v>
      </c>
      <c r="L1160" s="163">
        <v>0.63033738191632938</v>
      </c>
      <c r="M1160" s="163">
        <v>2</v>
      </c>
      <c r="N1160" s="163">
        <v>6.0908681961313533</v>
      </c>
      <c r="O1160" s="163">
        <v>4.0908681961313533</v>
      </c>
      <c r="P1160" s="163"/>
      <c r="Q1160" s="163">
        <v>4</v>
      </c>
      <c r="R1160" s="163">
        <v>0</v>
      </c>
      <c r="S1160" s="163">
        <v>0</v>
      </c>
      <c r="T1160" s="163">
        <v>0</v>
      </c>
      <c r="U1160" s="163">
        <v>0</v>
      </c>
      <c r="V1160" s="163">
        <v>0</v>
      </c>
      <c r="W1160" s="163">
        <v>0</v>
      </c>
      <c r="X1160" s="163">
        <v>0</v>
      </c>
      <c r="Y1160" s="163">
        <v>4</v>
      </c>
      <c r="Z1160" s="163">
        <v>4</v>
      </c>
      <c r="AA1160" s="163">
        <v>0</v>
      </c>
      <c r="AB1160" s="163">
        <v>0</v>
      </c>
      <c r="AC1160" s="163">
        <v>4</v>
      </c>
      <c r="AD1160" s="163">
        <v>0</v>
      </c>
      <c r="AE1160" s="165">
        <v>3.0067705701441998E-2</v>
      </c>
      <c r="AF1160" s="166">
        <v>6.0135411402883997E-2</v>
      </c>
    </row>
    <row r="1161" spans="1:32">
      <c r="A1161" s="161">
        <v>25</v>
      </c>
      <c r="B1161" s="162">
        <v>0.14583333333333334</v>
      </c>
      <c r="C1161" s="163">
        <v>0.31506416304747542</v>
      </c>
      <c r="D1161" s="163">
        <v>597.52841452343853</v>
      </c>
      <c r="E1161" s="164">
        <v>0.99980000000000002</v>
      </c>
      <c r="F1161" s="164">
        <v>0.99980000000000002</v>
      </c>
      <c r="G1161" s="163">
        <v>2</v>
      </c>
      <c r="H1161" s="163">
        <v>6.6666666666666661</v>
      </c>
      <c r="I1161" s="163">
        <v>4.6666666666666661</v>
      </c>
      <c r="J1161" s="163">
        <v>1</v>
      </c>
      <c r="K1161" s="163">
        <v>1.6303373819163294</v>
      </c>
      <c r="L1161" s="163">
        <v>0.63033738191632938</v>
      </c>
      <c r="M1161" s="163">
        <v>2</v>
      </c>
      <c r="N1161" s="163">
        <v>6.0908681961313533</v>
      </c>
      <c r="O1161" s="163">
        <v>4.0908681961313533</v>
      </c>
      <c r="P1161" s="163"/>
      <c r="Q1161" s="163">
        <v>4</v>
      </c>
      <c r="R1161" s="163">
        <v>0</v>
      </c>
      <c r="S1161" s="163">
        <v>0</v>
      </c>
      <c r="T1161" s="163">
        <v>0</v>
      </c>
      <c r="U1161" s="163">
        <v>0</v>
      </c>
      <c r="V1161" s="163">
        <v>0</v>
      </c>
      <c r="W1161" s="163">
        <v>0</v>
      </c>
      <c r="X1161" s="163">
        <v>0</v>
      </c>
      <c r="Y1161" s="163">
        <v>4</v>
      </c>
      <c r="Z1161" s="163">
        <v>4</v>
      </c>
      <c r="AA1161" s="163">
        <v>0</v>
      </c>
      <c r="AB1161" s="163">
        <v>0</v>
      </c>
      <c r="AC1161" s="163">
        <v>4</v>
      </c>
      <c r="AD1161" s="163">
        <v>0</v>
      </c>
      <c r="AE1161" s="165">
        <v>3.2075806296817604E-2</v>
      </c>
      <c r="AF1161" s="166">
        <v>6.4151612593635207E-2</v>
      </c>
    </row>
    <row r="1162" spans="1:32">
      <c r="A1162" s="161">
        <v>25</v>
      </c>
      <c r="B1162" s="162">
        <v>0.16666666666666666</v>
      </c>
      <c r="C1162" s="163">
        <v>0.35467056675620467</v>
      </c>
      <c r="D1162" s="163">
        <v>597.48851299505213</v>
      </c>
      <c r="E1162" s="164">
        <v>0.99970000000000014</v>
      </c>
      <c r="F1162" s="164">
        <v>0.99970000000000014</v>
      </c>
      <c r="G1162" s="163">
        <v>2</v>
      </c>
      <c r="H1162" s="163">
        <v>6.6666666666666661</v>
      </c>
      <c r="I1162" s="163">
        <v>4.6666666666666661</v>
      </c>
      <c r="J1162" s="163">
        <v>1</v>
      </c>
      <c r="K1162" s="163">
        <v>1.6303373819163294</v>
      </c>
      <c r="L1162" s="163">
        <v>0.63033738191632938</v>
      </c>
      <c r="M1162" s="163">
        <v>2</v>
      </c>
      <c r="N1162" s="163">
        <v>6.0908681961313533</v>
      </c>
      <c r="O1162" s="163">
        <v>4.0908681961313533</v>
      </c>
      <c r="P1162" s="163"/>
      <c r="Q1162" s="163">
        <v>4</v>
      </c>
      <c r="R1162" s="163">
        <v>0</v>
      </c>
      <c r="S1162" s="163">
        <v>0</v>
      </c>
      <c r="T1162" s="163">
        <v>0</v>
      </c>
      <c r="U1162" s="163">
        <v>0</v>
      </c>
      <c r="V1162" s="163">
        <v>0</v>
      </c>
      <c r="W1162" s="163">
        <v>0</v>
      </c>
      <c r="X1162" s="163">
        <v>0</v>
      </c>
      <c r="Y1162" s="163">
        <v>4</v>
      </c>
      <c r="Z1162" s="163">
        <v>4</v>
      </c>
      <c r="AA1162" s="163">
        <v>0</v>
      </c>
      <c r="AB1162" s="163">
        <v>0</v>
      </c>
      <c r="AC1162" s="163">
        <v>4</v>
      </c>
      <c r="AD1162" s="163">
        <v>0</v>
      </c>
      <c r="AE1162" s="165">
        <v>3.6105612911235485E-2</v>
      </c>
      <c r="AF1162" s="166">
        <v>7.221122582247097E-2</v>
      </c>
    </row>
    <row r="1163" spans="1:32">
      <c r="A1163" s="161">
        <v>25</v>
      </c>
      <c r="B1163" s="162">
        <v>0.1875</v>
      </c>
      <c r="C1163" s="163">
        <v>0.52325077337853743</v>
      </c>
      <c r="D1163" s="163">
        <v>634.79027861942234</v>
      </c>
      <c r="E1163" s="164">
        <v>0.99919999999999998</v>
      </c>
      <c r="F1163" s="164">
        <v>0.99919999999999998</v>
      </c>
      <c r="G1163" s="163">
        <v>2</v>
      </c>
      <c r="H1163" s="163">
        <v>6.6666666666666661</v>
      </c>
      <c r="I1163" s="163">
        <v>4.6666666666666661</v>
      </c>
      <c r="J1163" s="163">
        <v>1</v>
      </c>
      <c r="K1163" s="163">
        <v>1.6303373819163294</v>
      </c>
      <c r="L1163" s="163">
        <v>0.63033738191632938</v>
      </c>
      <c r="M1163" s="163">
        <v>2</v>
      </c>
      <c r="N1163" s="163">
        <v>6.0908681961313533</v>
      </c>
      <c r="O1163" s="163">
        <v>4.0908681961313533</v>
      </c>
      <c r="P1163" s="163"/>
      <c r="Q1163" s="163">
        <v>4</v>
      </c>
      <c r="R1163" s="163">
        <v>0</v>
      </c>
      <c r="S1163" s="163">
        <v>0</v>
      </c>
      <c r="T1163" s="163">
        <v>0</v>
      </c>
      <c r="U1163" s="163">
        <v>0</v>
      </c>
      <c r="V1163" s="163">
        <v>0</v>
      </c>
      <c r="W1163" s="163">
        <v>0</v>
      </c>
      <c r="X1163" s="163">
        <v>0</v>
      </c>
      <c r="Y1163" s="163">
        <v>4</v>
      </c>
      <c r="Z1163" s="163">
        <v>4</v>
      </c>
      <c r="AA1163" s="163">
        <v>0</v>
      </c>
      <c r="AB1163" s="163">
        <v>0</v>
      </c>
      <c r="AC1163" s="163">
        <v>4</v>
      </c>
      <c r="AD1163" s="163">
        <v>0</v>
      </c>
      <c r="AE1163" s="165">
        <v>5.6592666698766593E-2</v>
      </c>
      <c r="AF1163" s="166">
        <v>0.11318533339753319</v>
      </c>
    </row>
    <row r="1164" spans="1:32">
      <c r="A1164" s="161">
        <v>25</v>
      </c>
      <c r="B1164" s="162">
        <v>0.20833333333333334</v>
      </c>
      <c r="C1164" s="163">
        <v>0.91760398763408868</v>
      </c>
      <c r="D1164" s="163">
        <v>667.5708824830059</v>
      </c>
      <c r="E1164" s="164">
        <v>0.99519999999999997</v>
      </c>
      <c r="F1164" s="164">
        <v>0.99519999999999997</v>
      </c>
      <c r="G1164" s="163">
        <v>3</v>
      </c>
      <c r="H1164" s="163">
        <v>6.6666666666666661</v>
      </c>
      <c r="I1164" s="163">
        <v>3.6666666666666661</v>
      </c>
      <c r="J1164" s="163">
        <v>2</v>
      </c>
      <c r="K1164" s="163">
        <v>2.445506072874494</v>
      </c>
      <c r="L1164" s="163">
        <v>0.44550607287449395</v>
      </c>
      <c r="M1164" s="163">
        <v>3</v>
      </c>
      <c r="N1164" s="163">
        <v>6.0908681961313533</v>
      </c>
      <c r="O1164" s="163">
        <v>3.0908681961313533</v>
      </c>
      <c r="P1164" s="163"/>
      <c r="Q1164" s="163">
        <v>4</v>
      </c>
      <c r="R1164" s="163">
        <v>0</v>
      </c>
      <c r="S1164" s="163">
        <v>0</v>
      </c>
      <c r="T1164" s="163">
        <v>0</v>
      </c>
      <c r="U1164" s="163">
        <v>0</v>
      </c>
      <c r="V1164" s="163">
        <v>0</v>
      </c>
      <c r="W1164" s="163">
        <v>0</v>
      </c>
      <c r="X1164" s="163">
        <v>0</v>
      </c>
      <c r="Y1164" s="163">
        <v>4</v>
      </c>
      <c r="Z1164" s="163">
        <v>4</v>
      </c>
      <c r="AA1164" s="163">
        <v>0</v>
      </c>
      <c r="AB1164" s="163">
        <v>0</v>
      </c>
      <c r="AC1164" s="163">
        <v>4</v>
      </c>
      <c r="AD1164" s="163">
        <v>0</v>
      </c>
      <c r="AE1164" s="165">
        <v>0.10436928075770299</v>
      </c>
      <c r="AF1164" s="166">
        <v>0.13915904101027063</v>
      </c>
    </row>
    <row r="1165" spans="1:32">
      <c r="A1165" s="161">
        <v>25</v>
      </c>
      <c r="B1165" s="162">
        <v>0.22916666666666666</v>
      </c>
      <c r="C1165" s="163">
        <v>1.5347483295024307</v>
      </c>
      <c r="D1165" s="163">
        <v>682.34099633313394</v>
      </c>
      <c r="E1165" s="164">
        <v>0.97940000000000005</v>
      </c>
      <c r="F1165" s="164">
        <v>0.97940000000000005</v>
      </c>
      <c r="G1165" s="163">
        <v>3</v>
      </c>
      <c r="H1165" s="163">
        <v>6.6666666666666661</v>
      </c>
      <c r="I1165" s="163">
        <v>3.6666666666666661</v>
      </c>
      <c r="J1165" s="163">
        <v>2</v>
      </c>
      <c r="K1165" s="163">
        <v>2.445506072874494</v>
      </c>
      <c r="L1165" s="163">
        <v>0.44550607287449395</v>
      </c>
      <c r="M1165" s="163">
        <v>3</v>
      </c>
      <c r="N1165" s="163">
        <v>6.0908681961313533</v>
      </c>
      <c r="O1165" s="163">
        <v>3.0908681961313533</v>
      </c>
      <c r="P1165" s="163"/>
      <c r="Q1165" s="163">
        <v>4</v>
      </c>
      <c r="R1165" s="163">
        <v>0</v>
      </c>
      <c r="S1165" s="163">
        <v>0</v>
      </c>
      <c r="T1165" s="163">
        <v>0</v>
      </c>
      <c r="U1165" s="163">
        <v>0</v>
      </c>
      <c r="V1165" s="163">
        <v>0</v>
      </c>
      <c r="W1165" s="163">
        <v>0</v>
      </c>
      <c r="X1165" s="163">
        <v>0</v>
      </c>
      <c r="Y1165" s="163">
        <v>4</v>
      </c>
      <c r="Z1165" s="163">
        <v>4</v>
      </c>
      <c r="AA1165" s="163">
        <v>0</v>
      </c>
      <c r="AB1165" s="163">
        <v>0</v>
      </c>
      <c r="AC1165" s="163">
        <v>4</v>
      </c>
      <c r="AD1165" s="163">
        <v>0</v>
      </c>
      <c r="AE1165" s="165">
        <v>0.1784262086365041</v>
      </c>
      <c r="AF1165" s="166">
        <v>0.23790161151533878</v>
      </c>
    </row>
    <row r="1166" spans="1:32">
      <c r="A1166" s="161">
        <v>25</v>
      </c>
      <c r="B1166" s="162">
        <v>0.25</v>
      </c>
      <c r="C1166" s="163">
        <v>2.357954300803736</v>
      </c>
      <c r="D1166" s="163">
        <v>689.53256187065699</v>
      </c>
      <c r="E1166" s="164">
        <v>0.93600000000000005</v>
      </c>
      <c r="F1166" s="164">
        <v>0.93600000000000005</v>
      </c>
      <c r="G1166" s="163">
        <v>4</v>
      </c>
      <c r="H1166" s="163">
        <v>6.6666666666666661</v>
      </c>
      <c r="I1166" s="163">
        <v>2.6666666666666661</v>
      </c>
      <c r="J1166" s="163">
        <v>3</v>
      </c>
      <c r="K1166" s="163">
        <v>3.2606747638326588</v>
      </c>
      <c r="L1166" s="163">
        <v>0.26067476383265875</v>
      </c>
      <c r="M1166" s="163">
        <v>4</v>
      </c>
      <c r="N1166" s="163">
        <v>6.0908681961313533</v>
      </c>
      <c r="O1166" s="163">
        <v>2.0908681961313533</v>
      </c>
      <c r="P1166" s="163"/>
      <c r="Q1166" s="163">
        <v>4</v>
      </c>
      <c r="R1166" s="163">
        <v>0</v>
      </c>
      <c r="S1166" s="163">
        <v>0</v>
      </c>
      <c r="T1166" s="163">
        <v>0</v>
      </c>
      <c r="U1166" s="163">
        <v>0</v>
      </c>
      <c r="V1166" s="163">
        <v>0</v>
      </c>
      <c r="W1166" s="163">
        <v>0</v>
      </c>
      <c r="X1166" s="163">
        <v>0</v>
      </c>
      <c r="Y1166" s="163">
        <v>4</v>
      </c>
      <c r="Z1166" s="163">
        <v>4</v>
      </c>
      <c r="AA1166" s="163">
        <v>0</v>
      </c>
      <c r="AB1166" s="163">
        <v>0</v>
      </c>
      <c r="AC1166" s="163">
        <v>4</v>
      </c>
      <c r="AD1166" s="163">
        <v>0</v>
      </c>
      <c r="AE1166" s="165">
        <v>0.27701939485406735</v>
      </c>
      <c r="AF1166" s="166">
        <v>0.27701939485406735</v>
      </c>
    </row>
    <row r="1167" spans="1:32">
      <c r="A1167" s="161">
        <v>25</v>
      </c>
      <c r="B1167" s="162">
        <v>0.27083333333333331</v>
      </c>
      <c r="C1167" s="163">
        <v>3.4090111831950183</v>
      </c>
      <c r="D1167" s="163">
        <v>755.72324696252088</v>
      </c>
      <c r="E1167" s="164">
        <v>0.80819999999999992</v>
      </c>
      <c r="F1167" s="164">
        <v>0.80819999999999992</v>
      </c>
      <c r="G1167" s="163">
        <v>5</v>
      </c>
      <c r="H1167" s="163">
        <v>6.6666666666666661</v>
      </c>
      <c r="I1167" s="163">
        <v>1.6666666666666661</v>
      </c>
      <c r="J1167" s="163">
        <v>4</v>
      </c>
      <c r="K1167" s="163">
        <v>4.0758434547908236</v>
      </c>
      <c r="L1167" s="163">
        <v>7.584345479082355E-2</v>
      </c>
      <c r="M1167" s="163">
        <v>5</v>
      </c>
      <c r="N1167" s="163">
        <v>6.0908681961313533</v>
      </c>
      <c r="O1167" s="163">
        <v>1.0908681961313533</v>
      </c>
      <c r="P1167" s="163"/>
      <c r="Q1167" s="163">
        <v>4</v>
      </c>
      <c r="R1167" s="163">
        <v>0</v>
      </c>
      <c r="S1167" s="163">
        <v>0</v>
      </c>
      <c r="T1167" s="163">
        <v>0</v>
      </c>
      <c r="U1167" s="163">
        <v>0</v>
      </c>
      <c r="V1167" s="163">
        <v>0</v>
      </c>
      <c r="W1167" s="163">
        <v>0</v>
      </c>
      <c r="X1167" s="163">
        <v>0</v>
      </c>
      <c r="Y1167" s="163">
        <v>4</v>
      </c>
      <c r="Z1167" s="163">
        <v>4</v>
      </c>
      <c r="AA1167" s="163">
        <v>0</v>
      </c>
      <c r="AB1167" s="163">
        <v>0</v>
      </c>
      <c r="AC1167" s="163">
        <v>4</v>
      </c>
      <c r="AD1167" s="163">
        <v>0</v>
      </c>
      <c r="AE1167" s="165">
        <v>0.43894612599678418</v>
      </c>
      <c r="AF1167" s="166">
        <v>0.35115690079742734</v>
      </c>
    </row>
    <row r="1168" spans="1:32">
      <c r="A1168" s="161">
        <v>25</v>
      </c>
      <c r="B1168" s="162">
        <v>0.29166666666666669</v>
      </c>
      <c r="C1168" s="163">
        <v>8.1162024054635502</v>
      </c>
      <c r="D1168" s="163">
        <v>737.76774914387636</v>
      </c>
      <c r="E1168" s="164">
        <v>0.73899999999999999</v>
      </c>
      <c r="F1168" s="164">
        <v>0.73899999999999999</v>
      </c>
      <c r="G1168" s="163">
        <v>8</v>
      </c>
      <c r="H1168" s="163">
        <v>11.666666666666668</v>
      </c>
      <c r="I1168" s="163">
        <v>3.6666666666666679</v>
      </c>
      <c r="J1168" s="163">
        <v>6</v>
      </c>
      <c r="K1168" s="163">
        <v>6.5213495276653175</v>
      </c>
      <c r="L1168" s="163">
        <v>0.5213495276653175</v>
      </c>
      <c r="M1168" s="163">
        <v>7</v>
      </c>
      <c r="N1168" s="163">
        <v>10.65901934322987</v>
      </c>
      <c r="O1168" s="163">
        <v>3.6590193432298701</v>
      </c>
      <c r="P1168" s="163"/>
      <c r="Q1168" s="163">
        <v>7</v>
      </c>
      <c r="R1168" s="163">
        <v>0</v>
      </c>
      <c r="S1168" s="163">
        <v>0</v>
      </c>
      <c r="T1168" s="163">
        <v>0</v>
      </c>
      <c r="U1168" s="163">
        <v>0</v>
      </c>
      <c r="V1168" s="163">
        <v>0</v>
      </c>
      <c r="W1168" s="163">
        <v>0</v>
      </c>
      <c r="X1168" s="163">
        <v>0</v>
      </c>
      <c r="Y1168" s="163">
        <v>7</v>
      </c>
      <c r="Z1168" s="163">
        <v>7</v>
      </c>
      <c r="AA1168" s="163">
        <v>0</v>
      </c>
      <c r="AB1168" s="163">
        <v>0</v>
      </c>
      <c r="AC1168" s="163">
        <v>4</v>
      </c>
      <c r="AD1168" s="163">
        <v>3</v>
      </c>
      <c r="AE1168" s="165">
        <v>0.58298113256766138</v>
      </c>
      <c r="AF1168" s="166">
        <v>0.51010849099670375</v>
      </c>
    </row>
    <row r="1169" spans="1:32">
      <c r="A1169" s="161">
        <v>25</v>
      </c>
      <c r="B1169" s="162">
        <v>0.3125</v>
      </c>
      <c r="C1169" s="163">
        <v>9.8935461885259137</v>
      </c>
      <c r="D1169" s="163">
        <v>783.6474529553501</v>
      </c>
      <c r="E1169" s="164">
        <v>0.93269999999999997</v>
      </c>
      <c r="F1169" s="164">
        <v>0.93269999999999997</v>
      </c>
      <c r="G1169" s="163">
        <v>9</v>
      </c>
      <c r="H1169" s="163">
        <v>18.333333333333332</v>
      </c>
      <c r="I1169" s="163">
        <v>9.3333333333333321</v>
      </c>
      <c r="J1169" s="163">
        <v>7</v>
      </c>
      <c r="K1169" s="163">
        <v>7.3365182186234819</v>
      </c>
      <c r="L1169" s="163">
        <v>0.33651821862348186</v>
      </c>
      <c r="M1169" s="163">
        <v>8</v>
      </c>
      <c r="N1169" s="163">
        <v>16.749887539361222</v>
      </c>
      <c r="O1169" s="163">
        <v>8.7498875393612217</v>
      </c>
      <c r="P1169" s="163"/>
      <c r="Q1169" s="163">
        <v>11</v>
      </c>
      <c r="R1169" s="163">
        <v>0</v>
      </c>
      <c r="S1169" s="163">
        <v>0</v>
      </c>
      <c r="T1169" s="163">
        <v>0</v>
      </c>
      <c r="U1169" s="163">
        <v>0</v>
      </c>
      <c r="V1169" s="163">
        <v>0</v>
      </c>
      <c r="W1169" s="163">
        <v>0</v>
      </c>
      <c r="X1169" s="163">
        <v>0</v>
      </c>
      <c r="Y1169" s="163">
        <v>11</v>
      </c>
      <c r="Z1169" s="163">
        <v>11</v>
      </c>
      <c r="AA1169" s="163">
        <v>0</v>
      </c>
      <c r="AB1169" s="163">
        <v>0</v>
      </c>
      <c r="AC1169" s="163">
        <v>8</v>
      </c>
      <c r="AD1169" s="163">
        <v>3</v>
      </c>
      <c r="AE1169" s="165">
        <v>0.48035247289954897</v>
      </c>
      <c r="AF1169" s="166">
        <v>0.58709746687722641</v>
      </c>
    </row>
    <row r="1170" spans="1:32">
      <c r="A1170" s="161">
        <v>25</v>
      </c>
      <c r="B1170" s="162">
        <v>0.33333333333333331</v>
      </c>
      <c r="C1170" s="163">
        <v>14.202723500247686</v>
      </c>
      <c r="D1170" s="163">
        <v>790.29196830337514</v>
      </c>
      <c r="E1170" s="164">
        <v>0.89720000000000011</v>
      </c>
      <c r="F1170" s="164">
        <v>0.89720000000000011</v>
      </c>
      <c r="G1170" s="163">
        <v>13</v>
      </c>
      <c r="H1170" s="163">
        <v>21.666666666666664</v>
      </c>
      <c r="I1170" s="163">
        <v>8.6666666666666643</v>
      </c>
      <c r="J1170" s="163">
        <v>10</v>
      </c>
      <c r="K1170" s="163">
        <v>10.597192982456141</v>
      </c>
      <c r="L1170" s="163">
        <v>0.59719298245614105</v>
      </c>
      <c r="M1170" s="163">
        <v>12</v>
      </c>
      <c r="N1170" s="163">
        <v>19.795321637426898</v>
      </c>
      <c r="O1170" s="163">
        <v>7.7953216374268983</v>
      </c>
      <c r="P1170" s="163"/>
      <c r="Q1170" s="163">
        <v>13</v>
      </c>
      <c r="R1170" s="163">
        <v>0</v>
      </c>
      <c r="S1170" s="163">
        <v>0</v>
      </c>
      <c r="T1170" s="163">
        <v>0</v>
      </c>
      <c r="U1170" s="163">
        <v>0</v>
      </c>
      <c r="V1170" s="163">
        <v>0</v>
      </c>
      <c r="W1170" s="163">
        <v>0</v>
      </c>
      <c r="X1170" s="163">
        <v>0</v>
      </c>
      <c r="Y1170" s="163">
        <v>13</v>
      </c>
      <c r="Z1170" s="163">
        <v>13</v>
      </c>
      <c r="AA1170" s="163">
        <v>0</v>
      </c>
      <c r="AB1170" s="163">
        <v>0</v>
      </c>
      <c r="AC1170" s="163">
        <v>10</v>
      </c>
      <c r="AD1170" s="163">
        <v>3</v>
      </c>
      <c r="AE1170" s="165">
        <v>0.58843141705656243</v>
      </c>
      <c r="AF1170" s="166">
        <v>0.58843141705656243</v>
      </c>
    </row>
    <row r="1171" spans="1:32">
      <c r="A1171" s="161">
        <v>25</v>
      </c>
      <c r="B1171" s="162">
        <v>0.35416666666666669</v>
      </c>
      <c r="C1171" s="163">
        <v>16.91705723413396</v>
      </c>
      <c r="D1171" s="163">
        <v>841.82630871814581</v>
      </c>
      <c r="E1171" s="164">
        <v>0.88519999999999988</v>
      </c>
      <c r="F1171" s="164">
        <v>0.88519999999999988</v>
      </c>
      <c r="G1171" s="163">
        <v>15</v>
      </c>
      <c r="H1171" s="163">
        <v>25</v>
      </c>
      <c r="I1171" s="163">
        <v>10</v>
      </c>
      <c r="J1171" s="163">
        <v>12</v>
      </c>
      <c r="K1171" s="163">
        <v>12.22753036437247</v>
      </c>
      <c r="L1171" s="163">
        <v>0.22753036437246976</v>
      </c>
      <c r="M1171" s="163">
        <v>14</v>
      </c>
      <c r="N1171" s="163">
        <v>22.840755735492575</v>
      </c>
      <c r="O1171" s="163">
        <v>8.840755735492575</v>
      </c>
      <c r="P1171" s="163"/>
      <c r="Q1171" s="163">
        <v>15</v>
      </c>
      <c r="R1171" s="163">
        <v>0</v>
      </c>
      <c r="S1171" s="163">
        <v>0</v>
      </c>
      <c r="T1171" s="163">
        <v>0</v>
      </c>
      <c r="U1171" s="163">
        <v>0</v>
      </c>
      <c r="V1171" s="163">
        <v>0</v>
      </c>
      <c r="W1171" s="163">
        <v>0</v>
      </c>
      <c r="X1171" s="163">
        <v>0</v>
      </c>
      <c r="Y1171" s="163">
        <v>15</v>
      </c>
      <c r="Z1171" s="163">
        <v>15</v>
      </c>
      <c r="AA1171" s="163">
        <v>0</v>
      </c>
      <c r="AB1171" s="163">
        <v>0</v>
      </c>
      <c r="AC1171" s="163">
        <v>10</v>
      </c>
      <c r="AD1171" s="163">
        <v>5</v>
      </c>
      <c r="AE1171" s="165">
        <v>0.64704734232258265</v>
      </c>
      <c r="AF1171" s="166">
        <v>0.64704734232258265</v>
      </c>
    </row>
    <row r="1172" spans="1:32">
      <c r="A1172" s="161">
        <v>25</v>
      </c>
      <c r="B1172" s="162">
        <v>0.375</v>
      </c>
      <c r="C1172" s="163">
        <v>19.560787232110542</v>
      </c>
      <c r="D1172" s="163">
        <v>834.54954336937976</v>
      </c>
      <c r="E1172" s="164">
        <v>0.86879999999999991</v>
      </c>
      <c r="F1172" s="164">
        <v>0.86879999999999991</v>
      </c>
      <c r="G1172" s="163">
        <v>16</v>
      </c>
      <c r="H1172" s="163">
        <v>28.333333333333336</v>
      </c>
      <c r="I1172" s="163">
        <v>12.333333333333336</v>
      </c>
      <c r="J1172" s="163">
        <v>13</v>
      </c>
      <c r="K1172" s="163">
        <v>13.042699055330635</v>
      </c>
      <c r="L1172" s="163">
        <v>4.2699055330635005E-2</v>
      </c>
      <c r="M1172" s="163">
        <v>15</v>
      </c>
      <c r="N1172" s="163">
        <v>25.886189833558255</v>
      </c>
      <c r="O1172" s="163">
        <v>10.886189833558255</v>
      </c>
      <c r="P1172" s="163"/>
      <c r="Q1172" s="163">
        <v>17</v>
      </c>
      <c r="R1172" s="163">
        <v>0</v>
      </c>
      <c r="S1172" s="163">
        <v>0</v>
      </c>
      <c r="T1172" s="163">
        <v>0</v>
      </c>
      <c r="U1172" s="163">
        <v>0</v>
      </c>
      <c r="V1172" s="163">
        <v>0</v>
      </c>
      <c r="W1172" s="163">
        <v>0</v>
      </c>
      <c r="X1172" s="163">
        <v>0</v>
      </c>
      <c r="Y1172" s="163">
        <v>17</v>
      </c>
      <c r="Z1172" s="163">
        <v>17</v>
      </c>
      <c r="AA1172" s="163">
        <v>0</v>
      </c>
      <c r="AB1172" s="163">
        <v>0</v>
      </c>
      <c r="AC1172" s="163">
        <v>12</v>
      </c>
      <c r="AD1172" s="163">
        <v>5</v>
      </c>
      <c r="AE1172" s="165">
        <v>0.65443954740180033</v>
      </c>
      <c r="AF1172" s="166">
        <v>0.69534201911441285</v>
      </c>
    </row>
    <row r="1173" spans="1:32">
      <c r="A1173" s="161">
        <v>25</v>
      </c>
      <c r="B1173" s="162">
        <v>0.39583333333333331</v>
      </c>
      <c r="C1173" s="163">
        <v>20.544916949555017</v>
      </c>
      <c r="D1173" s="163">
        <v>877.2946800680545</v>
      </c>
      <c r="E1173" s="164">
        <v>0.91400000000000003</v>
      </c>
      <c r="F1173" s="164">
        <v>0.91400000000000003</v>
      </c>
      <c r="G1173" s="163">
        <v>18</v>
      </c>
      <c r="H1173" s="163">
        <v>31.666666666666664</v>
      </c>
      <c r="I1173" s="163">
        <v>13.666666666666664</v>
      </c>
      <c r="J1173" s="163">
        <v>14</v>
      </c>
      <c r="K1173" s="163">
        <v>14.673036437246964</v>
      </c>
      <c r="L1173" s="163">
        <v>0.67303643724696371</v>
      </c>
      <c r="M1173" s="163">
        <v>16</v>
      </c>
      <c r="N1173" s="163">
        <v>28.931623931623928</v>
      </c>
      <c r="O1173" s="163">
        <v>12.931623931623928</v>
      </c>
      <c r="P1173" s="163"/>
      <c r="Q1173" s="163">
        <v>19</v>
      </c>
      <c r="R1173" s="163">
        <v>0</v>
      </c>
      <c r="S1173" s="163">
        <v>0</v>
      </c>
      <c r="T1173" s="163">
        <v>0</v>
      </c>
      <c r="U1173" s="163">
        <v>0</v>
      </c>
      <c r="V1173" s="163">
        <v>0</v>
      </c>
      <c r="W1173" s="163">
        <v>0</v>
      </c>
      <c r="X1173" s="163">
        <v>0</v>
      </c>
      <c r="Y1173" s="163">
        <v>19</v>
      </c>
      <c r="Z1173" s="163">
        <v>19</v>
      </c>
      <c r="AA1173" s="163">
        <v>0</v>
      </c>
      <c r="AB1173" s="163">
        <v>0</v>
      </c>
      <c r="AC1173" s="163">
        <v>14</v>
      </c>
      <c r="AD1173" s="163">
        <v>5</v>
      </c>
      <c r="AE1173" s="165">
        <v>0.64651155124853776</v>
      </c>
      <c r="AF1173" s="166">
        <v>0.68242885965123423</v>
      </c>
    </row>
    <row r="1174" spans="1:32">
      <c r="A1174" s="161">
        <v>25</v>
      </c>
      <c r="B1174" s="162">
        <v>0.41666666666666669</v>
      </c>
      <c r="C1174" s="163">
        <v>22.595650647441872</v>
      </c>
      <c r="D1174" s="163">
        <v>898.34775645897969</v>
      </c>
      <c r="E1174" s="164">
        <v>0.8125</v>
      </c>
      <c r="F1174" s="164">
        <v>0.8125</v>
      </c>
      <c r="G1174" s="163">
        <v>20</v>
      </c>
      <c r="H1174" s="163">
        <v>31.666666666666664</v>
      </c>
      <c r="I1174" s="163">
        <v>11.666666666666664</v>
      </c>
      <c r="J1174" s="163">
        <v>16</v>
      </c>
      <c r="K1174" s="163">
        <v>16.303373819163294</v>
      </c>
      <c r="L1174" s="163">
        <v>0.3033738191632942</v>
      </c>
      <c r="M1174" s="163">
        <v>18</v>
      </c>
      <c r="N1174" s="163">
        <v>28.931623931623928</v>
      </c>
      <c r="O1174" s="163">
        <v>10.931623931623928</v>
      </c>
      <c r="P1174" s="163"/>
      <c r="Q1174" s="163">
        <v>19</v>
      </c>
      <c r="R1174" s="163">
        <v>0</v>
      </c>
      <c r="S1174" s="163">
        <v>0</v>
      </c>
      <c r="T1174" s="163">
        <v>0</v>
      </c>
      <c r="U1174" s="163">
        <v>0</v>
      </c>
      <c r="V1174" s="163">
        <v>0</v>
      </c>
      <c r="W1174" s="163">
        <v>0</v>
      </c>
      <c r="X1174" s="163">
        <v>0</v>
      </c>
      <c r="Y1174" s="163">
        <v>19</v>
      </c>
      <c r="Z1174" s="163">
        <v>19</v>
      </c>
      <c r="AA1174" s="163">
        <v>0</v>
      </c>
      <c r="AB1174" s="163">
        <v>0</v>
      </c>
      <c r="AC1174" s="163">
        <v>14</v>
      </c>
      <c r="AD1174" s="163">
        <v>5</v>
      </c>
      <c r="AE1174" s="165">
        <v>0.72810789805085707</v>
      </c>
      <c r="AF1174" s="166">
        <v>0.69170250314831438</v>
      </c>
    </row>
    <row r="1175" spans="1:32">
      <c r="A1175" s="161">
        <v>25</v>
      </c>
      <c r="B1175" s="162">
        <v>0.4375</v>
      </c>
      <c r="C1175" s="163">
        <v>22.49068994284719</v>
      </c>
      <c r="D1175" s="163">
        <v>854.28254834370557</v>
      </c>
      <c r="E1175" s="164">
        <v>0.86839999999999995</v>
      </c>
      <c r="F1175" s="164">
        <v>0.86839999999999995</v>
      </c>
      <c r="G1175" s="163">
        <v>19</v>
      </c>
      <c r="H1175" s="163">
        <v>31.666666666666664</v>
      </c>
      <c r="I1175" s="163">
        <v>12.666666666666664</v>
      </c>
      <c r="J1175" s="163">
        <v>15</v>
      </c>
      <c r="K1175" s="163">
        <v>15.488205128205129</v>
      </c>
      <c r="L1175" s="163">
        <v>0.48820512820512896</v>
      </c>
      <c r="M1175" s="163">
        <v>17</v>
      </c>
      <c r="N1175" s="163">
        <v>28.931623931623928</v>
      </c>
      <c r="O1175" s="163">
        <v>11.931623931623928</v>
      </c>
      <c r="P1175" s="163"/>
      <c r="Q1175" s="163">
        <v>19</v>
      </c>
      <c r="R1175" s="163">
        <v>0</v>
      </c>
      <c r="S1175" s="163">
        <v>0</v>
      </c>
      <c r="T1175" s="163">
        <v>0</v>
      </c>
      <c r="U1175" s="163">
        <v>0</v>
      </c>
      <c r="V1175" s="163">
        <v>0</v>
      </c>
      <c r="W1175" s="163">
        <v>0</v>
      </c>
      <c r="X1175" s="163">
        <v>0</v>
      </c>
      <c r="Y1175" s="163">
        <v>19</v>
      </c>
      <c r="Z1175" s="163">
        <v>19</v>
      </c>
      <c r="AA1175" s="163">
        <v>0</v>
      </c>
      <c r="AB1175" s="163">
        <v>0</v>
      </c>
      <c r="AC1175" s="163">
        <v>14</v>
      </c>
      <c r="AD1175" s="163">
        <v>5</v>
      </c>
      <c r="AE1175" s="165">
        <v>0.68917690588644065</v>
      </c>
      <c r="AF1175" s="166">
        <v>0.68917690588644065</v>
      </c>
    </row>
    <row r="1176" spans="1:32">
      <c r="A1176" s="161">
        <v>25</v>
      </c>
      <c r="B1176" s="162">
        <v>0.45833333333333331</v>
      </c>
      <c r="C1176" s="163">
        <v>24.703365242454314</v>
      </c>
      <c r="D1176" s="163">
        <v>826.27064899427944</v>
      </c>
      <c r="E1176" s="164">
        <v>0.8075</v>
      </c>
      <c r="F1176" s="164">
        <v>0.8075</v>
      </c>
      <c r="G1176" s="163">
        <v>20</v>
      </c>
      <c r="H1176" s="163">
        <v>31.666666666666664</v>
      </c>
      <c r="I1176" s="163">
        <v>11.666666666666664</v>
      </c>
      <c r="J1176" s="163">
        <v>16</v>
      </c>
      <c r="K1176" s="163">
        <v>16.303373819163294</v>
      </c>
      <c r="L1176" s="163">
        <v>0.3033738191632942</v>
      </c>
      <c r="M1176" s="163">
        <v>18</v>
      </c>
      <c r="N1176" s="163">
        <v>28.931623931623928</v>
      </c>
      <c r="O1176" s="163">
        <v>10.931623931623928</v>
      </c>
      <c r="P1176" s="163"/>
      <c r="Q1176" s="163">
        <v>19</v>
      </c>
      <c r="R1176" s="163">
        <v>0</v>
      </c>
      <c r="S1176" s="163">
        <v>0</v>
      </c>
      <c r="T1176" s="163">
        <v>0</v>
      </c>
      <c r="U1176" s="163">
        <v>0</v>
      </c>
      <c r="V1176" s="163">
        <v>0</v>
      </c>
      <c r="W1176" s="163">
        <v>0</v>
      </c>
      <c r="X1176" s="163">
        <v>0</v>
      </c>
      <c r="Y1176" s="163">
        <v>19</v>
      </c>
      <c r="Z1176" s="163">
        <v>19</v>
      </c>
      <c r="AA1176" s="163">
        <v>0</v>
      </c>
      <c r="AB1176" s="163">
        <v>0</v>
      </c>
      <c r="AC1176" s="163">
        <v>14</v>
      </c>
      <c r="AD1176" s="163">
        <v>5</v>
      </c>
      <c r="AE1176" s="165">
        <v>0.73215806129265959</v>
      </c>
      <c r="AF1176" s="166">
        <v>0.69555015822802668</v>
      </c>
    </row>
    <row r="1177" spans="1:32">
      <c r="A1177" s="161">
        <v>25</v>
      </c>
      <c r="B1177" s="162">
        <v>0.47916666666666669</v>
      </c>
      <c r="C1177" s="163">
        <v>22.433161663915495</v>
      </c>
      <c r="D1177" s="163">
        <v>781.44313272170211</v>
      </c>
      <c r="E1177" s="164">
        <v>0.93030000000000002</v>
      </c>
      <c r="F1177" s="164">
        <v>0.93030000000000002</v>
      </c>
      <c r="G1177" s="163">
        <v>18</v>
      </c>
      <c r="H1177" s="163">
        <v>31.666666666666664</v>
      </c>
      <c r="I1177" s="163">
        <v>13.666666666666664</v>
      </c>
      <c r="J1177" s="163">
        <v>14</v>
      </c>
      <c r="K1177" s="163">
        <v>14.673036437246964</v>
      </c>
      <c r="L1177" s="163">
        <v>0.67303643724696371</v>
      </c>
      <c r="M1177" s="163">
        <v>16</v>
      </c>
      <c r="N1177" s="163">
        <v>28.931623931623928</v>
      </c>
      <c r="O1177" s="163">
        <v>12.931623931623928</v>
      </c>
      <c r="P1177" s="163"/>
      <c r="Q1177" s="163">
        <v>19</v>
      </c>
      <c r="R1177" s="163">
        <v>0</v>
      </c>
      <c r="S1177" s="163">
        <v>0</v>
      </c>
      <c r="T1177" s="163">
        <v>0</v>
      </c>
      <c r="U1177" s="163">
        <v>0</v>
      </c>
      <c r="V1177" s="163">
        <v>0</v>
      </c>
      <c r="W1177" s="163">
        <v>0</v>
      </c>
      <c r="X1177" s="163">
        <v>0</v>
      </c>
      <c r="Y1177" s="163">
        <v>19</v>
      </c>
      <c r="Z1177" s="163">
        <v>19</v>
      </c>
      <c r="AA1177" s="163">
        <v>0</v>
      </c>
      <c r="AB1177" s="163">
        <v>0</v>
      </c>
      <c r="AC1177" s="163">
        <v>14</v>
      </c>
      <c r="AD1177" s="163">
        <v>5</v>
      </c>
      <c r="AE1177" s="165">
        <v>0.62880251213366856</v>
      </c>
      <c r="AF1177" s="166">
        <v>0.66373598502998354</v>
      </c>
    </row>
    <row r="1178" spans="1:32">
      <c r="A1178" s="161">
        <v>25</v>
      </c>
      <c r="B1178" s="162">
        <v>0.5</v>
      </c>
      <c r="C1178" s="163">
        <v>23.24851112849149</v>
      </c>
      <c r="D1178" s="163">
        <v>804.74105521276215</v>
      </c>
      <c r="E1178" s="164">
        <v>0.89039999999999997</v>
      </c>
      <c r="F1178" s="164">
        <v>0.89039999999999997</v>
      </c>
      <c r="G1178" s="163">
        <v>19</v>
      </c>
      <c r="H1178" s="163">
        <v>31.666666666666664</v>
      </c>
      <c r="I1178" s="163">
        <v>12.666666666666664</v>
      </c>
      <c r="J1178" s="163">
        <v>15</v>
      </c>
      <c r="K1178" s="163">
        <v>15.488205128205129</v>
      </c>
      <c r="L1178" s="163">
        <v>0.48820512820512896</v>
      </c>
      <c r="M1178" s="163">
        <v>17</v>
      </c>
      <c r="N1178" s="163">
        <v>28.931623931623928</v>
      </c>
      <c r="O1178" s="163">
        <v>11.931623931623928</v>
      </c>
      <c r="P1178" s="163"/>
      <c r="Q1178" s="163">
        <v>19</v>
      </c>
      <c r="R1178" s="163">
        <v>0</v>
      </c>
      <c r="S1178" s="163">
        <v>0</v>
      </c>
      <c r="T1178" s="163">
        <v>0</v>
      </c>
      <c r="U1178" s="163">
        <v>0</v>
      </c>
      <c r="V1178" s="163">
        <v>0</v>
      </c>
      <c r="W1178" s="163">
        <v>0</v>
      </c>
      <c r="X1178" s="163">
        <v>0</v>
      </c>
      <c r="Y1178" s="163">
        <v>19</v>
      </c>
      <c r="Z1178" s="163">
        <v>19</v>
      </c>
      <c r="AA1178" s="163">
        <v>0</v>
      </c>
      <c r="AB1178" s="163">
        <v>0</v>
      </c>
      <c r="AC1178" s="163">
        <v>14</v>
      </c>
      <c r="AD1178" s="163">
        <v>5</v>
      </c>
      <c r="AE1178" s="165">
        <v>0.67108527004194674</v>
      </c>
      <c r="AF1178" s="166">
        <v>0.67108527004194674</v>
      </c>
    </row>
    <row r="1179" spans="1:32">
      <c r="A1179" s="161">
        <v>25</v>
      </c>
      <c r="B1179" s="162">
        <v>0.52083333333333337</v>
      </c>
      <c r="C1179" s="163">
        <v>21.252731064212629</v>
      </c>
      <c r="D1179" s="163">
        <v>806.18256926737524</v>
      </c>
      <c r="E1179" s="164">
        <v>0.86526666666666674</v>
      </c>
      <c r="F1179" s="164">
        <v>0.86526666666666674</v>
      </c>
      <c r="G1179" s="163">
        <v>16</v>
      </c>
      <c r="H1179" s="163">
        <v>30.333333333333336</v>
      </c>
      <c r="I1179" s="163">
        <v>14.333333333333336</v>
      </c>
      <c r="J1179" s="163">
        <v>13</v>
      </c>
      <c r="K1179" s="163">
        <v>13.042699055330635</v>
      </c>
      <c r="L1179" s="163">
        <v>4.2699055330635005E-2</v>
      </c>
      <c r="M1179" s="163">
        <v>15</v>
      </c>
      <c r="N1179" s="163">
        <v>27.713450292397663</v>
      </c>
      <c r="O1179" s="163">
        <v>12.713450292397663</v>
      </c>
      <c r="P1179" s="163"/>
      <c r="Q1179" s="163">
        <v>19</v>
      </c>
      <c r="R1179" s="163">
        <v>0</v>
      </c>
      <c r="S1179" s="163">
        <v>0</v>
      </c>
      <c r="T1179" s="163">
        <v>0</v>
      </c>
      <c r="U1179" s="163">
        <v>0</v>
      </c>
      <c r="V1179" s="163">
        <v>0</v>
      </c>
      <c r="W1179" s="163">
        <v>0</v>
      </c>
      <c r="X1179" s="163">
        <v>0</v>
      </c>
      <c r="Y1179" s="163">
        <v>19</v>
      </c>
      <c r="Z1179" s="163">
        <v>19</v>
      </c>
      <c r="AA1179" s="163">
        <v>0</v>
      </c>
      <c r="AB1179" s="163">
        <v>0</v>
      </c>
      <c r="AC1179" s="163">
        <v>14</v>
      </c>
      <c r="AD1179" s="163">
        <v>5</v>
      </c>
      <c r="AE1179" s="165">
        <v>0.61457452412875924</v>
      </c>
      <c r="AF1179" s="166">
        <v>0.7298072474029017</v>
      </c>
    </row>
    <row r="1180" spans="1:32">
      <c r="A1180" s="161">
        <v>25</v>
      </c>
      <c r="B1180" s="162">
        <v>0.54166666666666663</v>
      </c>
      <c r="C1180" s="163">
        <v>21.477228720850775</v>
      </c>
      <c r="D1180" s="163">
        <v>766.21581842123533</v>
      </c>
      <c r="E1180" s="164">
        <v>0.86380000000000001</v>
      </c>
      <c r="F1180" s="164">
        <v>0.86380000000000001</v>
      </c>
      <c r="G1180" s="163">
        <v>16</v>
      </c>
      <c r="H1180" s="163">
        <v>28.333333333333336</v>
      </c>
      <c r="I1180" s="163">
        <v>12.333333333333336</v>
      </c>
      <c r="J1180" s="163">
        <v>13</v>
      </c>
      <c r="K1180" s="163">
        <v>13.042699055330635</v>
      </c>
      <c r="L1180" s="163">
        <v>4.2699055330635005E-2</v>
      </c>
      <c r="M1180" s="163">
        <v>15</v>
      </c>
      <c r="N1180" s="163">
        <v>25.886189833558255</v>
      </c>
      <c r="O1180" s="163">
        <v>10.886189833558255</v>
      </c>
      <c r="P1180" s="163"/>
      <c r="Q1180" s="163">
        <v>17</v>
      </c>
      <c r="R1180" s="163">
        <v>0</v>
      </c>
      <c r="S1180" s="163">
        <v>0</v>
      </c>
      <c r="T1180" s="163">
        <v>0</v>
      </c>
      <c r="U1180" s="163">
        <v>0</v>
      </c>
      <c r="V1180" s="163">
        <v>0</v>
      </c>
      <c r="W1180" s="163">
        <v>0</v>
      </c>
      <c r="X1180" s="163">
        <v>0</v>
      </c>
      <c r="Y1180" s="163">
        <v>17</v>
      </c>
      <c r="Z1180" s="163">
        <v>17</v>
      </c>
      <c r="AA1180" s="163">
        <v>0</v>
      </c>
      <c r="AB1180" s="163">
        <v>0</v>
      </c>
      <c r="AC1180" s="163">
        <v>12</v>
      </c>
      <c r="AD1180" s="163">
        <v>5</v>
      </c>
      <c r="AE1180" s="165">
        <v>0.65972119725488643</v>
      </c>
      <c r="AF1180" s="166">
        <v>0.70095377208331677</v>
      </c>
    </row>
    <row r="1181" spans="1:32">
      <c r="A1181" s="161">
        <v>25</v>
      </c>
      <c r="B1181" s="162">
        <v>0.5625</v>
      </c>
      <c r="C1181" s="163">
        <v>19.69829127039732</v>
      </c>
      <c r="D1181" s="163">
        <v>760.10326329325471</v>
      </c>
      <c r="E1181" s="164">
        <v>0.9232999999999999</v>
      </c>
      <c r="F1181" s="164">
        <v>0.9232999999999999</v>
      </c>
      <c r="G1181" s="163">
        <v>15</v>
      </c>
      <c r="H1181" s="163">
        <v>28.333333333333336</v>
      </c>
      <c r="I1181" s="163">
        <v>13.333333333333336</v>
      </c>
      <c r="J1181" s="163">
        <v>12</v>
      </c>
      <c r="K1181" s="163">
        <v>12.22753036437247</v>
      </c>
      <c r="L1181" s="163">
        <v>0.22753036437246976</v>
      </c>
      <c r="M1181" s="163">
        <v>14</v>
      </c>
      <c r="N1181" s="163">
        <v>25.886189833558255</v>
      </c>
      <c r="O1181" s="163">
        <v>11.886189833558255</v>
      </c>
      <c r="P1181" s="163"/>
      <c r="Q1181" s="163">
        <v>17</v>
      </c>
      <c r="R1181" s="163">
        <v>0</v>
      </c>
      <c r="S1181" s="163">
        <v>0</v>
      </c>
      <c r="T1181" s="163">
        <v>0</v>
      </c>
      <c r="U1181" s="163">
        <v>0</v>
      </c>
      <c r="V1181" s="163">
        <v>0</v>
      </c>
      <c r="W1181" s="163">
        <v>0</v>
      </c>
      <c r="X1181" s="163">
        <v>0</v>
      </c>
      <c r="Y1181" s="163">
        <v>17</v>
      </c>
      <c r="Z1181" s="163">
        <v>17</v>
      </c>
      <c r="AA1181" s="163">
        <v>0</v>
      </c>
      <c r="AB1181" s="163">
        <v>0</v>
      </c>
      <c r="AC1181" s="163">
        <v>12</v>
      </c>
      <c r="AD1181" s="163">
        <v>5</v>
      </c>
      <c r="AE1181" s="165">
        <v>0.60025009098130078</v>
      </c>
      <c r="AF1181" s="166">
        <v>0.68028343644547418</v>
      </c>
    </row>
    <row r="1182" spans="1:32">
      <c r="A1182" s="161">
        <v>25</v>
      </c>
      <c r="B1182" s="162">
        <v>0.58333333333333337</v>
      </c>
      <c r="C1182" s="163">
        <v>21.19410615339341</v>
      </c>
      <c r="D1182" s="163">
        <v>791.36786029882069</v>
      </c>
      <c r="E1182" s="164">
        <v>0.84740000000000004</v>
      </c>
      <c r="F1182" s="164">
        <v>0.84740000000000004</v>
      </c>
      <c r="G1182" s="163">
        <v>16</v>
      </c>
      <c r="H1182" s="163">
        <v>28.333333333333336</v>
      </c>
      <c r="I1182" s="163">
        <v>12.333333333333336</v>
      </c>
      <c r="J1182" s="163">
        <v>13</v>
      </c>
      <c r="K1182" s="163">
        <v>13.042699055330635</v>
      </c>
      <c r="L1182" s="163">
        <v>4.2699055330635005E-2</v>
      </c>
      <c r="M1182" s="163">
        <v>15</v>
      </c>
      <c r="N1182" s="163">
        <v>25.886189833558255</v>
      </c>
      <c r="O1182" s="163">
        <v>10.886189833558255</v>
      </c>
      <c r="P1182" s="163"/>
      <c r="Q1182" s="163">
        <v>17</v>
      </c>
      <c r="R1182" s="163">
        <v>0</v>
      </c>
      <c r="S1182" s="163">
        <v>0</v>
      </c>
      <c r="T1182" s="163">
        <v>0</v>
      </c>
      <c r="U1182" s="163">
        <v>0</v>
      </c>
      <c r="V1182" s="163">
        <v>0</v>
      </c>
      <c r="W1182" s="163">
        <v>0</v>
      </c>
      <c r="X1182" s="163">
        <v>0</v>
      </c>
      <c r="Y1182" s="163">
        <v>17</v>
      </c>
      <c r="Z1182" s="163">
        <v>17</v>
      </c>
      <c r="AA1182" s="163">
        <v>0</v>
      </c>
      <c r="AB1182" s="163">
        <v>0</v>
      </c>
      <c r="AC1182" s="163">
        <v>12</v>
      </c>
      <c r="AD1182" s="163">
        <v>5</v>
      </c>
      <c r="AE1182" s="165">
        <v>0.67239518712508672</v>
      </c>
      <c r="AF1182" s="166">
        <v>0.71441988632040465</v>
      </c>
    </row>
    <row r="1183" spans="1:32">
      <c r="A1183" s="161">
        <v>25</v>
      </c>
      <c r="B1183" s="162">
        <v>0.60416666666666663</v>
      </c>
      <c r="C1183" s="163">
        <v>19.413424595467156</v>
      </c>
      <c r="D1183" s="163">
        <v>757.27522181879283</v>
      </c>
      <c r="E1183" s="164">
        <v>0.96523333333333328</v>
      </c>
      <c r="F1183" s="164">
        <v>0.96523333333333328</v>
      </c>
      <c r="G1183" s="163">
        <v>15</v>
      </c>
      <c r="H1183" s="163">
        <v>29.666666666666664</v>
      </c>
      <c r="I1183" s="163">
        <v>14.666666666666664</v>
      </c>
      <c r="J1183" s="163">
        <v>12</v>
      </c>
      <c r="K1183" s="163">
        <v>12.22753036437247</v>
      </c>
      <c r="L1183" s="163">
        <v>0.22753036437246976</v>
      </c>
      <c r="M1183" s="163">
        <v>14</v>
      </c>
      <c r="N1183" s="163">
        <v>27.104363472784524</v>
      </c>
      <c r="O1183" s="163">
        <v>13.104363472784524</v>
      </c>
      <c r="P1183" s="163"/>
      <c r="Q1183" s="163">
        <v>17</v>
      </c>
      <c r="R1183" s="163">
        <v>0</v>
      </c>
      <c r="S1183" s="163">
        <v>0</v>
      </c>
      <c r="T1183" s="163">
        <v>0</v>
      </c>
      <c r="U1183" s="163">
        <v>0</v>
      </c>
      <c r="V1183" s="163">
        <v>0</v>
      </c>
      <c r="W1183" s="163">
        <v>0</v>
      </c>
      <c r="X1183" s="163">
        <v>0</v>
      </c>
      <c r="Y1183" s="163">
        <v>17</v>
      </c>
      <c r="Z1183" s="163">
        <v>17</v>
      </c>
      <c r="AA1183" s="163">
        <v>0</v>
      </c>
      <c r="AB1183" s="163">
        <v>0</v>
      </c>
      <c r="AC1183" s="163">
        <v>12</v>
      </c>
      <c r="AD1183" s="163">
        <v>5</v>
      </c>
      <c r="AE1183" s="165">
        <v>0.58936858452892915</v>
      </c>
      <c r="AF1183" s="166">
        <v>0.66795106246611968</v>
      </c>
    </row>
    <row r="1184" spans="1:32">
      <c r="A1184" s="161">
        <v>25</v>
      </c>
      <c r="B1184" s="162">
        <v>0.625</v>
      </c>
      <c r="C1184" s="163">
        <v>19.879714586159068</v>
      </c>
      <c r="D1184" s="163">
        <v>795.35706885864431</v>
      </c>
      <c r="E1184" s="164">
        <v>0.83819999999999995</v>
      </c>
      <c r="F1184" s="164">
        <v>0.83819999999999995</v>
      </c>
      <c r="G1184" s="163">
        <v>16</v>
      </c>
      <c r="H1184" s="163">
        <v>29</v>
      </c>
      <c r="I1184" s="163">
        <v>13</v>
      </c>
      <c r="J1184" s="163">
        <v>13</v>
      </c>
      <c r="K1184" s="163">
        <v>13.042699055330635</v>
      </c>
      <c r="L1184" s="163">
        <v>4.2699055330635005E-2</v>
      </c>
      <c r="M1184" s="163">
        <v>15</v>
      </c>
      <c r="N1184" s="163">
        <v>26.495276653171388</v>
      </c>
      <c r="O1184" s="163">
        <v>11.495276653171388</v>
      </c>
      <c r="P1184" s="163"/>
      <c r="Q1184" s="163">
        <v>19</v>
      </c>
      <c r="R1184" s="163">
        <v>0</v>
      </c>
      <c r="S1184" s="163">
        <v>0</v>
      </c>
      <c r="T1184" s="163">
        <v>0</v>
      </c>
      <c r="U1184" s="163">
        <v>0</v>
      </c>
      <c r="V1184" s="163">
        <v>0</v>
      </c>
      <c r="W1184" s="163">
        <v>0</v>
      </c>
      <c r="X1184" s="163">
        <v>0</v>
      </c>
      <c r="Y1184" s="163">
        <v>19</v>
      </c>
      <c r="Z1184" s="163">
        <v>19</v>
      </c>
      <c r="AA1184" s="163">
        <v>0</v>
      </c>
      <c r="AB1184" s="163">
        <v>0</v>
      </c>
      <c r="AC1184" s="163">
        <v>12</v>
      </c>
      <c r="AD1184" s="163">
        <v>7</v>
      </c>
      <c r="AE1184" s="165">
        <v>0.56715098834216504</v>
      </c>
      <c r="AF1184" s="166">
        <v>0.67349179865632114</v>
      </c>
    </row>
    <row r="1185" spans="1:32">
      <c r="A1185" s="161">
        <v>25</v>
      </c>
      <c r="B1185" s="162">
        <v>0.64583333333333337</v>
      </c>
      <c r="C1185" s="163">
        <v>18.4772886601449</v>
      </c>
      <c r="D1185" s="163">
        <v>802.51380218904319</v>
      </c>
      <c r="E1185" s="164">
        <v>0.7571</v>
      </c>
      <c r="F1185" s="164">
        <v>0.7571</v>
      </c>
      <c r="G1185" s="163">
        <v>15</v>
      </c>
      <c r="H1185" s="163">
        <v>23.333333333333336</v>
      </c>
      <c r="I1185" s="163">
        <v>8.3333333333333357</v>
      </c>
      <c r="J1185" s="163">
        <v>12</v>
      </c>
      <c r="K1185" s="163">
        <v>12.22753036437247</v>
      </c>
      <c r="L1185" s="163">
        <v>0.22753036437246976</v>
      </c>
      <c r="M1185" s="163">
        <v>14</v>
      </c>
      <c r="N1185" s="163">
        <v>21.31803868645974</v>
      </c>
      <c r="O1185" s="163">
        <v>7.3180386864597402</v>
      </c>
      <c r="P1185" s="163"/>
      <c r="Q1185" s="163">
        <v>14</v>
      </c>
      <c r="R1185" s="163">
        <v>0</v>
      </c>
      <c r="S1185" s="163">
        <v>0</v>
      </c>
      <c r="T1185" s="163">
        <v>0</v>
      </c>
      <c r="U1185" s="163">
        <v>0</v>
      </c>
      <c r="V1185" s="163">
        <v>0</v>
      </c>
      <c r="W1185" s="163">
        <v>0</v>
      </c>
      <c r="X1185" s="163">
        <v>0</v>
      </c>
      <c r="Y1185" s="163">
        <v>14</v>
      </c>
      <c r="Z1185" s="163">
        <v>14</v>
      </c>
      <c r="AA1185" s="163">
        <v>0</v>
      </c>
      <c r="AB1185" s="163">
        <v>0</v>
      </c>
      <c r="AC1185" s="163">
        <v>10</v>
      </c>
      <c r="AD1185" s="163">
        <v>4</v>
      </c>
      <c r="AE1185" s="165">
        <v>0.72184295518685127</v>
      </c>
      <c r="AF1185" s="166">
        <v>0.67372009150772783</v>
      </c>
    </row>
    <row r="1186" spans="1:32">
      <c r="A1186" s="161">
        <v>25</v>
      </c>
      <c r="B1186" s="162">
        <v>0.66666666666666663</v>
      </c>
      <c r="C1186" s="163">
        <v>17.33473569938301</v>
      </c>
      <c r="D1186" s="163">
        <v>810.62142662886379</v>
      </c>
      <c r="E1186" s="164">
        <v>0.81479999999999997</v>
      </c>
      <c r="F1186" s="164">
        <v>0.81479999999999997</v>
      </c>
      <c r="G1186" s="163">
        <v>15</v>
      </c>
      <c r="H1186" s="163">
        <v>23.333333333333336</v>
      </c>
      <c r="I1186" s="163">
        <v>8.3333333333333357</v>
      </c>
      <c r="J1186" s="163">
        <v>12</v>
      </c>
      <c r="K1186" s="163">
        <v>12.22753036437247</v>
      </c>
      <c r="L1186" s="163">
        <v>0.22753036437246976</v>
      </c>
      <c r="M1186" s="163">
        <v>14</v>
      </c>
      <c r="N1186" s="163">
        <v>21.31803868645974</v>
      </c>
      <c r="O1186" s="163">
        <v>7.3180386864597402</v>
      </c>
      <c r="P1186" s="163"/>
      <c r="Q1186" s="163">
        <v>14</v>
      </c>
      <c r="R1186" s="163">
        <v>0</v>
      </c>
      <c r="S1186" s="163">
        <v>0</v>
      </c>
      <c r="T1186" s="163">
        <v>0</v>
      </c>
      <c r="U1186" s="163">
        <v>0</v>
      </c>
      <c r="V1186" s="163">
        <v>0</v>
      </c>
      <c r="W1186" s="163">
        <v>0</v>
      </c>
      <c r="X1186" s="163">
        <v>0</v>
      </c>
      <c r="Y1186" s="163">
        <v>14</v>
      </c>
      <c r="Z1186" s="163">
        <v>14</v>
      </c>
      <c r="AA1186" s="163">
        <v>0</v>
      </c>
      <c r="AB1186" s="163">
        <v>0</v>
      </c>
      <c r="AC1186" s="163">
        <v>10</v>
      </c>
      <c r="AD1186" s="163">
        <v>4</v>
      </c>
      <c r="AE1186" s="165">
        <v>0.68404909347859988</v>
      </c>
      <c r="AF1186" s="166">
        <v>0.63844582058002652</v>
      </c>
    </row>
    <row r="1187" spans="1:32">
      <c r="A1187" s="161">
        <v>25</v>
      </c>
      <c r="B1187" s="162">
        <v>0.6875</v>
      </c>
      <c r="C1187" s="163">
        <v>17.490341269733467</v>
      </c>
      <c r="D1187" s="163">
        <v>824.44554279760939</v>
      </c>
      <c r="E1187" s="164">
        <v>0.58630000000000004</v>
      </c>
      <c r="F1187" s="164">
        <v>0.58630000000000004</v>
      </c>
      <c r="G1187" s="163">
        <v>15</v>
      </c>
      <c r="H1187" s="163">
        <v>22</v>
      </c>
      <c r="I1187" s="163">
        <v>7</v>
      </c>
      <c r="J1187" s="163">
        <v>12</v>
      </c>
      <c r="K1187" s="163">
        <v>12.22753036437247</v>
      </c>
      <c r="L1187" s="163">
        <v>0.22753036437246976</v>
      </c>
      <c r="M1187" s="163">
        <v>14</v>
      </c>
      <c r="N1187" s="163">
        <v>20.099865047233468</v>
      </c>
      <c r="O1187" s="163">
        <v>6.0998650472334681</v>
      </c>
      <c r="P1187" s="163"/>
      <c r="Q1187" s="163">
        <v>14</v>
      </c>
      <c r="R1187" s="163">
        <v>0</v>
      </c>
      <c r="S1187" s="163">
        <v>0</v>
      </c>
      <c r="T1187" s="163">
        <v>0</v>
      </c>
      <c r="U1187" s="163">
        <v>0</v>
      </c>
      <c r="V1187" s="163">
        <v>0</v>
      </c>
      <c r="W1187" s="163">
        <v>0</v>
      </c>
      <c r="X1187" s="163">
        <v>0</v>
      </c>
      <c r="Y1187" s="163">
        <v>14</v>
      </c>
      <c r="Z1187" s="163">
        <v>14</v>
      </c>
      <c r="AA1187" s="163">
        <v>0</v>
      </c>
      <c r="AB1187" s="163">
        <v>0</v>
      </c>
      <c r="AC1187" s="163">
        <v>10</v>
      </c>
      <c r="AD1187" s="163">
        <v>4</v>
      </c>
      <c r="AE1187" s="165">
        <v>0.7019597751636375</v>
      </c>
      <c r="AF1187" s="166">
        <v>0.655162456819395</v>
      </c>
    </row>
    <row r="1188" spans="1:32">
      <c r="A1188" s="161">
        <v>25</v>
      </c>
      <c r="B1188" s="162">
        <v>0.70833333333333337</v>
      </c>
      <c r="C1188" s="163">
        <v>17.497891134424513</v>
      </c>
      <c r="D1188" s="163">
        <v>784.48458867718966</v>
      </c>
      <c r="E1188" s="164">
        <v>0.57210000000000005</v>
      </c>
      <c r="F1188" s="164">
        <v>0.57210000000000005</v>
      </c>
      <c r="G1188" s="163">
        <v>14</v>
      </c>
      <c r="H1188" s="163">
        <v>20</v>
      </c>
      <c r="I1188" s="163">
        <v>6</v>
      </c>
      <c r="J1188" s="163">
        <v>11</v>
      </c>
      <c r="K1188" s="163">
        <v>11.412361673414306</v>
      </c>
      <c r="L1188" s="163">
        <v>0.4123616734143063</v>
      </c>
      <c r="M1188" s="163">
        <v>13</v>
      </c>
      <c r="N1188" s="163">
        <v>18.27260458839406</v>
      </c>
      <c r="O1188" s="163">
        <v>5.27260458839406</v>
      </c>
      <c r="P1188" s="163"/>
      <c r="Q1188" s="163">
        <v>12</v>
      </c>
      <c r="R1188" s="163">
        <v>0</v>
      </c>
      <c r="S1188" s="163">
        <v>0</v>
      </c>
      <c r="T1188" s="163">
        <v>0</v>
      </c>
      <c r="U1188" s="163">
        <v>0</v>
      </c>
      <c r="V1188" s="163">
        <v>0</v>
      </c>
      <c r="W1188" s="163">
        <v>0</v>
      </c>
      <c r="X1188" s="163">
        <v>0</v>
      </c>
      <c r="Y1188" s="163">
        <v>12</v>
      </c>
      <c r="Z1188" s="163">
        <v>12</v>
      </c>
      <c r="AA1188" s="163">
        <v>0</v>
      </c>
      <c r="AB1188" s="163">
        <v>0</v>
      </c>
      <c r="AC1188" s="163">
        <v>10</v>
      </c>
      <c r="AD1188" s="163">
        <v>2</v>
      </c>
      <c r="AE1188" s="165">
        <v>0.77959471147488668</v>
      </c>
      <c r="AF1188" s="166">
        <v>0.66822403840704581</v>
      </c>
    </row>
    <row r="1189" spans="1:32">
      <c r="A1189" s="161">
        <v>25</v>
      </c>
      <c r="B1189" s="162">
        <v>0.72916666666666663</v>
      </c>
      <c r="C1189" s="163">
        <v>16.365396386607177</v>
      </c>
      <c r="D1189" s="163">
        <v>838.05812717306105</v>
      </c>
      <c r="E1189" s="164">
        <v>0.82520000000000004</v>
      </c>
      <c r="F1189" s="164">
        <v>0.82520000000000004</v>
      </c>
      <c r="G1189" s="163">
        <v>14</v>
      </c>
      <c r="H1189" s="163">
        <v>22.666666666666664</v>
      </c>
      <c r="I1189" s="163">
        <v>8.6666666666666643</v>
      </c>
      <c r="J1189" s="163">
        <v>11</v>
      </c>
      <c r="K1189" s="163">
        <v>11.412361673414306</v>
      </c>
      <c r="L1189" s="163">
        <v>0.4123616734143063</v>
      </c>
      <c r="M1189" s="163">
        <v>13</v>
      </c>
      <c r="N1189" s="163">
        <v>20.708951866846601</v>
      </c>
      <c r="O1189" s="163">
        <v>7.7089518668466006</v>
      </c>
      <c r="P1189" s="163"/>
      <c r="Q1189" s="163">
        <v>12</v>
      </c>
      <c r="R1189" s="163">
        <v>0</v>
      </c>
      <c r="S1189" s="163">
        <v>0</v>
      </c>
      <c r="T1189" s="163">
        <v>0</v>
      </c>
      <c r="U1189" s="163">
        <v>0</v>
      </c>
      <c r="V1189" s="163">
        <v>0</v>
      </c>
      <c r="W1189" s="163">
        <v>0</v>
      </c>
      <c r="X1189" s="163">
        <v>0</v>
      </c>
      <c r="Y1189" s="163">
        <v>12</v>
      </c>
      <c r="Z1189" s="163">
        <v>12</v>
      </c>
      <c r="AA1189" s="163">
        <v>0</v>
      </c>
      <c r="AB1189" s="163">
        <v>0</v>
      </c>
      <c r="AC1189" s="163">
        <v>10</v>
      </c>
      <c r="AD1189" s="163">
        <v>2</v>
      </c>
      <c r="AE1189" s="165">
        <v>0.7789317901161309</v>
      </c>
      <c r="AF1189" s="166">
        <v>0.66765582009954072</v>
      </c>
    </row>
    <row r="1190" spans="1:32">
      <c r="A1190" s="161">
        <v>25</v>
      </c>
      <c r="B1190" s="162">
        <v>0.75</v>
      </c>
      <c r="C1190" s="163">
        <v>16.297991604099412</v>
      </c>
      <c r="D1190" s="163">
        <v>784.80015588884589</v>
      </c>
      <c r="E1190" s="164">
        <v>0.97089999999999999</v>
      </c>
      <c r="F1190" s="164">
        <v>0.97089999999999999</v>
      </c>
      <c r="G1190" s="163">
        <v>14</v>
      </c>
      <c r="H1190" s="163">
        <v>26.666666666666664</v>
      </c>
      <c r="I1190" s="163">
        <v>12.666666666666664</v>
      </c>
      <c r="J1190" s="163">
        <v>11</v>
      </c>
      <c r="K1190" s="163">
        <v>11.412361673414306</v>
      </c>
      <c r="L1190" s="163">
        <v>0.4123616734143063</v>
      </c>
      <c r="M1190" s="163">
        <v>13</v>
      </c>
      <c r="N1190" s="163">
        <v>24.363472784525413</v>
      </c>
      <c r="O1190" s="163">
        <v>11.363472784525413</v>
      </c>
      <c r="P1190" s="163"/>
      <c r="Q1190" s="163">
        <v>16</v>
      </c>
      <c r="R1190" s="163">
        <v>0</v>
      </c>
      <c r="S1190" s="163">
        <v>0</v>
      </c>
      <c r="T1190" s="163">
        <v>0</v>
      </c>
      <c r="U1190" s="163">
        <v>0</v>
      </c>
      <c r="V1190" s="163">
        <v>0</v>
      </c>
      <c r="W1190" s="163">
        <v>0</v>
      </c>
      <c r="X1190" s="163">
        <v>0</v>
      </c>
      <c r="Y1190" s="163">
        <v>16</v>
      </c>
      <c r="Z1190" s="163">
        <v>16</v>
      </c>
      <c r="AA1190" s="163">
        <v>0</v>
      </c>
      <c r="AB1190" s="163">
        <v>0</v>
      </c>
      <c r="AC1190" s="163">
        <v>14</v>
      </c>
      <c r="AD1190" s="163">
        <v>2</v>
      </c>
      <c r="AE1190" s="165">
        <v>0.54482018796326326</v>
      </c>
      <c r="AF1190" s="166">
        <v>0.62265164338658652</v>
      </c>
    </row>
    <row r="1191" spans="1:32">
      <c r="A1191" s="161">
        <v>25</v>
      </c>
      <c r="B1191" s="162">
        <v>0.77083333333333337</v>
      </c>
      <c r="C1191" s="163">
        <v>15.799434596447217</v>
      </c>
      <c r="D1191" s="163">
        <v>786.48944124753643</v>
      </c>
      <c r="E1191" s="164">
        <v>0.97640000000000005</v>
      </c>
      <c r="F1191" s="164">
        <v>0.97640000000000005</v>
      </c>
      <c r="G1191" s="163">
        <v>13</v>
      </c>
      <c r="H1191" s="163">
        <v>26.666666666666664</v>
      </c>
      <c r="I1191" s="163">
        <v>13.666666666666664</v>
      </c>
      <c r="J1191" s="163">
        <v>10</v>
      </c>
      <c r="K1191" s="163">
        <v>10.597192982456141</v>
      </c>
      <c r="L1191" s="163">
        <v>0.59719298245614105</v>
      </c>
      <c r="M1191" s="163">
        <v>12</v>
      </c>
      <c r="N1191" s="163">
        <v>24.363472784525413</v>
      </c>
      <c r="O1191" s="163">
        <v>12.363472784525413</v>
      </c>
      <c r="P1191" s="163"/>
      <c r="Q1191" s="163">
        <v>16</v>
      </c>
      <c r="R1191" s="163">
        <v>0</v>
      </c>
      <c r="S1191" s="163">
        <v>0</v>
      </c>
      <c r="T1191" s="163">
        <v>0</v>
      </c>
      <c r="U1191" s="163">
        <v>0</v>
      </c>
      <c r="V1191" s="163">
        <v>0</v>
      </c>
      <c r="W1191" s="163">
        <v>0</v>
      </c>
      <c r="X1191" s="163">
        <v>0</v>
      </c>
      <c r="Y1191" s="163">
        <v>16</v>
      </c>
      <c r="Z1191" s="163">
        <v>16</v>
      </c>
      <c r="AA1191" s="163">
        <v>0</v>
      </c>
      <c r="AB1191" s="163">
        <v>0</v>
      </c>
      <c r="AC1191" s="163">
        <v>14</v>
      </c>
      <c r="AD1191" s="163">
        <v>2</v>
      </c>
      <c r="AE1191" s="165">
        <v>0.52929094383983466</v>
      </c>
      <c r="AF1191" s="166">
        <v>0.65143500780287344</v>
      </c>
    </row>
    <row r="1192" spans="1:32">
      <c r="A1192" s="161">
        <v>25</v>
      </c>
      <c r="B1192" s="162">
        <v>0.79166666666666663</v>
      </c>
      <c r="C1192" s="163">
        <v>15.938423768351717</v>
      </c>
      <c r="D1192" s="163">
        <v>759.85554298929912</v>
      </c>
      <c r="E1192" s="164">
        <v>0.91849999999999998</v>
      </c>
      <c r="F1192" s="164">
        <v>0.91849999999999998</v>
      </c>
      <c r="G1192" s="163">
        <v>13</v>
      </c>
      <c r="H1192" s="163">
        <v>23.333333333333336</v>
      </c>
      <c r="I1192" s="163">
        <v>10.333333333333336</v>
      </c>
      <c r="J1192" s="163">
        <v>10</v>
      </c>
      <c r="K1192" s="163">
        <v>10.597192982456141</v>
      </c>
      <c r="L1192" s="163">
        <v>0.59719298245614105</v>
      </c>
      <c r="M1192" s="163">
        <v>12</v>
      </c>
      <c r="N1192" s="163">
        <v>21.31803868645974</v>
      </c>
      <c r="O1192" s="163">
        <v>9.3180386864597402</v>
      </c>
      <c r="P1192" s="163"/>
      <c r="Q1192" s="163">
        <v>14</v>
      </c>
      <c r="R1192" s="163">
        <v>0</v>
      </c>
      <c r="S1192" s="163">
        <v>0</v>
      </c>
      <c r="T1192" s="163">
        <v>0</v>
      </c>
      <c r="U1192" s="163">
        <v>0</v>
      </c>
      <c r="V1192" s="163">
        <v>0</v>
      </c>
      <c r="W1192" s="163">
        <v>0</v>
      </c>
      <c r="X1192" s="163">
        <v>0</v>
      </c>
      <c r="Y1192" s="163">
        <v>14</v>
      </c>
      <c r="Z1192" s="163">
        <v>14</v>
      </c>
      <c r="AA1192" s="163">
        <v>0</v>
      </c>
      <c r="AB1192" s="163">
        <v>0</v>
      </c>
      <c r="AC1192" s="163">
        <v>12</v>
      </c>
      <c r="AD1192" s="163">
        <v>2</v>
      </c>
      <c r="AE1192" s="165">
        <v>0.58956049362525031</v>
      </c>
      <c r="AF1192" s="166">
        <v>0.6349113008271926</v>
      </c>
    </row>
    <row r="1193" spans="1:32">
      <c r="A1193" s="161">
        <v>25</v>
      </c>
      <c r="B1193" s="162">
        <v>0.8125</v>
      </c>
      <c r="C1193" s="163">
        <v>13.621396553078227</v>
      </c>
      <c r="D1193" s="163">
        <v>757.29024012791149</v>
      </c>
      <c r="E1193" s="164">
        <v>0.96939999999999993</v>
      </c>
      <c r="F1193" s="164">
        <v>0.96939999999999993</v>
      </c>
      <c r="G1193" s="163">
        <v>12</v>
      </c>
      <c r="H1193" s="163">
        <v>23.333333333333336</v>
      </c>
      <c r="I1193" s="163">
        <v>11.333333333333336</v>
      </c>
      <c r="J1193" s="163">
        <v>9</v>
      </c>
      <c r="K1193" s="163">
        <v>9.7820242914979758</v>
      </c>
      <c r="L1193" s="163">
        <v>0.78202429149797581</v>
      </c>
      <c r="M1193" s="163">
        <v>11</v>
      </c>
      <c r="N1193" s="163">
        <v>21.31803868645974</v>
      </c>
      <c r="O1193" s="163">
        <v>10.31803868645974</v>
      </c>
      <c r="P1193" s="163"/>
      <c r="Q1193" s="163">
        <v>14</v>
      </c>
      <c r="R1193" s="163">
        <v>0</v>
      </c>
      <c r="S1193" s="163">
        <v>0</v>
      </c>
      <c r="T1193" s="163">
        <v>0</v>
      </c>
      <c r="U1193" s="163">
        <v>0</v>
      </c>
      <c r="V1193" s="163">
        <v>0</v>
      </c>
      <c r="W1193" s="163">
        <v>0</v>
      </c>
      <c r="X1193" s="163">
        <v>0</v>
      </c>
      <c r="Y1193" s="163">
        <v>14</v>
      </c>
      <c r="Z1193" s="163">
        <v>14</v>
      </c>
      <c r="AA1193" s="163">
        <v>0</v>
      </c>
      <c r="AB1193" s="163">
        <v>0</v>
      </c>
      <c r="AC1193" s="163">
        <v>12</v>
      </c>
      <c r="AD1193" s="163">
        <v>2</v>
      </c>
      <c r="AE1193" s="165">
        <v>0.50215288774628897</v>
      </c>
      <c r="AF1193" s="166">
        <v>0.58584503570400381</v>
      </c>
    </row>
    <row r="1194" spans="1:32">
      <c r="A1194" s="161">
        <v>25</v>
      </c>
      <c r="B1194" s="162">
        <v>0.83333333333333337</v>
      </c>
      <c r="C1194" s="163">
        <v>13.846459881520367</v>
      </c>
      <c r="D1194" s="163">
        <v>730.99631131605986</v>
      </c>
      <c r="E1194" s="164">
        <v>0.82506666666666673</v>
      </c>
      <c r="F1194" s="164">
        <v>0.82506666666666673</v>
      </c>
      <c r="G1194" s="163">
        <v>12</v>
      </c>
      <c r="H1194" s="163">
        <v>20.666666666666668</v>
      </c>
      <c r="I1194" s="163">
        <v>8.6666666666666679</v>
      </c>
      <c r="J1194" s="163">
        <v>9</v>
      </c>
      <c r="K1194" s="163">
        <v>9.7820242914979758</v>
      </c>
      <c r="L1194" s="163">
        <v>0.78202429149797581</v>
      </c>
      <c r="M1194" s="163">
        <v>11</v>
      </c>
      <c r="N1194" s="163">
        <v>18.881691408007196</v>
      </c>
      <c r="O1194" s="163">
        <v>7.881691408007196</v>
      </c>
      <c r="P1194" s="163"/>
      <c r="Q1194" s="163">
        <v>14</v>
      </c>
      <c r="R1194" s="163">
        <v>0</v>
      </c>
      <c r="S1194" s="163">
        <v>0</v>
      </c>
      <c r="T1194" s="163">
        <v>0</v>
      </c>
      <c r="U1194" s="163">
        <v>0</v>
      </c>
      <c r="V1194" s="163">
        <v>0</v>
      </c>
      <c r="W1194" s="163">
        <v>0</v>
      </c>
      <c r="X1194" s="163">
        <v>0</v>
      </c>
      <c r="Y1194" s="163">
        <v>14</v>
      </c>
      <c r="Z1194" s="163">
        <v>14</v>
      </c>
      <c r="AA1194" s="163">
        <v>0</v>
      </c>
      <c r="AB1194" s="163">
        <v>0</v>
      </c>
      <c r="AC1194" s="163">
        <v>12</v>
      </c>
      <c r="AD1194" s="163">
        <v>2</v>
      </c>
      <c r="AE1194" s="165">
        <v>0.4927264831976137</v>
      </c>
      <c r="AF1194" s="166">
        <v>0.57484756373054935</v>
      </c>
    </row>
    <row r="1195" spans="1:32">
      <c r="A1195" s="161">
        <v>25</v>
      </c>
      <c r="B1195" s="162">
        <v>0.85416666666666663</v>
      </c>
      <c r="C1195" s="163">
        <v>12.732693211520804</v>
      </c>
      <c r="D1195" s="163">
        <v>688.3304498162878</v>
      </c>
      <c r="E1195" s="164">
        <v>0.65893333333333337</v>
      </c>
      <c r="F1195" s="164">
        <v>0.65893333333333337</v>
      </c>
      <c r="G1195" s="163">
        <v>10</v>
      </c>
      <c r="H1195" s="163">
        <v>15.333333333333332</v>
      </c>
      <c r="I1195" s="163">
        <v>5.3333333333333321</v>
      </c>
      <c r="J1195" s="163">
        <v>8</v>
      </c>
      <c r="K1195" s="163">
        <v>8.1516869095816471</v>
      </c>
      <c r="L1195" s="163">
        <v>0.1516869095816471</v>
      </c>
      <c r="M1195" s="163">
        <v>9</v>
      </c>
      <c r="N1195" s="163">
        <v>14.008996851102113</v>
      </c>
      <c r="O1195" s="163">
        <v>5.008996851102113</v>
      </c>
      <c r="P1195" s="163"/>
      <c r="Q1195" s="163">
        <v>10</v>
      </c>
      <c r="R1195" s="163">
        <v>0</v>
      </c>
      <c r="S1195" s="163">
        <v>0</v>
      </c>
      <c r="T1195" s="163">
        <v>0</v>
      </c>
      <c r="U1195" s="163">
        <v>0</v>
      </c>
      <c r="V1195" s="163">
        <v>0</v>
      </c>
      <c r="W1195" s="163">
        <v>0</v>
      </c>
      <c r="X1195" s="163">
        <v>0</v>
      </c>
      <c r="Y1195" s="163">
        <v>10</v>
      </c>
      <c r="Z1195" s="163">
        <v>10</v>
      </c>
      <c r="AA1195" s="163">
        <v>0</v>
      </c>
      <c r="AB1195" s="163">
        <v>0</v>
      </c>
      <c r="AC1195" s="163">
        <v>8</v>
      </c>
      <c r="AD1195" s="163">
        <v>2</v>
      </c>
      <c r="AE1195" s="165">
        <v>0.59730652773484938</v>
      </c>
      <c r="AF1195" s="166">
        <v>0.59730652773484938</v>
      </c>
    </row>
    <row r="1196" spans="1:32">
      <c r="A1196" s="161">
        <v>25</v>
      </c>
      <c r="B1196" s="162">
        <v>0.875</v>
      </c>
      <c r="C1196" s="163">
        <v>11.501615873503699</v>
      </c>
      <c r="D1196" s="163">
        <v>712.64637815976573</v>
      </c>
      <c r="E1196" s="164">
        <v>0.63680000000000003</v>
      </c>
      <c r="F1196" s="164">
        <v>0.63680000000000003</v>
      </c>
      <c r="G1196" s="163">
        <v>10</v>
      </c>
      <c r="H1196" s="163">
        <v>13.333333333333332</v>
      </c>
      <c r="I1196" s="163">
        <v>3.3333333333333321</v>
      </c>
      <c r="J1196" s="163">
        <v>8</v>
      </c>
      <c r="K1196" s="163">
        <v>8.1516869095816471</v>
      </c>
      <c r="L1196" s="163">
        <v>0.1516869095816471</v>
      </c>
      <c r="M1196" s="163">
        <v>9</v>
      </c>
      <c r="N1196" s="163">
        <v>12.181736392262707</v>
      </c>
      <c r="O1196" s="163">
        <v>3.1817363922627067</v>
      </c>
      <c r="P1196" s="163"/>
      <c r="Q1196" s="163">
        <v>8</v>
      </c>
      <c r="R1196" s="163">
        <v>0</v>
      </c>
      <c r="S1196" s="163">
        <v>0</v>
      </c>
      <c r="T1196" s="163">
        <v>0</v>
      </c>
      <c r="U1196" s="163">
        <v>0</v>
      </c>
      <c r="V1196" s="163">
        <v>0</v>
      </c>
      <c r="W1196" s="163">
        <v>0</v>
      </c>
      <c r="X1196" s="163">
        <v>0</v>
      </c>
      <c r="Y1196" s="163">
        <v>8</v>
      </c>
      <c r="Z1196" s="163">
        <v>8</v>
      </c>
      <c r="AA1196" s="163">
        <v>0</v>
      </c>
      <c r="AB1196" s="163">
        <v>0</v>
      </c>
      <c r="AC1196" s="163">
        <v>6</v>
      </c>
      <c r="AD1196" s="163">
        <v>2</v>
      </c>
      <c r="AE1196" s="165">
        <v>0.69826931616132215</v>
      </c>
      <c r="AF1196" s="166">
        <v>0.55861545292905779</v>
      </c>
    </row>
    <row r="1197" spans="1:32">
      <c r="A1197" s="161">
        <v>25</v>
      </c>
      <c r="B1197" s="162">
        <v>0.89583333333333337</v>
      </c>
      <c r="C1197" s="163">
        <v>9.1218187845045993</v>
      </c>
      <c r="D1197" s="163">
        <v>659.94832093994842</v>
      </c>
      <c r="E1197" s="164">
        <v>0.87449999999999994</v>
      </c>
      <c r="F1197" s="164">
        <v>0.87449999999999994</v>
      </c>
      <c r="G1197" s="163">
        <v>8</v>
      </c>
      <c r="H1197" s="163">
        <v>13.333333333333332</v>
      </c>
      <c r="I1197" s="163">
        <v>5.3333333333333321</v>
      </c>
      <c r="J1197" s="163">
        <v>6</v>
      </c>
      <c r="K1197" s="163">
        <v>6.5213495276653175</v>
      </c>
      <c r="L1197" s="163">
        <v>0.5213495276653175</v>
      </c>
      <c r="M1197" s="163">
        <v>7</v>
      </c>
      <c r="N1197" s="163">
        <v>12.181736392262707</v>
      </c>
      <c r="O1197" s="163">
        <v>5.1817363922627067</v>
      </c>
      <c r="P1197" s="163"/>
      <c r="Q1197" s="163">
        <v>8</v>
      </c>
      <c r="R1197" s="163">
        <v>0</v>
      </c>
      <c r="S1197" s="163">
        <v>0</v>
      </c>
      <c r="T1197" s="163">
        <v>0</v>
      </c>
      <c r="U1197" s="163">
        <v>0</v>
      </c>
      <c r="V1197" s="163">
        <v>0</v>
      </c>
      <c r="W1197" s="163">
        <v>0</v>
      </c>
      <c r="X1197" s="163">
        <v>0</v>
      </c>
      <c r="Y1197" s="163">
        <v>8</v>
      </c>
      <c r="Z1197" s="163">
        <v>8</v>
      </c>
      <c r="AA1197" s="163">
        <v>0</v>
      </c>
      <c r="AB1197" s="163">
        <v>0</v>
      </c>
      <c r="AC1197" s="163">
        <v>6</v>
      </c>
      <c r="AD1197" s="163">
        <v>2</v>
      </c>
      <c r="AE1197" s="165">
        <v>0.51283940243879267</v>
      </c>
      <c r="AF1197" s="166">
        <v>0.51283940243879267</v>
      </c>
    </row>
    <row r="1198" spans="1:32">
      <c r="A1198" s="161">
        <v>25</v>
      </c>
      <c r="B1198" s="162">
        <v>0.91666666666666663</v>
      </c>
      <c r="C1198" s="163">
        <v>4.9375258379379368</v>
      </c>
      <c r="D1198" s="163">
        <v>660.26318872814386</v>
      </c>
      <c r="E1198" s="164">
        <v>0.92653333333333332</v>
      </c>
      <c r="F1198" s="164">
        <v>0.92653333333333332</v>
      </c>
      <c r="G1198" s="163">
        <v>5</v>
      </c>
      <c r="H1198" s="163">
        <v>12</v>
      </c>
      <c r="I1198" s="163">
        <v>7</v>
      </c>
      <c r="J1198" s="163">
        <v>4</v>
      </c>
      <c r="K1198" s="163">
        <v>4.0758434547908236</v>
      </c>
      <c r="L1198" s="163">
        <v>7.584345479082355E-2</v>
      </c>
      <c r="M1198" s="163">
        <v>5</v>
      </c>
      <c r="N1198" s="163">
        <v>10.963562753036436</v>
      </c>
      <c r="O1198" s="163">
        <v>5.9635627530364363</v>
      </c>
      <c r="P1198" s="163"/>
      <c r="Q1198" s="163">
        <v>8</v>
      </c>
      <c r="R1198" s="163">
        <v>0</v>
      </c>
      <c r="S1198" s="163">
        <v>0</v>
      </c>
      <c r="T1198" s="163">
        <v>0</v>
      </c>
      <c r="U1198" s="163">
        <v>0</v>
      </c>
      <c r="V1198" s="163">
        <v>0</v>
      </c>
      <c r="W1198" s="163">
        <v>0</v>
      </c>
      <c r="X1198" s="163">
        <v>0</v>
      </c>
      <c r="Y1198" s="163">
        <v>8</v>
      </c>
      <c r="Z1198" s="163">
        <v>8</v>
      </c>
      <c r="AA1198" s="163">
        <v>0</v>
      </c>
      <c r="AB1198" s="163">
        <v>0</v>
      </c>
      <c r="AC1198" s="163">
        <v>6</v>
      </c>
      <c r="AD1198" s="163">
        <v>2</v>
      </c>
      <c r="AE1198" s="165">
        <v>0.27772596423097401</v>
      </c>
      <c r="AF1198" s="166">
        <v>0.44436154276955842</v>
      </c>
    </row>
    <row r="1199" spans="1:32">
      <c r="A1199" s="161">
        <v>25</v>
      </c>
      <c r="B1199" s="162">
        <v>0.9375</v>
      </c>
      <c r="C1199" s="163">
        <v>3.9411768905466129</v>
      </c>
      <c r="D1199" s="163">
        <v>657.43277751914115</v>
      </c>
      <c r="E1199" s="164">
        <v>0.89970000000000006</v>
      </c>
      <c r="F1199" s="164">
        <v>0.89970000000000006</v>
      </c>
      <c r="G1199" s="163">
        <v>5</v>
      </c>
      <c r="H1199" s="163">
        <v>9.3333333333333339</v>
      </c>
      <c r="I1199" s="163">
        <v>4.3333333333333339</v>
      </c>
      <c r="J1199" s="163">
        <v>4</v>
      </c>
      <c r="K1199" s="163">
        <v>4.0758434547908236</v>
      </c>
      <c r="L1199" s="163">
        <v>7.584345479082355E-2</v>
      </c>
      <c r="M1199" s="163">
        <v>5</v>
      </c>
      <c r="N1199" s="163">
        <v>8.5272154745838957</v>
      </c>
      <c r="O1199" s="163">
        <v>3.5272154745838957</v>
      </c>
      <c r="P1199" s="163"/>
      <c r="Q1199" s="163">
        <v>6</v>
      </c>
      <c r="R1199" s="163">
        <v>0</v>
      </c>
      <c r="S1199" s="163">
        <v>0</v>
      </c>
      <c r="T1199" s="163">
        <v>0</v>
      </c>
      <c r="U1199" s="163">
        <v>0</v>
      </c>
      <c r="V1199" s="163">
        <v>0</v>
      </c>
      <c r="W1199" s="163">
        <v>0</v>
      </c>
      <c r="X1199" s="163">
        <v>0</v>
      </c>
      <c r="Y1199" s="163">
        <v>6</v>
      </c>
      <c r="Z1199" s="163">
        <v>6</v>
      </c>
      <c r="AA1199" s="163">
        <v>0</v>
      </c>
      <c r="AB1199" s="163">
        <v>0</v>
      </c>
      <c r="AC1199" s="163">
        <v>4</v>
      </c>
      <c r="AD1199" s="163">
        <v>2</v>
      </c>
      <c r="AE1199" s="165">
        <v>0.294310688057836</v>
      </c>
      <c r="AF1199" s="166">
        <v>0.35317282566940322</v>
      </c>
    </row>
    <row r="1200" spans="1:32">
      <c r="A1200" s="161">
        <v>25</v>
      </c>
      <c r="B1200" s="162">
        <v>0.95833333333333337</v>
      </c>
      <c r="C1200" s="163">
        <v>2.8934674199160271</v>
      </c>
      <c r="D1200" s="163">
        <v>624.81150622593339</v>
      </c>
      <c r="E1200" s="164">
        <v>0.91759999999999986</v>
      </c>
      <c r="F1200" s="164">
        <v>0.91759999999999986</v>
      </c>
      <c r="G1200" s="163">
        <v>4</v>
      </c>
      <c r="H1200" s="163">
        <v>6.6666666666666661</v>
      </c>
      <c r="I1200" s="163">
        <v>2.6666666666666661</v>
      </c>
      <c r="J1200" s="163">
        <v>3</v>
      </c>
      <c r="K1200" s="163">
        <v>3.2606747638326588</v>
      </c>
      <c r="L1200" s="163">
        <v>0.26067476383265875</v>
      </c>
      <c r="M1200" s="163">
        <v>4</v>
      </c>
      <c r="N1200" s="163">
        <v>6.0908681961313533</v>
      </c>
      <c r="O1200" s="163">
        <v>2.0908681961313533</v>
      </c>
      <c r="P1200" s="163"/>
      <c r="Q1200" s="163">
        <v>4</v>
      </c>
      <c r="R1200" s="163">
        <v>0</v>
      </c>
      <c r="S1200" s="163">
        <v>0</v>
      </c>
      <c r="T1200" s="163">
        <v>0</v>
      </c>
      <c r="U1200" s="163">
        <v>0</v>
      </c>
      <c r="V1200" s="163">
        <v>0</v>
      </c>
      <c r="W1200" s="163">
        <v>0</v>
      </c>
      <c r="X1200" s="163">
        <v>0</v>
      </c>
      <c r="Y1200" s="163">
        <v>4</v>
      </c>
      <c r="Z1200" s="163">
        <v>4</v>
      </c>
      <c r="AA1200" s="163">
        <v>0</v>
      </c>
      <c r="AB1200" s="163">
        <v>0</v>
      </c>
      <c r="AC1200" s="163">
        <v>4</v>
      </c>
      <c r="AD1200" s="163">
        <v>0</v>
      </c>
      <c r="AE1200" s="165">
        <v>0.30802617859384956</v>
      </c>
      <c r="AF1200" s="166">
        <v>0.30802617859384956</v>
      </c>
    </row>
    <row r="1201" spans="1:32">
      <c r="A1201" s="161">
        <v>25</v>
      </c>
      <c r="B1201" s="162">
        <v>0.97916666666666663</v>
      </c>
      <c r="C1201" s="163">
        <v>2.1555934571376176</v>
      </c>
      <c r="D1201" s="163">
        <v>624.69336017335593</v>
      </c>
      <c r="E1201" s="164">
        <v>0.96060000000000001</v>
      </c>
      <c r="F1201" s="164">
        <v>0.96060000000000001</v>
      </c>
      <c r="G1201" s="163">
        <v>3</v>
      </c>
      <c r="H1201" s="163">
        <v>6.6666666666666661</v>
      </c>
      <c r="I1201" s="163">
        <v>3.6666666666666661</v>
      </c>
      <c r="J1201" s="163">
        <v>2</v>
      </c>
      <c r="K1201" s="163">
        <v>2.445506072874494</v>
      </c>
      <c r="L1201" s="163">
        <v>0.44550607287449395</v>
      </c>
      <c r="M1201" s="163">
        <v>3</v>
      </c>
      <c r="N1201" s="163">
        <v>6.0908681961313533</v>
      </c>
      <c r="O1201" s="163">
        <v>3.0908681961313533</v>
      </c>
      <c r="P1201" s="163"/>
      <c r="Q1201" s="163">
        <v>4</v>
      </c>
      <c r="R1201" s="163">
        <v>0</v>
      </c>
      <c r="S1201" s="163">
        <v>0</v>
      </c>
      <c r="T1201" s="163">
        <v>0</v>
      </c>
      <c r="U1201" s="163">
        <v>0</v>
      </c>
      <c r="V1201" s="163">
        <v>0</v>
      </c>
      <c r="W1201" s="163">
        <v>0</v>
      </c>
      <c r="X1201" s="163">
        <v>0</v>
      </c>
      <c r="Y1201" s="163">
        <v>4</v>
      </c>
      <c r="Z1201" s="163">
        <v>4</v>
      </c>
      <c r="AA1201" s="163">
        <v>0</v>
      </c>
      <c r="AB1201" s="163">
        <v>0</v>
      </c>
      <c r="AC1201" s="163">
        <v>4</v>
      </c>
      <c r="AD1201" s="163">
        <v>0</v>
      </c>
      <c r="AE1201" s="165">
        <v>0.22943187759159769</v>
      </c>
      <c r="AF1201" s="166">
        <v>0.3059091701221302</v>
      </c>
    </row>
    <row r="1202" spans="1:32">
      <c r="A1202" s="161">
        <v>26</v>
      </c>
      <c r="B1202" s="162">
        <v>0</v>
      </c>
      <c r="C1202" s="163">
        <v>1.1997092302060475</v>
      </c>
      <c r="D1202" s="163">
        <v>641.38175730864612</v>
      </c>
      <c r="E1202" s="164">
        <v>0.99099999999999999</v>
      </c>
      <c r="F1202" s="164">
        <v>0.99099999999999999</v>
      </c>
      <c r="G1202" s="163">
        <v>3</v>
      </c>
      <c r="H1202" s="163">
        <v>6.6666666666666661</v>
      </c>
      <c r="I1202" s="163">
        <v>3.6666666666666661</v>
      </c>
      <c r="J1202" s="163">
        <v>2</v>
      </c>
      <c r="K1202" s="163">
        <v>2.445506072874494</v>
      </c>
      <c r="L1202" s="163">
        <v>0.44550607287449395</v>
      </c>
      <c r="M1202" s="163">
        <v>3</v>
      </c>
      <c r="N1202" s="163">
        <v>6.0908681961313533</v>
      </c>
      <c r="O1202" s="163">
        <v>3.0908681961313533</v>
      </c>
      <c r="P1202" s="163"/>
      <c r="Q1202" s="163">
        <v>4</v>
      </c>
      <c r="R1202" s="163">
        <v>0</v>
      </c>
      <c r="S1202" s="163">
        <v>0</v>
      </c>
      <c r="T1202" s="163">
        <v>0</v>
      </c>
      <c r="U1202" s="163">
        <v>0</v>
      </c>
      <c r="V1202" s="163">
        <v>0</v>
      </c>
      <c r="W1202" s="163">
        <v>0</v>
      </c>
      <c r="X1202" s="163">
        <v>0</v>
      </c>
      <c r="Y1202" s="163">
        <v>4</v>
      </c>
      <c r="Z1202" s="163">
        <v>4</v>
      </c>
      <c r="AA1202" s="163">
        <v>0</v>
      </c>
      <c r="AB1202" s="163">
        <v>0</v>
      </c>
      <c r="AC1202" s="163">
        <v>4</v>
      </c>
      <c r="AD1202" s="163">
        <v>0</v>
      </c>
      <c r="AE1202" s="165">
        <v>0.13110299589655527</v>
      </c>
      <c r="AF1202" s="166">
        <v>0.17480399452874035</v>
      </c>
    </row>
    <row r="1203" spans="1:32">
      <c r="A1203" s="161">
        <v>26</v>
      </c>
      <c r="B1203" s="162">
        <v>2.0833333333333332E-2</v>
      </c>
      <c r="C1203" s="163">
        <v>0.83819436745213394</v>
      </c>
      <c r="D1203" s="163">
        <v>641.23922833059953</v>
      </c>
      <c r="E1203" s="164">
        <v>0.99670000000000003</v>
      </c>
      <c r="F1203" s="164">
        <v>0.99670000000000003</v>
      </c>
      <c r="G1203" s="163">
        <v>3</v>
      </c>
      <c r="H1203" s="163">
        <v>6.6666666666666661</v>
      </c>
      <c r="I1203" s="163">
        <v>3.6666666666666661</v>
      </c>
      <c r="J1203" s="163">
        <v>2</v>
      </c>
      <c r="K1203" s="163">
        <v>2.445506072874494</v>
      </c>
      <c r="L1203" s="163">
        <v>0.44550607287449395</v>
      </c>
      <c r="M1203" s="163">
        <v>3</v>
      </c>
      <c r="N1203" s="163">
        <v>6.0908681961313533</v>
      </c>
      <c r="O1203" s="163">
        <v>3.0908681961313533</v>
      </c>
      <c r="P1203" s="163"/>
      <c r="Q1203" s="163">
        <v>4</v>
      </c>
      <c r="R1203" s="163">
        <v>0</v>
      </c>
      <c r="S1203" s="163">
        <v>0</v>
      </c>
      <c r="T1203" s="163">
        <v>0</v>
      </c>
      <c r="U1203" s="163">
        <v>0</v>
      </c>
      <c r="V1203" s="163">
        <v>0</v>
      </c>
      <c r="W1203" s="163">
        <v>0</v>
      </c>
      <c r="X1203" s="163">
        <v>0</v>
      </c>
      <c r="Y1203" s="163">
        <v>4</v>
      </c>
      <c r="Z1203" s="163">
        <v>4</v>
      </c>
      <c r="AA1203" s="163">
        <v>0</v>
      </c>
      <c r="AB1203" s="163">
        <v>0</v>
      </c>
      <c r="AC1203" s="163">
        <v>4</v>
      </c>
      <c r="AD1203" s="163">
        <v>0</v>
      </c>
      <c r="AE1203" s="165">
        <v>9.1576667119097496E-2</v>
      </c>
      <c r="AF1203" s="166">
        <v>0.12210222282546332</v>
      </c>
    </row>
    <row r="1204" spans="1:32">
      <c r="A1204" s="161">
        <v>26</v>
      </c>
      <c r="B1204" s="162">
        <v>4.1666666666666664E-2</v>
      </c>
      <c r="C1204" s="163">
        <v>0.63920751534614406</v>
      </c>
      <c r="D1204" s="163">
        <v>607.70755740712195</v>
      </c>
      <c r="E1204" s="164">
        <v>0.99870000000000003</v>
      </c>
      <c r="F1204" s="164">
        <v>0.99870000000000003</v>
      </c>
      <c r="G1204" s="163">
        <v>3</v>
      </c>
      <c r="H1204" s="163">
        <v>6.6666666666666661</v>
      </c>
      <c r="I1204" s="163">
        <v>3.6666666666666661</v>
      </c>
      <c r="J1204" s="163">
        <v>2</v>
      </c>
      <c r="K1204" s="163">
        <v>2.445506072874494</v>
      </c>
      <c r="L1204" s="163">
        <v>0.44550607287449395</v>
      </c>
      <c r="M1204" s="163">
        <v>3</v>
      </c>
      <c r="N1204" s="163">
        <v>6.0908681961313533</v>
      </c>
      <c r="O1204" s="163">
        <v>3.0908681961313533</v>
      </c>
      <c r="P1204" s="163"/>
      <c r="Q1204" s="163">
        <v>4</v>
      </c>
      <c r="R1204" s="163">
        <v>0</v>
      </c>
      <c r="S1204" s="163">
        <v>0</v>
      </c>
      <c r="T1204" s="163">
        <v>0</v>
      </c>
      <c r="U1204" s="163">
        <v>0</v>
      </c>
      <c r="V1204" s="163">
        <v>0</v>
      </c>
      <c r="W1204" s="163">
        <v>0</v>
      </c>
      <c r="X1204" s="163">
        <v>0</v>
      </c>
      <c r="Y1204" s="163">
        <v>4</v>
      </c>
      <c r="Z1204" s="163">
        <v>4</v>
      </c>
      <c r="AA1204" s="163">
        <v>0</v>
      </c>
      <c r="AB1204" s="163">
        <v>0</v>
      </c>
      <c r="AC1204" s="163">
        <v>4</v>
      </c>
      <c r="AD1204" s="163">
        <v>0</v>
      </c>
      <c r="AE1204" s="165">
        <v>6.6184535063446626E-2</v>
      </c>
      <c r="AF1204" s="166">
        <v>8.8246046751262158E-2</v>
      </c>
    </row>
    <row r="1205" spans="1:32">
      <c r="A1205" s="161">
        <v>26</v>
      </c>
      <c r="B1205" s="162">
        <v>6.25E-2</v>
      </c>
      <c r="C1205" s="163">
        <v>0.50682482209364976</v>
      </c>
      <c r="D1205" s="163">
        <v>591.73368625091655</v>
      </c>
      <c r="E1205" s="164">
        <v>0.99939999999999996</v>
      </c>
      <c r="F1205" s="164">
        <v>0.99939999999999996</v>
      </c>
      <c r="G1205" s="163">
        <v>2</v>
      </c>
      <c r="H1205" s="163">
        <v>6.6666666666666661</v>
      </c>
      <c r="I1205" s="163">
        <v>4.6666666666666661</v>
      </c>
      <c r="J1205" s="163">
        <v>1</v>
      </c>
      <c r="K1205" s="163">
        <v>1.6303373819163294</v>
      </c>
      <c r="L1205" s="163">
        <v>0.63033738191632938</v>
      </c>
      <c r="M1205" s="163">
        <v>2</v>
      </c>
      <c r="N1205" s="163">
        <v>6.0908681961313533</v>
      </c>
      <c r="O1205" s="163">
        <v>4.0908681961313533</v>
      </c>
      <c r="P1205" s="163"/>
      <c r="Q1205" s="163">
        <v>4</v>
      </c>
      <c r="R1205" s="163">
        <v>0</v>
      </c>
      <c r="S1205" s="163">
        <v>0</v>
      </c>
      <c r="T1205" s="163">
        <v>0</v>
      </c>
      <c r="U1205" s="163">
        <v>0</v>
      </c>
      <c r="V1205" s="163">
        <v>0</v>
      </c>
      <c r="W1205" s="163">
        <v>0</v>
      </c>
      <c r="X1205" s="163">
        <v>0</v>
      </c>
      <c r="Y1205" s="163">
        <v>4</v>
      </c>
      <c r="Z1205" s="163">
        <v>4</v>
      </c>
      <c r="AA1205" s="163">
        <v>0</v>
      </c>
      <c r="AB1205" s="163">
        <v>0</v>
      </c>
      <c r="AC1205" s="163">
        <v>4</v>
      </c>
      <c r="AD1205" s="163">
        <v>0</v>
      </c>
      <c r="AE1205" s="165">
        <v>5.1098033038962834E-2</v>
      </c>
      <c r="AF1205" s="166">
        <v>0.10219606607792567</v>
      </c>
    </row>
    <row r="1206" spans="1:32">
      <c r="A1206" s="161">
        <v>26</v>
      </c>
      <c r="B1206" s="162">
        <v>8.3333333333333329E-2</v>
      </c>
      <c r="C1206" s="163">
        <v>0.40879821309816688</v>
      </c>
      <c r="D1206" s="163">
        <v>609.40395861654167</v>
      </c>
      <c r="E1206" s="164">
        <v>0.99960000000000004</v>
      </c>
      <c r="F1206" s="164">
        <v>0.99960000000000004</v>
      </c>
      <c r="G1206" s="163">
        <v>2</v>
      </c>
      <c r="H1206" s="163">
        <v>6.6666666666666661</v>
      </c>
      <c r="I1206" s="163">
        <v>4.6666666666666661</v>
      </c>
      <c r="J1206" s="163">
        <v>1</v>
      </c>
      <c r="K1206" s="163">
        <v>1.6303373819163294</v>
      </c>
      <c r="L1206" s="163">
        <v>0.63033738191632938</v>
      </c>
      <c r="M1206" s="163">
        <v>2</v>
      </c>
      <c r="N1206" s="163">
        <v>6.0908681961313533</v>
      </c>
      <c r="O1206" s="163">
        <v>4.0908681961313533</v>
      </c>
      <c r="P1206" s="163"/>
      <c r="Q1206" s="163">
        <v>4</v>
      </c>
      <c r="R1206" s="163">
        <v>0</v>
      </c>
      <c r="S1206" s="163">
        <v>0</v>
      </c>
      <c r="T1206" s="163">
        <v>0</v>
      </c>
      <c r="U1206" s="163">
        <v>0</v>
      </c>
      <c r="V1206" s="163">
        <v>0</v>
      </c>
      <c r="W1206" s="163">
        <v>0</v>
      </c>
      <c r="X1206" s="163">
        <v>0</v>
      </c>
      <c r="Y1206" s="163">
        <v>4</v>
      </c>
      <c r="Z1206" s="163">
        <v>4</v>
      </c>
      <c r="AA1206" s="163">
        <v>0</v>
      </c>
      <c r="AB1206" s="163">
        <v>0</v>
      </c>
      <c r="AC1206" s="163">
        <v>4</v>
      </c>
      <c r="AD1206" s="163">
        <v>0</v>
      </c>
      <c r="AE1206" s="165">
        <v>4.2445755928370979E-2</v>
      </c>
      <c r="AF1206" s="166">
        <v>8.4891511856741958E-2</v>
      </c>
    </row>
    <row r="1207" spans="1:32">
      <c r="A1207" s="161">
        <v>26</v>
      </c>
      <c r="B1207" s="162">
        <v>0.10416666666666667</v>
      </c>
      <c r="C1207" s="163">
        <v>0.32709072921332849</v>
      </c>
      <c r="D1207" s="163">
        <v>580.35657741690409</v>
      </c>
      <c r="E1207" s="164">
        <v>0.99980000000000002</v>
      </c>
      <c r="F1207" s="164">
        <v>0.99980000000000002</v>
      </c>
      <c r="G1207" s="163">
        <v>2</v>
      </c>
      <c r="H1207" s="163">
        <v>6.6666666666666661</v>
      </c>
      <c r="I1207" s="163">
        <v>4.6666666666666661</v>
      </c>
      <c r="J1207" s="163">
        <v>1</v>
      </c>
      <c r="K1207" s="163">
        <v>1.6303373819163294</v>
      </c>
      <c r="L1207" s="163">
        <v>0.63033738191632938</v>
      </c>
      <c r="M1207" s="163">
        <v>2</v>
      </c>
      <c r="N1207" s="163">
        <v>6.0908681961313533</v>
      </c>
      <c r="O1207" s="163">
        <v>4.0908681961313533</v>
      </c>
      <c r="P1207" s="163"/>
      <c r="Q1207" s="163">
        <v>4</v>
      </c>
      <c r="R1207" s="163">
        <v>0</v>
      </c>
      <c r="S1207" s="163">
        <v>0</v>
      </c>
      <c r="T1207" s="163">
        <v>0</v>
      </c>
      <c r="U1207" s="163">
        <v>0</v>
      </c>
      <c r="V1207" s="163">
        <v>0</v>
      </c>
      <c r="W1207" s="163">
        <v>0</v>
      </c>
      <c r="X1207" s="163">
        <v>0</v>
      </c>
      <c r="Y1207" s="163">
        <v>4</v>
      </c>
      <c r="Z1207" s="163">
        <v>4</v>
      </c>
      <c r="AA1207" s="163">
        <v>0</v>
      </c>
      <c r="AB1207" s="163">
        <v>0</v>
      </c>
      <c r="AC1207" s="163">
        <v>4</v>
      </c>
      <c r="AD1207" s="163">
        <v>0</v>
      </c>
      <c r="AE1207" s="165">
        <v>3.2343212824915382E-2</v>
      </c>
      <c r="AF1207" s="166">
        <v>6.4686425649830764E-2</v>
      </c>
    </row>
    <row r="1208" spans="1:32">
      <c r="A1208" s="161">
        <v>26</v>
      </c>
      <c r="B1208" s="162">
        <v>0.125</v>
      </c>
      <c r="C1208" s="163">
        <v>0.29474014684177147</v>
      </c>
      <c r="D1208" s="163">
        <v>580.2548217592323</v>
      </c>
      <c r="E1208" s="164">
        <v>0.9998999999999999</v>
      </c>
      <c r="F1208" s="164">
        <v>0.9998999999999999</v>
      </c>
      <c r="G1208" s="163">
        <v>2</v>
      </c>
      <c r="H1208" s="163">
        <v>6.6666666666666661</v>
      </c>
      <c r="I1208" s="163">
        <v>4.6666666666666661</v>
      </c>
      <c r="J1208" s="163">
        <v>1</v>
      </c>
      <c r="K1208" s="163">
        <v>1.6303373819163294</v>
      </c>
      <c r="L1208" s="163">
        <v>0.63033738191632938</v>
      </c>
      <c r="M1208" s="163">
        <v>2</v>
      </c>
      <c r="N1208" s="163">
        <v>6.0908681961313533</v>
      </c>
      <c r="O1208" s="163">
        <v>4.0908681961313533</v>
      </c>
      <c r="P1208" s="163"/>
      <c r="Q1208" s="163">
        <v>4</v>
      </c>
      <c r="R1208" s="163">
        <v>0</v>
      </c>
      <c r="S1208" s="163">
        <v>0</v>
      </c>
      <c r="T1208" s="163">
        <v>0</v>
      </c>
      <c r="U1208" s="163">
        <v>0</v>
      </c>
      <c r="V1208" s="163">
        <v>0</v>
      </c>
      <c r="W1208" s="163">
        <v>0</v>
      </c>
      <c r="X1208" s="163">
        <v>0</v>
      </c>
      <c r="Y1208" s="163">
        <v>4</v>
      </c>
      <c r="Z1208" s="163">
        <v>4</v>
      </c>
      <c r="AA1208" s="163">
        <v>0</v>
      </c>
      <c r="AB1208" s="163">
        <v>0</v>
      </c>
      <c r="AC1208" s="163">
        <v>4</v>
      </c>
      <c r="AD1208" s="163">
        <v>0</v>
      </c>
      <c r="AE1208" s="165">
        <v>2.9139229651339058E-2</v>
      </c>
      <c r="AF1208" s="166">
        <v>5.8278459302678116E-2</v>
      </c>
    </row>
    <row r="1209" spans="1:32">
      <c r="A1209" s="161">
        <v>26</v>
      </c>
      <c r="B1209" s="162">
        <v>0.14583333333333334</v>
      </c>
      <c r="C1209" s="163">
        <v>0.29704791959297211</v>
      </c>
      <c r="D1209" s="163">
        <v>614.43752275997429</v>
      </c>
      <c r="E1209" s="164">
        <v>0.99980000000000002</v>
      </c>
      <c r="F1209" s="164">
        <v>0.99980000000000002</v>
      </c>
      <c r="G1209" s="163">
        <v>2</v>
      </c>
      <c r="H1209" s="163">
        <v>6.6666666666666661</v>
      </c>
      <c r="I1209" s="163">
        <v>4.6666666666666661</v>
      </c>
      <c r="J1209" s="163">
        <v>1</v>
      </c>
      <c r="K1209" s="163">
        <v>1.6303373819163294</v>
      </c>
      <c r="L1209" s="163">
        <v>0.63033738191632938</v>
      </c>
      <c r="M1209" s="163">
        <v>2</v>
      </c>
      <c r="N1209" s="163">
        <v>6.0908681961313533</v>
      </c>
      <c r="O1209" s="163">
        <v>4.0908681961313533</v>
      </c>
      <c r="P1209" s="163"/>
      <c r="Q1209" s="163">
        <v>4</v>
      </c>
      <c r="R1209" s="163">
        <v>0</v>
      </c>
      <c r="S1209" s="163">
        <v>0</v>
      </c>
      <c r="T1209" s="163">
        <v>0</v>
      </c>
      <c r="U1209" s="163">
        <v>0</v>
      </c>
      <c r="V1209" s="163">
        <v>0</v>
      </c>
      <c r="W1209" s="163">
        <v>0</v>
      </c>
      <c r="X1209" s="163">
        <v>0</v>
      </c>
      <c r="Y1209" s="163">
        <v>4</v>
      </c>
      <c r="Z1209" s="163">
        <v>4</v>
      </c>
      <c r="AA1209" s="163">
        <v>0</v>
      </c>
      <c r="AB1209" s="163">
        <v>0</v>
      </c>
      <c r="AC1209" s="163">
        <v>4</v>
      </c>
      <c r="AD1209" s="163">
        <v>0</v>
      </c>
      <c r="AE1209" s="165">
        <v>3.1097412699186811E-2</v>
      </c>
      <c r="AF1209" s="166">
        <v>6.2194825398373621E-2</v>
      </c>
    </row>
    <row r="1210" spans="1:32">
      <c r="A1210" s="161">
        <v>26</v>
      </c>
      <c r="B1210" s="162">
        <v>0.16666666666666666</v>
      </c>
      <c r="C1210" s="163">
        <v>0.33283124943276954</v>
      </c>
      <c r="D1210" s="163">
        <v>614.4635483609602</v>
      </c>
      <c r="E1210" s="164">
        <v>0.99980000000000002</v>
      </c>
      <c r="F1210" s="164">
        <v>0.99980000000000002</v>
      </c>
      <c r="G1210" s="163">
        <v>2</v>
      </c>
      <c r="H1210" s="163">
        <v>6.6666666666666661</v>
      </c>
      <c r="I1210" s="163">
        <v>4.6666666666666661</v>
      </c>
      <c r="J1210" s="163">
        <v>1</v>
      </c>
      <c r="K1210" s="163">
        <v>1.6303373819163294</v>
      </c>
      <c r="L1210" s="163">
        <v>0.63033738191632938</v>
      </c>
      <c r="M1210" s="163">
        <v>2</v>
      </c>
      <c r="N1210" s="163">
        <v>6.0908681961313533</v>
      </c>
      <c r="O1210" s="163">
        <v>4.0908681961313533</v>
      </c>
      <c r="P1210" s="163"/>
      <c r="Q1210" s="163">
        <v>4</v>
      </c>
      <c r="R1210" s="163">
        <v>0</v>
      </c>
      <c r="S1210" s="163">
        <v>0</v>
      </c>
      <c r="T1210" s="163">
        <v>0</v>
      </c>
      <c r="U1210" s="163">
        <v>0</v>
      </c>
      <c r="V1210" s="163">
        <v>0</v>
      </c>
      <c r="W1210" s="163">
        <v>0</v>
      </c>
      <c r="X1210" s="163">
        <v>0</v>
      </c>
      <c r="Y1210" s="163">
        <v>4</v>
      </c>
      <c r="Z1210" s="163">
        <v>4</v>
      </c>
      <c r="AA1210" s="163">
        <v>0</v>
      </c>
      <c r="AB1210" s="163">
        <v>0</v>
      </c>
      <c r="AC1210" s="163">
        <v>4</v>
      </c>
      <c r="AD1210" s="163">
        <v>0</v>
      </c>
      <c r="AE1210" s="165">
        <v>3.4844981031452275E-2</v>
      </c>
      <c r="AF1210" s="166">
        <v>6.9689962062904551E-2</v>
      </c>
    </row>
    <row r="1211" spans="1:32">
      <c r="A1211" s="161">
        <v>26</v>
      </c>
      <c r="B1211" s="162">
        <v>0.1875</v>
      </c>
      <c r="C1211" s="163">
        <v>0.48927616929760154</v>
      </c>
      <c r="D1211" s="163">
        <v>652.8678302493604</v>
      </c>
      <c r="E1211" s="164">
        <v>0.99929999999999997</v>
      </c>
      <c r="F1211" s="164">
        <v>0.99929999999999997</v>
      </c>
      <c r="G1211" s="163">
        <v>2</v>
      </c>
      <c r="H1211" s="163">
        <v>6.6666666666666661</v>
      </c>
      <c r="I1211" s="163">
        <v>4.6666666666666661</v>
      </c>
      <c r="J1211" s="163">
        <v>1</v>
      </c>
      <c r="K1211" s="163">
        <v>1.6303373819163294</v>
      </c>
      <c r="L1211" s="163">
        <v>0.63033738191632938</v>
      </c>
      <c r="M1211" s="163">
        <v>2</v>
      </c>
      <c r="N1211" s="163">
        <v>6.0908681961313533</v>
      </c>
      <c r="O1211" s="163">
        <v>4.0908681961313533</v>
      </c>
      <c r="P1211" s="163"/>
      <c r="Q1211" s="163">
        <v>4</v>
      </c>
      <c r="R1211" s="163">
        <v>0</v>
      </c>
      <c r="S1211" s="163">
        <v>0</v>
      </c>
      <c r="T1211" s="163">
        <v>0</v>
      </c>
      <c r="U1211" s="163">
        <v>0</v>
      </c>
      <c r="V1211" s="163">
        <v>0</v>
      </c>
      <c r="W1211" s="163">
        <v>0</v>
      </c>
      <c r="X1211" s="163">
        <v>0</v>
      </c>
      <c r="Y1211" s="163">
        <v>4</v>
      </c>
      <c r="Z1211" s="163">
        <v>4</v>
      </c>
      <c r="AA1211" s="163">
        <v>0</v>
      </c>
      <c r="AB1211" s="163">
        <v>0</v>
      </c>
      <c r="AC1211" s="163">
        <v>4</v>
      </c>
      <c r="AD1211" s="163">
        <v>0</v>
      </c>
      <c r="AE1211" s="165">
        <v>5.442511378067183E-2</v>
      </c>
      <c r="AF1211" s="166">
        <v>0.10885022756134366</v>
      </c>
    </row>
    <row r="1212" spans="1:32">
      <c r="A1212" s="161">
        <v>26</v>
      </c>
      <c r="B1212" s="162">
        <v>0.20833333333333334</v>
      </c>
      <c r="C1212" s="163">
        <v>0.85833057444941996</v>
      </c>
      <c r="D1212" s="163">
        <v>686.23637309137348</v>
      </c>
      <c r="E1212" s="164">
        <v>0.99569999999999992</v>
      </c>
      <c r="F1212" s="164">
        <v>0.99569999999999992</v>
      </c>
      <c r="G1212" s="163">
        <v>3</v>
      </c>
      <c r="H1212" s="163">
        <v>6.6666666666666661</v>
      </c>
      <c r="I1212" s="163">
        <v>3.6666666666666661</v>
      </c>
      <c r="J1212" s="163">
        <v>2</v>
      </c>
      <c r="K1212" s="163">
        <v>2.445506072874494</v>
      </c>
      <c r="L1212" s="163">
        <v>0.44550607287449395</v>
      </c>
      <c r="M1212" s="163">
        <v>3</v>
      </c>
      <c r="N1212" s="163">
        <v>6.0908681961313533</v>
      </c>
      <c r="O1212" s="163">
        <v>3.0908681961313533</v>
      </c>
      <c r="P1212" s="163"/>
      <c r="Q1212" s="163">
        <v>4</v>
      </c>
      <c r="R1212" s="163">
        <v>0</v>
      </c>
      <c r="S1212" s="163">
        <v>0</v>
      </c>
      <c r="T1212" s="163">
        <v>0</v>
      </c>
      <c r="U1212" s="163">
        <v>0</v>
      </c>
      <c r="V1212" s="163">
        <v>0</v>
      </c>
      <c r="W1212" s="163">
        <v>0</v>
      </c>
      <c r="X1212" s="163">
        <v>0</v>
      </c>
      <c r="Y1212" s="163">
        <v>4</v>
      </c>
      <c r="Z1212" s="163">
        <v>4</v>
      </c>
      <c r="AA1212" s="163">
        <v>0</v>
      </c>
      <c r="AB1212" s="163">
        <v>0</v>
      </c>
      <c r="AC1212" s="163">
        <v>4</v>
      </c>
      <c r="AD1212" s="163">
        <v>0</v>
      </c>
      <c r="AE1212" s="165">
        <v>0.10035715218910064</v>
      </c>
      <c r="AF1212" s="166">
        <v>0.13380953625213418</v>
      </c>
    </row>
    <row r="1213" spans="1:32">
      <c r="A1213" s="161">
        <v>26</v>
      </c>
      <c r="B1213" s="162">
        <v>0.22916666666666666</v>
      </c>
      <c r="C1213" s="163">
        <v>1.4379162422961693</v>
      </c>
      <c r="D1213" s="163">
        <v>701.37346415764182</v>
      </c>
      <c r="E1213" s="164">
        <v>0.98129999999999995</v>
      </c>
      <c r="F1213" s="164">
        <v>0.98129999999999995</v>
      </c>
      <c r="G1213" s="163">
        <v>3</v>
      </c>
      <c r="H1213" s="163">
        <v>6.6666666666666661</v>
      </c>
      <c r="I1213" s="163">
        <v>3.6666666666666661</v>
      </c>
      <c r="J1213" s="163">
        <v>2</v>
      </c>
      <c r="K1213" s="163">
        <v>2.445506072874494</v>
      </c>
      <c r="L1213" s="163">
        <v>0.44550607287449395</v>
      </c>
      <c r="M1213" s="163">
        <v>3</v>
      </c>
      <c r="N1213" s="163">
        <v>6.0908681961313533</v>
      </c>
      <c r="O1213" s="163">
        <v>3.0908681961313533</v>
      </c>
      <c r="P1213" s="163"/>
      <c r="Q1213" s="163">
        <v>4</v>
      </c>
      <c r="R1213" s="163">
        <v>0</v>
      </c>
      <c r="S1213" s="163">
        <v>0</v>
      </c>
      <c r="T1213" s="163">
        <v>0</v>
      </c>
      <c r="U1213" s="163">
        <v>0</v>
      </c>
      <c r="V1213" s="163">
        <v>0</v>
      </c>
      <c r="W1213" s="163">
        <v>0</v>
      </c>
      <c r="X1213" s="163">
        <v>0</v>
      </c>
      <c r="Y1213" s="163">
        <v>4</v>
      </c>
      <c r="Z1213" s="163">
        <v>4</v>
      </c>
      <c r="AA1213" s="163">
        <v>0</v>
      </c>
      <c r="AB1213" s="163">
        <v>0</v>
      </c>
      <c r="AC1213" s="163">
        <v>4</v>
      </c>
      <c r="AD1213" s="163">
        <v>0</v>
      </c>
      <c r="AE1213" s="165">
        <v>0.17183155994006152</v>
      </c>
      <c r="AF1213" s="166">
        <v>0.22910874658674871</v>
      </c>
    </row>
    <row r="1214" spans="1:32">
      <c r="A1214" s="161">
        <v>26</v>
      </c>
      <c r="B1214" s="162">
        <v>0.25</v>
      </c>
      <c r="C1214" s="163">
        <v>2.209200089642481</v>
      </c>
      <c r="D1214" s="163">
        <v>708.47880024742062</v>
      </c>
      <c r="E1214" s="164">
        <v>0.94180000000000008</v>
      </c>
      <c r="F1214" s="164">
        <v>0.94180000000000008</v>
      </c>
      <c r="G1214" s="163">
        <v>4</v>
      </c>
      <c r="H1214" s="163">
        <v>6.6666666666666661</v>
      </c>
      <c r="I1214" s="163">
        <v>2.6666666666666661</v>
      </c>
      <c r="J1214" s="163">
        <v>3</v>
      </c>
      <c r="K1214" s="163">
        <v>3.2606747638326588</v>
      </c>
      <c r="L1214" s="163">
        <v>0.26067476383265875</v>
      </c>
      <c r="M1214" s="163">
        <v>4</v>
      </c>
      <c r="N1214" s="163">
        <v>6.0908681961313533</v>
      </c>
      <c r="O1214" s="163">
        <v>2.0908681961313533</v>
      </c>
      <c r="P1214" s="163"/>
      <c r="Q1214" s="163">
        <v>4</v>
      </c>
      <c r="R1214" s="163">
        <v>0</v>
      </c>
      <c r="S1214" s="163">
        <v>0</v>
      </c>
      <c r="T1214" s="163">
        <v>0</v>
      </c>
      <c r="U1214" s="163">
        <v>0</v>
      </c>
      <c r="V1214" s="163">
        <v>0</v>
      </c>
      <c r="W1214" s="163">
        <v>0</v>
      </c>
      <c r="X1214" s="163">
        <v>0</v>
      </c>
      <c r="Y1214" s="163">
        <v>4</v>
      </c>
      <c r="Z1214" s="163">
        <v>4</v>
      </c>
      <c r="AA1214" s="163">
        <v>0</v>
      </c>
      <c r="AB1214" s="163">
        <v>0</v>
      </c>
      <c r="AC1214" s="163">
        <v>4</v>
      </c>
      <c r="AD1214" s="163">
        <v>0</v>
      </c>
      <c r="AE1214" s="165">
        <v>0.2666747669629016</v>
      </c>
      <c r="AF1214" s="166">
        <v>0.2666747669629016</v>
      </c>
    </row>
    <row r="1215" spans="1:32">
      <c r="A1215" s="161">
        <v>26</v>
      </c>
      <c r="B1215" s="162">
        <v>0.27083333333333331</v>
      </c>
      <c r="C1215" s="163">
        <v>3.1898540156553592</v>
      </c>
      <c r="D1215" s="163">
        <v>776.36969507255367</v>
      </c>
      <c r="E1215" s="164">
        <v>0.82430000000000003</v>
      </c>
      <c r="F1215" s="164">
        <v>0.82430000000000003</v>
      </c>
      <c r="G1215" s="163">
        <v>4</v>
      </c>
      <c r="H1215" s="163">
        <v>6.6666666666666661</v>
      </c>
      <c r="I1215" s="163">
        <v>2.6666666666666661</v>
      </c>
      <c r="J1215" s="163">
        <v>3</v>
      </c>
      <c r="K1215" s="163">
        <v>3.2606747638326588</v>
      </c>
      <c r="L1215" s="163">
        <v>0.26067476383265875</v>
      </c>
      <c r="M1215" s="163">
        <v>4</v>
      </c>
      <c r="N1215" s="163">
        <v>6.0908681961313533</v>
      </c>
      <c r="O1215" s="163">
        <v>2.0908681961313533</v>
      </c>
      <c r="P1215" s="163"/>
      <c r="Q1215" s="163">
        <v>4</v>
      </c>
      <c r="R1215" s="163">
        <v>0</v>
      </c>
      <c r="S1215" s="163">
        <v>0</v>
      </c>
      <c r="T1215" s="163">
        <v>0</v>
      </c>
      <c r="U1215" s="163">
        <v>0</v>
      </c>
      <c r="V1215" s="163">
        <v>0</v>
      </c>
      <c r="W1215" s="163">
        <v>0</v>
      </c>
      <c r="X1215" s="163">
        <v>0</v>
      </c>
      <c r="Y1215" s="163">
        <v>4</v>
      </c>
      <c r="Z1215" s="163">
        <v>4</v>
      </c>
      <c r="AA1215" s="163">
        <v>0</v>
      </c>
      <c r="AB1215" s="163">
        <v>0</v>
      </c>
      <c r="AC1215" s="163">
        <v>4</v>
      </c>
      <c r="AD1215" s="163">
        <v>0</v>
      </c>
      <c r="AE1215" s="165">
        <v>0.421948449465748</v>
      </c>
      <c r="AF1215" s="166">
        <v>0.421948449465748</v>
      </c>
    </row>
    <row r="1216" spans="1:32">
      <c r="A1216" s="161">
        <v>26</v>
      </c>
      <c r="B1216" s="162">
        <v>0.29166666666666669</v>
      </c>
      <c r="C1216" s="163">
        <v>7.7885958390099521</v>
      </c>
      <c r="D1216" s="163">
        <v>779.08183828674828</v>
      </c>
      <c r="E1216" s="164">
        <v>0.72789999999999999</v>
      </c>
      <c r="F1216" s="164">
        <v>0.72789999999999999</v>
      </c>
      <c r="G1216" s="163">
        <v>8</v>
      </c>
      <c r="H1216" s="163">
        <v>11.666666666666668</v>
      </c>
      <c r="I1216" s="163">
        <v>3.6666666666666679</v>
      </c>
      <c r="J1216" s="163">
        <v>6</v>
      </c>
      <c r="K1216" s="163">
        <v>6.5213495276653175</v>
      </c>
      <c r="L1216" s="163">
        <v>0.5213495276653175</v>
      </c>
      <c r="M1216" s="163">
        <v>7</v>
      </c>
      <c r="N1216" s="163">
        <v>10.65901934322987</v>
      </c>
      <c r="O1216" s="163">
        <v>3.6590193432298701</v>
      </c>
      <c r="P1216" s="163"/>
      <c r="Q1216" s="163">
        <v>7</v>
      </c>
      <c r="R1216" s="163">
        <v>0</v>
      </c>
      <c r="S1216" s="163">
        <v>0</v>
      </c>
      <c r="T1216" s="163">
        <v>0</v>
      </c>
      <c r="U1216" s="163">
        <v>0</v>
      </c>
      <c r="V1216" s="163">
        <v>0</v>
      </c>
      <c r="W1216" s="163">
        <v>0</v>
      </c>
      <c r="X1216" s="163">
        <v>0</v>
      </c>
      <c r="Y1216" s="163">
        <v>7</v>
      </c>
      <c r="Z1216" s="163">
        <v>7</v>
      </c>
      <c r="AA1216" s="163">
        <v>0</v>
      </c>
      <c r="AB1216" s="163">
        <v>0</v>
      </c>
      <c r="AC1216" s="163">
        <v>4</v>
      </c>
      <c r="AD1216" s="163">
        <v>3</v>
      </c>
      <c r="AE1216" s="165">
        <v>0.59077786171930935</v>
      </c>
      <c r="AF1216" s="166">
        <v>0.51693062900439568</v>
      </c>
    </row>
    <row r="1217" spans="1:32">
      <c r="A1217" s="161">
        <v>26</v>
      </c>
      <c r="B1217" s="162">
        <v>0.3125</v>
      </c>
      <c r="C1217" s="163">
        <v>9.1214730115308136</v>
      </c>
      <c r="D1217" s="163">
        <v>788.48708343057365</v>
      </c>
      <c r="E1217" s="164">
        <v>0.95299999999999996</v>
      </c>
      <c r="F1217" s="164">
        <v>0.95299999999999996</v>
      </c>
      <c r="G1217" s="163">
        <v>9</v>
      </c>
      <c r="H1217" s="163">
        <v>18.333333333333332</v>
      </c>
      <c r="I1217" s="163">
        <v>9.3333333333333321</v>
      </c>
      <c r="J1217" s="163">
        <v>7</v>
      </c>
      <c r="K1217" s="163">
        <v>7.3365182186234819</v>
      </c>
      <c r="L1217" s="163">
        <v>0.33651821862348186</v>
      </c>
      <c r="M1217" s="163">
        <v>8</v>
      </c>
      <c r="N1217" s="163">
        <v>16.749887539361222</v>
      </c>
      <c r="O1217" s="163">
        <v>8.7498875393612217</v>
      </c>
      <c r="P1217" s="163"/>
      <c r="Q1217" s="163">
        <v>11</v>
      </c>
      <c r="R1217" s="163">
        <v>0</v>
      </c>
      <c r="S1217" s="163">
        <v>0</v>
      </c>
      <c r="T1217" s="163">
        <v>0</v>
      </c>
      <c r="U1217" s="163">
        <v>0</v>
      </c>
      <c r="V1217" s="163">
        <v>0</v>
      </c>
      <c r="W1217" s="163">
        <v>0</v>
      </c>
      <c r="X1217" s="163">
        <v>0</v>
      </c>
      <c r="Y1217" s="163">
        <v>11</v>
      </c>
      <c r="Z1217" s="163">
        <v>11</v>
      </c>
      <c r="AA1217" s="163">
        <v>0</v>
      </c>
      <c r="AB1217" s="163">
        <v>0</v>
      </c>
      <c r="AC1217" s="163">
        <v>8</v>
      </c>
      <c r="AD1217" s="163">
        <v>3</v>
      </c>
      <c r="AE1217" s="165">
        <v>0.44560174168397376</v>
      </c>
      <c r="AF1217" s="166">
        <v>0.54462435094707895</v>
      </c>
    </row>
    <row r="1218" spans="1:32">
      <c r="A1218" s="161">
        <v>26</v>
      </c>
      <c r="B1218" s="162">
        <v>0.33333333333333331</v>
      </c>
      <c r="C1218" s="163">
        <v>12.952452429867421</v>
      </c>
      <c r="D1218" s="163">
        <v>825.74756271532522</v>
      </c>
      <c r="E1218" s="164">
        <v>0.92</v>
      </c>
      <c r="F1218" s="164">
        <v>0.92</v>
      </c>
      <c r="G1218" s="163">
        <v>12</v>
      </c>
      <c r="H1218" s="163">
        <v>21.666666666666664</v>
      </c>
      <c r="I1218" s="163">
        <v>9.6666666666666643</v>
      </c>
      <c r="J1218" s="163">
        <v>9</v>
      </c>
      <c r="K1218" s="163">
        <v>9.7820242914979758</v>
      </c>
      <c r="L1218" s="163">
        <v>0.78202429149797581</v>
      </c>
      <c r="M1218" s="163">
        <v>11</v>
      </c>
      <c r="N1218" s="163">
        <v>19.795321637426898</v>
      </c>
      <c r="O1218" s="163">
        <v>8.7953216374268983</v>
      </c>
      <c r="P1218" s="163"/>
      <c r="Q1218" s="163">
        <v>13</v>
      </c>
      <c r="R1218" s="163">
        <v>0</v>
      </c>
      <c r="S1218" s="163">
        <v>0</v>
      </c>
      <c r="T1218" s="163">
        <v>0</v>
      </c>
      <c r="U1218" s="163">
        <v>0</v>
      </c>
      <c r="V1218" s="163">
        <v>0</v>
      </c>
      <c r="W1218" s="163">
        <v>0</v>
      </c>
      <c r="X1218" s="163">
        <v>0</v>
      </c>
      <c r="Y1218" s="163">
        <v>13</v>
      </c>
      <c r="Z1218" s="163">
        <v>13</v>
      </c>
      <c r="AA1218" s="163">
        <v>0</v>
      </c>
      <c r="AB1218" s="163">
        <v>0</v>
      </c>
      <c r="AC1218" s="163">
        <v>10</v>
      </c>
      <c r="AD1218" s="163">
        <v>3</v>
      </c>
      <c r="AE1218" s="165">
        <v>0.56070697436658468</v>
      </c>
      <c r="AF1218" s="166">
        <v>0.60743255556379994</v>
      </c>
    </row>
    <row r="1219" spans="1:32">
      <c r="A1219" s="161">
        <v>26</v>
      </c>
      <c r="B1219" s="162">
        <v>0.35416666666666669</v>
      </c>
      <c r="C1219" s="163">
        <v>15.684821822326615</v>
      </c>
      <c r="D1219" s="163">
        <v>841.96926652337027</v>
      </c>
      <c r="E1219" s="164">
        <v>0.92730000000000012</v>
      </c>
      <c r="F1219" s="164">
        <v>0.92730000000000012</v>
      </c>
      <c r="G1219" s="163">
        <v>14</v>
      </c>
      <c r="H1219" s="163">
        <v>25</v>
      </c>
      <c r="I1219" s="163">
        <v>11</v>
      </c>
      <c r="J1219" s="163">
        <v>11</v>
      </c>
      <c r="K1219" s="163">
        <v>11.412361673414306</v>
      </c>
      <c r="L1219" s="163">
        <v>0.4123616734143063</v>
      </c>
      <c r="M1219" s="163">
        <v>13</v>
      </c>
      <c r="N1219" s="163">
        <v>22.840755735492575</v>
      </c>
      <c r="O1219" s="163">
        <v>9.840755735492575</v>
      </c>
      <c r="P1219" s="163"/>
      <c r="Q1219" s="163">
        <v>15</v>
      </c>
      <c r="R1219" s="163">
        <v>0</v>
      </c>
      <c r="S1219" s="163">
        <v>0</v>
      </c>
      <c r="T1219" s="163">
        <v>0</v>
      </c>
      <c r="U1219" s="163">
        <v>0</v>
      </c>
      <c r="V1219" s="163">
        <v>0</v>
      </c>
      <c r="W1219" s="163">
        <v>0</v>
      </c>
      <c r="X1219" s="163">
        <v>0</v>
      </c>
      <c r="Y1219" s="163">
        <v>15</v>
      </c>
      <c r="Z1219" s="163">
        <v>15</v>
      </c>
      <c r="AA1219" s="163">
        <v>0</v>
      </c>
      <c r="AB1219" s="163">
        <v>0</v>
      </c>
      <c r="AC1219" s="163">
        <v>10</v>
      </c>
      <c r="AD1219" s="163">
        <v>5</v>
      </c>
      <c r="AE1219" s="165">
        <v>0.60001840708629317</v>
      </c>
      <c r="AF1219" s="166">
        <v>0.64287686473531414</v>
      </c>
    </row>
    <row r="1220" spans="1:32">
      <c r="A1220" s="161">
        <v>26</v>
      </c>
      <c r="B1220" s="162">
        <v>0.375</v>
      </c>
      <c r="C1220" s="163">
        <v>18.993680575283069</v>
      </c>
      <c r="D1220" s="163">
        <v>853.31117656939966</v>
      </c>
      <c r="E1220" s="164">
        <v>0.87390000000000001</v>
      </c>
      <c r="F1220" s="164">
        <v>0.87390000000000001</v>
      </c>
      <c r="G1220" s="163">
        <v>16</v>
      </c>
      <c r="H1220" s="163">
        <v>28.333333333333336</v>
      </c>
      <c r="I1220" s="163">
        <v>12.333333333333336</v>
      </c>
      <c r="J1220" s="163">
        <v>13</v>
      </c>
      <c r="K1220" s="163">
        <v>13.042699055330635</v>
      </c>
      <c r="L1220" s="163">
        <v>4.2699055330635005E-2</v>
      </c>
      <c r="M1220" s="163">
        <v>15</v>
      </c>
      <c r="N1220" s="163">
        <v>25.886189833558255</v>
      </c>
      <c r="O1220" s="163">
        <v>10.886189833558255</v>
      </c>
      <c r="P1220" s="163"/>
      <c r="Q1220" s="163">
        <v>17</v>
      </c>
      <c r="R1220" s="163">
        <v>0</v>
      </c>
      <c r="S1220" s="163">
        <v>0</v>
      </c>
      <c r="T1220" s="163">
        <v>0</v>
      </c>
      <c r="U1220" s="163">
        <v>0</v>
      </c>
      <c r="V1220" s="163">
        <v>0</v>
      </c>
      <c r="W1220" s="163">
        <v>0</v>
      </c>
      <c r="X1220" s="163">
        <v>0</v>
      </c>
      <c r="Y1220" s="163">
        <v>17</v>
      </c>
      <c r="Z1220" s="163">
        <v>17</v>
      </c>
      <c r="AA1220" s="163">
        <v>0</v>
      </c>
      <c r="AB1220" s="163">
        <v>0</v>
      </c>
      <c r="AC1220" s="163">
        <v>12</v>
      </c>
      <c r="AD1220" s="163">
        <v>5</v>
      </c>
      <c r="AE1220" s="165">
        <v>0.64975203239564416</v>
      </c>
      <c r="AF1220" s="166">
        <v>0.69036153442037196</v>
      </c>
    </row>
    <row r="1221" spans="1:32">
      <c r="A1221" s="161">
        <v>26</v>
      </c>
      <c r="B1221" s="162">
        <v>0.39583333333333331</v>
      </c>
      <c r="C1221" s="163">
        <v>19.664959715727214</v>
      </c>
      <c r="D1221" s="163">
        <v>824.47772920397779</v>
      </c>
      <c r="E1221" s="164">
        <v>0.96040000000000003</v>
      </c>
      <c r="F1221" s="164">
        <v>0.96040000000000003</v>
      </c>
      <c r="G1221" s="163">
        <v>16</v>
      </c>
      <c r="H1221" s="163">
        <v>31.666666666666664</v>
      </c>
      <c r="I1221" s="163">
        <v>15.666666666666664</v>
      </c>
      <c r="J1221" s="163">
        <v>13</v>
      </c>
      <c r="K1221" s="163">
        <v>13.042699055330635</v>
      </c>
      <c r="L1221" s="163">
        <v>4.2699055330635005E-2</v>
      </c>
      <c r="M1221" s="163">
        <v>15</v>
      </c>
      <c r="N1221" s="163">
        <v>28.931623931623928</v>
      </c>
      <c r="O1221" s="163">
        <v>13.931623931623928</v>
      </c>
      <c r="P1221" s="163"/>
      <c r="Q1221" s="163">
        <v>19</v>
      </c>
      <c r="R1221" s="163">
        <v>0</v>
      </c>
      <c r="S1221" s="163">
        <v>0</v>
      </c>
      <c r="T1221" s="163">
        <v>0</v>
      </c>
      <c r="U1221" s="163">
        <v>0</v>
      </c>
      <c r="V1221" s="163">
        <v>0</v>
      </c>
      <c r="W1221" s="163">
        <v>0</v>
      </c>
      <c r="X1221" s="163">
        <v>0</v>
      </c>
      <c r="Y1221" s="163">
        <v>19</v>
      </c>
      <c r="Z1221" s="163">
        <v>19</v>
      </c>
      <c r="AA1221" s="163">
        <v>0</v>
      </c>
      <c r="AB1221" s="163">
        <v>0</v>
      </c>
      <c r="AC1221" s="163">
        <v>14</v>
      </c>
      <c r="AD1221" s="163">
        <v>5</v>
      </c>
      <c r="AE1221" s="165">
        <v>0.58156517589076917</v>
      </c>
      <c r="AF1221" s="166">
        <v>0.69060864637028851</v>
      </c>
    </row>
    <row r="1222" spans="1:32">
      <c r="A1222" s="161">
        <v>26</v>
      </c>
      <c r="B1222" s="162">
        <v>0.41666666666666669</v>
      </c>
      <c r="C1222" s="163">
        <v>21.225079379442636</v>
      </c>
      <c r="D1222" s="163">
        <v>841.70960874913487</v>
      </c>
      <c r="E1222" s="164">
        <v>0.91959999999999997</v>
      </c>
      <c r="F1222" s="164">
        <v>0.91959999999999997</v>
      </c>
      <c r="G1222" s="163">
        <v>18</v>
      </c>
      <c r="H1222" s="163">
        <v>31.666666666666664</v>
      </c>
      <c r="I1222" s="163">
        <v>13.666666666666664</v>
      </c>
      <c r="J1222" s="163">
        <v>14</v>
      </c>
      <c r="K1222" s="163">
        <v>14.673036437246964</v>
      </c>
      <c r="L1222" s="163">
        <v>0.67303643724696371</v>
      </c>
      <c r="M1222" s="163">
        <v>16</v>
      </c>
      <c r="N1222" s="163">
        <v>28.931623931623928</v>
      </c>
      <c r="O1222" s="163">
        <v>12.931623931623928</v>
      </c>
      <c r="P1222" s="163"/>
      <c r="Q1222" s="163">
        <v>19</v>
      </c>
      <c r="R1222" s="163">
        <v>0</v>
      </c>
      <c r="S1222" s="163">
        <v>0</v>
      </c>
      <c r="T1222" s="163">
        <v>0</v>
      </c>
      <c r="U1222" s="163">
        <v>0</v>
      </c>
      <c r="V1222" s="163">
        <v>0</v>
      </c>
      <c r="W1222" s="163">
        <v>0</v>
      </c>
      <c r="X1222" s="163">
        <v>0</v>
      </c>
      <c r="Y1222" s="163">
        <v>19</v>
      </c>
      <c r="Z1222" s="163">
        <v>19</v>
      </c>
      <c r="AA1222" s="163">
        <v>0</v>
      </c>
      <c r="AB1222" s="163">
        <v>0</v>
      </c>
      <c r="AC1222" s="163">
        <v>14</v>
      </c>
      <c r="AD1222" s="163">
        <v>5</v>
      </c>
      <c r="AE1222" s="165">
        <v>0.64082288254039432</v>
      </c>
      <c r="AF1222" s="166">
        <v>0.67642415379263843</v>
      </c>
    </row>
    <row r="1223" spans="1:32">
      <c r="A1223" s="161">
        <v>26</v>
      </c>
      <c r="B1223" s="162">
        <v>0.4375</v>
      </c>
      <c r="C1223" s="163">
        <v>21.239935912654957</v>
      </c>
      <c r="D1223" s="163">
        <v>840.37667003348486</v>
      </c>
      <c r="E1223" s="164">
        <v>0.92</v>
      </c>
      <c r="F1223" s="164">
        <v>0.92</v>
      </c>
      <c r="G1223" s="163">
        <v>18</v>
      </c>
      <c r="H1223" s="163">
        <v>31.666666666666664</v>
      </c>
      <c r="I1223" s="163">
        <v>13.666666666666664</v>
      </c>
      <c r="J1223" s="163">
        <v>14</v>
      </c>
      <c r="K1223" s="163">
        <v>14.673036437246964</v>
      </c>
      <c r="L1223" s="163">
        <v>0.67303643724696371</v>
      </c>
      <c r="M1223" s="163">
        <v>16</v>
      </c>
      <c r="N1223" s="163">
        <v>28.931623931623928</v>
      </c>
      <c r="O1223" s="163">
        <v>12.931623931623928</v>
      </c>
      <c r="P1223" s="163"/>
      <c r="Q1223" s="163">
        <v>19</v>
      </c>
      <c r="R1223" s="163">
        <v>0</v>
      </c>
      <c r="S1223" s="163">
        <v>0</v>
      </c>
      <c r="T1223" s="163">
        <v>0</v>
      </c>
      <c r="U1223" s="163">
        <v>0</v>
      </c>
      <c r="V1223" s="163">
        <v>0</v>
      </c>
      <c r="W1223" s="163">
        <v>0</v>
      </c>
      <c r="X1223" s="163">
        <v>0</v>
      </c>
      <c r="Y1223" s="163">
        <v>19</v>
      </c>
      <c r="Z1223" s="163">
        <v>19</v>
      </c>
      <c r="AA1223" s="163">
        <v>0</v>
      </c>
      <c r="AB1223" s="163">
        <v>0</v>
      </c>
      <c r="AC1223" s="163">
        <v>14</v>
      </c>
      <c r="AD1223" s="163">
        <v>5</v>
      </c>
      <c r="AE1223" s="165">
        <v>0.64025590463661564</v>
      </c>
      <c r="AF1223" s="166">
        <v>0.6758256771164276</v>
      </c>
    </row>
    <row r="1224" spans="1:32">
      <c r="A1224" s="161">
        <v>26</v>
      </c>
      <c r="B1224" s="162">
        <v>0.45833333333333331</v>
      </c>
      <c r="C1224" s="163">
        <v>23.148615328979002</v>
      </c>
      <c r="D1224" s="163">
        <v>847.97349559905331</v>
      </c>
      <c r="E1224" s="164">
        <v>0.84899999999999987</v>
      </c>
      <c r="F1224" s="164">
        <v>0.84899999999999987</v>
      </c>
      <c r="G1224" s="163">
        <v>19</v>
      </c>
      <c r="H1224" s="163">
        <v>31.666666666666664</v>
      </c>
      <c r="I1224" s="163">
        <v>12.666666666666664</v>
      </c>
      <c r="J1224" s="163">
        <v>15</v>
      </c>
      <c r="K1224" s="163">
        <v>15.488205128205129</v>
      </c>
      <c r="L1224" s="163">
        <v>0.48820512820512896</v>
      </c>
      <c r="M1224" s="163">
        <v>17</v>
      </c>
      <c r="N1224" s="163">
        <v>28.931623931623928</v>
      </c>
      <c r="O1224" s="163">
        <v>11.931623931623928</v>
      </c>
      <c r="P1224" s="163"/>
      <c r="Q1224" s="163">
        <v>19</v>
      </c>
      <c r="R1224" s="163">
        <v>0</v>
      </c>
      <c r="S1224" s="163">
        <v>0</v>
      </c>
      <c r="T1224" s="163">
        <v>0</v>
      </c>
      <c r="U1224" s="163">
        <v>0</v>
      </c>
      <c r="V1224" s="163">
        <v>0</v>
      </c>
      <c r="W1224" s="163">
        <v>0</v>
      </c>
      <c r="X1224" s="163">
        <v>0</v>
      </c>
      <c r="Y1224" s="163">
        <v>19</v>
      </c>
      <c r="Z1224" s="163">
        <v>19</v>
      </c>
      <c r="AA1224" s="163">
        <v>0</v>
      </c>
      <c r="AB1224" s="163">
        <v>0</v>
      </c>
      <c r="AC1224" s="163">
        <v>14</v>
      </c>
      <c r="AD1224" s="163">
        <v>5</v>
      </c>
      <c r="AE1224" s="165">
        <v>0.70409895416500556</v>
      </c>
      <c r="AF1224" s="166">
        <v>0.70409895416500556</v>
      </c>
    </row>
    <row r="1225" spans="1:32">
      <c r="A1225" s="161">
        <v>26</v>
      </c>
      <c r="B1225" s="162">
        <v>0.47916666666666669</v>
      </c>
      <c r="C1225" s="163">
        <v>21.055117718540387</v>
      </c>
      <c r="D1225" s="163">
        <v>822.30425745133994</v>
      </c>
      <c r="E1225" s="164">
        <v>0.93579999999999997</v>
      </c>
      <c r="F1225" s="164">
        <v>0.93579999999999997</v>
      </c>
      <c r="G1225" s="163">
        <v>18</v>
      </c>
      <c r="H1225" s="163">
        <v>31.666666666666664</v>
      </c>
      <c r="I1225" s="163">
        <v>13.666666666666664</v>
      </c>
      <c r="J1225" s="163">
        <v>14</v>
      </c>
      <c r="K1225" s="163">
        <v>14.673036437246964</v>
      </c>
      <c r="L1225" s="163">
        <v>0.67303643724696371</v>
      </c>
      <c r="M1225" s="163">
        <v>16</v>
      </c>
      <c r="N1225" s="163">
        <v>28.931623931623928</v>
      </c>
      <c r="O1225" s="163">
        <v>12.931623931623928</v>
      </c>
      <c r="P1225" s="163"/>
      <c r="Q1225" s="163">
        <v>19</v>
      </c>
      <c r="R1225" s="163">
        <v>0</v>
      </c>
      <c r="S1225" s="163">
        <v>0</v>
      </c>
      <c r="T1225" s="163">
        <v>0</v>
      </c>
      <c r="U1225" s="163">
        <v>0</v>
      </c>
      <c r="V1225" s="163">
        <v>0</v>
      </c>
      <c r="W1225" s="163">
        <v>0</v>
      </c>
      <c r="X1225" s="163">
        <v>0</v>
      </c>
      <c r="Y1225" s="163">
        <v>19</v>
      </c>
      <c r="Z1225" s="163">
        <v>19</v>
      </c>
      <c r="AA1225" s="163">
        <v>0</v>
      </c>
      <c r="AB1225" s="163">
        <v>0</v>
      </c>
      <c r="AC1225" s="163">
        <v>14</v>
      </c>
      <c r="AD1225" s="163">
        <v>5</v>
      </c>
      <c r="AE1225" s="165">
        <v>0.6210357709043377</v>
      </c>
      <c r="AF1225" s="166">
        <v>0.65553775817680093</v>
      </c>
    </row>
    <row r="1226" spans="1:32">
      <c r="A1226" s="161">
        <v>26</v>
      </c>
      <c r="B1226" s="162">
        <v>0.5</v>
      </c>
      <c r="C1226" s="163">
        <v>21.282647674661483</v>
      </c>
      <c r="D1226" s="163">
        <v>843.18450551135538</v>
      </c>
      <c r="E1226" s="164">
        <v>0.91700000000000015</v>
      </c>
      <c r="F1226" s="164">
        <v>0.91700000000000015</v>
      </c>
      <c r="G1226" s="163">
        <v>18</v>
      </c>
      <c r="H1226" s="163">
        <v>31.666666666666664</v>
      </c>
      <c r="I1226" s="163">
        <v>13.666666666666664</v>
      </c>
      <c r="J1226" s="163">
        <v>14</v>
      </c>
      <c r="K1226" s="163">
        <v>14.673036437246964</v>
      </c>
      <c r="L1226" s="163">
        <v>0.67303643724696371</v>
      </c>
      <c r="M1226" s="163">
        <v>16</v>
      </c>
      <c r="N1226" s="163">
        <v>28.931623931623928</v>
      </c>
      <c r="O1226" s="163">
        <v>12.931623931623928</v>
      </c>
      <c r="P1226" s="163"/>
      <c r="Q1226" s="163">
        <v>19</v>
      </c>
      <c r="R1226" s="163">
        <v>0</v>
      </c>
      <c r="S1226" s="163">
        <v>0</v>
      </c>
      <c r="T1226" s="163">
        <v>0</v>
      </c>
      <c r="U1226" s="163">
        <v>0</v>
      </c>
      <c r="V1226" s="163">
        <v>0</v>
      </c>
      <c r="W1226" s="163">
        <v>0</v>
      </c>
      <c r="X1226" s="163">
        <v>0</v>
      </c>
      <c r="Y1226" s="163">
        <v>19</v>
      </c>
      <c r="Z1226" s="163">
        <v>19</v>
      </c>
      <c r="AA1226" s="163">
        <v>0</v>
      </c>
      <c r="AB1226" s="163">
        <v>0</v>
      </c>
      <c r="AC1226" s="163">
        <v>14</v>
      </c>
      <c r="AD1226" s="163">
        <v>5</v>
      </c>
      <c r="AE1226" s="165">
        <v>0.64368690766040293</v>
      </c>
      <c r="AF1226" s="166">
        <v>0.67944729141931426</v>
      </c>
    </row>
    <row r="1227" spans="1:32">
      <c r="A1227" s="161">
        <v>26</v>
      </c>
      <c r="B1227" s="162">
        <v>0.52083333333333337</v>
      </c>
      <c r="C1227" s="163">
        <v>20.371076291311958</v>
      </c>
      <c r="D1227" s="163">
        <v>812.44823755086588</v>
      </c>
      <c r="E1227" s="164">
        <v>0.89013333333333333</v>
      </c>
      <c r="F1227" s="164">
        <v>0.89013333333333333</v>
      </c>
      <c r="G1227" s="163">
        <v>16</v>
      </c>
      <c r="H1227" s="163">
        <v>30.333333333333336</v>
      </c>
      <c r="I1227" s="163">
        <v>14.333333333333336</v>
      </c>
      <c r="J1227" s="163">
        <v>13</v>
      </c>
      <c r="K1227" s="163">
        <v>13.042699055330635</v>
      </c>
      <c r="L1227" s="163">
        <v>4.2699055330635005E-2</v>
      </c>
      <c r="M1227" s="163">
        <v>15</v>
      </c>
      <c r="N1227" s="163">
        <v>27.713450292397663</v>
      </c>
      <c r="O1227" s="163">
        <v>12.713450292397663</v>
      </c>
      <c r="P1227" s="163"/>
      <c r="Q1227" s="163">
        <v>19</v>
      </c>
      <c r="R1227" s="163">
        <v>0</v>
      </c>
      <c r="S1227" s="163">
        <v>0</v>
      </c>
      <c r="T1227" s="163">
        <v>0</v>
      </c>
      <c r="U1227" s="163">
        <v>0</v>
      </c>
      <c r="V1227" s="163">
        <v>0</v>
      </c>
      <c r="W1227" s="163">
        <v>0</v>
      </c>
      <c r="X1227" s="163">
        <v>0</v>
      </c>
      <c r="Y1227" s="163">
        <v>19</v>
      </c>
      <c r="Z1227" s="163">
        <v>19</v>
      </c>
      <c r="AA1227" s="163">
        <v>0</v>
      </c>
      <c r="AB1227" s="163">
        <v>0</v>
      </c>
      <c r="AC1227" s="163">
        <v>14</v>
      </c>
      <c r="AD1227" s="163">
        <v>5</v>
      </c>
      <c r="AE1227" s="165">
        <v>0.59365766447193946</v>
      </c>
      <c r="AF1227" s="166">
        <v>0.70496847656042816</v>
      </c>
    </row>
    <row r="1228" spans="1:32">
      <c r="A1228" s="161">
        <v>26</v>
      </c>
      <c r="B1228" s="162">
        <v>0.54166666666666663</v>
      </c>
      <c r="C1228" s="163">
        <v>20.179090184097948</v>
      </c>
      <c r="D1228" s="163">
        <v>772.13945043710839</v>
      </c>
      <c r="E1228" s="164">
        <v>0.90159999999999985</v>
      </c>
      <c r="F1228" s="164">
        <v>0.90159999999999985</v>
      </c>
      <c r="G1228" s="163">
        <v>15</v>
      </c>
      <c r="H1228" s="163">
        <v>28.333333333333336</v>
      </c>
      <c r="I1228" s="163">
        <v>13.333333333333336</v>
      </c>
      <c r="J1228" s="163">
        <v>12</v>
      </c>
      <c r="K1228" s="163">
        <v>12.22753036437247</v>
      </c>
      <c r="L1228" s="163">
        <v>0.22753036437246976</v>
      </c>
      <c r="M1228" s="163">
        <v>14</v>
      </c>
      <c r="N1228" s="163">
        <v>25.886189833558255</v>
      </c>
      <c r="O1228" s="163">
        <v>11.886189833558255</v>
      </c>
      <c r="P1228" s="163"/>
      <c r="Q1228" s="163">
        <v>17</v>
      </c>
      <c r="R1228" s="163">
        <v>0</v>
      </c>
      <c r="S1228" s="163">
        <v>0</v>
      </c>
      <c r="T1228" s="163">
        <v>0</v>
      </c>
      <c r="U1228" s="163">
        <v>0</v>
      </c>
      <c r="V1228" s="163">
        <v>0</v>
      </c>
      <c r="W1228" s="163">
        <v>0</v>
      </c>
      <c r="X1228" s="163">
        <v>0</v>
      </c>
      <c r="Y1228" s="163">
        <v>17</v>
      </c>
      <c r="Z1228" s="163">
        <v>17</v>
      </c>
      <c r="AA1228" s="163">
        <v>0</v>
      </c>
      <c r="AB1228" s="163">
        <v>0</v>
      </c>
      <c r="AC1228" s="163">
        <v>12</v>
      </c>
      <c r="AD1228" s="163">
        <v>5</v>
      </c>
      <c r="AE1228" s="165">
        <v>0.62463800710061224</v>
      </c>
      <c r="AF1228" s="166">
        <v>0.70792307471402716</v>
      </c>
    </row>
    <row r="1229" spans="1:32">
      <c r="A1229" s="161">
        <v>26</v>
      </c>
      <c r="B1229" s="162">
        <v>0.5625</v>
      </c>
      <c r="C1229" s="163">
        <v>19.189613074175302</v>
      </c>
      <c r="D1229" s="163">
        <v>821.37659443444545</v>
      </c>
      <c r="E1229" s="164">
        <v>0.89370000000000005</v>
      </c>
      <c r="F1229" s="164">
        <v>0.89370000000000005</v>
      </c>
      <c r="G1229" s="163">
        <v>16</v>
      </c>
      <c r="H1229" s="163">
        <v>28.333333333333336</v>
      </c>
      <c r="I1229" s="163">
        <v>12.333333333333336</v>
      </c>
      <c r="J1229" s="163">
        <v>13</v>
      </c>
      <c r="K1229" s="163">
        <v>13.042699055330635</v>
      </c>
      <c r="L1229" s="163">
        <v>4.2699055330635005E-2</v>
      </c>
      <c r="M1229" s="163">
        <v>15</v>
      </c>
      <c r="N1229" s="163">
        <v>25.886189833558255</v>
      </c>
      <c r="O1229" s="163">
        <v>10.886189833558255</v>
      </c>
      <c r="P1229" s="163"/>
      <c r="Q1229" s="163">
        <v>17</v>
      </c>
      <c r="R1229" s="163">
        <v>0</v>
      </c>
      <c r="S1229" s="163">
        <v>0</v>
      </c>
      <c r="T1229" s="163">
        <v>0</v>
      </c>
      <c r="U1229" s="163">
        <v>0</v>
      </c>
      <c r="V1229" s="163">
        <v>0</v>
      </c>
      <c r="W1229" s="163">
        <v>0</v>
      </c>
      <c r="X1229" s="163">
        <v>0</v>
      </c>
      <c r="Y1229" s="163">
        <v>17</v>
      </c>
      <c r="Z1229" s="163">
        <v>17</v>
      </c>
      <c r="AA1229" s="163">
        <v>0</v>
      </c>
      <c r="AB1229" s="163">
        <v>0</v>
      </c>
      <c r="AC1229" s="163">
        <v>12</v>
      </c>
      <c r="AD1229" s="163">
        <v>5</v>
      </c>
      <c r="AE1229" s="165">
        <v>0.63188729576067915</v>
      </c>
      <c r="AF1229" s="166">
        <v>0.67138025174572158</v>
      </c>
    </row>
    <row r="1230" spans="1:32">
      <c r="A1230" s="161">
        <v>26</v>
      </c>
      <c r="B1230" s="162">
        <v>0.58333333333333337</v>
      </c>
      <c r="C1230" s="163">
        <v>18.5827361788728</v>
      </c>
      <c r="D1230" s="163">
        <v>812.57592147717514</v>
      </c>
      <c r="E1230" s="164">
        <v>0.91849999999999998</v>
      </c>
      <c r="F1230" s="164">
        <v>0.91849999999999998</v>
      </c>
      <c r="G1230" s="163">
        <v>15</v>
      </c>
      <c r="H1230" s="163">
        <v>28.333333333333336</v>
      </c>
      <c r="I1230" s="163">
        <v>13.333333333333336</v>
      </c>
      <c r="J1230" s="163">
        <v>12</v>
      </c>
      <c r="K1230" s="163">
        <v>12.22753036437247</v>
      </c>
      <c r="L1230" s="163">
        <v>0.22753036437246976</v>
      </c>
      <c r="M1230" s="163">
        <v>14</v>
      </c>
      <c r="N1230" s="163">
        <v>25.886189833558255</v>
      </c>
      <c r="O1230" s="163">
        <v>11.886189833558255</v>
      </c>
      <c r="P1230" s="163"/>
      <c r="Q1230" s="163">
        <v>17</v>
      </c>
      <c r="R1230" s="163">
        <v>0</v>
      </c>
      <c r="S1230" s="163">
        <v>0</v>
      </c>
      <c r="T1230" s="163">
        <v>0</v>
      </c>
      <c r="U1230" s="163">
        <v>0</v>
      </c>
      <c r="V1230" s="163">
        <v>0</v>
      </c>
      <c r="W1230" s="163">
        <v>0</v>
      </c>
      <c r="X1230" s="163">
        <v>0</v>
      </c>
      <c r="Y1230" s="163">
        <v>17</v>
      </c>
      <c r="Z1230" s="163">
        <v>17</v>
      </c>
      <c r="AA1230" s="163">
        <v>0</v>
      </c>
      <c r="AB1230" s="163">
        <v>0</v>
      </c>
      <c r="AC1230" s="163">
        <v>12</v>
      </c>
      <c r="AD1230" s="163">
        <v>5</v>
      </c>
      <c r="AE1230" s="165">
        <v>0.60534741589739494</v>
      </c>
      <c r="AF1230" s="166">
        <v>0.68606040468371421</v>
      </c>
    </row>
    <row r="1231" spans="1:32">
      <c r="A1231" s="161">
        <v>26</v>
      </c>
      <c r="B1231" s="162">
        <v>0.60416666666666663</v>
      </c>
      <c r="C1231" s="163">
        <v>18.025361810613909</v>
      </c>
      <c r="D1231" s="163">
        <v>807.469691577763</v>
      </c>
      <c r="E1231" s="164">
        <v>0.96719999999999995</v>
      </c>
      <c r="F1231" s="164">
        <v>0.96719999999999995</v>
      </c>
      <c r="G1231" s="163">
        <v>15</v>
      </c>
      <c r="H1231" s="163">
        <v>29.666666666666664</v>
      </c>
      <c r="I1231" s="163">
        <v>14.666666666666664</v>
      </c>
      <c r="J1231" s="163">
        <v>12</v>
      </c>
      <c r="K1231" s="163">
        <v>12.22753036437247</v>
      </c>
      <c r="L1231" s="163">
        <v>0.22753036437246976</v>
      </c>
      <c r="M1231" s="163">
        <v>14</v>
      </c>
      <c r="N1231" s="163">
        <v>27.104363472784524</v>
      </c>
      <c r="O1231" s="163">
        <v>13.104363472784524</v>
      </c>
      <c r="P1231" s="163"/>
      <c r="Q1231" s="163">
        <v>17</v>
      </c>
      <c r="R1231" s="163">
        <v>0</v>
      </c>
      <c r="S1231" s="163">
        <v>0</v>
      </c>
      <c r="T1231" s="163">
        <v>0</v>
      </c>
      <c r="U1231" s="163">
        <v>0</v>
      </c>
      <c r="V1231" s="163">
        <v>0</v>
      </c>
      <c r="W1231" s="163">
        <v>0</v>
      </c>
      <c r="X1231" s="163">
        <v>0</v>
      </c>
      <c r="Y1231" s="163">
        <v>17</v>
      </c>
      <c r="Z1231" s="163">
        <v>17</v>
      </c>
      <c r="AA1231" s="163">
        <v>0</v>
      </c>
      <c r="AB1231" s="163">
        <v>0</v>
      </c>
      <c r="AC1231" s="163">
        <v>12</v>
      </c>
      <c r="AD1231" s="163">
        <v>5</v>
      </c>
      <c r="AE1231" s="165">
        <v>0.58350059524416598</v>
      </c>
      <c r="AF1231" s="166">
        <v>0.66130067461005482</v>
      </c>
    </row>
    <row r="1232" spans="1:32">
      <c r="A1232" s="161">
        <v>26</v>
      </c>
      <c r="B1232" s="162">
        <v>0.625</v>
      </c>
      <c r="C1232" s="163">
        <v>18.545748396868674</v>
      </c>
      <c r="D1232" s="163">
        <v>853.60621594992676</v>
      </c>
      <c r="E1232" s="164">
        <v>0.83619999999999994</v>
      </c>
      <c r="F1232" s="164">
        <v>0.83619999999999994</v>
      </c>
      <c r="G1232" s="163">
        <v>16</v>
      </c>
      <c r="H1232" s="163">
        <v>29</v>
      </c>
      <c r="I1232" s="163">
        <v>13</v>
      </c>
      <c r="J1232" s="163">
        <v>13</v>
      </c>
      <c r="K1232" s="163">
        <v>13.042699055330635</v>
      </c>
      <c r="L1232" s="163">
        <v>4.2699055330635005E-2</v>
      </c>
      <c r="M1232" s="163">
        <v>15</v>
      </c>
      <c r="N1232" s="163">
        <v>26.495276653171388</v>
      </c>
      <c r="O1232" s="163">
        <v>11.495276653171388</v>
      </c>
      <c r="P1232" s="163"/>
      <c r="Q1232" s="163">
        <v>19</v>
      </c>
      <c r="R1232" s="163">
        <v>0</v>
      </c>
      <c r="S1232" s="163">
        <v>0</v>
      </c>
      <c r="T1232" s="163">
        <v>0</v>
      </c>
      <c r="U1232" s="163">
        <v>0</v>
      </c>
      <c r="V1232" s="163">
        <v>0</v>
      </c>
      <c r="W1232" s="163">
        <v>0</v>
      </c>
      <c r="X1232" s="163">
        <v>0</v>
      </c>
      <c r="Y1232" s="163">
        <v>19</v>
      </c>
      <c r="Z1232" s="163">
        <v>19</v>
      </c>
      <c r="AA1232" s="163">
        <v>0</v>
      </c>
      <c r="AB1232" s="163">
        <v>0</v>
      </c>
      <c r="AC1232" s="163">
        <v>12</v>
      </c>
      <c r="AD1232" s="163">
        <v>7</v>
      </c>
      <c r="AE1232" s="165">
        <v>0.56784307728830408</v>
      </c>
      <c r="AF1232" s="166">
        <v>0.67431365427986123</v>
      </c>
    </row>
    <row r="1233" spans="1:32">
      <c r="A1233" s="161">
        <v>26</v>
      </c>
      <c r="B1233" s="162">
        <v>0.64583333333333337</v>
      </c>
      <c r="C1233" s="163">
        <v>17.973600847214843</v>
      </c>
      <c r="D1233" s="163">
        <v>833.72563926671842</v>
      </c>
      <c r="E1233" s="164">
        <v>0.74329999999999996</v>
      </c>
      <c r="F1233" s="164">
        <v>0.74329999999999996</v>
      </c>
      <c r="G1233" s="163">
        <v>15</v>
      </c>
      <c r="H1233" s="163">
        <v>23.333333333333336</v>
      </c>
      <c r="I1233" s="163">
        <v>8.3333333333333357</v>
      </c>
      <c r="J1233" s="163">
        <v>12</v>
      </c>
      <c r="K1233" s="163">
        <v>12.22753036437247</v>
      </c>
      <c r="L1233" s="163">
        <v>0.22753036437246976</v>
      </c>
      <c r="M1233" s="163">
        <v>14</v>
      </c>
      <c r="N1233" s="163">
        <v>21.31803868645974</v>
      </c>
      <c r="O1233" s="163">
        <v>7.3180386864597402</v>
      </c>
      <c r="P1233" s="163"/>
      <c r="Q1233" s="163">
        <v>14</v>
      </c>
      <c r="R1233" s="163">
        <v>0</v>
      </c>
      <c r="S1233" s="163">
        <v>0</v>
      </c>
      <c r="T1233" s="163">
        <v>0</v>
      </c>
      <c r="U1233" s="163">
        <v>0</v>
      </c>
      <c r="V1233" s="163">
        <v>0</v>
      </c>
      <c r="W1233" s="163">
        <v>0</v>
      </c>
      <c r="X1233" s="163">
        <v>0</v>
      </c>
      <c r="Y1233" s="163">
        <v>14</v>
      </c>
      <c r="Z1233" s="163">
        <v>14</v>
      </c>
      <c r="AA1233" s="163">
        <v>0</v>
      </c>
      <c r="AB1233" s="163">
        <v>0</v>
      </c>
      <c r="AC1233" s="163">
        <v>10</v>
      </c>
      <c r="AD1233" s="163">
        <v>4</v>
      </c>
      <c r="AE1233" s="165">
        <v>0.72947467380322673</v>
      </c>
      <c r="AF1233" s="166">
        <v>0.68084302888301163</v>
      </c>
    </row>
    <row r="1234" spans="1:32">
      <c r="A1234" s="161">
        <v>26</v>
      </c>
      <c r="B1234" s="162">
        <v>0.66666666666666663</v>
      </c>
      <c r="C1234" s="163">
        <v>17.243613258512205</v>
      </c>
      <c r="D1234" s="163">
        <v>868.21248235568908</v>
      </c>
      <c r="E1234" s="164">
        <v>0.74370000000000003</v>
      </c>
      <c r="F1234" s="164">
        <v>0.74370000000000003</v>
      </c>
      <c r="G1234" s="163">
        <v>15</v>
      </c>
      <c r="H1234" s="163">
        <v>23.333333333333336</v>
      </c>
      <c r="I1234" s="163">
        <v>8.3333333333333357</v>
      </c>
      <c r="J1234" s="163">
        <v>12</v>
      </c>
      <c r="K1234" s="163">
        <v>12.22753036437247</v>
      </c>
      <c r="L1234" s="163">
        <v>0.22753036437246976</v>
      </c>
      <c r="M1234" s="163">
        <v>14</v>
      </c>
      <c r="N1234" s="163">
        <v>21.31803868645974</v>
      </c>
      <c r="O1234" s="163">
        <v>7.3180386864597402</v>
      </c>
      <c r="P1234" s="163"/>
      <c r="Q1234" s="163">
        <v>14</v>
      </c>
      <c r="R1234" s="163">
        <v>0</v>
      </c>
      <c r="S1234" s="163">
        <v>0</v>
      </c>
      <c r="T1234" s="163">
        <v>0</v>
      </c>
      <c r="U1234" s="163">
        <v>0</v>
      </c>
      <c r="V1234" s="163">
        <v>0</v>
      </c>
      <c r="W1234" s="163">
        <v>0</v>
      </c>
      <c r="X1234" s="163">
        <v>0</v>
      </c>
      <c r="Y1234" s="163">
        <v>14</v>
      </c>
      <c r="Z1234" s="163">
        <v>14</v>
      </c>
      <c r="AA1234" s="163">
        <v>0</v>
      </c>
      <c r="AB1234" s="163">
        <v>0</v>
      </c>
      <c r="AC1234" s="163">
        <v>10</v>
      </c>
      <c r="AD1234" s="163">
        <v>4</v>
      </c>
      <c r="AE1234" s="165">
        <v>0.72879648209451708</v>
      </c>
      <c r="AF1234" s="166">
        <v>0.68021004995488266</v>
      </c>
    </row>
    <row r="1235" spans="1:32">
      <c r="A1235" s="161">
        <v>26</v>
      </c>
      <c r="B1235" s="162">
        <v>0.6875</v>
      </c>
      <c r="C1235" s="163">
        <v>16.421352183668468</v>
      </c>
      <c r="D1235" s="163">
        <v>815.6628849986547</v>
      </c>
      <c r="E1235" s="164">
        <v>0.69166666666666676</v>
      </c>
      <c r="F1235" s="164">
        <v>0.69166666666666676</v>
      </c>
      <c r="G1235" s="163">
        <v>14</v>
      </c>
      <c r="H1235" s="163">
        <v>22</v>
      </c>
      <c r="I1235" s="163">
        <v>8</v>
      </c>
      <c r="J1235" s="163">
        <v>11</v>
      </c>
      <c r="K1235" s="163">
        <v>11.412361673414306</v>
      </c>
      <c r="L1235" s="163">
        <v>0.4123616734143063</v>
      </c>
      <c r="M1235" s="163">
        <v>13</v>
      </c>
      <c r="N1235" s="163">
        <v>20.099865047233468</v>
      </c>
      <c r="O1235" s="163">
        <v>7.0998650472334681</v>
      </c>
      <c r="P1235" s="163"/>
      <c r="Q1235" s="163">
        <v>14</v>
      </c>
      <c r="R1235" s="163">
        <v>0</v>
      </c>
      <c r="S1235" s="163">
        <v>0</v>
      </c>
      <c r="T1235" s="163">
        <v>0</v>
      </c>
      <c r="U1235" s="163">
        <v>0</v>
      </c>
      <c r="V1235" s="163">
        <v>0</v>
      </c>
      <c r="W1235" s="163">
        <v>0</v>
      </c>
      <c r="X1235" s="163">
        <v>0</v>
      </c>
      <c r="Y1235" s="163">
        <v>14</v>
      </c>
      <c r="Z1235" s="163">
        <v>14</v>
      </c>
      <c r="AA1235" s="163">
        <v>0</v>
      </c>
      <c r="AB1235" s="163">
        <v>0</v>
      </c>
      <c r="AC1235" s="163">
        <v>10</v>
      </c>
      <c r="AD1235" s="163">
        <v>4</v>
      </c>
      <c r="AE1235" s="165">
        <v>0.65203601541965939</v>
      </c>
      <c r="AF1235" s="166">
        <v>0.65203601541965939</v>
      </c>
    </row>
    <row r="1236" spans="1:32">
      <c r="A1236" s="161">
        <v>26</v>
      </c>
      <c r="B1236" s="162">
        <v>0.70833333333333337</v>
      </c>
      <c r="C1236" s="163">
        <v>16.567973085472225</v>
      </c>
      <c r="D1236" s="163">
        <v>854.59570729301197</v>
      </c>
      <c r="E1236" s="164">
        <v>0.51770000000000005</v>
      </c>
      <c r="F1236" s="164">
        <v>0.51770000000000005</v>
      </c>
      <c r="G1236" s="163">
        <v>15</v>
      </c>
      <c r="H1236" s="163">
        <v>20</v>
      </c>
      <c r="I1236" s="163">
        <v>5</v>
      </c>
      <c r="J1236" s="163">
        <v>12</v>
      </c>
      <c r="K1236" s="163">
        <v>12.22753036437247</v>
      </c>
      <c r="L1236" s="163">
        <v>0.22753036437246976</v>
      </c>
      <c r="M1236" s="163">
        <v>14</v>
      </c>
      <c r="N1236" s="163">
        <v>18.27260458839406</v>
      </c>
      <c r="O1236" s="163">
        <v>4.27260458839406</v>
      </c>
      <c r="P1236" s="163"/>
      <c r="Q1236" s="163">
        <v>12</v>
      </c>
      <c r="R1236" s="163">
        <v>0</v>
      </c>
      <c r="S1236" s="163">
        <v>0</v>
      </c>
      <c r="T1236" s="163">
        <v>0</v>
      </c>
      <c r="U1236" s="163">
        <v>0</v>
      </c>
      <c r="V1236" s="163">
        <v>0</v>
      </c>
      <c r="W1236" s="163">
        <v>0</v>
      </c>
      <c r="X1236" s="163">
        <v>0</v>
      </c>
      <c r="Y1236" s="163">
        <v>12</v>
      </c>
      <c r="Z1236" s="163">
        <v>12</v>
      </c>
      <c r="AA1236" s="163">
        <v>0</v>
      </c>
      <c r="AB1236" s="163">
        <v>0</v>
      </c>
      <c r="AC1236" s="163">
        <v>10</v>
      </c>
      <c r="AD1236" s="163">
        <v>2</v>
      </c>
      <c r="AE1236" s="165">
        <v>0.80413477798460464</v>
      </c>
      <c r="AF1236" s="166">
        <v>0.64330782238768369</v>
      </c>
    </row>
    <row r="1237" spans="1:32">
      <c r="A1237" s="161">
        <v>26</v>
      </c>
      <c r="B1237" s="162">
        <v>0.72916666666666663</v>
      </c>
      <c r="C1237" s="163">
        <v>16.599816452765655</v>
      </c>
      <c r="D1237" s="163">
        <v>799.02603537398716</v>
      </c>
      <c r="E1237" s="164">
        <v>0.84956666666666669</v>
      </c>
      <c r="F1237" s="164">
        <v>0.84956666666666669</v>
      </c>
      <c r="G1237" s="163">
        <v>14</v>
      </c>
      <c r="H1237" s="163">
        <v>22.666666666666664</v>
      </c>
      <c r="I1237" s="163">
        <v>8.6666666666666643</v>
      </c>
      <c r="J1237" s="163">
        <v>11</v>
      </c>
      <c r="K1237" s="163">
        <v>11.412361673414306</v>
      </c>
      <c r="L1237" s="163">
        <v>0.4123616734143063</v>
      </c>
      <c r="M1237" s="163">
        <v>13</v>
      </c>
      <c r="N1237" s="163">
        <v>20.708951866846601</v>
      </c>
      <c r="O1237" s="163">
        <v>7.7089518668466006</v>
      </c>
      <c r="P1237" s="163"/>
      <c r="Q1237" s="163">
        <v>12</v>
      </c>
      <c r="R1237" s="163">
        <v>0</v>
      </c>
      <c r="S1237" s="163">
        <v>0</v>
      </c>
      <c r="T1237" s="163">
        <v>0</v>
      </c>
      <c r="U1237" s="163">
        <v>0</v>
      </c>
      <c r="V1237" s="163">
        <v>0</v>
      </c>
      <c r="W1237" s="163">
        <v>0</v>
      </c>
      <c r="X1237" s="163">
        <v>0</v>
      </c>
      <c r="Y1237" s="163">
        <v>12</v>
      </c>
      <c r="Z1237" s="163">
        <v>12</v>
      </c>
      <c r="AA1237" s="163">
        <v>0</v>
      </c>
      <c r="AB1237" s="163">
        <v>0</v>
      </c>
      <c r="AC1237" s="163">
        <v>10</v>
      </c>
      <c r="AD1237" s="163">
        <v>2</v>
      </c>
      <c r="AE1237" s="165">
        <v>0.75329133957803063</v>
      </c>
      <c r="AF1237" s="166">
        <v>0.64567829106688346</v>
      </c>
    </row>
    <row r="1238" spans="1:32">
      <c r="A1238" s="161">
        <v>26</v>
      </c>
      <c r="B1238" s="162">
        <v>0.75</v>
      </c>
      <c r="C1238" s="163">
        <v>15.660844490293435</v>
      </c>
      <c r="D1238" s="163">
        <v>832.31029266671555</v>
      </c>
      <c r="E1238" s="164">
        <v>0.96630000000000005</v>
      </c>
      <c r="F1238" s="164">
        <v>0.96630000000000005</v>
      </c>
      <c r="G1238" s="163">
        <v>14</v>
      </c>
      <c r="H1238" s="163">
        <v>26.666666666666664</v>
      </c>
      <c r="I1238" s="163">
        <v>12.666666666666664</v>
      </c>
      <c r="J1238" s="163">
        <v>11</v>
      </c>
      <c r="K1238" s="163">
        <v>11.412361673414306</v>
      </c>
      <c r="L1238" s="163">
        <v>0.4123616734143063</v>
      </c>
      <c r="M1238" s="163">
        <v>13</v>
      </c>
      <c r="N1238" s="163">
        <v>24.363472784525413</v>
      </c>
      <c r="O1238" s="163">
        <v>11.363472784525413</v>
      </c>
      <c r="P1238" s="163"/>
      <c r="Q1238" s="163">
        <v>16</v>
      </c>
      <c r="R1238" s="163">
        <v>0</v>
      </c>
      <c r="S1238" s="163">
        <v>0</v>
      </c>
      <c r="T1238" s="163">
        <v>0</v>
      </c>
      <c r="U1238" s="163">
        <v>0</v>
      </c>
      <c r="V1238" s="163">
        <v>0</v>
      </c>
      <c r="W1238" s="163">
        <v>0</v>
      </c>
      <c r="X1238" s="163">
        <v>0</v>
      </c>
      <c r="Y1238" s="163">
        <v>16</v>
      </c>
      <c r="Z1238" s="163">
        <v>16</v>
      </c>
      <c r="AA1238" s="163">
        <v>0</v>
      </c>
      <c r="AB1238" s="163">
        <v>0</v>
      </c>
      <c r="AC1238" s="163">
        <v>14</v>
      </c>
      <c r="AD1238" s="163">
        <v>2</v>
      </c>
      <c r="AE1238" s="165">
        <v>0.55521407058749561</v>
      </c>
      <c r="AF1238" s="166">
        <v>0.63453036638570925</v>
      </c>
    </row>
    <row r="1239" spans="1:32">
      <c r="A1239" s="161">
        <v>26</v>
      </c>
      <c r="B1239" s="162">
        <v>0.77083333333333337</v>
      </c>
      <c r="C1239" s="163">
        <v>15.243301196133633</v>
      </c>
      <c r="D1239" s="163">
        <v>767.92082665743578</v>
      </c>
      <c r="E1239" s="164">
        <v>0.98499999999999999</v>
      </c>
      <c r="F1239" s="164">
        <v>0.98499999999999999</v>
      </c>
      <c r="G1239" s="163">
        <v>13</v>
      </c>
      <c r="H1239" s="163">
        <v>26.666666666666664</v>
      </c>
      <c r="I1239" s="163">
        <v>13.666666666666664</v>
      </c>
      <c r="J1239" s="163">
        <v>10</v>
      </c>
      <c r="K1239" s="163">
        <v>10.597192982456141</v>
      </c>
      <c r="L1239" s="163">
        <v>0.59719298245614105</v>
      </c>
      <c r="M1239" s="163">
        <v>12</v>
      </c>
      <c r="N1239" s="163">
        <v>24.363472784525413</v>
      </c>
      <c r="O1239" s="163">
        <v>12.363472784525413</v>
      </c>
      <c r="P1239" s="163"/>
      <c r="Q1239" s="163">
        <v>16</v>
      </c>
      <c r="R1239" s="163">
        <v>0</v>
      </c>
      <c r="S1239" s="163">
        <v>0</v>
      </c>
      <c r="T1239" s="163">
        <v>0</v>
      </c>
      <c r="U1239" s="163">
        <v>0</v>
      </c>
      <c r="V1239" s="163">
        <v>0</v>
      </c>
      <c r="W1239" s="163">
        <v>0</v>
      </c>
      <c r="X1239" s="163">
        <v>0</v>
      </c>
      <c r="Y1239" s="163">
        <v>16</v>
      </c>
      <c r="Z1239" s="163">
        <v>16</v>
      </c>
      <c r="AA1239" s="163">
        <v>0</v>
      </c>
      <c r="AB1239" s="163">
        <v>0</v>
      </c>
      <c r="AC1239" s="163">
        <v>14</v>
      </c>
      <c r="AD1239" s="163">
        <v>2</v>
      </c>
      <c r="AE1239" s="165">
        <v>0.49860370183028629</v>
      </c>
      <c r="AF1239" s="166">
        <v>0.61366609456035237</v>
      </c>
    </row>
    <row r="1240" spans="1:32">
      <c r="A1240" s="161">
        <v>26</v>
      </c>
      <c r="B1240" s="162">
        <v>0.79166666666666663</v>
      </c>
      <c r="C1240" s="163">
        <v>15.02036121229119</v>
      </c>
      <c r="D1240" s="163">
        <v>806.69261820530596</v>
      </c>
      <c r="E1240" s="164">
        <v>0.91759999999999986</v>
      </c>
      <c r="F1240" s="164">
        <v>0.91759999999999986</v>
      </c>
      <c r="G1240" s="163">
        <v>13</v>
      </c>
      <c r="H1240" s="163">
        <v>23.333333333333336</v>
      </c>
      <c r="I1240" s="163">
        <v>10.333333333333336</v>
      </c>
      <c r="J1240" s="163">
        <v>10</v>
      </c>
      <c r="K1240" s="163">
        <v>10.597192982456141</v>
      </c>
      <c r="L1240" s="163">
        <v>0.59719298245614105</v>
      </c>
      <c r="M1240" s="163">
        <v>12</v>
      </c>
      <c r="N1240" s="163">
        <v>21.31803868645974</v>
      </c>
      <c r="O1240" s="163">
        <v>9.3180386864597402</v>
      </c>
      <c r="P1240" s="163"/>
      <c r="Q1240" s="163">
        <v>14</v>
      </c>
      <c r="R1240" s="163">
        <v>0</v>
      </c>
      <c r="S1240" s="163">
        <v>0</v>
      </c>
      <c r="T1240" s="163">
        <v>0</v>
      </c>
      <c r="U1240" s="163">
        <v>0</v>
      </c>
      <c r="V1240" s="163">
        <v>0</v>
      </c>
      <c r="W1240" s="163">
        <v>0</v>
      </c>
      <c r="X1240" s="163">
        <v>0</v>
      </c>
      <c r="Y1240" s="163">
        <v>14</v>
      </c>
      <c r="Z1240" s="163">
        <v>14</v>
      </c>
      <c r="AA1240" s="163">
        <v>0</v>
      </c>
      <c r="AB1240" s="163">
        <v>0</v>
      </c>
      <c r="AC1240" s="163">
        <v>12</v>
      </c>
      <c r="AD1240" s="163">
        <v>2</v>
      </c>
      <c r="AE1240" s="165">
        <v>0.58984843022161748</v>
      </c>
      <c r="AF1240" s="166">
        <v>0.63522138639251113</v>
      </c>
    </row>
    <row r="1241" spans="1:32">
      <c r="A1241" s="161">
        <v>26</v>
      </c>
      <c r="B1241" s="162">
        <v>0.8125</v>
      </c>
      <c r="C1241" s="163">
        <v>13.13752091291015</v>
      </c>
      <c r="D1241" s="163">
        <v>785.940904503247</v>
      </c>
      <c r="E1241" s="164">
        <v>0.96899999999999997</v>
      </c>
      <c r="F1241" s="164">
        <v>0.96899999999999997</v>
      </c>
      <c r="G1241" s="163">
        <v>12</v>
      </c>
      <c r="H1241" s="163">
        <v>23.333333333333336</v>
      </c>
      <c r="I1241" s="163">
        <v>11.333333333333336</v>
      </c>
      <c r="J1241" s="163">
        <v>9</v>
      </c>
      <c r="K1241" s="163">
        <v>9.7820242914979758</v>
      </c>
      <c r="L1241" s="163">
        <v>0.78202429149797581</v>
      </c>
      <c r="M1241" s="163">
        <v>11</v>
      </c>
      <c r="N1241" s="163">
        <v>21.31803868645974</v>
      </c>
      <c r="O1241" s="163">
        <v>10.31803868645974</v>
      </c>
      <c r="P1241" s="163"/>
      <c r="Q1241" s="163">
        <v>14</v>
      </c>
      <c r="R1241" s="163">
        <v>0</v>
      </c>
      <c r="S1241" s="163">
        <v>0</v>
      </c>
      <c r="T1241" s="163">
        <v>0</v>
      </c>
      <c r="U1241" s="163">
        <v>0</v>
      </c>
      <c r="V1241" s="163">
        <v>0</v>
      </c>
      <c r="W1241" s="163">
        <v>0</v>
      </c>
      <c r="X1241" s="163">
        <v>0</v>
      </c>
      <c r="Y1241" s="163">
        <v>14</v>
      </c>
      <c r="Z1241" s="163">
        <v>14</v>
      </c>
      <c r="AA1241" s="163">
        <v>0</v>
      </c>
      <c r="AB1241" s="163">
        <v>0</v>
      </c>
      <c r="AC1241" s="163">
        <v>12</v>
      </c>
      <c r="AD1241" s="163">
        <v>2</v>
      </c>
      <c r="AE1241" s="165">
        <v>0.50263795643028664</v>
      </c>
      <c r="AF1241" s="166">
        <v>0.58641094916866765</v>
      </c>
    </row>
    <row r="1242" spans="1:32">
      <c r="A1242" s="161">
        <v>26</v>
      </c>
      <c r="B1242" s="162">
        <v>0.83333333333333337</v>
      </c>
      <c r="C1242" s="163">
        <v>13.445744493965751</v>
      </c>
      <c r="D1242" s="163">
        <v>761.29423538080607</v>
      </c>
      <c r="E1242" s="164">
        <v>0.81590000000000007</v>
      </c>
      <c r="F1242" s="164">
        <v>0.81590000000000007</v>
      </c>
      <c r="G1242" s="163">
        <v>12</v>
      </c>
      <c r="H1242" s="163">
        <v>20.666666666666668</v>
      </c>
      <c r="I1242" s="163">
        <v>8.6666666666666679</v>
      </c>
      <c r="J1242" s="163">
        <v>9</v>
      </c>
      <c r="K1242" s="163">
        <v>9.7820242914979758</v>
      </c>
      <c r="L1242" s="163">
        <v>0.78202429149797581</v>
      </c>
      <c r="M1242" s="163">
        <v>11</v>
      </c>
      <c r="N1242" s="163">
        <v>18.881691408007196</v>
      </c>
      <c r="O1242" s="163">
        <v>7.881691408007196</v>
      </c>
      <c r="P1242" s="163"/>
      <c r="Q1242" s="163">
        <v>14</v>
      </c>
      <c r="R1242" s="163">
        <v>0</v>
      </c>
      <c r="S1242" s="163">
        <v>0</v>
      </c>
      <c r="T1242" s="163">
        <v>0</v>
      </c>
      <c r="U1242" s="163">
        <v>0</v>
      </c>
      <c r="V1242" s="163">
        <v>0</v>
      </c>
      <c r="W1242" s="163">
        <v>0</v>
      </c>
      <c r="X1242" s="163">
        <v>0</v>
      </c>
      <c r="Y1242" s="163">
        <v>14</v>
      </c>
      <c r="Z1242" s="163">
        <v>14</v>
      </c>
      <c r="AA1242" s="163">
        <v>0</v>
      </c>
      <c r="AB1242" s="163">
        <v>0</v>
      </c>
      <c r="AC1242" s="163">
        <v>12</v>
      </c>
      <c r="AD1242" s="163">
        <v>2</v>
      </c>
      <c r="AE1242" s="165">
        <v>0.4982982521052407</v>
      </c>
      <c r="AF1242" s="166">
        <v>0.5813479607894475</v>
      </c>
    </row>
    <row r="1243" spans="1:32">
      <c r="A1243" s="161">
        <v>26</v>
      </c>
      <c r="B1243" s="162">
        <v>0.85416666666666663</v>
      </c>
      <c r="C1243" s="163">
        <v>11.995235826357741</v>
      </c>
      <c r="D1243" s="163">
        <v>738.74336530098333</v>
      </c>
      <c r="E1243" s="164">
        <v>0.64533333333333331</v>
      </c>
      <c r="F1243" s="164">
        <v>0.64533333333333331</v>
      </c>
      <c r="G1243" s="163">
        <v>10</v>
      </c>
      <c r="H1243" s="163">
        <v>15.333333333333332</v>
      </c>
      <c r="I1243" s="163">
        <v>5.3333333333333321</v>
      </c>
      <c r="J1243" s="163">
        <v>8</v>
      </c>
      <c r="K1243" s="163">
        <v>8.1516869095816471</v>
      </c>
      <c r="L1243" s="163">
        <v>0.1516869095816471</v>
      </c>
      <c r="M1243" s="163">
        <v>9</v>
      </c>
      <c r="N1243" s="163">
        <v>14.008996851102113</v>
      </c>
      <c r="O1243" s="163">
        <v>5.008996851102113</v>
      </c>
      <c r="P1243" s="163"/>
      <c r="Q1243" s="163">
        <v>10</v>
      </c>
      <c r="R1243" s="163">
        <v>0</v>
      </c>
      <c r="S1243" s="163">
        <v>0</v>
      </c>
      <c r="T1243" s="163">
        <v>0</v>
      </c>
      <c r="U1243" s="163">
        <v>0</v>
      </c>
      <c r="V1243" s="163">
        <v>0</v>
      </c>
      <c r="W1243" s="163">
        <v>0</v>
      </c>
      <c r="X1243" s="163">
        <v>0</v>
      </c>
      <c r="Y1243" s="163">
        <v>10</v>
      </c>
      <c r="Z1243" s="163">
        <v>10</v>
      </c>
      <c r="AA1243" s="163">
        <v>0</v>
      </c>
      <c r="AB1243" s="163">
        <v>0</v>
      </c>
      <c r="AC1243" s="163">
        <v>8</v>
      </c>
      <c r="AD1243" s="163">
        <v>2</v>
      </c>
      <c r="AE1243" s="165">
        <v>0.60392413798197209</v>
      </c>
      <c r="AF1243" s="166">
        <v>0.60392413798197209</v>
      </c>
    </row>
    <row r="1244" spans="1:32">
      <c r="A1244" s="161">
        <v>26</v>
      </c>
      <c r="B1244" s="162">
        <v>0.875</v>
      </c>
      <c r="C1244" s="163">
        <v>10.145007662953068</v>
      </c>
      <c r="D1244" s="163">
        <v>713.98860876487458</v>
      </c>
      <c r="E1244" s="164">
        <v>0.75700000000000001</v>
      </c>
      <c r="F1244" s="164">
        <v>0.75700000000000001</v>
      </c>
      <c r="G1244" s="163">
        <v>9</v>
      </c>
      <c r="H1244" s="163">
        <v>13.333333333333332</v>
      </c>
      <c r="I1244" s="163">
        <v>4.3333333333333321</v>
      </c>
      <c r="J1244" s="163">
        <v>7</v>
      </c>
      <c r="K1244" s="163">
        <v>7.3365182186234819</v>
      </c>
      <c r="L1244" s="163">
        <v>0.33651821862348186</v>
      </c>
      <c r="M1244" s="163">
        <v>8</v>
      </c>
      <c r="N1244" s="163">
        <v>12.181736392262707</v>
      </c>
      <c r="O1244" s="163">
        <v>4.1817363922627067</v>
      </c>
      <c r="P1244" s="163"/>
      <c r="Q1244" s="163">
        <v>8</v>
      </c>
      <c r="R1244" s="163">
        <v>0</v>
      </c>
      <c r="S1244" s="163">
        <v>0</v>
      </c>
      <c r="T1244" s="163">
        <v>0</v>
      </c>
      <c r="U1244" s="163">
        <v>0</v>
      </c>
      <c r="V1244" s="163">
        <v>0</v>
      </c>
      <c r="W1244" s="163">
        <v>0</v>
      </c>
      <c r="X1244" s="163">
        <v>0</v>
      </c>
      <c r="Y1244" s="163">
        <v>8</v>
      </c>
      <c r="Z1244" s="163">
        <v>8</v>
      </c>
      <c r="AA1244" s="163">
        <v>0</v>
      </c>
      <c r="AB1244" s="163">
        <v>0</v>
      </c>
      <c r="AC1244" s="163">
        <v>6</v>
      </c>
      <c r="AD1244" s="163">
        <v>2</v>
      </c>
      <c r="AE1244" s="165">
        <v>0.61706892930437507</v>
      </c>
      <c r="AF1244" s="166">
        <v>0.54850571493722233</v>
      </c>
    </row>
    <row r="1245" spans="1:32">
      <c r="A1245" s="161">
        <v>26</v>
      </c>
      <c r="B1245" s="162">
        <v>0.89583333333333337</v>
      </c>
      <c r="C1245" s="163">
        <v>8.3154336062672645</v>
      </c>
      <c r="D1245" s="163">
        <v>690.17037555646971</v>
      </c>
      <c r="E1245" s="164">
        <v>0.89459999999999995</v>
      </c>
      <c r="F1245" s="164">
        <v>0.89459999999999995</v>
      </c>
      <c r="G1245" s="163">
        <v>8</v>
      </c>
      <c r="H1245" s="163">
        <v>13.333333333333332</v>
      </c>
      <c r="I1245" s="163">
        <v>5.3333333333333321</v>
      </c>
      <c r="J1245" s="163">
        <v>6</v>
      </c>
      <c r="K1245" s="163">
        <v>6.5213495276653175</v>
      </c>
      <c r="L1245" s="163">
        <v>0.5213495276653175</v>
      </c>
      <c r="M1245" s="163">
        <v>7</v>
      </c>
      <c r="N1245" s="163">
        <v>12.181736392262707</v>
      </c>
      <c r="O1245" s="163">
        <v>5.1817363922627067</v>
      </c>
      <c r="P1245" s="163"/>
      <c r="Q1245" s="163">
        <v>8</v>
      </c>
      <c r="R1245" s="163">
        <v>0</v>
      </c>
      <c r="S1245" s="163">
        <v>0</v>
      </c>
      <c r="T1245" s="163">
        <v>0</v>
      </c>
      <c r="U1245" s="163">
        <v>0</v>
      </c>
      <c r="V1245" s="163">
        <v>0</v>
      </c>
      <c r="W1245" s="163">
        <v>0</v>
      </c>
      <c r="X1245" s="163">
        <v>0</v>
      </c>
      <c r="Y1245" s="163">
        <v>8</v>
      </c>
      <c r="Z1245" s="163">
        <v>8</v>
      </c>
      <c r="AA1245" s="163">
        <v>0</v>
      </c>
      <c r="AB1245" s="163">
        <v>0</v>
      </c>
      <c r="AC1245" s="163">
        <v>6</v>
      </c>
      <c r="AD1245" s="163">
        <v>2</v>
      </c>
      <c r="AE1245" s="165">
        <v>0.48891260165346206</v>
      </c>
      <c r="AF1245" s="166">
        <v>0.48891260165346206</v>
      </c>
    </row>
    <row r="1246" spans="1:32">
      <c r="A1246" s="161">
        <v>26</v>
      </c>
      <c r="B1246" s="162">
        <v>0.91666666666666663</v>
      </c>
      <c r="C1246" s="163">
        <v>4.6029931945396525</v>
      </c>
      <c r="D1246" s="163">
        <v>678.27124896820078</v>
      </c>
      <c r="E1246" s="164">
        <v>0.93503333333333327</v>
      </c>
      <c r="F1246" s="164">
        <v>0.93503333333333327</v>
      </c>
      <c r="G1246" s="163">
        <v>5</v>
      </c>
      <c r="H1246" s="163">
        <v>12</v>
      </c>
      <c r="I1246" s="163">
        <v>7</v>
      </c>
      <c r="J1246" s="163">
        <v>4</v>
      </c>
      <c r="K1246" s="163">
        <v>4.0758434547908236</v>
      </c>
      <c r="L1246" s="163">
        <v>7.584345479082355E-2</v>
      </c>
      <c r="M1246" s="163">
        <v>5</v>
      </c>
      <c r="N1246" s="163">
        <v>10.963562753036436</v>
      </c>
      <c r="O1246" s="163">
        <v>5.9635627530364363</v>
      </c>
      <c r="P1246" s="163"/>
      <c r="Q1246" s="163">
        <v>8</v>
      </c>
      <c r="R1246" s="163">
        <v>0</v>
      </c>
      <c r="S1246" s="163">
        <v>0</v>
      </c>
      <c r="T1246" s="163">
        <v>0</v>
      </c>
      <c r="U1246" s="163">
        <v>0</v>
      </c>
      <c r="V1246" s="163">
        <v>0</v>
      </c>
      <c r="W1246" s="163">
        <v>0</v>
      </c>
      <c r="X1246" s="163">
        <v>0</v>
      </c>
      <c r="Y1246" s="163">
        <v>8</v>
      </c>
      <c r="Z1246" s="163">
        <v>8</v>
      </c>
      <c r="AA1246" s="163">
        <v>0</v>
      </c>
      <c r="AB1246" s="163">
        <v>0</v>
      </c>
      <c r="AC1246" s="163">
        <v>6</v>
      </c>
      <c r="AD1246" s="163">
        <v>2</v>
      </c>
      <c r="AE1246" s="165">
        <v>0.26597067658804918</v>
      </c>
      <c r="AF1246" s="166">
        <v>0.42555308254087865</v>
      </c>
    </row>
    <row r="1247" spans="1:32">
      <c r="A1247" s="161">
        <v>26</v>
      </c>
      <c r="B1247" s="162">
        <v>0.9375</v>
      </c>
      <c r="C1247" s="163">
        <v>3.684580730277454</v>
      </c>
      <c r="D1247" s="163">
        <v>675.32250538258086</v>
      </c>
      <c r="E1247" s="164">
        <v>0.90933333333333322</v>
      </c>
      <c r="F1247" s="164">
        <v>0.90933333333333322</v>
      </c>
      <c r="G1247" s="163">
        <v>4</v>
      </c>
      <c r="H1247" s="163">
        <v>9.3333333333333339</v>
      </c>
      <c r="I1247" s="163">
        <v>5.3333333333333339</v>
      </c>
      <c r="J1247" s="163">
        <v>3</v>
      </c>
      <c r="K1247" s="163">
        <v>3.2606747638326588</v>
      </c>
      <c r="L1247" s="163">
        <v>0.26067476383265875</v>
      </c>
      <c r="M1247" s="163">
        <v>4</v>
      </c>
      <c r="N1247" s="163">
        <v>8.5272154745838957</v>
      </c>
      <c r="O1247" s="163">
        <v>4.5272154745838957</v>
      </c>
      <c r="P1247" s="163"/>
      <c r="Q1247" s="163">
        <v>6</v>
      </c>
      <c r="R1247" s="163">
        <v>0</v>
      </c>
      <c r="S1247" s="163">
        <v>0</v>
      </c>
      <c r="T1247" s="163">
        <v>0</v>
      </c>
      <c r="U1247" s="163">
        <v>0</v>
      </c>
      <c r="V1247" s="163">
        <v>0</v>
      </c>
      <c r="W1247" s="163">
        <v>0</v>
      </c>
      <c r="X1247" s="163">
        <v>0</v>
      </c>
      <c r="Y1247" s="163">
        <v>6</v>
      </c>
      <c r="Z1247" s="163">
        <v>6</v>
      </c>
      <c r="AA1247" s="163">
        <v>0</v>
      </c>
      <c r="AB1247" s="163">
        <v>0</v>
      </c>
      <c r="AC1247" s="163">
        <v>4</v>
      </c>
      <c r="AD1247" s="163">
        <v>2</v>
      </c>
      <c r="AE1247" s="165">
        <v>0.28263637417484833</v>
      </c>
      <c r="AF1247" s="166">
        <v>0.42395456126227249</v>
      </c>
    </row>
    <row r="1248" spans="1:32">
      <c r="A1248" s="161">
        <v>26</v>
      </c>
      <c r="B1248" s="162">
        <v>0.95833333333333337</v>
      </c>
      <c r="C1248" s="163">
        <v>2.7114634175502417</v>
      </c>
      <c r="D1248" s="163">
        <v>641.8245534696415</v>
      </c>
      <c r="E1248" s="164">
        <v>0.92479999999999996</v>
      </c>
      <c r="F1248" s="164">
        <v>0.92479999999999996</v>
      </c>
      <c r="G1248" s="163">
        <v>4</v>
      </c>
      <c r="H1248" s="163">
        <v>6.6666666666666661</v>
      </c>
      <c r="I1248" s="163">
        <v>2.6666666666666661</v>
      </c>
      <c r="J1248" s="163">
        <v>3</v>
      </c>
      <c r="K1248" s="163">
        <v>3.2606747638326588</v>
      </c>
      <c r="L1248" s="163">
        <v>0.26067476383265875</v>
      </c>
      <c r="M1248" s="163">
        <v>4</v>
      </c>
      <c r="N1248" s="163">
        <v>6.0908681961313533</v>
      </c>
      <c r="O1248" s="163">
        <v>2.0908681961313533</v>
      </c>
      <c r="P1248" s="163"/>
      <c r="Q1248" s="163">
        <v>4</v>
      </c>
      <c r="R1248" s="163">
        <v>0</v>
      </c>
      <c r="S1248" s="163">
        <v>0</v>
      </c>
      <c r="T1248" s="163">
        <v>0</v>
      </c>
      <c r="U1248" s="163">
        <v>0</v>
      </c>
      <c r="V1248" s="163">
        <v>0</v>
      </c>
      <c r="W1248" s="163">
        <v>0</v>
      </c>
      <c r="X1248" s="163">
        <v>0</v>
      </c>
      <c r="Y1248" s="163">
        <v>4</v>
      </c>
      <c r="Z1248" s="163">
        <v>4</v>
      </c>
      <c r="AA1248" s="163">
        <v>0</v>
      </c>
      <c r="AB1248" s="163">
        <v>0</v>
      </c>
      <c r="AC1248" s="163">
        <v>4</v>
      </c>
      <c r="AD1248" s="163">
        <v>0</v>
      </c>
      <c r="AE1248" s="165">
        <v>0.29651050834999726</v>
      </c>
      <c r="AF1248" s="166">
        <v>0.29651050834999726</v>
      </c>
    </row>
    <row r="1249" spans="1:32">
      <c r="A1249" s="161">
        <v>26</v>
      </c>
      <c r="B1249" s="162">
        <v>0.97916666666666663</v>
      </c>
      <c r="C1249" s="163">
        <v>2.017760258837531</v>
      </c>
      <c r="D1249" s="163">
        <v>641.69816245849529</v>
      </c>
      <c r="E1249" s="164">
        <v>0.96419999999999995</v>
      </c>
      <c r="F1249" s="164">
        <v>0.96419999999999995</v>
      </c>
      <c r="G1249" s="163">
        <v>3</v>
      </c>
      <c r="H1249" s="163">
        <v>6.6666666666666661</v>
      </c>
      <c r="I1249" s="163">
        <v>3.6666666666666661</v>
      </c>
      <c r="J1249" s="163">
        <v>2</v>
      </c>
      <c r="K1249" s="163">
        <v>2.445506072874494</v>
      </c>
      <c r="L1249" s="163">
        <v>0.44550607287449395</v>
      </c>
      <c r="M1249" s="163">
        <v>3</v>
      </c>
      <c r="N1249" s="163">
        <v>6.0908681961313533</v>
      </c>
      <c r="O1249" s="163">
        <v>3.0908681961313533</v>
      </c>
      <c r="P1249" s="163"/>
      <c r="Q1249" s="163">
        <v>4</v>
      </c>
      <c r="R1249" s="163">
        <v>0</v>
      </c>
      <c r="S1249" s="163">
        <v>0</v>
      </c>
      <c r="T1249" s="163">
        <v>0</v>
      </c>
      <c r="U1249" s="163">
        <v>0</v>
      </c>
      <c r="V1249" s="163">
        <v>0</v>
      </c>
      <c r="W1249" s="163">
        <v>0</v>
      </c>
      <c r="X1249" s="163">
        <v>0</v>
      </c>
      <c r="Y1249" s="163">
        <v>4</v>
      </c>
      <c r="Z1249" s="163">
        <v>4</v>
      </c>
      <c r="AA1249" s="163">
        <v>0</v>
      </c>
      <c r="AB1249" s="163">
        <v>0</v>
      </c>
      <c r="AC1249" s="163">
        <v>4</v>
      </c>
      <c r="AD1249" s="163">
        <v>0</v>
      </c>
      <c r="AE1249" s="165">
        <v>0.2206075504404523</v>
      </c>
      <c r="AF1249" s="166">
        <v>0.29414340058726973</v>
      </c>
    </row>
    <row r="1250" spans="1:32">
      <c r="A1250" s="161">
        <v>27</v>
      </c>
      <c r="B1250" s="162">
        <v>0</v>
      </c>
      <c r="C1250" s="163">
        <v>1.0041135108151309</v>
      </c>
      <c r="D1250" s="163">
        <v>611.38983390507588</v>
      </c>
      <c r="E1250" s="164">
        <v>0.99529999999999996</v>
      </c>
      <c r="F1250" s="164">
        <v>0.99529999999999996</v>
      </c>
      <c r="G1250" s="163">
        <v>3</v>
      </c>
      <c r="H1250" s="163">
        <v>6.6666666666666661</v>
      </c>
      <c r="I1250" s="163">
        <v>3.6666666666666661</v>
      </c>
      <c r="J1250" s="163">
        <v>2</v>
      </c>
      <c r="K1250" s="163">
        <v>2.445506072874494</v>
      </c>
      <c r="L1250" s="163">
        <v>0.44550607287449395</v>
      </c>
      <c r="M1250" s="163">
        <v>3</v>
      </c>
      <c r="N1250" s="163">
        <v>6.0908681961313533</v>
      </c>
      <c r="O1250" s="163">
        <v>3.0908681961313533</v>
      </c>
      <c r="P1250" s="163"/>
      <c r="Q1250" s="163">
        <v>4</v>
      </c>
      <c r="R1250" s="163">
        <v>0</v>
      </c>
      <c r="S1250" s="163">
        <v>0</v>
      </c>
      <c r="T1250" s="163">
        <v>0</v>
      </c>
      <c r="U1250" s="163">
        <v>0</v>
      </c>
      <c r="V1250" s="163">
        <v>0</v>
      </c>
      <c r="W1250" s="163">
        <v>0</v>
      </c>
      <c r="X1250" s="163">
        <v>0</v>
      </c>
      <c r="Y1250" s="163">
        <v>4</v>
      </c>
      <c r="Z1250" s="163">
        <v>4</v>
      </c>
      <c r="AA1250" s="163">
        <v>0</v>
      </c>
      <c r="AB1250" s="163">
        <v>0</v>
      </c>
      <c r="AC1250" s="163">
        <v>4</v>
      </c>
      <c r="AD1250" s="163">
        <v>0</v>
      </c>
      <c r="AE1250" s="165">
        <v>0.10459743544300258</v>
      </c>
      <c r="AF1250" s="166">
        <v>0.13946324725733675</v>
      </c>
    </row>
    <row r="1251" spans="1:32">
      <c r="A1251" s="161">
        <v>27</v>
      </c>
      <c r="B1251" s="162">
        <v>2.0833333333333332E-2</v>
      </c>
      <c r="C1251" s="163">
        <v>0.70153506946269073</v>
      </c>
      <c r="D1251" s="163">
        <v>611.27478480376692</v>
      </c>
      <c r="E1251" s="164">
        <v>0.99829999999999997</v>
      </c>
      <c r="F1251" s="164">
        <v>0.99829999999999997</v>
      </c>
      <c r="G1251" s="163">
        <v>3</v>
      </c>
      <c r="H1251" s="163">
        <v>6.6666666666666661</v>
      </c>
      <c r="I1251" s="163">
        <v>3.6666666666666661</v>
      </c>
      <c r="J1251" s="163">
        <v>2</v>
      </c>
      <c r="K1251" s="163">
        <v>2.445506072874494</v>
      </c>
      <c r="L1251" s="163">
        <v>0.44550607287449395</v>
      </c>
      <c r="M1251" s="163">
        <v>3</v>
      </c>
      <c r="N1251" s="163">
        <v>6.0908681961313533</v>
      </c>
      <c r="O1251" s="163">
        <v>3.0908681961313533</v>
      </c>
      <c r="P1251" s="163"/>
      <c r="Q1251" s="163">
        <v>4</v>
      </c>
      <c r="R1251" s="163">
        <v>0</v>
      </c>
      <c r="S1251" s="163">
        <v>0</v>
      </c>
      <c r="T1251" s="163">
        <v>0</v>
      </c>
      <c r="U1251" s="163">
        <v>0</v>
      </c>
      <c r="V1251" s="163">
        <v>0</v>
      </c>
      <c r="W1251" s="163">
        <v>0</v>
      </c>
      <c r="X1251" s="163">
        <v>0</v>
      </c>
      <c r="Y1251" s="163">
        <v>4</v>
      </c>
      <c r="Z1251" s="163">
        <v>4</v>
      </c>
      <c r="AA1251" s="163">
        <v>0</v>
      </c>
      <c r="AB1251" s="163">
        <v>0</v>
      </c>
      <c r="AC1251" s="163">
        <v>4</v>
      </c>
      <c r="AD1251" s="163">
        <v>0</v>
      </c>
      <c r="AE1251" s="165">
        <v>7.3064409751196921E-2</v>
      </c>
      <c r="AF1251" s="166">
        <v>9.7419213001595895E-2</v>
      </c>
    </row>
    <row r="1252" spans="1:32">
      <c r="A1252" s="161">
        <v>27</v>
      </c>
      <c r="B1252" s="162">
        <v>4.1666666666666664E-2</v>
      </c>
      <c r="C1252" s="163">
        <v>0.53499535093348638</v>
      </c>
      <c r="D1252" s="163">
        <v>579.27820433450745</v>
      </c>
      <c r="E1252" s="164">
        <v>0.99929999999999997</v>
      </c>
      <c r="F1252" s="164">
        <v>0.99929999999999997</v>
      </c>
      <c r="G1252" s="163">
        <v>2</v>
      </c>
      <c r="H1252" s="163">
        <v>6.6666666666666661</v>
      </c>
      <c r="I1252" s="163">
        <v>4.6666666666666661</v>
      </c>
      <c r="J1252" s="163">
        <v>1</v>
      </c>
      <c r="K1252" s="163">
        <v>1.6303373819163294</v>
      </c>
      <c r="L1252" s="163">
        <v>0.63033738191632938</v>
      </c>
      <c r="M1252" s="163">
        <v>2</v>
      </c>
      <c r="N1252" s="163">
        <v>6.0908681961313533</v>
      </c>
      <c r="O1252" s="163">
        <v>4.0908681961313533</v>
      </c>
      <c r="P1252" s="163"/>
      <c r="Q1252" s="163">
        <v>4</v>
      </c>
      <c r="R1252" s="163">
        <v>0</v>
      </c>
      <c r="S1252" s="163">
        <v>0</v>
      </c>
      <c r="T1252" s="163">
        <v>0</v>
      </c>
      <c r="U1252" s="163">
        <v>0</v>
      </c>
      <c r="V1252" s="163">
        <v>0</v>
      </c>
      <c r="W1252" s="163">
        <v>0</v>
      </c>
      <c r="X1252" s="163">
        <v>0</v>
      </c>
      <c r="Y1252" s="163">
        <v>4</v>
      </c>
      <c r="Z1252" s="163">
        <v>4</v>
      </c>
      <c r="AA1252" s="163">
        <v>0</v>
      </c>
      <c r="AB1252" s="163">
        <v>0</v>
      </c>
      <c r="AC1252" s="163">
        <v>4</v>
      </c>
      <c r="AD1252" s="163">
        <v>0</v>
      </c>
      <c r="AE1252" s="165">
        <v>5.2802831155888366E-2</v>
      </c>
      <c r="AF1252" s="166">
        <v>0.10560566231177673</v>
      </c>
    </row>
    <row r="1253" spans="1:32">
      <c r="A1253" s="161">
        <v>27</v>
      </c>
      <c r="B1253" s="162">
        <v>6.25E-2</v>
      </c>
      <c r="C1253" s="163">
        <v>0.42419677675770168</v>
      </c>
      <c r="D1253" s="163">
        <v>564.03970170378761</v>
      </c>
      <c r="E1253" s="164">
        <v>0.99960000000000004</v>
      </c>
      <c r="F1253" s="164">
        <v>0.99960000000000004</v>
      </c>
      <c r="G1253" s="163">
        <v>2</v>
      </c>
      <c r="H1253" s="163">
        <v>6.6666666666666661</v>
      </c>
      <c r="I1253" s="163">
        <v>4.6666666666666661</v>
      </c>
      <c r="J1253" s="163">
        <v>1</v>
      </c>
      <c r="K1253" s="163">
        <v>1.6303373819163294</v>
      </c>
      <c r="L1253" s="163">
        <v>0.63033738191632938</v>
      </c>
      <c r="M1253" s="163">
        <v>2</v>
      </c>
      <c r="N1253" s="163">
        <v>6.0908681961313533</v>
      </c>
      <c r="O1253" s="163">
        <v>4.0908681961313533</v>
      </c>
      <c r="P1253" s="163"/>
      <c r="Q1253" s="163">
        <v>4</v>
      </c>
      <c r="R1253" s="163">
        <v>0</v>
      </c>
      <c r="S1253" s="163">
        <v>0</v>
      </c>
      <c r="T1253" s="163">
        <v>0</v>
      </c>
      <c r="U1253" s="163">
        <v>0</v>
      </c>
      <c r="V1253" s="163">
        <v>0</v>
      </c>
      <c r="W1253" s="163">
        <v>0</v>
      </c>
      <c r="X1253" s="163">
        <v>0</v>
      </c>
      <c r="Y1253" s="163">
        <v>4</v>
      </c>
      <c r="Z1253" s="163">
        <v>4</v>
      </c>
      <c r="AA1253" s="163">
        <v>0</v>
      </c>
      <c r="AB1253" s="163">
        <v>0</v>
      </c>
      <c r="AC1253" s="163">
        <v>4</v>
      </c>
      <c r="AD1253" s="163">
        <v>0</v>
      </c>
      <c r="AE1253" s="165">
        <v>4.0765901531253583E-2</v>
      </c>
      <c r="AF1253" s="166">
        <v>8.1531803062507166E-2</v>
      </c>
    </row>
    <row r="1254" spans="1:32">
      <c r="A1254" s="161">
        <v>27</v>
      </c>
      <c r="B1254" s="162">
        <v>8.3333333333333329E-2</v>
      </c>
      <c r="C1254" s="163">
        <v>0.34215505479986974</v>
      </c>
      <c r="D1254" s="163">
        <v>580.83861955658506</v>
      </c>
      <c r="E1254" s="164">
        <v>0.99980000000000002</v>
      </c>
      <c r="F1254" s="164">
        <v>0.99980000000000002</v>
      </c>
      <c r="G1254" s="163">
        <v>2</v>
      </c>
      <c r="H1254" s="163">
        <v>6.6666666666666661</v>
      </c>
      <c r="I1254" s="163">
        <v>4.6666666666666661</v>
      </c>
      <c r="J1254" s="163">
        <v>1</v>
      </c>
      <c r="K1254" s="163">
        <v>1.6303373819163294</v>
      </c>
      <c r="L1254" s="163">
        <v>0.63033738191632938</v>
      </c>
      <c r="M1254" s="163">
        <v>2</v>
      </c>
      <c r="N1254" s="163">
        <v>6.0908681961313533</v>
      </c>
      <c r="O1254" s="163">
        <v>4.0908681961313533</v>
      </c>
      <c r="P1254" s="163"/>
      <c r="Q1254" s="163">
        <v>4</v>
      </c>
      <c r="R1254" s="163">
        <v>0</v>
      </c>
      <c r="S1254" s="163">
        <v>0</v>
      </c>
      <c r="T1254" s="163">
        <v>0</v>
      </c>
      <c r="U1254" s="163">
        <v>0</v>
      </c>
      <c r="V1254" s="163">
        <v>0</v>
      </c>
      <c r="W1254" s="163">
        <v>0</v>
      </c>
      <c r="X1254" s="163">
        <v>0</v>
      </c>
      <c r="Y1254" s="163">
        <v>4</v>
      </c>
      <c r="Z1254" s="163">
        <v>4</v>
      </c>
      <c r="AA1254" s="163">
        <v>0</v>
      </c>
      <c r="AB1254" s="163">
        <v>0</v>
      </c>
      <c r="AC1254" s="163">
        <v>4</v>
      </c>
      <c r="AD1254" s="163">
        <v>0</v>
      </c>
      <c r="AE1254" s="165">
        <v>3.3860896916976538E-2</v>
      </c>
      <c r="AF1254" s="166">
        <v>6.7721793833953076E-2</v>
      </c>
    </row>
    <row r="1255" spans="1:32">
      <c r="A1255" s="161">
        <v>27</v>
      </c>
      <c r="B1255" s="162">
        <v>0.10416666666666667</v>
      </c>
      <c r="C1255" s="163">
        <v>0.27377450191607045</v>
      </c>
      <c r="D1255" s="163">
        <v>553.04949901705606</v>
      </c>
      <c r="E1255" s="164">
        <v>0.9998999999999999</v>
      </c>
      <c r="F1255" s="164">
        <v>0.9998999999999999</v>
      </c>
      <c r="G1255" s="163">
        <v>2</v>
      </c>
      <c r="H1255" s="163">
        <v>6.6666666666666661</v>
      </c>
      <c r="I1255" s="163">
        <v>4.6666666666666661</v>
      </c>
      <c r="J1255" s="163">
        <v>1</v>
      </c>
      <c r="K1255" s="163">
        <v>1.6303373819163294</v>
      </c>
      <c r="L1255" s="163">
        <v>0.63033738191632938</v>
      </c>
      <c r="M1255" s="163">
        <v>2</v>
      </c>
      <c r="N1255" s="163">
        <v>6.0908681961313533</v>
      </c>
      <c r="O1255" s="163">
        <v>4.0908681961313533</v>
      </c>
      <c r="P1255" s="163"/>
      <c r="Q1255" s="163">
        <v>4</v>
      </c>
      <c r="R1255" s="163">
        <v>0</v>
      </c>
      <c r="S1255" s="163">
        <v>0</v>
      </c>
      <c r="T1255" s="163">
        <v>0</v>
      </c>
      <c r="U1255" s="163">
        <v>0</v>
      </c>
      <c r="V1255" s="163">
        <v>0</v>
      </c>
      <c r="W1255" s="163">
        <v>0</v>
      </c>
      <c r="X1255" s="163">
        <v>0</v>
      </c>
      <c r="Y1255" s="163">
        <v>4</v>
      </c>
      <c r="Z1255" s="163">
        <v>4</v>
      </c>
      <c r="AA1255" s="163">
        <v>0</v>
      </c>
      <c r="AB1255" s="163">
        <v>0</v>
      </c>
      <c r="AC1255" s="163">
        <v>4</v>
      </c>
      <c r="AD1255" s="163">
        <v>0</v>
      </c>
      <c r="AE1255" s="165">
        <v>2.5797463901877857E-2</v>
      </c>
      <c r="AF1255" s="166">
        <v>5.1594927803755714E-2</v>
      </c>
    </row>
    <row r="1256" spans="1:32">
      <c r="A1256" s="161">
        <v>27</v>
      </c>
      <c r="B1256" s="162">
        <v>0.125</v>
      </c>
      <c r="C1256" s="163">
        <v>0.24669629243756816</v>
      </c>
      <c r="D1256" s="163">
        <v>552.96493163475623</v>
      </c>
      <c r="E1256" s="164">
        <v>0.9998999999999999</v>
      </c>
      <c r="F1256" s="164">
        <v>0.9998999999999999</v>
      </c>
      <c r="G1256" s="163">
        <v>2</v>
      </c>
      <c r="H1256" s="163">
        <v>6.6666666666666661</v>
      </c>
      <c r="I1256" s="163">
        <v>4.6666666666666661</v>
      </c>
      <c r="J1256" s="163">
        <v>1</v>
      </c>
      <c r="K1256" s="163">
        <v>1.6303373819163294</v>
      </c>
      <c r="L1256" s="163">
        <v>0.63033738191632938</v>
      </c>
      <c r="M1256" s="163">
        <v>2</v>
      </c>
      <c r="N1256" s="163">
        <v>6.0908681961313533</v>
      </c>
      <c r="O1256" s="163">
        <v>4.0908681961313533</v>
      </c>
      <c r="P1256" s="163"/>
      <c r="Q1256" s="163">
        <v>4</v>
      </c>
      <c r="R1256" s="163">
        <v>0</v>
      </c>
      <c r="S1256" s="163">
        <v>0</v>
      </c>
      <c r="T1256" s="163">
        <v>0</v>
      </c>
      <c r="U1256" s="163">
        <v>0</v>
      </c>
      <c r="V1256" s="163">
        <v>0</v>
      </c>
      <c r="W1256" s="163">
        <v>0</v>
      </c>
      <c r="X1256" s="163">
        <v>0</v>
      </c>
      <c r="Y1256" s="163">
        <v>4</v>
      </c>
      <c r="Z1256" s="163">
        <v>4</v>
      </c>
      <c r="AA1256" s="163">
        <v>0</v>
      </c>
      <c r="AB1256" s="163">
        <v>0</v>
      </c>
      <c r="AC1256" s="163">
        <v>4</v>
      </c>
      <c r="AD1256" s="163">
        <v>0</v>
      </c>
      <c r="AE1256" s="165">
        <v>2.3242360070749358E-2</v>
      </c>
      <c r="AF1256" s="166">
        <v>4.6484720141498716E-2</v>
      </c>
    </row>
    <row r="1257" spans="1:32">
      <c r="A1257" s="161">
        <v>27</v>
      </c>
      <c r="B1257" s="162">
        <v>0.14583333333333334</v>
      </c>
      <c r="C1257" s="163">
        <v>0.24862827061165518</v>
      </c>
      <c r="D1257" s="163">
        <v>585.53388831462485</v>
      </c>
      <c r="E1257" s="164">
        <v>0.9998999999999999</v>
      </c>
      <c r="F1257" s="164">
        <v>0.9998999999999999</v>
      </c>
      <c r="G1257" s="163">
        <v>2</v>
      </c>
      <c r="H1257" s="163">
        <v>6.6666666666666661</v>
      </c>
      <c r="I1257" s="163">
        <v>4.6666666666666661</v>
      </c>
      <c r="J1257" s="163">
        <v>1</v>
      </c>
      <c r="K1257" s="163">
        <v>1.6303373819163294</v>
      </c>
      <c r="L1257" s="163">
        <v>0.63033738191632938</v>
      </c>
      <c r="M1257" s="163">
        <v>2</v>
      </c>
      <c r="N1257" s="163">
        <v>6.0908681961313533</v>
      </c>
      <c r="O1257" s="163">
        <v>4.0908681961313533</v>
      </c>
      <c r="P1257" s="163"/>
      <c r="Q1257" s="163">
        <v>4</v>
      </c>
      <c r="R1257" s="163">
        <v>0</v>
      </c>
      <c r="S1257" s="163">
        <v>0</v>
      </c>
      <c r="T1257" s="163">
        <v>0</v>
      </c>
      <c r="U1257" s="163">
        <v>0</v>
      </c>
      <c r="V1257" s="163">
        <v>0</v>
      </c>
      <c r="W1257" s="163">
        <v>0</v>
      </c>
      <c r="X1257" s="163">
        <v>0</v>
      </c>
      <c r="Y1257" s="163">
        <v>4</v>
      </c>
      <c r="Z1257" s="163">
        <v>4</v>
      </c>
      <c r="AA1257" s="163">
        <v>0</v>
      </c>
      <c r="AB1257" s="163">
        <v>0</v>
      </c>
      <c r="AC1257" s="163">
        <v>4</v>
      </c>
      <c r="AD1257" s="163">
        <v>0</v>
      </c>
      <c r="AE1257" s="165">
        <v>2.4804047658914183E-2</v>
      </c>
      <c r="AF1257" s="166">
        <v>4.9608095317828366E-2</v>
      </c>
    </row>
    <row r="1258" spans="1:32">
      <c r="A1258" s="161">
        <v>27</v>
      </c>
      <c r="B1258" s="162">
        <v>0.16666666666666666</v>
      </c>
      <c r="C1258" s="163">
        <v>0.27857366687691942</v>
      </c>
      <c r="D1258" s="163">
        <v>585.63067357175998</v>
      </c>
      <c r="E1258" s="164">
        <v>0.9998999999999999</v>
      </c>
      <c r="F1258" s="164">
        <v>0.9998999999999999</v>
      </c>
      <c r="G1258" s="163">
        <v>2</v>
      </c>
      <c r="H1258" s="163">
        <v>6.6666666666666661</v>
      </c>
      <c r="I1258" s="163">
        <v>4.6666666666666661</v>
      </c>
      <c r="J1258" s="163">
        <v>1</v>
      </c>
      <c r="K1258" s="163">
        <v>1.6303373819163294</v>
      </c>
      <c r="L1258" s="163">
        <v>0.63033738191632938</v>
      </c>
      <c r="M1258" s="163">
        <v>2</v>
      </c>
      <c r="N1258" s="163">
        <v>6.0908681961313533</v>
      </c>
      <c r="O1258" s="163">
        <v>4.0908681961313533</v>
      </c>
      <c r="P1258" s="163"/>
      <c r="Q1258" s="163">
        <v>4</v>
      </c>
      <c r="R1258" s="163">
        <v>0</v>
      </c>
      <c r="S1258" s="163">
        <v>0</v>
      </c>
      <c r="T1258" s="163">
        <v>0</v>
      </c>
      <c r="U1258" s="163">
        <v>0</v>
      </c>
      <c r="V1258" s="163">
        <v>0</v>
      </c>
      <c r="W1258" s="163">
        <v>0</v>
      </c>
      <c r="X1258" s="163">
        <v>0</v>
      </c>
      <c r="Y1258" s="163">
        <v>4</v>
      </c>
      <c r="Z1258" s="163">
        <v>4</v>
      </c>
      <c r="AA1258" s="163">
        <v>0</v>
      </c>
      <c r="AB1258" s="163">
        <v>0</v>
      </c>
      <c r="AC1258" s="163">
        <v>4</v>
      </c>
      <c r="AD1258" s="163">
        <v>0</v>
      </c>
      <c r="AE1258" s="165">
        <v>2.7796101521011231E-2</v>
      </c>
      <c r="AF1258" s="166">
        <v>5.5592203042022462E-2</v>
      </c>
    </row>
    <row r="1259" spans="1:32">
      <c r="A1259" s="161">
        <v>27</v>
      </c>
      <c r="B1259" s="162">
        <v>0.1875</v>
      </c>
      <c r="C1259" s="163">
        <v>0.40950937647402208</v>
      </c>
      <c r="D1259" s="163">
        <v>622.29200516222397</v>
      </c>
      <c r="E1259" s="164">
        <v>0.99960000000000004</v>
      </c>
      <c r="F1259" s="164">
        <v>0.99960000000000004</v>
      </c>
      <c r="G1259" s="163">
        <v>2</v>
      </c>
      <c r="H1259" s="163">
        <v>6.6666666666666661</v>
      </c>
      <c r="I1259" s="163">
        <v>4.6666666666666661</v>
      </c>
      <c r="J1259" s="163">
        <v>1</v>
      </c>
      <c r="K1259" s="163">
        <v>1.6303373819163294</v>
      </c>
      <c r="L1259" s="163">
        <v>0.63033738191632938</v>
      </c>
      <c r="M1259" s="163">
        <v>2</v>
      </c>
      <c r="N1259" s="163">
        <v>6.0908681961313533</v>
      </c>
      <c r="O1259" s="163">
        <v>4.0908681961313533</v>
      </c>
      <c r="P1259" s="163"/>
      <c r="Q1259" s="163">
        <v>4</v>
      </c>
      <c r="R1259" s="163">
        <v>0</v>
      </c>
      <c r="S1259" s="163">
        <v>0</v>
      </c>
      <c r="T1259" s="163">
        <v>0</v>
      </c>
      <c r="U1259" s="163">
        <v>0</v>
      </c>
      <c r="V1259" s="163">
        <v>0</v>
      </c>
      <c r="W1259" s="163">
        <v>0</v>
      </c>
      <c r="X1259" s="163">
        <v>0</v>
      </c>
      <c r="Y1259" s="163">
        <v>4</v>
      </c>
      <c r="Z1259" s="163">
        <v>4</v>
      </c>
      <c r="AA1259" s="163">
        <v>0</v>
      </c>
      <c r="AB1259" s="163">
        <v>0</v>
      </c>
      <c r="AC1259" s="163">
        <v>4</v>
      </c>
      <c r="AD1259" s="163">
        <v>0</v>
      </c>
      <c r="AE1259" s="165">
        <v>4.3418826789638355E-2</v>
      </c>
      <c r="AF1259" s="166">
        <v>8.6837653579276711E-2</v>
      </c>
    </row>
    <row r="1260" spans="1:32">
      <c r="A1260" s="161">
        <v>27</v>
      </c>
      <c r="B1260" s="162">
        <v>0.20833333333333334</v>
      </c>
      <c r="C1260" s="163">
        <v>0.71839778863005455</v>
      </c>
      <c r="D1260" s="163">
        <v>654.09906959231648</v>
      </c>
      <c r="E1260" s="164">
        <v>0.99770000000000003</v>
      </c>
      <c r="F1260" s="164">
        <v>0.99770000000000003</v>
      </c>
      <c r="G1260" s="163">
        <v>3</v>
      </c>
      <c r="H1260" s="163">
        <v>6.6666666666666661</v>
      </c>
      <c r="I1260" s="163">
        <v>3.6666666666666661</v>
      </c>
      <c r="J1260" s="163">
        <v>2</v>
      </c>
      <c r="K1260" s="163">
        <v>2.445506072874494</v>
      </c>
      <c r="L1260" s="163">
        <v>0.44550607287449395</v>
      </c>
      <c r="M1260" s="163">
        <v>3</v>
      </c>
      <c r="N1260" s="163">
        <v>6.0908681961313533</v>
      </c>
      <c r="O1260" s="163">
        <v>3.0908681961313533</v>
      </c>
      <c r="P1260" s="163"/>
      <c r="Q1260" s="163">
        <v>4</v>
      </c>
      <c r="R1260" s="163">
        <v>0</v>
      </c>
      <c r="S1260" s="163">
        <v>0</v>
      </c>
      <c r="T1260" s="163">
        <v>0</v>
      </c>
      <c r="U1260" s="163">
        <v>0</v>
      </c>
      <c r="V1260" s="163">
        <v>0</v>
      </c>
      <c r="W1260" s="163">
        <v>0</v>
      </c>
      <c r="X1260" s="163">
        <v>0</v>
      </c>
      <c r="Y1260" s="163">
        <v>4</v>
      </c>
      <c r="Z1260" s="163">
        <v>4</v>
      </c>
      <c r="AA1260" s="163">
        <v>0</v>
      </c>
      <c r="AB1260" s="163">
        <v>0</v>
      </c>
      <c r="AC1260" s="163">
        <v>4</v>
      </c>
      <c r="AD1260" s="163">
        <v>0</v>
      </c>
      <c r="AE1260" s="165">
        <v>8.006238639659885E-2</v>
      </c>
      <c r="AF1260" s="166">
        <v>0.10674984852879847</v>
      </c>
    </row>
    <row r="1261" spans="1:32">
      <c r="A1261" s="161">
        <v>27</v>
      </c>
      <c r="B1261" s="162">
        <v>0.22916666666666666</v>
      </c>
      <c r="C1261" s="163">
        <v>1.2035018598359759</v>
      </c>
      <c r="D1261" s="163">
        <v>668.49932130681111</v>
      </c>
      <c r="E1261" s="164">
        <v>0.9899</v>
      </c>
      <c r="F1261" s="164">
        <v>0.9899</v>
      </c>
      <c r="G1261" s="163">
        <v>3</v>
      </c>
      <c r="H1261" s="163">
        <v>6.6666666666666661</v>
      </c>
      <c r="I1261" s="163">
        <v>3.6666666666666661</v>
      </c>
      <c r="J1261" s="163">
        <v>2</v>
      </c>
      <c r="K1261" s="163">
        <v>2.445506072874494</v>
      </c>
      <c r="L1261" s="163">
        <v>0.44550607287449395</v>
      </c>
      <c r="M1261" s="163">
        <v>3</v>
      </c>
      <c r="N1261" s="163">
        <v>6.0908681961313533</v>
      </c>
      <c r="O1261" s="163">
        <v>3.0908681961313533</v>
      </c>
      <c r="P1261" s="163"/>
      <c r="Q1261" s="163">
        <v>4</v>
      </c>
      <c r="R1261" s="163">
        <v>0</v>
      </c>
      <c r="S1261" s="163">
        <v>0</v>
      </c>
      <c r="T1261" s="163">
        <v>0</v>
      </c>
      <c r="U1261" s="163">
        <v>0</v>
      </c>
      <c r="V1261" s="163">
        <v>0</v>
      </c>
      <c r="W1261" s="163">
        <v>0</v>
      </c>
      <c r="X1261" s="163">
        <v>0</v>
      </c>
      <c r="Y1261" s="163">
        <v>4</v>
      </c>
      <c r="Z1261" s="163">
        <v>4</v>
      </c>
      <c r="AA1261" s="163">
        <v>0</v>
      </c>
      <c r="AB1261" s="163">
        <v>0</v>
      </c>
      <c r="AC1261" s="163">
        <v>4</v>
      </c>
      <c r="AD1261" s="163">
        <v>0</v>
      </c>
      <c r="AE1261" s="165">
        <v>0.13707799676172328</v>
      </c>
      <c r="AF1261" s="166">
        <v>0.18277066234896436</v>
      </c>
    </row>
    <row r="1262" spans="1:32">
      <c r="A1262" s="161">
        <v>27</v>
      </c>
      <c r="B1262" s="162">
        <v>0.25</v>
      </c>
      <c r="C1262" s="163">
        <v>1.8490482390027392</v>
      </c>
      <c r="D1262" s="163">
        <v>675.27777200193361</v>
      </c>
      <c r="E1262" s="164">
        <v>0.96740000000000004</v>
      </c>
      <c r="F1262" s="164">
        <v>0.96740000000000004</v>
      </c>
      <c r="G1262" s="163">
        <v>3</v>
      </c>
      <c r="H1262" s="163">
        <v>6.6666666666666661</v>
      </c>
      <c r="I1262" s="163">
        <v>3.6666666666666661</v>
      </c>
      <c r="J1262" s="163">
        <v>2</v>
      </c>
      <c r="K1262" s="163">
        <v>2.445506072874494</v>
      </c>
      <c r="L1262" s="163">
        <v>0.44550607287449395</v>
      </c>
      <c r="M1262" s="163">
        <v>3</v>
      </c>
      <c r="N1262" s="163">
        <v>6.0908681961313533</v>
      </c>
      <c r="O1262" s="163">
        <v>3.0908681961313533</v>
      </c>
      <c r="P1262" s="163"/>
      <c r="Q1262" s="163">
        <v>4</v>
      </c>
      <c r="R1262" s="163">
        <v>0</v>
      </c>
      <c r="S1262" s="163">
        <v>0</v>
      </c>
      <c r="T1262" s="163">
        <v>0</v>
      </c>
      <c r="U1262" s="163">
        <v>0</v>
      </c>
      <c r="V1262" s="163">
        <v>0</v>
      </c>
      <c r="W1262" s="163">
        <v>0</v>
      </c>
      <c r="X1262" s="163">
        <v>0</v>
      </c>
      <c r="Y1262" s="163">
        <v>4</v>
      </c>
      <c r="Z1262" s="163">
        <v>4</v>
      </c>
      <c r="AA1262" s="163">
        <v>0</v>
      </c>
      <c r="AB1262" s="163">
        <v>0</v>
      </c>
      <c r="AC1262" s="163">
        <v>4</v>
      </c>
      <c r="AD1262" s="163">
        <v>0</v>
      </c>
      <c r="AE1262" s="165">
        <v>0.21274076100368183</v>
      </c>
      <c r="AF1262" s="166">
        <v>0.28365434800490907</v>
      </c>
    </row>
    <row r="1263" spans="1:32">
      <c r="A1263" s="161">
        <v>27</v>
      </c>
      <c r="B1263" s="162">
        <v>0.27083333333333331</v>
      </c>
      <c r="C1263" s="163">
        <v>2.6698187662839414</v>
      </c>
      <c r="D1263" s="163">
        <v>740.01536774215947</v>
      </c>
      <c r="E1263" s="164">
        <v>0.89659999999999995</v>
      </c>
      <c r="F1263" s="164">
        <v>0.89659999999999995</v>
      </c>
      <c r="G1263" s="163">
        <v>4</v>
      </c>
      <c r="H1263" s="163">
        <v>6.6666666666666661</v>
      </c>
      <c r="I1263" s="163">
        <v>2.6666666666666661</v>
      </c>
      <c r="J1263" s="163">
        <v>3</v>
      </c>
      <c r="K1263" s="163">
        <v>3.2606747638326588</v>
      </c>
      <c r="L1263" s="163">
        <v>0.26067476383265875</v>
      </c>
      <c r="M1263" s="163">
        <v>4</v>
      </c>
      <c r="N1263" s="163">
        <v>6.0908681961313533</v>
      </c>
      <c r="O1263" s="163">
        <v>2.0908681961313533</v>
      </c>
      <c r="P1263" s="163"/>
      <c r="Q1263" s="163">
        <v>4</v>
      </c>
      <c r="R1263" s="163">
        <v>0</v>
      </c>
      <c r="S1263" s="163">
        <v>0</v>
      </c>
      <c r="T1263" s="163">
        <v>0</v>
      </c>
      <c r="U1263" s="163">
        <v>0</v>
      </c>
      <c r="V1263" s="163">
        <v>0</v>
      </c>
      <c r="W1263" s="163">
        <v>0</v>
      </c>
      <c r="X1263" s="163">
        <v>0</v>
      </c>
      <c r="Y1263" s="163">
        <v>4</v>
      </c>
      <c r="Z1263" s="163">
        <v>4</v>
      </c>
      <c r="AA1263" s="163">
        <v>0</v>
      </c>
      <c r="AB1263" s="163">
        <v>0</v>
      </c>
      <c r="AC1263" s="163">
        <v>4</v>
      </c>
      <c r="AD1263" s="163">
        <v>0</v>
      </c>
      <c r="AE1263" s="165">
        <v>0.33662202853958534</v>
      </c>
      <c r="AF1263" s="166">
        <v>0.33662202853958534</v>
      </c>
    </row>
    <row r="1264" spans="1:32">
      <c r="A1264" s="161">
        <v>27</v>
      </c>
      <c r="B1264" s="162">
        <v>0.29166666666666669</v>
      </c>
      <c r="C1264" s="163">
        <v>5.7795713893991962</v>
      </c>
      <c r="D1264" s="163">
        <v>700.74569640555171</v>
      </c>
      <c r="E1264" s="164">
        <v>0.92459999999999998</v>
      </c>
      <c r="F1264" s="164">
        <v>0.92459999999999998</v>
      </c>
      <c r="G1264" s="163">
        <v>7</v>
      </c>
      <c r="H1264" s="163">
        <v>11.666666666666668</v>
      </c>
      <c r="I1264" s="163">
        <v>4.6666666666666679</v>
      </c>
      <c r="J1264" s="163">
        <v>5</v>
      </c>
      <c r="K1264" s="163">
        <v>5.7061808367071531</v>
      </c>
      <c r="L1264" s="163">
        <v>0.70618083670715315</v>
      </c>
      <c r="M1264" s="163">
        <v>6</v>
      </c>
      <c r="N1264" s="163">
        <v>10.65901934322987</v>
      </c>
      <c r="O1264" s="163">
        <v>4.6590193432298701</v>
      </c>
      <c r="P1264" s="163"/>
      <c r="Q1264" s="163">
        <v>7</v>
      </c>
      <c r="R1264" s="163">
        <v>0</v>
      </c>
      <c r="S1264" s="163">
        <v>0</v>
      </c>
      <c r="T1264" s="163">
        <v>0</v>
      </c>
      <c r="U1264" s="163">
        <v>0</v>
      </c>
      <c r="V1264" s="163">
        <v>0</v>
      </c>
      <c r="W1264" s="163">
        <v>0</v>
      </c>
      <c r="X1264" s="163">
        <v>0</v>
      </c>
      <c r="Y1264" s="163">
        <v>7</v>
      </c>
      <c r="Z1264" s="163">
        <v>7</v>
      </c>
      <c r="AA1264" s="163">
        <v>0</v>
      </c>
      <c r="AB1264" s="163">
        <v>0</v>
      </c>
      <c r="AC1264" s="163">
        <v>4</v>
      </c>
      <c r="AD1264" s="163">
        <v>3</v>
      </c>
      <c r="AE1264" s="165">
        <v>0.39431022197085852</v>
      </c>
      <c r="AF1264" s="166">
        <v>0.39431022197085852</v>
      </c>
    </row>
    <row r="1265" spans="1:32">
      <c r="A1265" s="161">
        <v>27</v>
      </c>
      <c r="B1265" s="162">
        <v>0.3125</v>
      </c>
      <c r="C1265" s="163">
        <v>7.1530297730104362</v>
      </c>
      <c r="D1265" s="163">
        <v>751.92141213244099</v>
      </c>
      <c r="E1265" s="164">
        <v>0.98980000000000012</v>
      </c>
      <c r="F1265" s="164">
        <v>0.98980000000000012</v>
      </c>
      <c r="G1265" s="163">
        <v>8</v>
      </c>
      <c r="H1265" s="163">
        <v>18.333333333333332</v>
      </c>
      <c r="I1265" s="163">
        <v>10.333333333333332</v>
      </c>
      <c r="J1265" s="163">
        <v>6</v>
      </c>
      <c r="K1265" s="163">
        <v>6.5213495276653175</v>
      </c>
      <c r="L1265" s="163">
        <v>0.5213495276653175</v>
      </c>
      <c r="M1265" s="163">
        <v>7</v>
      </c>
      <c r="N1265" s="163">
        <v>16.749887539361222</v>
      </c>
      <c r="O1265" s="163">
        <v>9.7498875393612217</v>
      </c>
      <c r="P1265" s="163"/>
      <c r="Q1265" s="163">
        <v>11</v>
      </c>
      <c r="R1265" s="163">
        <v>0</v>
      </c>
      <c r="S1265" s="163">
        <v>0</v>
      </c>
      <c r="T1265" s="163">
        <v>0</v>
      </c>
      <c r="U1265" s="163">
        <v>0</v>
      </c>
      <c r="V1265" s="163">
        <v>0</v>
      </c>
      <c r="W1265" s="163">
        <v>0</v>
      </c>
      <c r="X1265" s="163">
        <v>0</v>
      </c>
      <c r="Y1265" s="163">
        <v>11</v>
      </c>
      <c r="Z1265" s="163">
        <v>11</v>
      </c>
      <c r="AA1265" s="163">
        <v>0</v>
      </c>
      <c r="AB1265" s="163">
        <v>0</v>
      </c>
      <c r="AC1265" s="163">
        <v>8</v>
      </c>
      <c r="AD1265" s="163">
        <v>3</v>
      </c>
      <c r="AE1265" s="165">
        <v>0.3332343817394714</v>
      </c>
      <c r="AF1265" s="166">
        <v>0.4581972748917732</v>
      </c>
    </row>
    <row r="1266" spans="1:32">
      <c r="A1266" s="161">
        <v>27</v>
      </c>
      <c r="B1266" s="162">
        <v>0.33333333333333331</v>
      </c>
      <c r="C1266" s="163">
        <v>10.345276575875857</v>
      </c>
      <c r="D1266" s="163">
        <v>736.80076287404313</v>
      </c>
      <c r="E1266" s="164">
        <v>0.98970000000000002</v>
      </c>
      <c r="F1266" s="164">
        <v>0.98970000000000002</v>
      </c>
      <c r="G1266" s="163">
        <v>9</v>
      </c>
      <c r="H1266" s="163">
        <v>21.666666666666664</v>
      </c>
      <c r="I1266" s="163">
        <v>12.666666666666664</v>
      </c>
      <c r="J1266" s="163">
        <v>7</v>
      </c>
      <c r="K1266" s="163">
        <v>7.3365182186234819</v>
      </c>
      <c r="L1266" s="163">
        <v>0.33651821862348186</v>
      </c>
      <c r="M1266" s="163">
        <v>8</v>
      </c>
      <c r="N1266" s="163">
        <v>19.795321637426898</v>
      </c>
      <c r="O1266" s="163">
        <v>11.795321637426898</v>
      </c>
      <c r="P1266" s="163"/>
      <c r="Q1266" s="163">
        <v>13</v>
      </c>
      <c r="R1266" s="163">
        <v>0</v>
      </c>
      <c r="S1266" s="163">
        <v>0</v>
      </c>
      <c r="T1266" s="163">
        <v>0</v>
      </c>
      <c r="U1266" s="163">
        <v>0</v>
      </c>
      <c r="V1266" s="163">
        <v>0</v>
      </c>
      <c r="W1266" s="163">
        <v>0</v>
      </c>
      <c r="X1266" s="163">
        <v>0</v>
      </c>
      <c r="Y1266" s="163">
        <v>13</v>
      </c>
      <c r="Z1266" s="163">
        <v>13</v>
      </c>
      <c r="AA1266" s="163">
        <v>0</v>
      </c>
      <c r="AB1266" s="163">
        <v>0</v>
      </c>
      <c r="AC1266" s="163">
        <v>10</v>
      </c>
      <c r="AD1266" s="163">
        <v>3</v>
      </c>
      <c r="AE1266" s="165">
        <v>0.39960307758790181</v>
      </c>
      <c r="AF1266" s="166">
        <v>0.57720444540474702</v>
      </c>
    </row>
    <row r="1267" spans="1:32">
      <c r="A1267" s="161">
        <v>27</v>
      </c>
      <c r="B1267" s="162">
        <v>0.35416666666666669</v>
      </c>
      <c r="C1267" s="163">
        <v>12.836869173366127</v>
      </c>
      <c r="D1267" s="163">
        <v>785.7057513203805</v>
      </c>
      <c r="E1267" s="164">
        <v>0.98850000000000005</v>
      </c>
      <c r="F1267" s="164">
        <v>0.98850000000000005</v>
      </c>
      <c r="G1267" s="163">
        <v>12</v>
      </c>
      <c r="H1267" s="163">
        <v>25</v>
      </c>
      <c r="I1267" s="163">
        <v>13</v>
      </c>
      <c r="J1267" s="163">
        <v>9</v>
      </c>
      <c r="K1267" s="163">
        <v>9.7820242914979758</v>
      </c>
      <c r="L1267" s="163">
        <v>0.78202429149797581</v>
      </c>
      <c r="M1267" s="163">
        <v>11</v>
      </c>
      <c r="N1267" s="163">
        <v>22.840755735492575</v>
      </c>
      <c r="O1267" s="163">
        <v>11.840755735492575</v>
      </c>
      <c r="P1267" s="163"/>
      <c r="Q1267" s="163">
        <v>15</v>
      </c>
      <c r="R1267" s="163">
        <v>0</v>
      </c>
      <c r="S1267" s="163">
        <v>0</v>
      </c>
      <c r="T1267" s="163">
        <v>0</v>
      </c>
      <c r="U1267" s="163">
        <v>0</v>
      </c>
      <c r="V1267" s="163">
        <v>0</v>
      </c>
      <c r="W1267" s="163">
        <v>0</v>
      </c>
      <c r="X1267" s="163">
        <v>0</v>
      </c>
      <c r="Y1267" s="163">
        <v>15</v>
      </c>
      <c r="Z1267" s="163">
        <v>15</v>
      </c>
      <c r="AA1267" s="163">
        <v>0</v>
      </c>
      <c r="AB1267" s="163">
        <v>0</v>
      </c>
      <c r="AC1267" s="163">
        <v>10</v>
      </c>
      <c r="AD1267" s="163">
        <v>5</v>
      </c>
      <c r="AE1267" s="165">
        <v>0.45825561199035436</v>
      </c>
      <c r="AF1267" s="166">
        <v>0.57281951498794292</v>
      </c>
    </row>
    <row r="1268" spans="1:32">
      <c r="A1268" s="161">
        <v>27</v>
      </c>
      <c r="B1268" s="162">
        <v>0.375</v>
      </c>
      <c r="C1268" s="163">
        <v>14.804573834284355</v>
      </c>
      <c r="D1268" s="163">
        <v>768.73922555834361</v>
      </c>
      <c r="E1268" s="164">
        <v>0.98870000000000002</v>
      </c>
      <c r="F1268" s="164">
        <v>0.98870000000000002</v>
      </c>
      <c r="G1268" s="163">
        <v>13</v>
      </c>
      <c r="H1268" s="163">
        <v>28.333333333333336</v>
      </c>
      <c r="I1268" s="163">
        <v>15.333333333333336</v>
      </c>
      <c r="J1268" s="163">
        <v>10</v>
      </c>
      <c r="K1268" s="163">
        <v>10.597192982456141</v>
      </c>
      <c r="L1268" s="163">
        <v>0.59719298245614105</v>
      </c>
      <c r="M1268" s="163">
        <v>12</v>
      </c>
      <c r="N1268" s="163">
        <v>25.886189833558255</v>
      </c>
      <c r="O1268" s="163">
        <v>13.886189833558255</v>
      </c>
      <c r="P1268" s="163"/>
      <c r="Q1268" s="163">
        <v>17</v>
      </c>
      <c r="R1268" s="163">
        <v>0</v>
      </c>
      <c r="S1268" s="163">
        <v>0</v>
      </c>
      <c r="T1268" s="163">
        <v>0</v>
      </c>
      <c r="U1268" s="163">
        <v>0</v>
      </c>
      <c r="V1268" s="163">
        <v>0</v>
      </c>
      <c r="W1268" s="163">
        <v>0</v>
      </c>
      <c r="X1268" s="163">
        <v>0</v>
      </c>
      <c r="Y1268" s="163">
        <v>17</v>
      </c>
      <c r="Z1268" s="163">
        <v>17</v>
      </c>
      <c r="AA1268" s="163">
        <v>0</v>
      </c>
      <c r="AB1268" s="163">
        <v>0</v>
      </c>
      <c r="AC1268" s="163">
        <v>12</v>
      </c>
      <c r="AD1268" s="163">
        <v>5</v>
      </c>
      <c r="AE1268" s="165">
        <v>0.45625331690636001</v>
      </c>
      <c r="AF1268" s="166">
        <v>0.59663895287754776</v>
      </c>
    </row>
    <row r="1269" spans="1:32">
      <c r="A1269" s="161">
        <v>27</v>
      </c>
      <c r="B1269" s="162">
        <v>0.39583333333333331</v>
      </c>
      <c r="C1269" s="163">
        <v>16.024031700888131</v>
      </c>
      <c r="D1269" s="163">
        <v>784.41536008345622</v>
      </c>
      <c r="E1269" s="164">
        <v>0.99529999999999996</v>
      </c>
      <c r="F1269" s="164">
        <v>0.99529999999999996</v>
      </c>
      <c r="G1269" s="163">
        <v>14</v>
      </c>
      <c r="H1269" s="163">
        <v>31.666666666666664</v>
      </c>
      <c r="I1269" s="163">
        <v>17.666666666666664</v>
      </c>
      <c r="J1269" s="163">
        <v>11</v>
      </c>
      <c r="K1269" s="163">
        <v>11.412361673414306</v>
      </c>
      <c r="L1269" s="163">
        <v>0.4123616734143063</v>
      </c>
      <c r="M1269" s="163">
        <v>13</v>
      </c>
      <c r="N1269" s="163">
        <v>28.931623931623928</v>
      </c>
      <c r="O1269" s="163">
        <v>15.931623931623928</v>
      </c>
      <c r="P1269" s="163"/>
      <c r="Q1269" s="163">
        <v>19</v>
      </c>
      <c r="R1269" s="163">
        <v>0</v>
      </c>
      <c r="S1269" s="163">
        <v>0</v>
      </c>
      <c r="T1269" s="163">
        <v>0</v>
      </c>
      <c r="U1269" s="163">
        <v>0</v>
      </c>
      <c r="V1269" s="163">
        <v>0</v>
      </c>
      <c r="W1269" s="163">
        <v>0</v>
      </c>
      <c r="X1269" s="163">
        <v>0</v>
      </c>
      <c r="Y1269" s="163">
        <v>19</v>
      </c>
      <c r="Z1269" s="163">
        <v>19</v>
      </c>
      <c r="AA1269" s="163">
        <v>0</v>
      </c>
      <c r="AB1269" s="163">
        <v>0</v>
      </c>
      <c r="AC1269" s="163">
        <v>14</v>
      </c>
      <c r="AD1269" s="163">
        <v>5</v>
      </c>
      <c r="AE1269" s="165">
        <v>0.45086267950337572</v>
      </c>
      <c r="AF1269" s="166">
        <v>0.61188506504029561</v>
      </c>
    </row>
    <row r="1270" spans="1:32">
      <c r="A1270" s="161">
        <v>27</v>
      </c>
      <c r="B1270" s="162">
        <v>0.41666666666666669</v>
      </c>
      <c r="C1270" s="163">
        <v>17.482001523855871</v>
      </c>
      <c r="D1270" s="163">
        <v>759.37896585595797</v>
      </c>
      <c r="E1270" s="164">
        <v>0.99229999999999985</v>
      </c>
      <c r="F1270" s="164">
        <v>0.99229999999999985</v>
      </c>
      <c r="G1270" s="163">
        <v>14</v>
      </c>
      <c r="H1270" s="163">
        <v>31.666666666666664</v>
      </c>
      <c r="I1270" s="163">
        <v>17.666666666666664</v>
      </c>
      <c r="J1270" s="163">
        <v>11</v>
      </c>
      <c r="K1270" s="163">
        <v>11.412361673414306</v>
      </c>
      <c r="L1270" s="163">
        <v>0.4123616734143063</v>
      </c>
      <c r="M1270" s="163">
        <v>13</v>
      </c>
      <c r="N1270" s="163">
        <v>28.931623931623928</v>
      </c>
      <c r="O1270" s="163">
        <v>15.931623931623928</v>
      </c>
      <c r="P1270" s="163"/>
      <c r="Q1270" s="163">
        <v>19</v>
      </c>
      <c r="R1270" s="163">
        <v>0</v>
      </c>
      <c r="S1270" s="163">
        <v>0</v>
      </c>
      <c r="T1270" s="163">
        <v>0</v>
      </c>
      <c r="U1270" s="163">
        <v>0</v>
      </c>
      <c r="V1270" s="163">
        <v>0</v>
      </c>
      <c r="W1270" s="163">
        <v>0</v>
      </c>
      <c r="X1270" s="163">
        <v>0</v>
      </c>
      <c r="Y1270" s="163">
        <v>19</v>
      </c>
      <c r="Z1270" s="163">
        <v>19</v>
      </c>
      <c r="AA1270" s="163">
        <v>0</v>
      </c>
      <c r="AB1270" s="163">
        <v>0</v>
      </c>
      <c r="AC1270" s="163">
        <v>14</v>
      </c>
      <c r="AD1270" s="163">
        <v>5</v>
      </c>
      <c r="AE1270" s="165">
        <v>0.47618544880475183</v>
      </c>
      <c r="AF1270" s="166">
        <v>0.64625168052073467</v>
      </c>
    </row>
    <row r="1271" spans="1:32">
      <c r="A1271" s="161">
        <v>27</v>
      </c>
      <c r="B1271" s="162">
        <v>0.4375</v>
      </c>
      <c r="C1271" s="163">
        <v>17.55397076816454</v>
      </c>
      <c r="D1271" s="163">
        <v>756.27452284133904</v>
      </c>
      <c r="E1271" s="164">
        <v>0.99229999999999985</v>
      </c>
      <c r="F1271" s="164">
        <v>0.99229999999999985</v>
      </c>
      <c r="G1271" s="163">
        <v>14</v>
      </c>
      <c r="H1271" s="163">
        <v>31.666666666666664</v>
      </c>
      <c r="I1271" s="163">
        <v>17.666666666666664</v>
      </c>
      <c r="J1271" s="163">
        <v>11</v>
      </c>
      <c r="K1271" s="163">
        <v>11.412361673414306</v>
      </c>
      <c r="L1271" s="163">
        <v>0.4123616734143063</v>
      </c>
      <c r="M1271" s="163">
        <v>13</v>
      </c>
      <c r="N1271" s="163">
        <v>28.931623931623928</v>
      </c>
      <c r="O1271" s="163">
        <v>15.931623931623928</v>
      </c>
      <c r="P1271" s="163"/>
      <c r="Q1271" s="163">
        <v>19</v>
      </c>
      <c r="R1271" s="163">
        <v>0</v>
      </c>
      <c r="S1271" s="163">
        <v>0</v>
      </c>
      <c r="T1271" s="163">
        <v>0</v>
      </c>
      <c r="U1271" s="163">
        <v>0</v>
      </c>
      <c r="V1271" s="163">
        <v>0</v>
      </c>
      <c r="W1271" s="163">
        <v>0</v>
      </c>
      <c r="X1271" s="163">
        <v>0</v>
      </c>
      <c r="Y1271" s="163">
        <v>19</v>
      </c>
      <c r="Z1271" s="163">
        <v>19</v>
      </c>
      <c r="AA1271" s="163">
        <v>0</v>
      </c>
      <c r="AB1271" s="163">
        <v>0</v>
      </c>
      <c r="AC1271" s="163">
        <v>14</v>
      </c>
      <c r="AD1271" s="163">
        <v>5</v>
      </c>
      <c r="AE1271" s="165">
        <v>0.47619106700063418</v>
      </c>
      <c r="AF1271" s="166">
        <v>0.64625930521514641</v>
      </c>
    </row>
    <row r="1272" spans="1:32">
      <c r="A1272" s="161">
        <v>27</v>
      </c>
      <c r="B1272" s="162">
        <v>0.45833333333333331</v>
      </c>
      <c r="C1272" s="163">
        <v>18.877414906196499</v>
      </c>
      <c r="D1272" s="163">
        <v>796.92966568075087</v>
      </c>
      <c r="E1272" s="164">
        <v>0.97789999999999999</v>
      </c>
      <c r="F1272" s="164">
        <v>0.97789999999999999</v>
      </c>
      <c r="G1272" s="163">
        <v>15</v>
      </c>
      <c r="H1272" s="163">
        <v>31.666666666666664</v>
      </c>
      <c r="I1272" s="163">
        <v>16.666666666666664</v>
      </c>
      <c r="J1272" s="163">
        <v>12</v>
      </c>
      <c r="K1272" s="163">
        <v>12.22753036437247</v>
      </c>
      <c r="L1272" s="163">
        <v>0.22753036437246976</v>
      </c>
      <c r="M1272" s="163">
        <v>14</v>
      </c>
      <c r="N1272" s="163">
        <v>28.931623931623928</v>
      </c>
      <c r="O1272" s="163">
        <v>14.931623931623928</v>
      </c>
      <c r="P1272" s="163"/>
      <c r="Q1272" s="163">
        <v>19</v>
      </c>
      <c r="R1272" s="163">
        <v>0</v>
      </c>
      <c r="S1272" s="163">
        <v>0</v>
      </c>
      <c r="T1272" s="163">
        <v>0</v>
      </c>
      <c r="U1272" s="163">
        <v>0</v>
      </c>
      <c r="V1272" s="163">
        <v>0</v>
      </c>
      <c r="W1272" s="163">
        <v>0</v>
      </c>
      <c r="X1272" s="163">
        <v>0</v>
      </c>
      <c r="Y1272" s="163">
        <v>19</v>
      </c>
      <c r="Z1272" s="163">
        <v>19</v>
      </c>
      <c r="AA1272" s="163">
        <v>0</v>
      </c>
      <c r="AB1272" s="163">
        <v>0</v>
      </c>
      <c r="AC1272" s="163">
        <v>14</v>
      </c>
      <c r="AD1272" s="163">
        <v>5</v>
      </c>
      <c r="AE1272" s="165">
        <v>0.53962109394371227</v>
      </c>
      <c r="AF1272" s="166">
        <v>0.68352005232870217</v>
      </c>
    </row>
    <row r="1273" spans="1:32">
      <c r="A1273" s="161">
        <v>27</v>
      </c>
      <c r="B1273" s="162">
        <v>0.47916666666666669</v>
      </c>
      <c r="C1273" s="163">
        <v>17.245234599787615</v>
      </c>
      <c r="D1273" s="163">
        <v>706.49778554177919</v>
      </c>
      <c r="E1273" s="164">
        <v>0.99650000000000005</v>
      </c>
      <c r="F1273" s="164">
        <v>0.99650000000000005</v>
      </c>
      <c r="G1273" s="163">
        <v>13</v>
      </c>
      <c r="H1273" s="163">
        <v>31.666666666666664</v>
      </c>
      <c r="I1273" s="163">
        <v>18.666666666666664</v>
      </c>
      <c r="J1273" s="163">
        <v>10</v>
      </c>
      <c r="K1273" s="163">
        <v>10.597192982456141</v>
      </c>
      <c r="L1273" s="163">
        <v>0.59719298245614105</v>
      </c>
      <c r="M1273" s="163">
        <v>12</v>
      </c>
      <c r="N1273" s="163">
        <v>28.931623931623928</v>
      </c>
      <c r="O1273" s="163">
        <v>16.931623931623928</v>
      </c>
      <c r="P1273" s="163"/>
      <c r="Q1273" s="163">
        <v>19</v>
      </c>
      <c r="R1273" s="163">
        <v>0</v>
      </c>
      <c r="S1273" s="163">
        <v>0</v>
      </c>
      <c r="T1273" s="163">
        <v>0</v>
      </c>
      <c r="U1273" s="163">
        <v>0</v>
      </c>
      <c r="V1273" s="163">
        <v>0</v>
      </c>
      <c r="W1273" s="163">
        <v>0</v>
      </c>
      <c r="X1273" s="163">
        <v>0</v>
      </c>
      <c r="Y1273" s="163">
        <v>19</v>
      </c>
      <c r="Z1273" s="163">
        <v>19</v>
      </c>
      <c r="AA1273" s="163">
        <v>0</v>
      </c>
      <c r="AB1273" s="163">
        <v>0</v>
      </c>
      <c r="AC1273" s="163">
        <v>14</v>
      </c>
      <c r="AD1273" s="163">
        <v>5</v>
      </c>
      <c r="AE1273" s="165">
        <v>0.43702503345992388</v>
      </c>
      <c r="AF1273" s="166">
        <v>0.63872889505681185</v>
      </c>
    </row>
    <row r="1274" spans="1:32">
      <c r="A1274" s="161">
        <v>27</v>
      </c>
      <c r="B1274" s="162">
        <v>0.5</v>
      </c>
      <c r="C1274" s="163">
        <v>17.329402222622555</v>
      </c>
      <c r="D1274" s="163">
        <v>766.10682634287605</v>
      </c>
      <c r="E1274" s="164">
        <v>0.99229999999999985</v>
      </c>
      <c r="F1274" s="164">
        <v>0.99229999999999985</v>
      </c>
      <c r="G1274" s="163">
        <v>14</v>
      </c>
      <c r="H1274" s="163">
        <v>31.666666666666664</v>
      </c>
      <c r="I1274" s="163">
        <v>17.666666666666664</v>
      </c>
      <c r="J1274" s="163">
        <v>11</v>
      </c>
      <c r="K1274" s="163">
        <v>11.412361673414306</v>
      </c>
      <c r="L1274" s="163">
        <v>0.4123616734143063</v>
      </c>
      <c r="M1274" s="163">
        <v>13</v>
      </c>
      <c r="N1274" s="163">
        <v>28.931623931623928</v>
      </c>
      <c r="O1274" s="163">
        <v>15.931623931623928</v>
      </c>
      <c r="P1274" s="163"/>
      <c r="Q1274" s="163">
        <v>19</v>
      </c>
      <c r="R1274" s="163">
        <v>0</v>
      </c>
      <c r="S1274" s="163">
        <v>0</v>
      </c>
      <c r="T1274" s="163">
        <v>0</v>
      </c>
      <c r="U1274" s="163">
        <v>0</v>
      </c>
      <c r="V1274" s="163">
        <v>0</v>
      </c>
      <c r="W1274" s="163">
        <v>0</v>
      </c>
      <c r="X1274" s="163">
        <v>0</v>
      </c>
      <c r="Y1274" s="163">
        <v>19</v>
      </c>
      <c r="Z1274" s="163">
        <v>19</v>
      </c>
      <c r="AA1274" s="163">
        <v>0</v>
      </c>
      <c r="AB1274" s="163">
        <v>0</v>
      </c>
      <c r="AC1274" s="163">
        <v>14</v>
      </c>
      <c r="AD1274" s="163">
        <v>5</v>
      </c>
      <c r="AE1274" s="165">
        <v>0.47621088396326705</v>
      </c>
      <c r="AF1274" s="166">
        <v>0.6462861996644339</v>
      </c>
    </row>
    <row r="1275" spans="1:32">
      <c r="A1275" s="161">
        <v>27</v>
      </c>
      <c r="B1275" s="162">
        <v>0.52083333333333337</v>
      </c>
      <c r="C1275" s="163">
        <v>15.906975484662979</v>
      </c>
      <c r="D1275" s="163">
        <v>736.49838562044101</v>
      </c>
      <c r="E1275" s="164">
        <v>0.98993333333333344</v>
      </c>
      <c r="F1275" s="164">
        <v>0.98993333333333344</v>
      </c>
      <c r="G1275" s="163">
        <v>13</v>
      </c>
      <c r="H1275" s="163">
        <v>30.333333333333336</v>
      </c>
      <c r="I1275" s="163">
        <v>17.333333333333336</v>
      </c>
      <c r="J1275" s="163">
        <v>10</v>
      </c>
      <c r="K1275" s="163">
        <v>10.597192982456141</v>
      </c>
      <c r="L1275" s="163">
        <v>0.59719298245614105</v>
      </c>
      <c r="M1275" s="163">
        <v>12</v>
      </c>
      <c r="N1275" s="163">
        <v>27.713450292397663</v>
      </c>
      <c r="O1275" s="163">
        <v>15.713450292397663</v>
      </c>
      <c r="P1275" s="163"/>
      <c r="Q1275" s="163">
        <v>19</v>
      </c>
      <c r="R1275" s="163">
        <v>0</v>
      </c>
      <c r="S1275" s="163">
        <v>0</v>
      </c>
      <c r="T1275" s="163">
        <v>0</v>
      </c>
      <c r="U1275" s="163">
        <v>0</v>
      </c>
      <c r="V1275" s="163">
        <v>0</v>
      </c>
      <c r="W1275" s="163">
        <v>0</v>
      </c>
      <c r="X1275" s="163">
        <v>0</v>
      </c>
      <c r="Y1275" s="163">
        <v>19</v>
      </c>
      <c r="Z1275" s="163">
        <v>19</v>
      </c>
      <c r="AA1275" s="163">
        <v>0</v>
      </c>
      <c r="AB1275" s="163">
        <v>0</v>
      </c>
      <c r="AC1275" s="163">
        <v>14</v>
      </c>
      <c r="AD1275" s="163">
        <v>5</v>
      </c>
      <c r="AE1275" s="165">
        <v>0.420228800905174</v>
      </c>
      <c r="AF1275" s="166">
        <v>0.61418055516910053</v>
      </c>
    </row>
    <row r="1276" spans="1:32">
      <c r="A1276" s="161">
        <v>27</v>
      </c>
      <c r="B1276" s="162">
        <v>0.54166666666666663</v>
      </c>
      <c r="C1276" s="163">
        <v>15.747090742553279</v>
      </c>
      <c r="D1276" s="163">
        <v>711.42334866769272</v>
      </c>
      <c r="E1276" s="164">
        <v>0.99020000000000008</v>
      </c>
      <c r="F1276" s="164">
        <v>0.99020000000000008</v>
      </c>
      <c r="G1276" s="163">
        <v>13</v>
      </c>
      <c r="H1276" s="163">
        <v>28.333333333333336</v>
      </c>
      <c r="I1276" s="163">
        <v>15.333333333333336</v>
      </c>
      <c r="J1276" s="163">
        <v>10</v>
      </c>
      <c r="K1276" s="163">
        <v>10.597192982456141</v>
      </c>
      <c r="L1276" s="163">
        <v>0.59719298245614105</v>
      </c>
      <c r="M1276" s="163">
        <v>12</v>
      </c>
      <c r="N1276" s="163">
        <v>25.886189833558255</v>
      </c>
      <c r="O1276" s="163">
        <v>13.886189833558255</v>
      </c>
      <c r="P1276" s="163"/>
      <c r="Q1276" s="163">
        <v>17</v>
      </c>
      <c r="R1276" s="163">
        <v>0</v>
      </c>
      <c r="S1276" s="163">
        <v>0</v>
      </c>
      <c r="T1276" s="163">
        <v>0</v>
      </c>
      <c r="U1276" s="163">
        <v>0</v>
      </c>
      <c r="V1276" s="163">
        <v>0</v>
      </c>
      <c r="W1276" s="163">
        <v>0</v>
      </c>
      <c r="X1276" s="163">
        <v>0</v>
      </c>
      <c r="Y1276" s="163">
        <v>17</v>
      </c>
      <c r="Z1276" s="163">
        <v>17</v>
      </c>
      <c r="AA1276" s="163">
        <v>0</v>
      </c>
      <c r="AB1276" s="163">
        <v>0</v>
      </c>
      <c r="AC1276" s="163">
        <v>12</v>
      </c>
      <c r="AD1276" s="163">
        <v>5</v>
      </c>
      <c r="AE1276" s="165">
        <v>0.44911703400969344</v>
      </c>
      <c r="AF1276" s="166">
        <v>0.58730689062806063</v>
      </c>
    </row>
    <row r="1277" spans="1:32">
      <c r="A1277" s="161">
        <v>27</v>
      </c>
      <c r="B1277" s="162">
        <v>0.5625</v>
      </c>
      <c r="C1277" s="163">
        <v>15.216523669876281</v>
      </c>
      <c r="D1277" s="163">
        <v>725.37597814996275</v>
      </c>
      <c r="E1277" s="164">
        <v>0.99129999999999996</v>
      </c>
      <c r="F1277" s="164">
        <v>0.99129999999999996</v>
      </c>
      <c r="G1277" s="163">
        <v>13</v>
      </c>
      <c r="H1277" s="163">
        <v>28.333333333333336</v>
      </c>
      <c r="I1277" s="163">
        <v>15.333333333333336</v>
      </c>
      <c r="J1277" s="163">
        <v>10</v>
      </c>
      <c r="K1277" s="163">
        <v>10.597192982456141</v>
      </c>
      <c r="L1277" s="163">
        <v>0.59719298245614105</v>
      </c>
      <c r="M1277" s="163">
        <v>12</v>
      </c>
      <c r="N1277" s="163">
        <v>25.886189833558255</v>
      </c>
      <c r="O1277" s="163">
        <v>13.886189833558255</v>
      </c>
      <c r="P1277" s="163"/>
      <c r="Q1277" s="163">
        <v>17</v>
      </c>
      <c r="R1277" s="163">
        <v>0</v>
      </c>
      <c r="S1277" s="163">
        <v>0</v>
      </c>
      <c r="T1277" s="163">
        <v>0</v>
      </c>
      <c r="U1277" s="163">
        <v>0</v>
      </c>
      <c r="V1277" s="163">
        <v>0</v>
      </c>
      <c r="W1277" s="163">
        <v>0</v>
      </c>
      <c r="X1277" s="163">
        <v>0</v>
      </c>
      <c r="Y1277" s="163">
        <v>17</v>
      </c>
      <c r="Z1277" s="163">
        <v>17</v>
      </c>
      <c r="AA1277" s="163">
        <v>0</v>
      </c>
      <c r="AB1277" s="163">
        <v>0</v>
      </c>
      <c r="AC1277" s="163">
        <v>12</v>
      </c>
      <c r="AD1277" s="163">
        <v>5</v>
      </c>
      <c r="AE1277" s="165">
        <v>0.4424963551054284</v>
      </c>
      <c r="AF1277" s="166">
        <v>0.57864907975325253</v>
      </c>
    </row>
    <row r="1278" spans="1:32">
      <c r="A1278" s="161">
        <v>27</v>
      </c>
      <c r="B1278" s="162">
        <v>0.58333333333333337</v>
      </c>
      <c r="C1278" s="163">
        <v>14.996940951298914</v>
      </c>
      <c r="D1278" s="163">
        <v>725.18407213234468</v>
      </c>
      <c r="E1278" s="164">
        <v>0.99219999999999997</v>
      </c>
      <c r="F1278" s="164">
        <v>0.99219999999999997</v>
      </c>
      <c r="G1278" s="163">
        <v>12</v>
      </c>
      <c r="H1278" s="163">
        <v>28.333333333333336</v>
      </c>
      <c r="I1278" s="163">
        <v>16.333333333333336</v>
      </c>
      <c r="J1278" s="163">
        <v>9</v>
      </c>
      <c r="K1278" s="163">
        <v>9.7820242914979758</v>
      </c>
      <c r="L1278" s="163">
        <v>0.78202429149797581</v>
      </c>
      <c r="M1278" s="163">
        <v>11</v>
      </c>
      <c r="N1278" s="163">
        <v>25.886189833558255</v>
      </c>
      <c r="O1278" s="163">
        <v>14.886189833558255</v>
      </c>
      <c r="P1278" s="163"/>
      <c r="Q1278" s="163">
        <v>17</v>
      </c>
      <c r="R1278" s="163">
        <v>0</v>
      </c>
      <c r="S1278" s="163">
        <v>0</v>
      </c>
      <c r="T1278" s="163">
        <v>0</v>
      </c>
      <c r="U1278" s="163">
        <v>0</v>
      </c>
      <c r="V1278" s="163">
        <v>0</v>
      </c>
      <c r="W1278" s="163">
        <v>0</v>
      </c>
      <c r="X1278" s="163">
        <v>0</v>
      </c>
      <c r="Y1278" s="163">
        <v>17</v>
      </c>
      <c r="Z1278" s="163">
        <v>17</v>
      </c>
      <c r="AA1278" s="163">
        <v>0</v>
      </c>
      <c r="AB1278" s="163">
        <v>0</v>
      </c>
      <c r="AC1278" s="163">
        <v>12</v>
      </c>
      <c r="AD1278" s="163">
        <v>5</v>
      </c>
      <c r="AE1278" s="165">
        <v>0.43599551403264464</v>
      </c>
      <c r="AF1278" s="166">
        <v>0.61766031154624657</v>
      </c>
    </row>
    <row r="1279" spans="1:32">
      <c r="A1279" s="161">
        <v>27</v>
      </c>
      <c r="B1279" s="162">
        <v>0.60416666666666663</v>
      </c>
      <c r="C1279" s="163">
        <v>15.092933375873482</v>
      </c>
      <c r="D1279" s="163">
        <v>688.50167123366384</v>
      </c>
      <c r="E1279" s="164">
        <v>0.99766666666666659</v>
      </c>
      <c r="F1279" s="164">
        <v>0.99766666666666659</v>
      </c>
      <c r="G1279" s="163">
        <v>12</v>
      </c>
      <c r="H1279" s="163">
        <v>29.666666666666664</v>
      </c>
      <c r="I1279" s="163">
        <v>17.666666666666664</v>
      </c>
      <c r="J1279" s="163">
        <v>9</v>
      </c>
      <c r="K1279" s="163">
        <v>9.7820242914979758</v>
      </c>
      <c r="L1279" s="163">
        <v>0.78202429149797581</v>
      </c>
      <c r="M1279" s="163">
        <v>11</v>
      </c>
      <c r="N1279" s="163">
        <v>27.104363472784524</v>
      </c>
      <c r="O1279" s="163">
        <v>16.104363472784524</v>
      </c>
      <c r="P1279" s="163"/>
      <c r="Q1279" s="163">
        <v>17</v>
      </c>
      <c r="R1279" s="163">
        <v>0</v>
      </c>
      <c r="S1279" s="163">
        <v>0</v>
      </c>
      <c r="T1279" s="163">
        <v>0</v>
      </c>
      <c r="U1279" s="163">
        <v>0</v>
      </c>
      <c r="V1279" s="163">
        <v>0</v>
      </c>
      <c r="W1279" s="163">
        <v>0</v>
      </c>
      <c r="X1279" s="163">
        <v>0</v>
      </c>
      <c r="Y1279" s="163">
        <v>17</v>
      </c>
      <c r="Z1279" s="163">
        <v>17</v>
      </c>
      <c r="AA1279" s="163">
        <v>0</v>
      </c>
      <c r="AB1279" s="163">
        <v>0</v>
      </c>
      <c r="AC1279" s="163">
        <v>12</v>
      </c>
      <c r="AD1279" s="163">
        <v>5</v>
      </c>
      <c r="AE1279" s="165">
        <v>0.41659085908436905</v>
      </c>
      <c r="AF1279" s="166">
        <v>0.59017038370285613</v>
      </c>
    </row>
    <row r="1280" spans="1:32">
      <c r="A1280" s="161">
        <v>27</v>
      </c>
      <c r="B1280" s="162">
        <v>0.625</v>
      </c>
      <c r="C1280" s="163">
        <v>15.429702525823208</v>
      </c>
      <c r="D1280" s="163">
        <v>742.91122038128924</v>
      </c>
      <c r="E1280" s="164">
        <v>0.97549999999999992</v>
      </c>
      <c r="F1280" s="164">
        <v>0.97549999999999992</v>
      </c>
      <c r="G1280" s="163">
        <v>13</v>
      </c>
      <c r="H1280" s="163">
        <v>29</v>
      </c>
      <c r="I1280" s="163">
        <v>16</v>
      </c>
      <c r="J1280" s="163">
        <v>10</v>
      </c>
      <c r="K1280" s="163">
        <v>10.597192982456141</v>
      </c>
      <c r="L1280" s="163">
        <v>0.59719298245614105</v>
      </c>
      <c r="M1280" s="163">
        <v>12</v>
      </c>
      <c r="N1280" s="163">
        <v>26.495276653171388</v>
      </c>
      <c r="O1280" s="163">
        <v>14.495276653171388</v>
      </c>
      <c r="P1280" s="163"/>
      <c r="Q1280" s="163">
        <v>19</v>
      </c>
      <c r="R1280" s="163">
        <v>0</v>
      </c>
      <c r="S1280" s="163">
        <v>0</v>
      </c>
      <c r="T1280" s="163">
        <v>0</v>
      </c>
      <c r="U1280" s="163">
        <v>0</v>
      </c>
      <c r="V1280" s="163">
        <v>0</v>
      </c>
      <c r="W1280" s="163">
        <v>0</v>
      </c>
      <c r="X1280" s="163">
        <v>0</v>
      </c>
      <c r="Y1280" s="163">
        <v>19</v>
      </c>
      <c r="Z1280" s="163">
        <v>19</v>
      </c>
      <c r="AA1280" s="163">
        <v>0</v>
      </c>
      <c r="AB1280" s="163">
        <v>0</v>
      </c>
      <c r="AC1280" s="163">
        <v>12</v>
      </c>
      <c r="AD1280" s="163">
        <v>7</v>
      </c>
      <c r="AE1280" s="165">
        <v>0.41116948308206558</v>
      </c>
      <c r="AF1280" s="166">
        <v>0.60094001373532668</v>
      </c>
    </row>
    <row r="1281" spans="1:32">
      <c r="A1281" s="161">
        <v>27</v>
      </c>
      <c r="B1281" s="162">
        <v>0.64583333333333337</v>
      </c>
      <c r="C1281" s="163">
        <v>14.216950911637577</v>
      </c>
      <c r="D1281" s="163">
        <v>722.75322063947954</v>
      </c>
      <c r="E1281" s="164">
        <v>0.97030000000000005</v>
      </c>
      <c r="F1281" s="164">
        <v>0.97030000000000005</v>
      </c>
      <c r="G1281" s="163">
        <v>12</v>
      </c>
      <c r="H1281" s="163">
        <v>23.333333333333336</v>
      </c>
      <c r="I1281" s="163">
        <v>11.333333333333336</v>
      </c>
      <c r="J1281" s="163">
        <v>9</v>
      </c>
      <c r="K1281" s="163">
        <v>9.7820242914979758</v>
      </c>
      <c r="L1281" s="163">
        <v>0.78202429149797581</v>
      </c>
      <c r="M1281" s="163">
        <v>11</v>
      </c>
      <c r="N1281" s="163">
        <v>21.31803868645974</v>
      </c>
      <c r="O1281" s="163">
        <v>10.31803868645974</v>
      </c>
      <c r="P1281" s="163"/>
      <c r="Q1281" s="163">
        <v>14</v>
      </c>
      <c r="R1281" s="163">
        <v>0</v>
      </c>
      <c r="S1281" s="163">
        <v>0</v>
      </c>
      <c r="T1281" s="163">
        <v>0</v>
      </c>
      <c r="U1281" s="163">
        <v>0</v>
      </c>
      <c r="V1281" s="163">
        <v>0</v>
      </c>
      <c r="W1281" s="163">
        <v>0</v>
      </c>
      <c r="X1281" s="163">
        <v>0</v>
      </c>
      <c r="Y1281" s="163">
        <v>14</v>
      </c>
      <c r="Z1281" s="163">
        <v>14</v>
      </c>
      <c r="AA1281" s="163">
        <v>0</v>
      </c>
      <c r="AB1281" s="163">
        <v>0</v>
      </c>
      <c r="AC1281" s="163">
        <v>10</v>
      </c>
      <c r="AD1281" s="163">
        <v>4</v>
      </c>
      <c r="AE1281" s="165">
        <v>0.50020550586126478</v>
      </c>
      <c r="AF1281" s="166">
        <v>0.58357309017147552</v>
      </c>
    </row>
    <row r="1282" spans="1:32">
      <c r="A1282" s="161">
        <v>27</v>
      </c>
      <c r="B1282" s="162">
        <v>0.66666666666666663</v>
      </c>
      <c r="C1282" s="163">
        <v>13.528084628599155</v>
      </c>
      <c r="D1282" s="163">
        <v>750.80646273909781</v>
      </c>
      <c r="E1282" s="164">
        <v>0.97230000000000005</v>
      </c>
      <c r="F1282" s="164">
        <v>0.97230000000000005</v>
      </c>
      <c r="G1282" s="163">
        <v>12</v>
      </c>
      <c r="H1282" s="163">
        <v>23.333333333333336</v>
      </c>
      <c r="I1282" s="163">
        <v>11.333333333333336</v>
      </c>
      <c r="J1282" s="163">
        <v>9</v>
      </c>
      <c r="K1282" s="163">
        <v>9.7820242914979758</v>
      </c>
      <c r="L1282" s="163">
        <v>0.78202429149797581</v>
      </c>
      <c r="M1282" s="163">
        <v>11</v>
      </c>
      <c r="N1282" s="163">
        <v>21.31803868645974</v>
      </c>
      <c r="O1282" s="163">
        <v>10.31803868645974</v>
      </c>
      <c r="P1282" s="163"/>
      <c r="Q1282" s="163">
        <v>14</v>
      </c>
      <c r="R1282" s="163">
        <v>0</v>
      </c>
      <c r="S1282" s="163">
        <v>0</v>
      </c>
      <c r="T1282" s="163">
        <v>0</v>
      </c>
      <c r="U1282" s="163">
        <v>0</v>
      </c>
      <c r="V1282" s="163">
        <v>0</v>
      </c>
      <c r="W1282" s="163">
        <v>0</v>
      </c>
      <c r="X1282" s="163">
        <v>0</v>
      </c>
      <c r="Y1282" s="163">
        <v>14</v>
      </c>
      <c r="Z1282" s="163">
        <v>14</v>
      </c>
      <c r="AA1282" s="163">
        <v>0</v>
      </c>
      <c r="AB1282" s="163">
        <v>0</v>
      </c>
      <c r="AC1282" s="163">
        <v>10</v>
      </c>
      <c r="AD1282" s="163">
        <v>4</v>
      </c>
      <c r="AE1282" s="165">
        <v>0.49444305600337135</v>
      </c>
      <c r="AF1282" s="166">
        <v>0.57685023200393326</v>
      </c>
    </row>
    <row r="1283" spans="1:32">
      <c r="A1283" s="161">
        <v>27</v>
      </c>
      <c r="B1283" s="162">
        <v>0.6875</v>
      </c>
      <c r="C1283" s="163">
        <v>13.136988748913408</v>
      </c>
      <c r="D1283" s="163">
        <v>706.44125621757837</v>
      </c>
      <c r="E1283" s="164">
        <v>0.94476666666666664</v>
      </c>
      <c r="F1283" s="164">
        <v>0.94476666666666664</v>
      </c>
      <c r="G1283" s="163">
        <v>10</v>
      </c>
      <c r="H1283" s="163">
        <v>22</v>
      </c>
      <c r="I1283" s="163">
        <v>12</v>
      </c>
      <c r="J1283" s="163">
        <v>8</v>
      </c>
      <c r="K1283" s="163">
        <v>8.1516869095816471</v>
      </c>
      <c r="L1283" s="163">
        <v>0.1516869095816471</v>
      </c>
      <c r="M1283" s="163">
        <v>9</v>
      </c>
      <c r="N1283" s="163">
        <v>20.099865047233468</v>
      </c>
      <c r="O1283" s="163">
        <v>11.099865047233468</v>
      </c>
      <c r="P1283" s="163"/>
      <c r="Q1283" s="163">
        <v>14</v>
      </c>
      <c r="R1283" s="163">
        <v>0</v>
      </c>
      <c r="S1283" s="163">
        <v>0</v>
      </c>
      <c r="T1283" s="163">
        <v>0</v>
      </c>
      <c r="U1283" s="163">
        <v>0</v>
      </c>
      <c r="V1283" s="163">
        <v>0</v>
      </c>
      <c r="W1283" s="163">
        <v>0</v>
      </c>
      <c r="X1283" s="163">
        <v>0</v>
      </c>
      <c r="Y1283" s="163">
        <v>14</v>
      </c>
      <c r="Z1283" s="163">
        <v>14</v>
      </c>
      <c r="AA1283" s="163">
        <v>0</v>
      </c>
      <c r="AB1283" s="163">
        <v>0</v>
      </c>
      <c r="AC1283" s="163">
        <v>10</v>
      </c>
      <c r="AD1283" s="163">
        <v>4</v>
      </c>
      <c r="AE1283" s="165">
        <v>0.45177672248340334</v>
      </c>
      <c r="AF1283" s="166">
        <v>0.63248741147676468</v>
      </c>
    </row>
    <row r="1284" spans="1:32">
      <c r="A1284" s="161">
        <v>27</v>
      </c>
      <c r="B1284" s="162">
        <v>0.70833333333333337</v>
      </c>
      <c r="C1284" s="163">
        <v>13.682720409982284</v>
      </c>
      <c r="D1284" s="163">
        <v>719.05628523528469</v>
      </c>
      <c r="E1284" s="164">
        <v>0.89929999999999988</v>
      </c>
      <c r="F1284" s="164">
        <v>0.89929999999999988</v>
      </c>
      <c r="G1284" s="163">
        <v>12</v>
      </c>
      <c r="H1284" s="163">
        <v>20</v>
      </c>
      <c r="I1284" s="163">
        <v>8</v>
      </c>
      <c r="J1284" s="163">
        <v>9</v>
      </c>
      <c r="K1284" s="163">
        <v>9.7820242914979758</v>
      </c>
      <c r="L1284" s="163">
        <v>0.78202429149797581</v>
      </c>
      <c r="M1284" s="163">
        <v>11</v>
      </c>
      <c r="N1284" s="163">
        <v>18.27260458839406</v>
      </c>
      <c r="O1284" s="163">
        <v>7.27260458839406</v>
      </c>
      <c r="P1284" s="163"/>
      <c r="Q1284" s="163">
        <v>12</v>
      </c>
      <c r="R1284" s="163">
        <v>0</v>
      </c>
      <c r="S1284" s="163">
        <v>0</v>
      </c>
      <c r="T1284" s="163">
        <v>0</v>
      </c>
      <c r="U1284" s="163">
        <v>0</v>
      </c>
      <c r="V1284" s="163">
        <v>0</v>
      </c>
      <c r="W1284" s="163">
        <v>0</v>
      </c>
      <c r="X1284" s="163">
        <v>0</v>
      </c>
      <c r="Y1284" s="163">
        <v>12</v>
      </c>
      <c r="Z1284" s="163">
        <v>12</v>
      </c>
      <c r="AA1284" s="163">
        <v>0</v>
      </c>
      <c r="AB1284" s="163">
        <v>0</v>
      </c>
      <c r="AC1284" s="163">
        <v>10</v>
      </c>
      <c r="AD1284" s="163">
        <v>2</v>
      </c>
      <c r="AE1284" s="165">
        <v>0.55877130771991124</v>
      </c>
      <c r="AF1284" s="166">
        <v>0.55877130771991124</v>
      </c>
    </row>
    <row r="1285" spans="1:32">
      <c r="A1285" s="161">
        <v>27</v>
      </c>
      <c r="B1285" s="162">
        <v>0.72916666666666663</v>
      </c>
      <c r="C1285" s="163">
        <v>13.222881279186581</v>
      </c>
      <c r="D1285" s="163">
        <v>742.45734936886402</v>
      </c>
      <c r="E1285" s="164">
        <v>0.96416666666666673</v>
      </c>
      <c r="F1285" s="164">
        <v>0.96416666666666673</v>
      </c>
      <c r="G1285" s="163">
        <v>12</v>
      </c>
      <c r="H1285" s="163">
        <v>22.666666666666664</v>
      </c>
      <c r="I1285" s="163">
        <v>10.666666666666664</v>
      </c>
      <c r="J1285" s="163">
        <v>9</v>
      </c>
      <c r="K1285" s="163">
        <v>9.7820242914979758</v>
      </c>
      <c r="L1285" s="163">
        <v>0.78202429149797581</v>
      </c>
      <c r="M1285" s="163">
        <v>11</v>
      </c>
      <c r="N1285" s="163">
        <v>20.708951866846601</v>
      </c>
      <c r="O1285" s="163">
        <v>9.7089518668466006</v>
      </c>
      <c r="P1285" s="163"/>
      <c r="Q1285" s="163">
        <v>12</v>
      </c>
      <c r="R1285" s="163">
        <v>0</v>
      </c>
      <c r="S1285" s="163">
        <v>0</v>
      </c>
      <c r="T1285" s="163">
        <v>0</v>
      </c>
      <c r="U1285" s="163">
        <v>0</v>
      </c>
      <c r="V1285" s="163">
        <v>0</v>
      </c>
      <c r="W1285" s="163">
        <v>0</v>
      </c>
      <c r="X1285" s="163">
        <v>0</v>
      </c>
      <c r="Y1285" s="163">
        <v>12</v>
      </c>
      <c r="Z1285" s="163">
        <v>12</v>
      </c>
      <c r="AA1285" s="163">
        <v>0</v>
      </c>
      <c r="AB1285" s="163">
        <v>0</v>
      </c>
      <c r="AC1285" s="163">
        <v>10</v>
      </c>
      <c r="AD1285" s="163">
        <v>2</v>
      </c>
      <c r="AE1285" s="165">
        <v>0.55756610816665886</v>
      </c>
      <c r="AF1285" s="166">
        <v>0.55756610816665886</v>
      </c>
    </row>
    <row r="1286" spans="1:32">
      <c r="A1286" s="161">
        <v>27</v>
      </c>
      <c r="B1286" s="162">
        <v>0.75</v>
      </c>
      <c r="C1286" s="163">
        <v>12.897417609611823</v>
      </c>
      <c r="D1286" s="163">
        <v>720.240021451595</v>
      </c>
      <c r="E1286" s="164">
        <v>0.99780000000000013</v>
      </c>
      <c r="F1286" s="164">
        <v>0.99780000000000013</v>
      </c>
      <c r="G1286" s="163">
        <v>10</v>
      </c>
      <c r="H1286" s="163">
        <v>26.666666666666664</v>
      </c>
      <c r="I1286" s="163">
        <v>16.666666666666664</v>
      </c>
      <c r="J1286" s="163">
        <v>8</v>
      </c>
      <c r="K1286" s="163">
        <v>8.1516869095816471</v>
      </c>
      <c r="L1286" s="163">
        <v>0.1516869095816471</v>
      </c>
      <c r="M1286" s="163">
        <v>9</v>
      </c>
      <c r="N1286" s="163">
        <v>24.363472784525413</v>
      </c>
      <c r="O1286" s="163">
        <v>15.363472784525413</v>
      </c>
      <c r="P1286" s="163"/>
      <c r="Q1286" s="163">
        <v>16</v>
      </c>
      <c r="R1286" s="163">
        <v>0</v>
      </c>
      <c r="S1286" s="163">
        <v>0</v>
      </c>
      <c r="T1286" s="163">
        <v>0</v>
      </c>
      <c r="U1286" s="163">
        <v>0</v>
      </c>
      <c r="V1286" s="163">
        <v>0</v>
      </c>
      <c r="W1286" s="163">
        <v>0</v>
      </c>
      <c r="X1286" s="163">
        <v>0</v>
      </c>
      <c r="Y1286" s="163">
        <v>16</v>
      </c>
      <c r="Z1286" s="163">
        <v>16</v>
      </c>
      <c r="AA1286" s="163">
        <v>0</v>
      </c>
      <c r="AB1286" s="163">
        <v>0</v>
      </c>
      <c r="AC1286" s="163">
        <v>14</v>
      </c>
      <c r="AD1286" s="163">
        <v>2</v>
      </c>
      <c r="AE1286" s="165">
        <v>0.3956762960901456</v>
      </c>
      <c r="AF1286" s="166">
        <v>0.63308207374423298</v>
      </c>
    </row>
    <row r="1287" spans="1:32">
      <c r="A1287" s="161">
        <v>27</v>
      </c>
      <c r="B1287" s="162">
        <v>0.77083333333333337</v>
      </c>
      <c r="C1287" s="163">
        <v>12.17867981046019</v>
      </c>
      <c r="D1287" s="163">
        <v>714.33096085556883</v>
      </c>
      <c r="E1287" s="164">
        <v>0.99870000000000003</v>
      </c>
      <c r="F1287" s="164">
        <v>0.99870000000000003</v>
      </c>
      <c r="G1287" s="163">
        <v>10</v>
      </c>
      <c r="H1287" s="163">
        <v>26.666666666666664</v>
      </c>
      <c r="I1287" s="163">
        <v>16.666666666666664</v>
      </c>
      <c r="J1287" s="163">
        <v>8</v>
      </c>
      <c r="K1287" s="163">
        <v>8.1516869095816471</v>
      </c>
      <c r="L1287" s="163">
        <v>0.1516869095816471</v>
      </c>
      <c r="M1287" s="163">
        <v>9</v>
      </c>
      <c r="N1287" s="163">
        <v>24.363472784525413</v>
      </c>
      <c r="O1287" s="163">
        <v>15.363472784525413</v>
      </c>
      <c r="P1287" s="163"/>
      <c r="Q1287" s="163">
        <v>16</v>
      </c>
      <c r="R1287" s="163">
        <v>0</v>
      </c>
      <c r="S1287" s="163">
        <v>0</v>
      </c>
      <c r="T1287" s="163">
        <v>0</v>
      </c>
      <c r="U1287" s="163">
        <v>0</v>
      </c>
      <c r="V1287" s="163">
        <v>0</v>
      </c>
      <c r="W1287" s="163">
        <v>0</v>
      </c>
      <c r="X1287" s="163">
        <v>0</v>
      </c>
      <c r="Y1287" s="163">
        <v>16</v>
      </c>
      <c r="Z1287" s="163">
        <v>16</v>
      </c>
      <c r="AA1287" s="163">
        <v>0</v>
      </c>
      <c r="AB1287" s="163">
        <v>0</v>
      </c>
      <c r="AC1287" s="163">
        <v>14</v>
      </c>
      <c r="AD1287" s="163">
        <v>2</v>
      </c>
      <c r="AE1287" s="165">
        <v>0.37056099840703</v>
      </c>
      <c r="AF1287" s="166">
        <v>0.59289759745124804</v>
      </c>
    </row>
    <row r="1288" spans="1:32">
      <c r="A1288" s="161">
        <v>27</v>
      </c>
      <c r="B1288" s="162">
        <v>0.79166666666666663</v>
      </c>
      <c r="C1288" s="163">
        <v>12.165895207746019</v>
      </c>
      <c r="D1288" s="163">
        <v>722.63255724243163</v>
      </c>
      <c r="E1288" s="164">
        <v>0.98959999999999992</v>
      </c>
      <c r="F1288" s="164">
        <v>0.98959999999999992</v>
      </c>
      <c r="G1288" s="163">
        <v>10</v>
      </c>
      <c r="H1288" s="163">
        <v>23.333333333333336</v>
      </c>
      <c r="I1288" s="163">
        <v>13.333333333333336</v>
      </c>
      <c r="J1288" s="163">
        <v>8</v>
      </c>
      <c r="K1288" s="163">
        <v>8.1516869095816471</v>
      </c>
      <c r="L1288" s="163">
        <v>0.1516869095816471</v>
      </c>
      <c r="M1288" s="163">
        <v>9</v>
      </c>
      <c r="N1288" s="163">
        <v>21.31803868645974</v>
      </c>
      <c r="O1288" s="163">
        <v>12.31803868645974</v>
      </c>
      <c r="P1288" s="163"/>
      <c r="Q1288" s="163">
        <v>14</v>
      </c>
      <c r="R1288" s="163">
        <v>0</v>
      </c>
      <c r="S1288" s="163">
        <v>0</v>
      </c>
      <c r="T1288" s="163">
        <v>0</v>
      </c>
      <c r="U1288" s="163">
        <v>0</v>
      </c>
      <c r="V1288" s="163">
        <v>0</v>
      </c>
      <c r="W1288" s="163">
        <v>0</v>
      </c>
      <c r="X1288" s="163">
        <v>0</v>
      </c>
      <c r="Y1288" s="163">
        <v>14</v>
      </c>
      <c r="Z1288" s="163">
        <v>14</v>
      </c>
      <c r="AA1288" s="163">
        <v>0</v>
      </c>
      <c r="AB1288" s="163">
        <v>0</v>
      </c>
      <c r="AC1288" s="163">
        <v>12</v>
      </c>
      <c r="AD1288" s="163">
        <v>2</v>
      </c>
      <c r="AE1288" s="165">
        <v>0.42797023363792658</v>
      </c>
      <c r="AF1288" s="166">
        <v>0.59915832709309724</v>
      </c>
    </row>
    <row r="1289" spans="1:32">
      <c r="A1289" s="161">
        <v>27</v>
      </c>
      <c r="B1289" s="162">
        <v>0.8125</v>
      </c>
      <c r="C1289" s="163">
        <v>10.657879219398797</v>
      </c>
      <c r="D1289" s="163">
        <v>726.61237169524395</v>
      </c>
      <c r="E1289" s="164">
        <v>0.99580000000000002</v>
      </c>
      <c r="F1289" s="164">
        <v>0.99580000000000002</v>
      </c>
      <c r="G1289" s="163">
        <v>9</v>
      </c>
      <c r="H1289" s="163">
        <v>23.333333333333336</v>
      </c>
      <c r="I1289" s="163">
        <v>14.333333333333336</v>
      </c>
      <c r="J1289" s="163">
        <v>7</v>
      </c>
      <c r="K1289" s="163">
        <v>7.3365182186234819</v>
      </c>
      <c r="L1289" s="163">
        <v>0.33651821862348186</v>
      </c>
      <c r="M1289" s="163">
        <v>8</v>
      </c>
      <c r="N1289" s="163">
        <v>21.31803868645974</v>
      </c>
      <c r="O1289" s="163">
        <v>13.31803868645974</v>
      </c>
      <c r="P1289" s="163"/>
      <c r="Q1289" s="163">
        <v>14</v>
      </c>
      <c r="R1289" s="163">
        <v>0</v>
      </c>
      <c r="S1289" s="163">
        <v>0</v>
      </c>
      <c r="T1289" s="163">
        <v>0</v>
      </c>
      <c r="U1289" s="163">
        <v>0</v>
      </c>
      <c r="V1289" s="163">
        <v>0</v>
      </c>
      <c r="W1289" s="163">
        <v>0</v>
      </c>
      <c r="X1289" s="163">
        <v>0</v>
      </c>
      <c r="Y1289" s="163">
        <v>14</v>
      </c>
      <c r="Z1289" s="163">
        <v>14</v>
      </c>
      <c r="AA1289" s="163">
        <v>0</v>
      </c>
      <c r="AB1289" s="163">
        <v>0</v>
      </c>
      <c r="AC1289" s="163">
        <v>12</v>
      </c>
      <c r="AD1289" s="163">
        <v>2</v>
      </c>
      <c r="AE1289" s="165">
        <v>0.37698628510916515</v>
      </c>
      <c r="AF1289" s="166">
        <v>0.58642311016981241</v>
      </c>
    </row>
    <row r="1290" spans="1:32">
      <c r="A1290" s="161">
        <v>27</v>
      </c>
      <c r="B1290" s="162">
        <v>0.83333333333333337</v>
      </c>
      <c r="C1290" s="163">
        <v>10.548914508874669</v>
      </c>
      <c r="D1290" s="163">
        <v>685.56081514212144</v>
      </c>
      <c r="E1290" s="164">
        <v>0.96410000000000007</v>
      </c>
      <c r="F1290" s="164">
        <v>0.96410000000000007</v>
      </c>
      <c r="G1290" s="163">
        <v>9</v>
      </c>
      <c r="H1290" s="163">
        <v>20.666666666666668</v>
      </c>
      <c r="I1290" s="163">
        <v>11.666666666666668</v>
      </c>
      <c r="J1290" s="163">
        <v>7</v>
      </c>
      <c r="K1290" s="163">
        <v>7.3365182186234819</v>
      </c>
      <c r="L1290" s="163">
        <v>0.33651821862348186</v>
      </c>
      <c r="M1290" s="163">
        <v>8</v>
      </c>
      <c r="N1290" s="163">
        <v>18.881691408007196</v>
      </c>
      <c r="O1290" s="163">
        <v>10.881691408007196</v>
      </c>
      <c r="P1290" s="163"/>
      <c r="Q1290" s="163">
        <v>14</v>
      </c>
      <c r="R1290" s="163">
        <v>0</v>
      </c>
      <c r="S1290" s="163">
        <v>0</v>
      </c>
      <c r="T1290" s="163">
        <v>0</v>
      </c>
      <c r="U1290" s="163">
        <v>0</v>
      </c>
      <c r="V1290" s="163">
        <v>0</v>
      </c>
      <c r="W1290" s="163">
        <v>0</v>
      </c>
      <c r="X1290" s="163">
        <v>0</v>
      </c>
      <c r="Y1290" s="163">
        <v>14</v>
      </c>
      <c r="Z1290" s="163">
        <v>14</v>
      </c>
      <c r="AA1290" s="163">
        <v>0</v>
      </c>
      <c r="AB1290" s="163">
        <v>0</v>
      </c>
      <c r="AC1290" s="163">
        <v>12</v>
      </c>
      <c r="AD1290" s="163">
        <v>2</v>
      </c>
      <c r="AE1290" s="165">
        <v>0.35205111773255743</v>
      </c>
      <c r="AF1290" s="166">
        <v>0.54763507202842265</v>
      </c>
    </row>
    <row r="1291" spans="1:32">
      <c r="A1291" s="161">
        <v>27</v>
      </c>
      <c r="B1291" s="162">
        <v>0.85416666666666663</v>
      </c>
      <c r="C1291" s="163">
        <v>9.8801390337294386</v>
      </c>
      <c r="D1291" s="163">
        <v>670.76201375161361</v>
      </c>
      <c r="E1291" s="164">
        <v>0.87016666666666664</v>
      </c>
      <c r="F1291" s="164">
        <v>0.87016666666666664</v>
      </c>
      <c r="G1291" s="163">
        <v>8</v>
      </c>
      <c r="H1291" s="163">
        <v>15.333333333333332</v>
      </c>
      <c r="I1291" s="163">
        <v>7.3333333333333321</v>
      </c>
      <c r="J1291" s="163">
        <v>6</v>
      </c>
      <c r="K1291" s="163">
        <v>6.5213495276653175</v>
      </c>
      <c r="L1291" s="163">
        <v>0.5213495276653175</v>
      </c>
      <c r="M1291" s="163">
        <v>7</v>
      </c>
      <c r="N1291" s="163">
        <v>14.008996851102113</v>
      </c>
      <c r="O1291" s="163">
        <v>7.008996851102113</v>
      </c>
      <c r="P1291" s="163"/>
      <c r="Q1291" s="163">
        <v>10</v>
      </c>
      <c r="R1291" s="163">
        <v>0</v>
      </c>
      <c r="S1291" s="163">
        <v>0</v>
      </c>
      <c r="T1291" s="163">
        <v>0</v>
      </c>
      <c r="U1291" s="163">
        <v>0</v>
      </c>
      <c r="V1291" s="163">
        <v>0</v>
      </c>
      <c r="W1291" s="163">
        <v>0</v>
      </c>
      <c r="X1291" s="163">
        <v>0</v>
      </c>
      <c r="Y1291" s="163">
        <v>10</v>
      </c>
      <c r="Z1291" s="163">
        <v>10</v>
      </c>
      <c r="AA1291" s="163">
        <v>0</v>
      </c>
      <c r="AB1291" s="163">
        <v>0</v>
      </c>
      <c r="AC1291" s="163">
        <v>8</v>
      </c>
      <c r="AD1291" s="163">
        <v>2</v>
      </c>
      <c r="AE1291" s="165">
        <v>0.45165988531094492</v>
      </c>
      <c r="AF1291" s="166">
        <v>0.56457485663868112</v>
      </c>
    </row>
    <row r="1292" spans="1:32">
      <c r="A1292" s="161">
        <v>27</v>
      </c>
      <c r="B1292" s="162">
        <v>0.875</v>
      </c>
      <c r="C1292" s="163">
        <v>8.241899645106054</v>
      </c>
      <c r="D1292" s="163">
        <v>664.42250629770444</v>
      </c>
      <c r="E1292" s="164">
        <v>0.91220000000000001</v>
      </c>
      <c r="F1292" s="164">
        <v>0.91220000000000001</v>
      </c>
      <c r="G1292" s="163">
        <v>8</v>
      </c>
      <c r="H1292" s="163">
        <v>13.333333333333332</v>
      </c>
      <c r="I1292" s="163">
        <v>5.3333333333333321</v>
      </c>
      <c r="J1292" s="163">
        <v>6</v>
      </c>
      <c r="K1292" s="163">
        <v>6.5213495276653175</v>
      </c>
      <c r="L1292" s="163">
        <v>0.5213495276653175</v>
      </c>
      <c r="M1292" s="163">
        <v>7</v>
      </c>
      <c r="N1292" s="163">
        <v>12.181736392262707</v>
      </c>
      <c r="O1292" s="163">
        <v>5.1817363922627067</v>
      </c>
      <c r="P1292" s="163"/>
      <c r="Q1292" s="163">
        <v>8</v>
      </c>
      <c r="R1292" s="163">
        <v>0</v>
      </c>
      <c r="S1292" s="163">
        <v>0</v>
      </c>
      <c r="T1292" s="163">
        <v>0</v>
      </c>
      <c r="U1292" s="163">
        <v>0</v>
      </c>
      <c r="V1292" s="163">
        <v>0</v>
      </c>
      <c r="W1292" s="163">
        <v>0</v>
      </c>
      <c r="X1292" s="163">
        <v>0</v>
      </c>
      <c r="Y1292" s="163">
        <v>8</v>
      </c>
      <c r="Z1292" s="163">
        <v>8</v>
      </c>
      <c r="AA1292" s="163">
        <v>0</v>
      </c>
      <c r="AB1292" s="163">
        <v>0</v>
      </c>
      <c r="AC1292" s="163">
        <v>6</v>
      </c>
      <c r="AD1292" s="163">
        <v>2</v>
      </c>
      <c r="AE1292" s="165">
        <v>0.46651076979494827</v>
      </c>
      <c r="AF1292" s="166">
        <v>0.46651076979494827</v>
      </c>
    </row>
    <row r="1293" spans="1:32">
      <c r="A1293" s="161">
        <v>27</v>
      </c>
      <c r="B1293" s="162">
        <v>0.89583333333333337</v>
      </c>
      <c r="C1293" s="163">
        <v>7.1454846206652913</v>
      </c>
      <c r="D1293" s="163">
        <v>622.51881046412893</v>
      </c>
      <c r="E1293" s="164">
        <v>0.96230000000000004</v>
      </c>
      <c r="F1293" s="164">
        <v>0.96230000000000004</v>
      </c>
      <c r="G1293" s="163">
        <v>7</v>
      </c>
      <c r="H1293" s="163">
        <v>13.333333333333332</v>
      </c>
      <c r="I1293" s="163">
        <v>6.3333333333333321</v>
      </c>
      <c r="J1293" s="163">
        <v>5</v>
      </c>
      <c r="K1293" s="163">
        <v>5.7061808367071531</v>
      </c>
      <c r="L1293" s="163">
        <v>0.70618083670715315</v>
      </c>
      <c r="M1293" s="163">
        <v>6</v>
      </c>
      <c r="N1293" s="163">
        <v>12.181736392262707</v>
      </c>
      <c r="O1293" s="163">
        <v>6.1817363922627067</v>
      </c>
      <c r="P1293" s="163"/>
      <c r="Q1293" s="163">
        <v>8</v>
      </c>
      <c r="R1293" s="163">
        <v>0</v>
      </c>
      <c r="S1293" s="163">
        <v>0</v>
      </c>
      <c r="T1293" s="163">
        <v>0</v>
      </c>
      <c r="U1293" s="163">
        <v>0</v>
      </c>
      <c r="V1293" s="163">
        <v>0</v>
      </c>
      <c r="W1293" s="163">
        <v>0</v>
      </c>
      <c r="X1293" s="163">
        <v>0</v>
      </c>
      <c r="Y1293" s="163">
        <v>8</v>
      </c>
      <c r="Z1293" s="163">
        <v>8</v>
      </c>
      <c r="AA1293" s="163">
        <v>0</v>
      </c>
      <c r="AB1293" s="163">
        <v>0</v>
      </c>
      <c r="AC1293" s="163">
        <v>6</v>
      </c>
      <c r="AD1293" s="163">
        <v>2</v>
      </c>
      <c r="AE1293" s="165">
        <v>0.37894325803576484</v>
      </c>
      <c r="AF1293" s="166">
        <v>0.43307800918373124</v>
      </c>
    </row>
    <row r="1294" spans="1:32">
      <c r="A1294" s="161">
        <v>27</v>
      </c>
      <c r="B1294" s="162">
        <v>0.91666666666666663</v>
      </c>
      <c r="C1294" s="163">
        <v>3.8525198327386194</v>
      </c>
      <c r="D1294" s="163">
        <v>646.57607487939811</v>
      </c>
      <c r="E1294" s="164">
        <v>0.96726666666666672</v>
      </c>
      <c r="F1294" s="164">
        <v>0.96726666666666672</v>
      </c>
      <c r="G1294" s="163">
        <v>4</v>
      </c>
      <c r="H1294" s="163">
        <v>12</v>
      </c>
      <c r="I1294" s="163">
        <v>8</v>
      </c>
      <c r="J1294" s="163">
        <v>3</v>
      </c>
      <c r="K1294" s="163">
        <v>3.2606747638326588</v>
      </c>
      <c r="L1294" s="163">
        <v>0.26067476383265875</v>
      </c>
      <c r="M1294" s="163">
        <v>4</v>
      </c>
      <c r="N1294" s="163">
        <v>10.963562753036436</v>
      </c>
      <c r="O1294" s="163">
        <v>6.9635627530364363</v>
      </c>
      <c r="P1294" s="163"/>
      <c r="Q1294" s="163">
        <v>8</v>
      </c>
      <c r="R1294" s="163">
        <v>0</v>
      </c>
      <c r="S1294" s="163">
        <v>0</v>
      </c>
      <c r="T1294" s="163">
        <v>0</v>
      </c>
      <c r="U1294" s="163">
        <v>0</v>
      </c>
      <c r="V1294" s="163">
        <v>0</v>
      </c>
      <c r="W1294" s="163">
        <v>0</v>
      </c>
      <c r="X1294" s="163">
        <v>0</v>
      </c>
      <c r="Y1294" s="163">
        <v>8</v>
      </c>
      <c r="Z1294" s="163">
        <v>8</v>
      </c>
      <c r="AA1294" s="163">
        <v>0</v>
      </c>
      <c r="AB1294" s="163">
        <v>0</v>
      </c>
      <c r="AC1294" s="163">
        <v>6</v>
      </c>
      <c r="AD1294" s="163">
        <v>2</v>
      </c>
      <c r="AE1294" s="165">
        <v>0.21220447131890116</v>
      </c>
      <c r="AF1294" s="166">
        <v>0.42440894263780232</v>
      </c>
    </row>
    <row r="1295" spans="1:32">
      <c r="A1295" s="161">
        <v>27</v>
      </c>
      <c r="B1295" s="162">
        <v>0.9375</v>
      </c>
      <c r="C1295" s="163">
        <v>3.0838804692724162</v>
      </c>
      <c r="D1295" s="163">
        <v>643.71661843821869</v>
      </c>
      <c r="E1295" s="164">
        <v>0.94980000000000009</v>
      </c>
      <c r="F1295" s="164">
        <v>0.94980000000000009</v>
      </c>
      <c r="G1295" s="163">
        <v>4</v>
      </c>
      <c r="H1295" s="163">
        <v>9.3333333333333339</v>
      </c>
      <c r="I1295" s="163">
        <v>5.3333333333333339</v>
      </c>
      <c r="J1295" s="163">
        <v>3</v>
      </c>
      <c r="K1295" s="163">
        <v>3.2606747638326588</v>
      </c>
      <c r="L1295" s="163">
        <v>0.26067476383265875</v>
      </c>
      <c r="M1295" s="163">
        <v>4</v>
      </c>
      <c r="N1295" s="163">
        <v>8.5272154745838957</v>
      </c>
      <c r="O1295" s="163">
        <v>4.5272154745838957</v>
      </c>
      <c r="P1295" s="163"/>
      <c r="Q1295" s="163">
        <v>6</v>
      </c>
      <c r="R1295" s="163">
        <v>0</v>
      </c>
      <c r="S1295" s="163">
        <v>0</v>
      </c>
      <c r="T1295" s="163">
        <v>0</v>
      </c>
      <c r="U1295" s="163">
        <v>0</v>
      </c>
      <c r="V1295" s="163">
        <v>0</v>
      </c>
      <c r="W1295" s="163">
        <v>0</v>
      </c>
      <c r="X1295" s="163">
        <v>0</v>
      </c>
      <c r="Y1295" s="163">
        <v>6</v>
      </c>
      <c r="Z1295" s="163">
        <v>6</v>
      </c>
      <c r="AA1295" s="163">
        <v>0</v>
      </c>
      <c r="AB1295" s="163">
        <v>0</v>
      </c>
      <c r="AC1295" s="163">
        <v>4</v>
      </c>
      <c r="AD1295" s="163">
        <v>2</v>
      </c>
      <c r="AE1295" s="165">
        <v>0.22548674182489914</v>
      </c>
      <c r="AF1295" s="166">
        <v>0.33823011273734876</v>
      </c>
    </row>
    <row r="1296" spans="1:32">
      <c r="A1296" s="161">
        <v>27</v>
      </c>
      <c r="B1296" s="162">
        <v>0.95833333333333337</v>
      </c>
      <c r="C1296" s="163">
        <v>2.2694325433374689</v>
      </c>
      <c r="D1296" s="163">
        <v>611.74725075711615</v>
      </c>
      <c r="E1296" s="164">
        <v>0.95740000000000014</v>
      </c>
      <c r="F1296" s="164">
        <v>0.95740000000000014</v>
      </c>
      <c r="G1296" s="163">
        <v>4</v>
      </c>
      <c r="H1296" s="163">
        <v>6.6666666666666661</v>
      </c>
      <c r="I1296" s="163">
        <v>2.6666666666666661</v>
      </c>
      <c r="J1296" s="163">
        <v>3</v>
      </c>
      <c r="K1296" s="163">
        <v>3.2606747638326588</v>
      </c>
      <c r="L1296" s="163">
        <v>0.26067476383265875</v>
      </c>
      <c r="M1296" s="163">
        <v>4</v>
      </c>
      <c r="N1296" s="163">
        <v>6.0908681961313533</v>
      </c>
      <c r="O1296" s="163">
        <v>2.0908681961313533</v>
      </c>
      <c r="P1296" s="163"/>
      <c r="Q1296" s="163">
        <v>4</v>
      </c>
      <c r="R1296" s="163">
        <v>0</v>
      </c>
      <c r="S1296" s="163">
        <v>0</v>
      </c>
      <c r="T1296" s="163">
        <v>0</v>
      </c>
      <c r="U1296" s="163">
        <v>0</v>
      </c>
      <c r="V1296" s="163">
        <v>0</v>
      </c>
      <c r="W1296" s="163">
        <v>0</v>
      </c>
      <c r="X1296" s="163">
        <v>0</v>
      </c>
      <c r="Y1296" s="163">
        <v>4</v>
      </c>
      <c r="Z1296" s="163">
        <v>4</v>
      </c>
      <c r="AA1296" s="163">
        <v>0</v>
      </c>
      <c r="AB1296" s="163">
        <v>0</v>
      </c>
      <c r="AC1296" s="163">
        <v>4</v>
      </c>
      <c r="AD1296" s="163">
        <v>0</v>
      </c>
      <c r="AE1296" s="165">
        <v>0.23654257336287079</v>
      </c>
      <c r="AF1296" s="166">
        <v>0.23654257336287079</v>
      </c>
    </row>
    <row r="1297" spans="1:32">
      <c r="A1297" s="161">
        <v>27</v>
      </c>
      <c r="B1297" s="162">
        <v>0.97916666666666663</v>
      </c>
      <c r="C1297" s="163">
        <v>1.688811490799957</v>
      </c>
      <c r="D1297" s="163">
        <v>611.64523140383915</v>
      </c>
      <c r="E1297" s="164">
        <v>0.98030000000000006</v>
      </c>
      <c r="F1297" s="164">
        <v>0.98030000000000006</v>
      </c>
      <c r="G1297" s="163">
        <v>3</v>
      </c>
      <c r="H1297" s="163">
        <v>6.6666666666666661</v>
      </c>
      <c r="I1297" s="163">
        <v>3.6666666666666661</v>
      </c>
      <c r="J1297" s="163">
        <v>2</v>
      </c>
      <c r="K1297" s="163">
        <v>2.445506072874494</v>
      </c>
      <c r="L1297" s="163">
        <v>0.44550607287449395</v>
      </c>
      <c r="M1297" s="163">
        <v>3</v>
      </c>
      <c r="N1297" s="163">
        <v>6.0908681961313533</v>
      </c>
      <c r="O1297" s="163">
        <v>3.0908681961313533</v>
      </c>
      <c r="P1297" s="163"/>
      <c r="Q1297" s="163">
        <v>4</v>
      </c>
      <c r="R1297" s="163">
        <v>0</v>
      </c>
      <c r="S1297" s="163">
        <v>0</v>
      </c>
      <c r="T1297" s="163">
        <v>0</v>
      </c>
      <c r="U1297" s="163">
        <v>0</v>
      </c>
      <c r="V1297" s="163">
        <v>0</v>
      </c>
      <c r="W1297" s="163">
        <v>0</v>
      </c>
      <c r="X1297" s="163">
        <v>0</v>
      </c>
      <c r="Y1297" s="163">
        <v>4</v>
      </c>
      <c r="Z1297" s="163">
        <v>4</v>
      </c>
      <c r="AA1297" s="163">
        <v>0</v>
      </c>
      <c r="AB1297" s="163">
        <v>0</v>
      </c>
      <c r="AC1297" s="163">
        <v>4</v>
      </c>
      <c r="AD1297" s="163">
        <v>0</v>
      </c>
      <c r="AE1297" s="165">
        <v>0.17599518332580566</v>
      </c>
      <c r="AF1297" s="166">
        <v>0.23466024443440753</v>
      </c>
    </row>
    <row r="1298" spans="1:32">
      <c r="A1298" s="161">
        <v>28</v>
      </c>
      <c r="B1298" s="162">
        <v>0</v>
      </c>
      <c r="C1298" s="163">
        <v>1.022796062312687</v>
      </c>
      <c r="D1298" s="163">
        <v>605.23510729076702</v>
      </c>
      <c r="E1298" s="164">
        <v>0.99509999999999998</v>
      </c>
      <c r="F1298" s="164">
        <v>0.99509999999999998</v>
      </c>
      <c r="G1298" s="163">
        <v>3</v>
      </c>
      <c r="H1298" s="163">
        <v>6.6666666666666661</v>
      </c>
      <c r="I1298" s="163">
        <v>3.6666666666666661</v>
      </c>
      <c r="J1298" s="163">
        <v>2</v>
      </c>
      <c r="K1298" s="163">
        <v>2.445506072874494</v>
      </c>
      <c r="L1298" s="163">
        <v>0.44550607287449395</v>
      </c>
      <c r="M1298" s="163">
        <v>3</v>
      </c>
      <c r="N1298" s="163">
        <v>6.0908681961313533</v>
      </c>
      <c r="O1298" s="163">
        <v>3.0908681961313533</v>
      </c>
      <c r="P1298" s="163"/>
      <c r="Q1298" s="163">
        <v>4</v>
      </c>
      <c r="R1298" s="163">
        <v>0</v>
      </c>
      <c r="S1298" s="163">
        <v>0</v>
      </c>
      <c r="T1298" s="163">
        <v>0</v>
      </c>
      <c r="U1298" s="163">
        <v>0</v>
      </c>
      <c r="V1298" s="163">
        <v>0</v>
      </c>
      <c r="W1298" s="163">
        <v>0</v>
      </c>
      <c r="X1298" s="163">
        <v>0</v>
      </c>
      <c r="Y1298" s="163">
        <v>4</v>
      </c>
      <c r="Z1298" s="163">
        <v>4</v>
      </c>
      <c r="AA1298" s="163">
        <v>0</v>
      </c>
      <c r="AB1298" s="163">
        <v>0</v>
      </c>
      <c r="AC1298" s="163">
        <v>4</v>
      </c>
      <c r="AD1298" s="163">
        <v>0</v>
      </c>
      <c r="AE1298" s="165">
        <v>0.1054710262524468</v>
      </c>
      <c r="AF1298" s="166">
        <v>0.14062803500326237</v>
      </c>
    </row>
    <row r="1299" spans="1:32">
      <c r="A1299" s="161">
        <v>28</v>
      </c>
      <c r="B1299" s="162">
        <v>2.0833333333333332E-2</v>
      </c>
      <c r="C1299" s="163">
        <v>0.71505158071886621</v>
      </c>
      <c r="D1299" s="163">
        <v>605.10729903124286</v>
      </c>
      <c r="E1299" s="164">
        <v>0.99820000000000009</v>
      </c>
      <c r="F1299" s="164">
        <v>0.99820000000000009</v>
      </c>
      <c r="G1299" s="163">
        <v>3</v>
      </c>
      <c r="H1299" s="163">
        <v>6.6666666666666661</v>
      </c>
      <c r="I1299" s="163">
        <v>3.6666666666666661</v>
      </c>
      <c r="J1299" s="163">
        <v>2</v>
      </c>
      <c r="K1299" s="163">
        <v>2.445506072874494</v>
      </c>
      <c r="L1299" s="163">
        <v>0.44550607287449395</v>
      </c>
      <c r="M1299" s="163">
        <v>3</v>
      </c>
      <c r="N1299" s="163">
        <v>6.0908681961313533</v>
      </c>
      <c r="O1299" s="163">
        <v>3.0908681961313533</v>
      </c>
      <c r="P1299" s="163"/>
      <c r="Q1299" s="163">
        <v>4</v>
      </c>
      <c r="R1299" s="163">
        <v>0</v>
      </c>
      <c r="S1299" s="163">
        <v>0</v>
      </c>
      <c r="T1299" s="163">
        <v>0</v>
      </c>
      <c r="U1299" s="163">
        <v>0</v>
      </c>
      <c r="V1299" s="163">
        <v>0</v>
      </c>
      <c r="W1299" s="163">
        <v>0</v>
      </c>
      <c r="X1299" s="163">
        <v>0</v>
      </c>
      <c r="Y1299" s="163">
        <v>4</v>
      </c>
      <c r="Z1299" s="163">
        <v>4</v>
      </c>
      <c r="AA1299" s="163">
        <v>0</v>
      </c>
      <c r="AB1299" s="163">
        <v>0</v>
      </c>
      <c r="AC1299" s="163">
        <v>4</v>
      </c>
      <c r="AD1299" s="163">
        <v>0</v>
      </c>
      <c r="AE1299" s="165">
        <v>7.3720755163270799E-2</v>
      </c>
      <c r="AF1299" s="166">
        <v>9.8294340217694384E-2</v>
      </c>
    </row>
    <row r="1300" spans="1:32">
      <c r="A1300" s="161">
        <v>28</v>
      </c>
      <c r="B1300" s="162">
        <v>4.1666666666666664E-2</v>
      </c>
      <c r="C1300" s="163">
        <v>0.54473279400028352</v>
      </c>
      <c r="D1300" s="163">
        <v>573.45489470584414</v>
      </c>
      <c r="E1300" s="164">
        <v>0.99929999999999997</v>
      </c>
      <c r="F1300" s="164">
        <v>0.99929999999999997</v>
      </c>
      <c r="G1300" s="163">
        <v>2</v>
      </c>
      <c r="H1300" s="163">
        <v>6.6666666666666661</v>
      </c>
      <c r="I1300" s="163">
        <v>4.6666666666666661</v>
      </c>
      <c r="J1300" s="163">
        <v>1</v>
      </c>
      <c r="K1300" s="163">
        <v>1.6303373819163294</v>
      </c>
      <c r="L1300" s="163">
        <v>0.63033738191632938</v>
      </c>
      <c r="M1300" s="163">
        <v>2</v>
      </c>
      <c r="N1300" s="163">
        <v>6.0908681961313533</v>
      </c>
      <c r="O1300" s="163">
        <v>4.0908681961313533</v>
      </c>
      <c r="P1300" s="163"/>
      <c r="Q1300" s="163">
        <v>4</v>
      </c>
      <c r="R1300" s="163">
        <v>0</v>
      </c>
      <c r="S1300" s="163">
        <v>0</v>
      </c>
      <c r="T1300" s="163">
        <v>0</v>
      </c>
      <c r="U1300" s="163">
        <v>0</v>
      </c>
      <c r="V1300" s="163">
        <v>0</v>
      </c>
      <c r="W1300" s="163">
        <v>0</v>
      </c>
      <c r="X1300" s="163">
        <v>0</v>
      </c>
      <c r="Y1300" s="163">
        <v>4</v>
      </c>
      <c r="Z1300" s="163">
        <v>4</v>
      </c>
      <c r="AA1300" s="163">
        <v>0</v>
      </c>
      <c r="AB1300" s="163">
        <v>0</v>
      </c>
      <c r="AC1300" s="163">
        <v>4</v>
      </c>
      <c r="AD1300" s="163">
        <v>0</v>
      </c>
      <c r="AE1300" s="165">
        <v>5.3223422493739694E-2</v>
      </c>
      <c r="AF1300" s="166">
        <v>0.10644684498747939</v>
      </c>
    </row>
    <row r="1301" spans="1:32">
      <c r="A1301" s="161">
        <v>28</v>
      </c>
      <c r="B1301" s="162">
        <v>6.25E-2</v>
      </c>
      <c r="C1301" s="163">
        <v>0.43174226553880657</v>
      </c>
      <c r="D1301" s="163">
        <v>558.37971012922412</v>
      </c>
      <c r="E1301" s="164">
        <v>0.99960000000000004</v>
      </c>
      <c r="F1301" s="164">
        <v>0.99960000000000004</v>
      </c>
      <c r="G1301" s="163">
        <v>2</v>
      </c>
      <c r="H1301" s="163">
        <v>6.6666666666666661</v>
      </c>
      <c r="I1301" s="163">
        <v>4.6666666666666661</v>
      </c>
      <c r="J1301" s="163">
        <v>1</v>
      </c>
      <c r="K1301" s="163">
        <v>1.6303373819163294</v>
      </c>
      <c r="L1301" s="163">
        <v>0.63033738191632938</v>
      </c>
      <c r="M1301" s="163">
        <v>2</v>
      </c>
      <c r="N1301" s="163">
        <v>6.0908681961313533</v>
      </c>
      <c r="O1301" s="163">
        <v>4.0908681961313533</v>
      </c>
      <c r="P1301" s="163"/>
      <c r="Q1301" s="163">
        <v>4</v>
      </c>
      <c r="R1301" s="163">
        <v>0</v>
      </c>
      <c r="S1301" s="163">
        <v>0</v>
      </c>
      <c r="T1301" s="163">
        <v>0</v>
      </c>
      <c r="U1301" s="163">
        <v>0</v>
      </c>
      <c r="V1301" s="163">
        <v>0</v>
      </c>
      <c r="W1301" s="163">
        <v>0</v>
      </c>
      <c r="X1301" s="163">
        <v>0</v>
      </c>
      <c r="Y1301" s="163">
        <v>4</v>
      </c>
      <c r="Z1301" s="163">
        <v>4</v>
      </c>
      <c r="AA1301" s="163">
        <v>0</v>
      </c>
      <c r="AB1301" s="163">
        <v>0</v>
      </c>
      <c r="AC1301" s="163">
        <v>4</v>
      </c>
      <c r="AD1301" s="163">
        <v>0</v>
      </c>
      <c r="AE1301" s="165">
        <v>4.1074681800375427E-2</v>
      </c>
      <c r="AF1301" s="166">
        <v>8.2149363600750855E-2</v>
      </c>
    </row>
    <row r="1302" spans="1:32">
      <c r="A1302" s="161">
        <v>28</v>
      </c>
      <c r="B1302" s="162">
        <v>8.3333333333333329E-2</v>
      </c>
      <c r="C1302" s="163">
        <v>0.34777224405275892</v>
      </c>
      <c r="D1302" s="163">
        <v>574.96599779162511</v>
      </c>
      <c r="E1302" s="164">
        <v>0.99980000000000002</v>
      </c>
      <c r="F1302" s="164">
        <v>0.99980000000000002</v>
      </c>
      <c r="G1302" s="163">
        <v>2</v>
      </c>
      <c r="H1302" s="163">
        <v>6.6666666666666661</v>
      </c>
      <c r="I1302" s="163">
        <v>4.6666666666666661</v>
      </c>
      <c r="J1302" s="163">
        <v>1</v>
      </c>
      <c r="K1302" s="163">
        <v>1.6303373819163294</v>
      </c>
      <c r="L1302" s="163">
        <v>0.63033738191632938</v>
      </c>
      <c r="M1302" s="163">
        <v>2</v>
      </c>
      <c r="N1302" s="163">
        <v>6.0908681961313533</v>
      </c>
      <c r="O1302" s="163">
        <v>4.0908681961313533</v>
      </c>
      <c r="P1302" s="163"/>
      <c r="Q1302" s="163">
        <v>4</v>
      </c>
      <c r="R1302" s="163">
        <v>0</v>
      </c>
      <c r="S1302" s="163">
        <v>0</v>
      </c>
      <c r="T1302" s="163">
        <v>0</v>
      </c>
      <c r="U1302" s="163">
        <v>0</v>
      </c>
      <c r="V1302" s="163">
        <v>0</v>
      </c>
      <c r="W1302" s="163">
        <v>0</v>
      </c>
      <c r="X1302" s="163">
        <v>0</v>
      </c>
      <c r="Y1302" s="163">
        <v>4</v>
      </c>
      <c r="Z1302" s="163">
        <v>4</v>
      </c>
      <c r="AA1302" s="163">
        <v>0</v>
      </c>
      <c r="AB1302" s="163">
        <v>0</v>
      </c>
      <c r="AC1302" s="163">
        <v>4</v>
      </c>
      <c r="AD1302" s="163">
        <v>0</v>
      </c>
      <c r="AE1302" s="165">
        <v>3.4068820070268999E-2</v>
      </c>
      <c r="AF1302" s="166">
        <v>6.8137640140537997E-2</v>
      </c>
    </row>
    <row r="1303" spans="1:32">
      <c r="A1303" s="161">
        <v>28</v>
      </c>
      <c r="B1303" s="162">
        <v>0.10416666666666667</v>
      </c>
      <c r="C1303" s="163">
        <v>0.27736606599950947</v>
      </c>
      <c r="D1303" s="163">
        <v>547.32060653619374</v>
      </c>
      <c r="E1303" s="164">
        <v>0.9998999999999999</v>
      </c>
      <c r="F1303" s="164">
        <v>0.9998999999999999</v>
      </c>
      <c r="G1303" s="163">
        <v>2</v>
      </c>
      <c r="H1303" s="163">
        <v>6.6666666666666661</v>
      </c>
      <c r="I1303" s="163">
        <v>4.6666666666666661</v>
      </c>
      <c r="J1303" s="163">
        <v>1</v>
      </c>
      <c r="K1303" s="163">
        <v>1.6303373819163294</v>
      </c>
      <c r="L1303" s="163">
        <v>0.63033738191632938</v>
      </c>
      <c r="M1303" s="163">
        <v>2</v>
      </c>
      <c r="N1303" s="163">
        <v>6.0908681961313533</v>
      </c>
      <c r="O1303" s="163">
        <v>4.0908681961313533</v>
      </c>
      <c r="P1303" s="163"/>
      <c r="Q1303" s="163">
        <v>4</v>
      </c>
      <c r="R1303" s="163">
        <v>0</v>
      </c>
      <c r="S1303" s="163">
        <v>0</v>
      </c>
      <c r="T1303" s="163">
        <v>0</v>
      </c>
      <c r="U1303" s="163">
        <v>0</v>
      </c>
      <c r="V1303" s="163">
        <v>0</v>
      </c>
      <c r="W1303" s="163">
        <v>0</v>
      </c>
      <c r="X1303" s="163">
        <v>0</v>
      </c>
      <c r="Y1303" s="163">
        <v>4</v>
      </c>
      <c r="Z1303" s="163">
        <v>4</v>
      </c>
      <c r="AA1303" s="163">
        <v>0</v>
      </c>
      <c r="AB1303" s="163">
        <v>0</v>
      </c>
      <c r="AC1303" s="163">
        <v>4</v>
      </c>
      <c r="AD1303" s="163">
        <v>0</v>
      </c>
      <c r="AE1303" s="165">
        <v>2.5865158197598766E-2</v>
      </c>
      <c r="AF1303" s="166">
        <v>5.1730316395197533E-2</v>
      </c>
    </row>
    <row r="1304" spans="1:32">
      <c r="A1304" s="161">
        <v>28</v>
      </c>
      <c r="B1304" s="162">
        <v>0.125</v>
      </c>
      <c r="C1304" s="163">
        <v>0.25004086709286222</v>
      </c>
      <c r="D1304" s="163">
        <v>547.22654720770333</v>
      </c>
      <c r="E1304" s="164">
        <v>0.9998999999999999</v>
      </c>
      <c r="F1304" s="164">
        <v>0.9998999999999999</v>
      </c>
      <c r="G1304" s="163">
        <v>2</v>
      </c>
      <c r="H1304" s="163">
        <v>6.6666666666666661</v>
      </c>
      <c r="I1304" s="163">
        <v>4.6666666666666661</v>
      </c>
      <c r="J1304" s="163">
        <v>1</v>
      </c>
      <c r="K1304" s="163">
        <v>1.6303373819163294</v>
      </c>
      <c r="L1304" s="163">
        <v>0.63033738191632938</v>
      </c>
      <c r="M1304" s="163">
        <v>2</v>
      </c>
      <c r="N1304" s="163">
        <v>6.0908681961313533</v>
      </c>
      <c r="O1304" s="163">
        <v>4.0908681961313533</v>
      </c>
      <c r="P1304" s="163"/>
      <c r="Q1304" s="163">
        <v>4</v>
      </c>
      <c r="R1304" s="163">
        <v>0</v>
      </c>
      <c r="S1304" s="163">
        <v>0</v>
      </c>
      <c r="T1304" s="163">
        <v>0</v>
      </c>
      <c r="U1304" s="163">
        <v>0</v>
      </c>
      <c r="V1304" s="163">
        <v>0</v>
      </c>
      <c r="W1304" s="163">
        <v>0</v>
      </c>
      <c r="X1304" s="163">
        <v>0</v>
      </c>
      <c r="Y1304" s="163">
        <v>4</v>
      </c>
      <c r="Z1304" s="163">
        <v>4</v>
      </c>
      <c r="AA1304" s="163">
        <v>0</v>
      </c>
      <c r="AB1304" s="163">
        <v>0</v>
      </c>
      <c r="AC1304" s="163">
        <v>4</v>
      </c>
      <c r="AD1304" s="163">
        <v>0</v>
      </c>
      <c r="AE1304" s="165">
        <v>2.3313000166194614E-2</v>
      </c>
      <c r="AF1304" s="166">
        <v>4.6626000332389228E-2</v>
      </c>
    </row>
    <row r="1305" spans="1:32">
      <c r="A1305" s="161">
        <v>28</v>
      </c>
      <c r="B1305" s="162">
        <v>0.14583333333333334</v>
      </c>
      <c r="C1305" s="163">
        <v>0.25194834721071868</v>
      </c>
      <c r="D1305" s="163">
        <v>579.4626112416413</v>
      </c>
      <c r="E1305" s="164">
        <v>0.9998999999999999</v>
      </c>
      <c r="F1305" s="164">
        <v>0.9998999999999999</v>
      </c>
      <c r="G1305" s="163">
        <v>2</v>
      </c>
      <c r="H1305" s="163">
        <v>6.6666666666666661</v>
      </c>
      <c r="I1305" s="163">
        <v>4.6666666666666661</v>
      </c>
      <c r="J1305" s="163">
        <v>1</v>
      </c>
      <c r="K1305" s="163">
        <v>1.6303373819163294</v>
      </c>
      <c r="L1305" s="163">
        <v>0.63033738191632938</v>
      </c>
      <c r="M1305" s="163">
        <v>2</v>
      </c>
      <c r="N1305" s="163">
        <v>6.0908681961313533</v>
      </c>
      <c r="O1305" s="163">
        <v>4.0908681961313533</v>
      </c>
      <c r="P1305" s="163"/>
      <c r="Q1305" s="163">
        <v>4</v>
      </c>
      <c r="R1305" s="163">
        <v>0</v>
      </c>
      <c r="S1305" s="163">
        <v>0</v>
      </c>
      <c r="T1305" s="163">
        <v>0</v>
      </c>
      <c r="U1305" s="163">
        <v>0</v>
      </c>
      <c r="V1305" s="163">
        <v>0</v>
      </c>
      <c r="W1305" s="163">
        <v>0</v>
      </c>
      <c r="X1305" s="163">
        <v>0</v>
      </c>
      <c r="Y1305" s="163">
        <v>4</v>
      </c>
      <c r="Z1305" s="163">
        <v>4</v>
      </c>
      <c r="AA1305" s="163">
        <v>0</v>
      </c>
      <c r="AB1305" s="163">
        <v>0</v>
      </c>
      <c r="AC1305" s="163">
        <v>4</v>
      </c>
      <c r="AD1305" s="163">
        <v>0</v>
      </c>
      <c r="AE1305" s="165">
        <v>2.4874648099785377E-2</v>
      </c>
      <c r="AF1305" s="166">
        <v>4.9749296199570754E-2</v>
      </c>
    </row>
    <row r="1306" spans="1:32">
      <c r="A1306" s="161">
        <v>28</v>
      </c>
      <c r="B1306" s="162">
        <v>0.16666666666666666</v>
      </c>
      <c r="C1306" s="163">
        <v>0.28297724951900627</v>
      </c>
      <c r="D1306" s="163">
        <v>579.46572193699183</v>
      </c>
      <c r="E1306" s="164">
        <v>0.9998999999999999</v>
      </c>
      <c r="F1306" s="164">
        <v>0.9998999999999999</v>
      </c>
      <c r="G1306" s="163">
        <v>2</v>
      </c>
      <c r="H1306" s="163">
        <v>6.6666666666666661</v>
      </c>
      <c r="I1306" s="163">
        <v>4.6666666666666661</v>
      </c>
      <c r="J1306" s="163">
        <v>1</v>
      </c>
      <c r="K1306" s="163">
        <v>1.6303373819163294</v>
      </c>
      <c r="L1306" s="163">
        <v>0.63033738191632938</v>
      </c>
      <c r="M1306" s="163">
        <v>2</v>
      </c>
      <c r="N1306" s="163">
        <v>6.0908681961313533</v>
      </c>
      <c r="O1306" s="163">
        <v>4.0908681961313533</v>
      </c>
      <c r="P1306" s="163"/>
      <c r="Q1306" s="163">
        <v>4</v>
      </c>
      <c r="R1306" s="163">
        <v>0</v>
      </c>
      <c r="S1306" s="163">
        <v>0</v>
      </c>
      <c r="T1306" s="163">
        <v>0</v>
      </c>
      <c r="U1306" s="163">
        <v>0</v>
      </c>
      <c r="V1306" s="163">
        <v>0</v>
      </c>
      <c r="W1306" s="163">
        <v>0</v>
      </c>
      <c r="X1306" s="163">
        <v>0</v>
      </c>
      <c r="Y1306" s="163">
        <v>4</v>
      </c>
      <c r="Z1306" s="163">
        <v>4</v>
      </c>
      <c r="AA1306" s="163">
        <v>0</v>
      </c>
      <c r="AB1306" s="163">
        <v>0</v>
      </c>
      <c r="AC1306" s="163">
        <v>4</v>
      </c>
      <c r="AD1306" s="163">
        <v>0</v>
      </c>
      <c r="AE1306" s="165">
        <v>2.793825546701928E-2</v>
      </c>
      <c r="AF1306" s="166">
        <v>5.5876510934038559E-2</v>
      </c>
    </row>
    <row r="1307" spans="1:32">
      <c r="A1307" s="161">
        <v>28</v>
      </c>
      <c r="B1307" s="162">
        <v>0.1875</v>
      </c>
      <c r="C1307" s="163">
        <v>0.41675617618353511</v>
      </c>
      <c r="D1307" s="163">
        <v>615.67087221928546</v>
      </c>
      <c r="E1307" s="164">
        <v>0.99960000000000004</v>
      </c>
      <c r="F1307" s="164">
        <v>0.99960000000000004</v>
      </c>
      <c r="G1307" s="163">
        <v>2</v>
      </c>
      <c r="H1307" s="163">
        <v>6.6666666666666661</v>
      </c>
      <c r="I1307" s="163">
        <v>4.6666666666666661</v>
      </c>
      <c r="J1307" s="163">
        <v>1</v>
      </c>
      <c r="K1307" s="163">
        <v>1.6303373819163294</v>
      </c>
      <c r="L1307" s="163">
        <v>0.63033738191632938</v>
      </c>
      <c r="M1307" s="163">
        <v>2</v>
      </c>
      <c r="N1307" s="163">
        <v>6.0908681961313533</v>
      </c>
      <c r="O1307" s="163">
        <v>4.0908681961313533</v>
      </c>
      <c r="P1307" s="163"/>
      <c r="Q1307" s="163">
        <v>4</v>
      </c>
      <c r="R1307" s="163">
        <v>0</v>
      </c>
      <c r="S1307" s="163">
        <v>0</v>
      </c>
      <c r="T1307" s="163">
        <v>0</v>
      </c>
      <c r="U1307" s="163">
        <v>0</v>
      </c>
      <c r="V1307" s="163">
        <v>0</v>
      </c>
      <c r="W1307" s="163">
        <v>0</v>
      </c>
      <c r="X1307" s="163">
        <v>0</v>
      </c>
      <c r="Y1307" s="163">
        <v>4</v>
      </c>
      <c r="Z1307" s="163">
        <v>4</v>
      </c>
      <c r="AA1307" s="163">
        <v>0</v>
      </c>
      <c r="AB1307" s="163">
        <v>0</v>
      </c>
      <c r="AC1307" s="163">
        <v>4</v>
      </c>
      <c r="AD1307" s="163">
        <v>0</v>
      </c>
      <c r="AE1307" s="165">
        <v>4.3717031507255137E-2</v>
      </c>
      <c r="AF1307" s="166">
        <v>8.7434063014510274E-2</v>
      </c>
    </row>
    <row r="1308" spans="1:32">
      <c r="A1308" s="161">
        <v>28</v>
      </c>
      <c r="B1308" s="162">
        <v>0.20833333333333334</v>
      </c>
      <c r="C1308" s="163">
        <v>0.7309751895011749</v>
      </c>
      <c r="D1308" s="163">
        <v>647.30656823930849</v>
      </c>
      <c r="E1308" s="164">
        <v>0.99770000000000003</v>
      </c>
      <c r="F1308" s="164">
        <v>0.99770000000000003</v>
      </c>
      <c r="G1308" s="163">
        <v>3</v>
      </c>
      <c r="H1308" s="163">
        <v>6.6666666666666661</v>
      </c>
      <c r="I1308" s="163">
        <v>3.6666666666666661</v>
      </c>
      <c r="J1308" s="163">
        <v>2</v>
      </c>
      <c r="K1308" s="163">
        <v>2.445506072874494</v>
      </c>
      <c r="L1308" s="163">
        <v>0.44550607287449395</v>
      </c>
      <c r="M1308" s="163">
        <v>3</v>
      </c>
      <c r="N1308" s="163">
        <v>6.0908681961313533</v>
      </c>
      <c r="O1308" s="163">
        <v>3.0908681961313533</v>
      </c>
      <c r="P1308" s="163"/>
      <c r="Q1308" s="163">
        <v>4</v>
      </c>
      <c r="R1308" s="163">
        <v>0</v>
      </c>
      <c r="S1308" s="163">
        <v>0</v>
      </c>
      <c r="T1308" s="163">
        <v>0</v>
      </c>
      <c r="U1308" s="163">
        <v>0</v>
      </c>
      <c r="V1308" s="163">
        <v>0</v>
      </c>
      <c r="W1308" s="163">
        <v>0</v>
      </c>
      <c r="X1308" s="163">
        <v>0</v>
      </c>
      <c r="Y1308" s="163">
        <v>4</v>
      </c>
      <c r="Z1308" s="163">
        <v>4</v>
      </c>
      <c r="AA1308" s="163">
        <v>0</v>
      </c>
      <c r="AB1308" s="163">
        <v>0</v>
      </c>
      <c r="AC1308" s="163">
        <v>4</v>
      </c>
      <c r="AD1308" s="163">
        <v>0</v>
      </c>
      <c r="AE1308" s="165">
        <v>8.0618119400114707E-2</v>
      </c>
      <c r="AF1308" s="166">
        <v>0.10749082586681959</v>
      </c>
    </row>
    <row r="1309" spans="1:32">
      <c r="A1309" s="161">
        <v>28</v>
      </c>
      <c r="B1309" s="162">
        <v>0.22916666666666666</v>
      </c>
      <c r="C1309" s="163">
        <v>1.2235524123576234</v>
      </c>
      <c r="D1309" s="163">
        <v>661.60292013835692</v>
      </c>
      <c r="E1309" s="164">
        <v>0.98970000000000002</v>
      </c>
      <c r="F1309" s="164">
        <v>0.98970000000000002</v>
      </c>
      <c r="G1309" s="163">
        <v>3</v>
      </c>
      <c r="H1309" s="163">
        <v>6.6666666666666661</v>
      </c>
      <c r="I1309" s="163">
        <v>3.6666666666666661</v>
      </c>
      <c r="J1309" s="163">
        <v>2</v>
      </c>
      <c r="K1309" s="163">
        <v>2.445506072874494</v>
      </c>
      <c r="L1309" s="163">
        <v>0.44550607287449395</v>
      </c>
      <c r="M1309" s="163">
        <v>3</v>
      </c>
      <c r="N1309" s="163">
        <v>6.0908681961313533</v>
      </c>
      <c r="O1309" s="163">
        <v>3.0908681961313533</v>
      </c>
      <c r="P1309" s="163"/>
      <c r="Q1309" s="163">
        <v>4</v>
      </c>
      <c r="R1309" s="163">
        <v>0</v>
      </c>
      <c r="S1309" s="163">
        <v>0</v>
      </c>
      <c r="T1309" s="163">
        <v>0</v>
      </c>
      <c r="U1309" s="163">
        <v>0</v>
      </c>
      <c r="V1309" s="163">
        <v>0</v>
      </c>
      <c r="W1309" s="163">
        <v>0</v>
      </c>
      <c r="X1309" s="163">
        <v>0</v>
      </c>
      <c r="Y1309" s="163">
        <v>4</v>
      </c>
      <c r="Z1309" s="163">
        <v>4</v>
      </c>
      <c r="AA1309" s="163">
        <v>0</v>
      </c>
      <c r="AB1309" s="163">
        <v>0</v>
      </c>
      <c r="AC1309" s="163">
        <v>4</v>
      </c>
      <c r="AD1309" s="163">
        <v>0</v>
      </c>
      <c r="AE1309" s="165">
        <v>0.1379240507614419</v>
      </c>
      <c r="AF1309" s="166">
        <v>0.18389873434858917</v>
      </c>
    </row>
    <row r="1310" spans="1:32">
      <c r="A1310" s="161">
        <v>28</v>
      </c>
      <c r="B1310" s="162">
        <v>0.25</v>
      </c>
      <c r="C1310" s="163">
        <v>1.8798464127428718</v>
      </c>
      <c r="D1310" s="163">
        <v>668.44579803940076</v>
      </c>
      <c r="E1310" s="164">
        <v>0.96679999999999999</v>
      </c>
      <c r="F1310" s="164">
        <v>0.96679999999999999</v>
      </c>
      <c r="G1310" s="163">
        <v>3</v>
      </c>
      <c r="H1310" s="163">
        <v>6.6666666666666661</v>
      </c>
      <c r="I1310" s="163">
        <v>3.6666666666666661</v>
      </c>
      <c r="J1310" s="163">
        <v>2</v>
      </c>
      <c r="K1310" s="163">
        <v>2.445506072874494</v>
      </c>
      <c r="L1310" s="163">
        <v>0.44550607287449395</v>
      </c>
      <c r="M1310" s="163">
        <v>3</v>
      </c>
      <c r="N1310" s="163">
        <v>6.0908681961313533</v>
      </c>
      <c r="O1310" s="163">
        <v>3.0908681961313533</v>
      </c>
      <c r="P1310" s="163"/>
      <c r="Q1310" s="163">
        <v>4</v>
      </c>
      <c r="R1310" s="163">
        <v>0</v>
      </c>
      <c r="S1310" s="163">
        <v>0</v>
      </c>
      <c r="T1310" s="163">
        <v>0</v>
      </c>
      <c r="U1310" s="163">
        <v>0</v>
      </c>
      <c r="V1310" s="163">
        <v>0</v>
      </c>
      <c r="W1310" s="163">
        <v>0</v>
      </c>
      <c r="X1310" s="163">
        <v>0</v>
      </c>
      <c r="Y1310" s="163">
        <v>4</v>
      </c>
      <c r="Z1310" s="163">
        <v>4</v>
      </c>
      <c r="AA1310" s="163">
        <v>0</v>
      </c>
      <c r="AB1310" s="163">
        <v>0</v>
      </c>
      <c r="AC1310" s="163">
        <v>4</v>
      </c>
      <c r="AD1310" s="163">
        <v>0</v>
      </c>
      <c r="AE1310" s="165">
        <v>0.21409601225545299</v>
      </c>
      <c r="AF1310" s="166">
        <v>0.28546134967393733</v>
      </c>
    </row>
    <row r="1311" spans="1:32">
      <c r="A1311" s="161">
        <v>28</v>
      </c>
      <c r="B1311" s="162">
        <v>0.27083333333333331</v>
      </c>
      <c r="C1311" s="163">
        <v>2.716096136768444</v>
      </c>
      <c r="D1311" s="163">
        <v>732.56270779372926</v>
      </c>
      <c r="E1311" s="164">
        <v>0.89500000000000002</v>
      </c>
      <c r="F1311" s="164">
        <v>0.89500000000000002</v>
      </c>
      <c r="G1311" s="163">
        <v>4</v>
      </c>
      <c r="H1311" s="163">
        <v>6.6666666666666661</v>
      </c>
      <c r="I1311" s="163">
        <v>2.6666666666666661</v>
      </c>
      <c r="J1311" s="163">
        <v>3</v>
      </c>
      <c r="K1311" s="163">
        <v>3.2606747638326588</v>
      </c>
      <c r="L1311" s="163">
        <v>0.26067476383265875</v>
      </c>
      <c r="M1311" s="163">
        <v>4</v>
      </c>
      <c r="N1311" s="163">
        <v>6.0908681961313533</v>
      </c>
      <c r="O1311" s="163">
        <v>2.0908681961313533</v>
      </c>
      <c r="P1311" s="163"/>
      <c r="Q1311" s="163">
        <v>4</v>
      </c>
      <c r="R1311" s="163">
        <v>0</v>
      </c>
      <c r="S1311" s="163">
        <v>0</v>
      </c>
      <c r="T1311" s="163">
        <v>0</v>
      </c>
      <c r="U1311" s="163">
        <v>0</v>
      </c>
      <c r="V1311" s="163">
        <v>0</v>
      </c>
      <c r="W1311" s="163">
        <v>0</v>
      </c>
      <c r="X1311" s="163">
        <v>0</v>
      </c>
      <c r="Y1311" s="163">
        <v>4</v>
      </c>
      <c r="Z1311" s="163">
        <v>4</v>
      </c>
      <c r="AA1311" s="163">
        <v>0</v>
      </c>
      <c r="AB1311" s="163">
        <v>0</v>
      </c>
      <c r="AC1311" s="163">
        <v>4</v>
      </c>
      <c r="AD1311" s="163">
        <v>0</v>
      </c>
      <c r="AE1311" s="165">
        <v>0.33900800783271606</v>
      </c>
      <c r="AF1311" s="166">
        <v>0.33900800783271606</v>
      </c>
    </row>
    <row r="1312" spans="1:32">
      <c r="A1312" s="161">
        <v>28</v>
      </c>
      <c r="B1312" s="162">
        <v>0.29166666666666669</v>
      </c>
      <c r="C1312" s="163">
        <v>5.9998125227776899</v>
      </c>
      <c r="D1312" s="163">
        <v>770.66920624171132</v>
      </c>
      <c r="E1312" s="164">
        <v>0.88160000000000005</v>
      </c>
      <c r="F1312" s="164">
        <v>0.88160000000000005</v>
      </c>
      <c r="G1312" s="163">
        <v>7</v>
      </c>
      <c r="H1312" s="163">
        <v>11.666666666666668</v>
      </c>
      <c r="I1312" s="163">
        <v>4.6666666666666679</v>
      </c>
      <c r="J1312" s="163">
        <v>5</v>
      </c>
      <c r="K1312" s="163">
        <v>5.7061808367071531</v>
      </c>
      <c r="L1312" s="163">
        <v>0.70618083670715315</v>
      </c>
      <c r="M1312" s="163">
        <v>6</v>
      </c>
      <c r="N1312" s="163">
        <v>10.65901934322987</v>
      </c>
      <c r="O1312" s="163">
        <v>4.6590193432298701</v>
      </c>
      <c r="P1312" s="163"/>
      <c r="Q1312" s="163">
        <v>7</v>
      </c>
      <c r="R1312" s="163">
        <v>0</v>
      </c>
      <c r="S1312" s="163">
        <v>0</v>
      </c>
      <c r="T1312" s="163">
        <v>0</v>
      </c>
      <c r="U1312" s="163">
        <v>0</v>
      </c>
      <c r="V1312" s="163">
        <v>0</v>
      </c>
      <c r="W1312" s="163">
        <v>0</v>
      </c>
      <c r="X1312" s="163">
        <v>0</v>
      </c>
      <c r="Y1312" s="163">
        <v>7</v>
      </c>
      <c r="Z1312" s="163">
        <v>7</v>
      </c>
      <c r="AA1312" s="163">
        <v>0</v>
      </c>
      <c r="AB1312" s="163">
        <v>0</v>
      </c>
      <c r="AC1312" s="163">
        <v>4</v>
      </c>
      <c r="AD1312" s="163">
        <v>3</v>
      </c>
      <c r="AE1312" s="165">
        <v>0.45018150657338046</v>
      </c>
      <c r="AF1312" s="166">
        <v>0.45018150657338046</v>
      </c>
    </row>
    <row r="1313" spans="1:32">
      <c r="A1313" s="161">
        <v>28</v>
      </c>
      <c r="B1313" s="162">
        <v>0.3125</v>
      </c>
      <c r="C1313" s="163">
        <v>7.7713858080705656</v>
      </c>
      <c r="D1313" s="163">
        <v>733.01674716049615</v>
      </c>
      <c r="E1313" s="164">
        <v>0.98609999999999998</v>
      </c>
      <c r="F1313" s="164">
        <v>0.98609999999999998</v>
      </c>
      <c r="G1313" s="163">
        <v>8</v>
      </c>
      <c r="H1313" s="163">
        <v>18.333333333333332</v>
      </c>
      <c r="I1313" s="163">
        <v>10.333333333333332</v>
      </c>
      <c r="J1313" s="163">
        <v>6</v>
      </c>
      <c r="K1313" s="163">
        <v>6.5213495276653175</v>
      </c>
      <c r="L1313" s="163">
        <v>0.5213495276653175</v>
      </c>
      <c r="M1313" s="163">
        <v>7</v>
      </c>
      <c r="N1313" s="163">
        <v>16.749887539361222</v>
      </c>
      <c r="O1313" s="163">
        <v>9.7498875393612217</v>
      </c>
      <c r="P1313" s="163"/>
      <c r="Q1313" s="163">
        <v>11</v>
      </c>
      <c r="R1313" s="163">
        <v>0</v>
      </c>
      <c r="S1313" s="163">
        <v>0</v>
      </c>
      <c r="T1313" s="163">
        <v>0</v>
      </c>
      <c r="U1313" s="163">
        <v>0</v>
      </c>
      <c r="V1313" s="163">
        <v>0</v>
      </c>
      <c r="W1313" s="163">
        <v>0</v>
      </c>
      <c r="X1313" s="163">
        <v>0</v>
      </c>
      <c r="Y1313" s="163">
        <v>11</v>
      </c>
      <c r="Z1313" s="163">
        <v>11</v>
      </c>
      <c r="AA1313" s="163">
        <v>0</v>
      </c>
      <c r="AB1313" s="163">
        <v>0</v>
      </c>
      <c r="AC1313" s="163">
        <v>8</v>
      </c>
      <c r="AD1313" s="163">
        <v>3</v>
      </c>
      <c r="AE1313" s="165">
        <v>0.35293902838373109</v>
      </c>
      <c r="AF1313" s="166">
        <v>0.48529116402763028</v>
      </c>
    </row>
    <row r="1314" spans="1:32">
      <c r="A1314" s="161">
        <v>28</v>
      </c>
      <c r="B1314" s="162">
        <v>0.33333333333333331</v>
      </c>
      <c r="C1314" s="163">
        <v>10.871628009690562</v>
      </c>
      <c r="D1314" s="163">
        <v>797.32711328928872</v>
      </c>
      <c r="E1314" s="164">
        <v>0.97629999999999983</v>
      </c>
      <c r="F1314" s="164">
        <v>0.97629999999999983</v>
      </c>
      <c r="G1314" s="163">
        <v>10</v>
      </c>
      <c r="H1314" s="163">
        <v>21.666666666666664</v>
      </c>
      <c r="I1314" s="163">
        <v>11.666666666666664</v>
      </c>
      <c r="J1314" s="163">
        <v>8</v>
      </c>
      <c r="K1314" s="163">
        <v>8.1516869095816471</v>
      </c>
      <c r="L1314" s="163">
        <v>0.1516869095816471</v>
      </c>
      <c r="M1314" s="163">
        <v>9</v>
      </c>
      <c r="N1314" s="163">
        <v>19.795321637426898</v>
      </c>
      <c r="O1314" s="163">
        <v>10.795321637426898</v>
      </c>
      <c r="P1314" s="163"/>
      <c r="Q1314" s="163">
        <v>13</v>
      </c>
      <c r="R1314" s="163">
        <v>0</v>
      </c>
      <c r="S1314" s="163">
        <v>0</v>
      </c>
      <c r="T1314" s="163">
        <v>0</v>
      </c>
      <c r="U1314" s="163">
        <v>0</v>
      </c>
      <c r="V1314" s="163">
        <v>0</v>
      </c>
      <c r="W1314" s="163">
        <v>0</v>
      </c>
      <c r="X1314" s="163">
        <v>0</v>
      </c>
      <c r="Y1314" s="163">
        <v>13</v>
      </c>
      <c r="Z1314" s="163">
        <v>13</v>
      </c>
      <c r="AA1314" s="163">
        <v>0</v>
      </c>
      <c r="AB1314" s="163">
        <v>0</v>
      </c>
      <c r="AC1314" s="163">
        <v>10</v>
      </c>
      <c r="AD1314" s="163">
        <v>3</v>
      </c>
      <c r="AE1314" s="165">
        <v>0.4544308097055092</v>
      </c>
      <c r="AF1314" s="166">
        <v>0.59076005261716202</v>
      </c>
    </row>
    <row r="1315" spans="1:32">
      <c r="A1315" s="161">
        <v>28</v>
      </c>
      <c r="B1315" s="162">
        <v>0.35416666666666669</v>
      </c>
      <c r="C1315" s="163">
        <v>12.736342370398335</v>
      </c>
      <c r="D1315" s="163">
        <v>794.74396326058786</v>
      </c>
      <c r="E1315" s="164">
        <v>0.98819999999999997</v>
      </c>
      <c r="F1315" s="164">
        <v>0.98819999999999997</v>
      </c>
      <c r="G1315" s="163">
        <v>12</v>
      </c>
      <c r="H1315" s="163">
        <v>25</v>
      </c>
      <c r="I1315" s="163">
        <v>13</v>
      </c>
      <c r="J1315" s="163">
        <v>9</v>
      </c>
      <c r="K1315" s="163">
        <v>9.7820242914979758</v>
      </c>
      <c r="L1315" s="163">
        <v>0.78202429149797581</v>
      </c>
      <c r="M1315" s="163">
        <v>11</v>
      </c>
      <c r="N1315" s="163">
        <v>22.840755735492575</v>
      </c>
      <c r="O1315" s="163">
        <v>11.840755735492575</v>
      </c>
      <c r="P1315" s="163"/>
      <c r="Q1315" s="163">
        <v>15</v>
      </c>
      <c r="R1315" s="163">
        <v>0</v>
      </c>
      <c r="S1315" s="163">
        <v>0</v>
      </c>
      <c r="T1315" s="163">
        <v>0</v>
      </c>
      <c r="U1315" s="163">
        <v>0</v>
      </c>
      <c r="V1315" s="163">
        <v>0</v>
      </c>
      <c r="W1315" s="163">
        <v>0</v>
      </c>
      <c r="X1315" s="163">
        <v>0</v>
      </c>
      <c r="Y1315" s="163">
        <v>15</v>
      </c>
      <c r="Z1315" s="163">
        <v>15</v>
      </c>
      <c r="AA1315" s="163">
        <v>0</v>
      </c>
      <c r="AB1315" s="163">
        <v>0</v>
      </c>
      <c r="AC1315" s="163">
        <v>10</v>
      </c>
      <c r="AD1315" s="163">
        <v>5</v>
      </c>
      <c r="AE1315" s="165">
        <v>0.45989713881804151</v>
      </c>
      <c r="AF1315" s="166">
        <v>0.57487142352255194</v>
      </c>
    </row>
    <row r="1316" spans="1:32">
      <c r="A1316" s="161">
        <v>28</v>
      </c>
      <c r="B1316" s="162">
        <v>0.375</v>
      </c>
      <c r="C1316" s="163">
        <v>15.765573398727533</v>
      </c>
      <c r="D1316" s="163">
        <v>843.44644558339382</v>
      </c>
      <c r="E1316" s="164">
        <v>0.96450000000000002</v>
      </c>
      <c r="F1316" s="164">
        <v>0.96450000000000002</v>
      </c>
      <c r="G1316" s="163">
        <v>14</v>
      </c>
      <c r="H1316" s="163">
        <v>28.333333333333336</v>
      </c>
      <c r="I1316" s="163">
        <v>14.333333333333336</v>
      </c>
      <c r="J1316" s="163">
        <v>11</v>
      </c>
      <c r="K1316" s="163">
        <v>11.412361673414306</v>
      </c>
      <c r="L1316" s="163">
        <v>0.4123616734143063</v>
      </c>
      <c r="M1316" s="163">
        <v>13</v>
      </c>
      <c r="N1316" s="163">
        <v>25.886189833558255</v>
      </c>
      <c r="O1316" s="163">
        <v>12.886189833558255</v>
      </c>
      <c r="P1316" s="163"/>
      <c r="Q1316" s="163">
        <v>17</v>
      </c>
      <c r="R1316" s="163">
        <v>0</v>
      </c>
      <c r="S1316" s="163">
        <v>0</v>
      </c>
      <c r="T1316" s="163">
        <v>0</v>
      </c>
      <c r="U1316" s="163">
        <v>0</v>
      </c>
      <c r="V1316" s="163">
        <v>0</v>
      </c>
      <c r="W1316" s="163">
        <v>0</v>
      </c>
      <c r="X1316" s="163">
        <v>0</v>
      </c>
      <c r="Y1316" s="163">
        <v>17</v>
      </c>
      <c r="Z1316" s="163">
        <v>17</v>
      </c>
      <c r="AA1316" s="163">
        <v>0</v>
      </c>
      <c r="AB1316" s="163">
        <v>0</v>
      </c>
      <c r="AC1316" s="163">
        <v>12</v>
      </c>
      <c r="AD1316" s="163">
        <v>5</v>
      </c>
      <c r="AE1316" s="165">
        <v>0.53308733626554872</v>
      </c>
      <c r="AF1316" s="166">
        <v>0.64732033689388058</v>
      </c>
    </row>
    <row r="1317" spans="1:32">
      <c r="A1317" s="161">
        <v>28</v>
      </c>
      <c r="B1317" s="162">
        <v>0.39583333333333331</v>
      </c>
      <c r="C1317" s="163">
        <v>16.259874471009667</v>
      </c>
      <c r="D1317" s="163">
        <v>833.72607350653527</v>
      </c>
      <c r="E1317" s="164">
        <v>0.99070000000000003</v>
      </c>
      <c r="F1317" s="164">
        <v>0.99070000000000003</v>
      </c>
      <c r="G1317" s="163">
        <v>14</v>
      </c>
      <c r="H1317" s="163">
        <v>31.666666666666664</v>
      </c>
      <c r="I1317" s="163">
        <v>17.666666666666664</v>
      </c>
      <c r="J1317" s="163">
        <v>11</v>
      </c>
      <c r="K1317" s="163">
        <v>11.412361673414306</v>
      </c>
      <c r="L1317" s="163">
        <v>0.4123616734143063</v>
      </c>
      <c r="M1317" s="163">
        <v>13</v>
      </c>
      <c r="N1317" s="163">
        <v>28.931623931623928</v>
      </c>
      <c r="O1317" s="163">
        <v>15.931623931623928</v>
      </c>
      <c r="P1317" s="163"/>
      <c r="Q1317" s="163">
        <v>19</v>
      </c>
      <c r="R1317" s="163">
        <v>0</v>
      </c>
      <c r="S1317" s="163">
        <v>0</v>
      </c>
      <c r="T1317" s="163">
        <v>0</v>
      </c>
      <c r="U1317" s="163">
        <v>0</v>
      </c>
      <c r="V1317" s="163">
        <v>0</v>
      </c>
      <c r="W1317" s="163">
        <v>0</v>
      </c>
      <c r="X1317" s="163">
        <v>0</v>
      </c>
      <c r="Y1317" s="163">
        <v>19</v>
      </c>
      <c r="Z1317" s="163">
        <v>19</v>
      </c>
      <c r="AA1317" s="163">
        <v>0</v>
      </c>
      <c r="AB1317" s="163">
        <v>0</v>
      </c>
      <c r="AC1317" s="163">
        <v>14</v>
      </c>
      <c r="AD1317" s="163">
        <v>5</v>
      </c>
      <c r="AE1317" s="165">
        <v>0.48625824139547197</v>
      </c>
      <c r="AF1317" s="166">
        <v>0.65992189903671206</v>
      </c>
    </row>
    <row r="1318" spans="1:32">
      <c r="A1318" s="161">
        <v>28</v>
      </c>
      <c r="B1318" s="162">
        <v>0.41666666666666669</v>
      </c>
      <c r="C1318" s="163">
        <v>18.332666661415658</v>
      </c>
      <c r="D1318" s="163">
        <v>840.8329909594687</v>
      </c>
      <c r="E1318" s="164">
        <v>0.97299999999999998</v>
      </c>
      <c r="F1318" s="164">
        <v>0.97299999999999998</v>
      </c>
      <c r="G1318" s="163">
        <v>15</v>
      </c>
      <c r="H1318" s="163">
        <v>31.666666666666664</v>
      </c>
      <c r="I1318" s="163">
        <v>16.666666666666664</v>
      </c>
      <c r="J1318" s="163">
        <v>12</v>
      </c>
      <c r="K1318" s="163">
        <v>12.22753036437247</v>
      </c>
      <c r="L1318" s="163">
        <v>0.22753036437246976</v>
      </c>
      <c r="M1318" s="163">
        <v>14</v>
      </c>
      <c r="N1318" s="163">
        <v>28.931623931623928</v>
      </c>
      <c r="O1318" s="163">
        <v>14.931623931623928</v>
      </c>
      <c r="P1318" s="163"/>
      <c r="Q1318" s="163">
        <v>19</v>
      </c>
      <c r="R1318" s="163">
        <v>0</v>
      </c>
      <c r="S1318" s="163">
        <v>0</v>
      </c>
      <c r="T1318" s="163">
        <v>0</v>
      </c>
      <c r="U1318" s="163">
        <v>0</v>
      </c>
      <c r="V1318" s="163">
        <v>0</v>
      </c>
      <c r="W1318" s="163">
        <v>0</v>
      </c>
      <c r="X1318" s="163">
        <v>0</v>
      </c>
      <c r="Y1318" s="163">
        <v>19</v>
      </c>
      <c r="Z1318" s="163">
        <v>19</v>
      </c>
      <c r="AA1318" s="163">
        <v>0</v>
      </c>
      <c r="AB1318" s="163">
        <v>0</v>
      </c>
      <c r="AC1318" s="163">
        <v>14</v>
      </c>
      <c r="AD1318" s="163">
        <v>5</v>
      </c>
      <c r="AE1318" s="165">
        <v>0.55291934925764796</v>
      </c>
      <c r="AF1318" s="166">
        <v>0.7003645090596875</v>
      </c>
    </row>
    <row r="1319" spans="1:32">
      <c r="A1319" s="161">
        <v>28</v>
      </c>
      <c r="B1319" s="162">
        <v>0.4375</v>
      </c>
      <c r="C1319" s="163">
        <v>17.29164813576838</v>
      </c>
      <c r="D1319" s="163">
        <v>811.55811905578298</v>
      </c>
      <c r="E1319" s="164">
        <v>0.98750000000000016</v>
      </c>
      <c r="F1319" s="164">
        <v>0.98750000000000016</v>
      </c>
      <c r="G1319" s="163">
        <v>14</v>
      </c>
      <c r="H1319" s="163">
        <v>31.666666666666664</v>
      </c>
      <c r="I1319" s="163">
        <v>17.666666666666664</v>
      </c>
      <c r="J1319" s="163">
        <v>11</v>
      </c>
      <c r="K1319" s="163">
        <v>11.412361673414306</v>
      </c>
      <c r="L1319" s="163">
        <v>0.4123616734143063</v>
      </c>
      <c r="M1319" s="163">
        <v>13</v>
      </c>
      <c r="N1319" s="163">
        <v>28.931623931623928</v>
      </c>
      <c r="O1319" s="163">
        <v>15.931623931623928</v>
      </c>
      <c r="P1319" s="163"/>
      <c r="Q1319" s="163">
        <v>19</v>
      </c>
      <c r="R1319" s="163">
        <v>0</v>
      </c>
      <c r="S1319" s="163">
        <v>0</v>
      </c>
      <c r="T1319" s="163">
        <v>0</v>
      </c>
      <c r="U1319" s="163">
        <v>0</v>
      </c>
      <c r="V1319" s="163">
        <v>0</v>
      </c>
      <c r="W1319" s="163">
        <v>0</v>
      </c>
      <c r="X1319" s="163">
        <v>0</v>
      </c>
      <c r="Y1319" s="163">
        <v>19</v>
      </c>
      <c r="Z1319" s="163">
        <v>19</v>
      </c>
      <c r="AA1319" s="163">
        <v>0</v>
      </c>
      <c r="AB1319" s="163">
        <v>0</v>
      </c>
      <c r="AC1319" s="163">
        <v>14</v>
      </c>
      <c r="AD1319" s="163">
        <v>5</v>
      </c>
      <c r="AE1319" s="165">
        <v>0.50336430996209425</v>
      </c>
      <c r="AF1319" s="166">
        <v>0.68313727780569944</v>
      </c>
    </row>
    <row r="1320" spans="1:32">
      <c r="A1320" s="161">
        <v>28</v>
      </c>
      <c r="B1320" s="162">
        <v>0.45833333333333331</v>
      </c>
      <c r="C1320" s="163">
        <v>19.076145675593125</v>
      </c>
      <c r="D1320" s="163">
        <v>802.34726125288353</v>
      </c>
      <c r="E1320" s="164">
        <v>0.97470000000000001</v>
      </c>
      <c r="F1320" s="164">
        <v>0.97470000000000001</v>
      </c>
      <c r="G1320" s="163">
        <v>15</v>
      </c>
      <c r="H1320" s="163">
        <v>31.666666666666664</v>
      </c>
      <c r="I1320" s="163">
        <v>16.666666666666664</v>
      </c>
      <c r="J1320" s="163">
        <v>12</v>
      </c>
      <c r="K1320" s="163">
        <v>12.22753036437247</v>
      </c>
      <c r="L1320" s="163">
        <v>0.22753036437246976</v>
      </c>
      <c r="M1320" s="163">
        <v>14</v>
      </c>
      <c r="N1320" s="163">
        <v>28.931623931623928</v>
      </c>
      <c r="O1320" s="163">
        <v>14.931623931623928</v>
      </c>
      <c r="P1320" s="163"/>
      <c r="Q1320" s="163">
        <v>19</v>
      </c>
      <c r="R1320" s="163">
        <v>0</v>
      </c>
      <c r="S1320" s="163">
        <v>0</v>
      </c>
      <c r="T1320" s="163">
        <v>0</v>
      </c>
      <c r="U1320" s="163">
        <v>0</v>
      </c>
      <c r="V1320" s="163">
        <v>0</v>
      </c>
      <c r="W1320" s="163">
        <v>0</v>
      </c>
      <c r="X1320" s="163">
        <v>0</v>
      </c>
      <c r="Y1320" s="163">
        <v>19</v>
      </c>
      <c r="Z1320" s="163">
        <v>19</v>
      </c>
      <c r="AA1320" s="163">
        <v>0</v>
      </c>
      <c r="AB1320" s="163">
        <v>0</v>
      </c>
      <c r="AC1320" s="163">
        <v>14</v>
      </c>
      <c r="AD1320" s="163">
        <v>5</v>
      </c>
      <c r="AE1320" s="165">
        <v>0.54900892903050391</v>
      </c>
      <c r="AF1320" s="166">
        <v>0.69541131010530499</v>
      </c>
    </row>
    <row r="1321" spans="1:32">
      <c r="A1321" s="161">
        <v>28</v>
      </c>
      <c r="B1321" s="162">
        <v>0.47916666666666669</v>
      </c>
      <c r="C1321" s="163">
        <v>17.67339299110315</v>
      </c>
      <c r="D1321" s="163">
        <v>788.21437228686045</v>
      </c>
      <c r="E1321" s="164">
        <v>0.98830000000000007</v>
      </c>
      <c r="F1321" s="164">
        <v>0.98830000000000007</v>
      </c>
      <c r="G1321" s="163">
        <v>14</v>
      </c>
      <c r="H1321" s="163">
        <v>31.666666666666664</v>
      </c>
      <c r="I1321" s="163">
        <v>17.666666666666664</v>
      </c>
      <c r="J1321" s="163">
        <v>11</v>
      </c>
      <c r="K1321" s="163">
        <v>11.412361673414306</v>
      </c>
      <c r="L1321" s="163">
        <v>0.4123616734143063</v>
      </c>
      <c r="M1321" s="163">
        <v>13</v>
      </c>
      <c r="N1321" s="163">
        <v>28.931623931623928</v>
      </c>
      <c r="O1321" s="163">
        <v>15.931623931623928</v>
      </c>
      <c r="P1321" s="163"/>
      <c r="Q1321" s="163">
        <v>19</v>
      </c>
      <c r="R1321" s="163">
        <v>0</v>
      </c>
      <c r="S1321" s="163">
        <v>0</v>
      </c>
      <c r="T1321" s="163">
        <v>0</v>
      </c>
      <c r="U1321" s="163">
        <v>0</v>
      </c>
      <c r="V1321" s="163">
        <v>0</v>
      </c>
      <c r="W1321" s="163">
        <v>0</v>
      </c>
      <c r="X1321" s="163">
        <v>0</v>
      </c>
      <c r="Y1321" s="163">
        <v>19</v>
      </c>
      <c r="Z1321" s="163">
        <v>19</v>
      </c>
      <c r="AA1321" s="163">
        <v>0</v>
      </c>
      <c r="AB1321" s="163">
        <v>0</v>
      </c>
      <c r="AC1321" s="163">
        <v>14</v>
      </c>
      <c r="AD1321" s="163">
        <v>5</v>
      </c>
      <c r="AE1321" s="165">
        <v>0.49967852767641696</v>
      </c>
      <c r="AF1321" s="166">
        <v>0.67813514470370873</v>
      </c>
    </row>
    <row r="1322" spans="1:32">
      <c r="A1322" s="161">
        <v>28</v>
      </c>
      <c r="B1322" s="162">
        <v>0.5</v>
      </c>
      <c r="C1322" s="163">
        <v>17.160122505055231</v>
      </c>
      <c r="D1322" s="163">
        <v>801.39767820282418</v>
      </c>
      <c r="E1322" s="164">
        <v>0.98950000000000005</v>
      </c>
      <c r="F1322" s="164">
        <v>0.98950000000000005</v>
      </c>
      <c r="G1322" s="163">
        <v>14</v>
      </c>
      <c r="H1322" s="163">
        <v>31.666666666666664</v>
      </c>
      <c r="I1322" s="163">
        <v>17.666666666666664</v>
      </c>
      <c r="J1322" s="163">
        <v>11</v>
      </c>
      <c r="K1322" s="163">
        <v>11.412361673414306</v>
      </c>
      <c r="L1322" s="163">
        <v>0.4123616734143063</v>
      </c>
      <c r="M1322" s="163">
        <v>13</v>
      </c>
      <c r="N1322" s="163">
        <v>28.931623931623928</v>
      </c>
      <c r="O1322" s="163">
        <v>15.931623931623928</v>
      </c>
      <c r="P1322" s="163"/>
      <c r="Q1322" s="163">
        <v>19</v>
      </c>
      <c r="R1322" s="163">
        <v>0</v>
      </c>
      <c r="S1322" s="163">
        <v>0</v>
      </c>
      <c r="T1322" s="163">
        <v>0</v>
      </c>
      <c r="U1322" s="163">
        <v>0</v>
      </c>
      <c r="V1322" s="163">
        <v>0</v>
      </c>
      <c r="W1322" s="163">
        <v>0</v>
      </c>
      <c r="X1322" s="163">
        <v>0</v>
      </c>
      <c r="Y1322" s="163">
        <v>19</v>
      </c>
      <c r="Z1322" s="163">
        <v>19</v>
      </c>
      <c r="AA1322" s="163">
        <v>0</v>
      </c>
      <c r="AB1322" s="163">
        <v>0</v>
      </c>
      <c r="AC1322" s="163">
        <v>14</v>
      </c>
      <c r="AD1322" s="163">
        <v>5</v>
      </c>
      <c r="AE1322" s="165">
        <v>0.49328154408084118</v>
      </c>
      <c r="AF1322" s="166">
        <v>0.66945352410971304</v>
      </c>
    </row>
    <row r="1323" spans="1:32">
      <c r="A1323" s="161">
        <v>28</v>
      </c>
      <c r="B1323" s="162">
        <v>0.52083333333333337</v>
      </c>
      <c r="C1323" s="163">
        <v>17.055733589409655</v>
      </c>
      <c r="D1323" s="163">
        <v>790.06011804321076</v>
      </c>
      <c r="E1323" s="164">
        <v>0.97133333333333327</v>
      </c>
      <c r="F1323" s="164">
        <v>0.97133333333333327</v>
      </c>
      <c r="G1323" s="163">
        <v>14</v>
      </c>
      <c r="H1323" s="163">
        <v>30.333333333333336</v>
      </c>
      <c r="I1323" s="163">
        <v>16.333333333333336</v>
      </c>
      <c r="J1323" s="163">
        <v>11</v>
      </c>
      <c r="K1323" s="163">
        <v>11.412361673414306</v>
      </c>
      <c r="L1323" s="163">
        <v>0.4123616734143063</v>
      </c>
      <c r="M1323" s="163">
        <v>13</v>
      </c>
      <c r="N1323" s="163">
        <v>27.713450292397663</v>
      </c>
      <c r="O1323" s="163">
        <v>14.713450292397663</v>
      </c>
      <c r="P1323" s="163"/>
      <c r="Q1323" s="163">
        <v>19</v>
      </c>
      <c r="R1323" s="163">
        <v>0</v>
      </c>
      <c r="S1323" s="163">
        <v>0</v>
      </c>
      <c r="T1323" s="163">
        <v>0</v>
      </c>
      <c r="U1323" s="163">
        <v>0</v>
      </c>
      <c r="V1323" s="163">
        <v>0</v>
      </c>
      <c r="W1323" s="163">
        <v>0</v>
      </c>
      <c r="X1323" s="163">
        <v>0</v>
      </c>
      <c r="Y1323" s="163">
        <v>19</v>
      </c>
      <c r="Z1323" s="163">
        <v>19</v>
      </c>
      <c r="AA1323" s="163">
        <v>0</v>
      </c>
      <c r="AB1323" s="163">
        <v>0</v>
      </c>
      <c r="AC1323" s="163">
        <v>14</v>
      </c>
      <c r="AD1323" s="163">
        <v>5</v>
      </c>
      <c r="AE1323" s="165">
        <v>0.48334468359852856</v>
      </c>
      <c r="AF1323" s="166">
        <v>0.65596778488371743</v>
      </c>
    </row>
    <row r="1324" spans="1:32">
      <c r="A1324" s="161">
        <v>28</v>
      </c>
      <c r="B1324" s="162">
        <v>0.54166666666666663</v>
      </c>
      <c r="C1324" s="163">
        <v>16.447113590421843</v>
      </c>
      <c r="D1324" s="163">
        <v>765.4701168455565</v>
      </c>
      <c r="E1324" s="164">
        <v>0.97619999999999996</v>
      </c>
      <c r="F1324" s="164">
        <v>0.97619999999999996</v>
      </c>
      <c r="G1324" s="163">
        <v>14</v>
      </c>
      <c r="H1324" s="163">
        <v>28.333333333333336</v>
      </c>
      <c r="I1324" s="163">
        <v>14.333333333333336</v>
      </c>
      <c r="J1324" s="163">
        <v>11</v>
      </c>
      <c r="K1324" s="163">
        <v>11.412361673414306</v>
      </c>
      <c r="L1324" s="163">
        <v>0.4123616734143063</v>
      </c>
      <c r="M1324" s="163">
        <v>13</v>
      </c>
      <c r="N1324" s="163">
        <v>25.886189833558255</v>
      </c>
      <c r="O1324" s="163">
        <v>12.886189833558255</v>
      </c>
      <c r="P1324" s="163"/>
      <c r="Q1324" s="163">
        <v>17</v>
      </c>
      <c r="R1324" s="163">
        <v>0</v>
      </c>
      <c r="S1324" s="163">
        <v>0</v>
      </c>
      <c r="T1324" s="163">
        <v>0</v>
      </c>
      <c r="U1324" s="163">
        <v>0</v>
      </c>
      <c r="V1324" s="163">
        <v>0</v>
      </c>
      <c r="W1324" s="163">
        <v>0</v>
      </c>
      <c r="X1324" s="163">
        <v>0</v>
      </c>
      <c r="Y1324" s="163">
        <v>17</v>
      </c>
      <c r="Z1324" s="163">
        <v>17</v>
      </c>
      <c r="AA1324" s="163">
        <v>0</v>
      </c>
      <c r="AB1324" s="163">
        <v>0</v>
      </c>
      <c r="AC1324" s="163">
        <v>12</v>
      </c>
      <c r="AD1324" s="163">
        <v>5</v>
      </c>
      <c r="AE1324" s="165">
        <v>0.50471825794107106</v>
      </c>
      <c r="AF1324" s="166">
        <v>0.6128721703570148</v>
      </c>
    </row>
    <row r="1325" spans="1:32">
      <c r="A1325" s="161">
        <v>28</v>
      </c>
      <c r="B1325" s="162">
        <v>0.5625</v>
      </c>
      <c r="C1325" s="163">
        <v>15.377286022305718</v>
      </c>
      <c r="D1325" s="163">
        <v>763.70158156750415</v>
      </c>
      <c r="E1325" s="164">
        <v>0.98570000000000002</v>
      </c>
      <c r="F1325" s="164">
        <v>0.98570000000000002</v>
      </c>
      <c r="G1325" s="163">
        <v>13</v>
      </c>
      <c r="H1325" s="163">
        <v>28.333333333333336</v>
      </c>
      <c r="I1325" s="163">
        <v>15.333333333333336</v>
      </c>
      <c r="J1325" s="163">
        <v>10</v>
      </c>
      <c r="K1325" s="163">
        <v>10.597192982456141</v>
      </c>
      <c r="L1325" s="163">
        <v>0.59719298245614105</v>
      </c>
      <c r="M1325" s="163">
        <v>12</v>
      </c>
      <c r="N1325" s="163">
        <v>25.886189833558255</v>
      </c>
      <c r="O1325" s="163">
        <v>13.886189833558255</v>
      </c>
      <c r="P1325" s="163"/>
      <c r="Q1325" s="163">
        <v>17</v>
      </c>
      <c r="R1325" s="163">
        <v>0</v>
      </c>
      <c r="S1325" s="163">
        <v>0</v>
      </c>
      <c r="T1325" s="163">
        <v>0</v>
      </c>
      <c r="U1325" s="163">
        <v>0</v>
      </c>
      <c r="V1325" s="163">
        <v>0</v>
      </c>
      <c r="W1325" s="163">
        <v>0</v>
      </c>
      <c r="X1325" s="163">
        <v>0</v>
      </c>
      <c r="Y1325" s="163">
        <v>17</v>
      </c>
      <c r="Z1325" s="163">
        <v>17</v>
      </c>
      <c r="AA1325" s="163">
        <v>0</v>
      </c>
      <c r="AB1325" s="163">
        <v>0</v>
      </c>
      <c r="AC1325" s="163">
        <v>12</v>
      </c>
      <c r="AD1325" s="163">
        <v>5</v>
      </c>
      <c r="AE1325" s="165">
        <v>0.47079784368525385</v>
      </c>
      <c r="AF1325" s="166">
        <v>0.61565871866533195</v>
      </c>
    </row>
    <row r="1326" spans="1:32">
      <c r="A1326" s="161">
        <v>28</v>
      </c>
      <c r="B1326" s="162">
        <v>0.58333333333333337</v>
      </c>
      <c r="C1326" s="163">
        <v>15.710318536412377</v>
      </c>
      <c r="D1326" s="163">
        <v>797.45116085315544</v>
      </c>
      <c r="E1326" s="164">
        <v>0.97689999999999999</v>
      </c>
      <c r="F1326" s="164">
        <v>0.97689999999999999</v>
      </c>
      <c r="G1326" s="163">
        <v>13</v>
      </c>
      <c r="H1326" s="163">
        <v>28.333333333333336</v>
      </c>
      <c r="I1326" s="163">
        <v>15.333333333333336</v>
      </c>
      <c r="J1326" s="163">
        <v>10</v>
      </c>
      <c r="K1326" s="163">
        <v>10.597192982456141</v>
      </c>
      <c r="L1326" s="163">
        <v>0.59719298245614105</v>
      </c>
      <c r="M1326" s="163">
        <v>12</v>
      </c>
      <c r="N1326" s="163">
        <v>25.886189833558255</v>
      </c>
      <c r="O1326" s="163">
        <v>13.886189833558255</v>
      </c>
      <c r="P1326" s="163"/>
      <c r="Q1326" s="163">
        <v>17</v>
      </c>
      <c r="R1326" s="163">
        <v>0</v>
      </c>
      <c r="S1326" s="163">
        <v>0</v>
      </c>
      <c r="T1326" s="163">
        <v>0</v>
      </c>
      <c r="U1326" s="163">
        <v>0</v>
      </c>
      <c r="V1326" s="163">
        <v>0</v>
      </c>
      <c r="W1326" s="163">
        <v>0</v>
      </c>
      <c r="X1326" s="163">
        <v>0</v>
      </c>
      <c r="Y1326" s="163">
        <v>17</v>
      </c>
      <c r="Z1326" s="163">
        <v>17</v>
      </c>
      <c r="AA1326" s="163">
        <v>0</v>
      </c>
      <c r="AB1326" s="163">
        <v>0</v>
      </c>
      <c r="AC1326" s="163">
        <v>12</v>
      </c>
      <c r="AD1326" s="163">
        <v>5</v>
      </c>
      <c r="AE1326" s="165">
        <v>0.50225025730279182</v>
      </c>
      <c r="AF1326" s="166">
        <v>0.65678879801134316</v>
      </c>
    </row>
    <row r="1327" spans="1:32">
      <c r="A1327" s="161">
        <v>28</v>
      </c>
      <c r="B1327" s="162">
        <v>0.60416666666666663</v>
      </c>
      <c r="C1327" s="163">
        <v>15.396312175458664</v>
      </c>
      <c r="D1327" s="163">
        <v>791.25961121708769</v>
      </c>
      <c r="E1327" s="164">
        <v>0.99133333333333329</v>
      </c>
      <c r="F1327" s="164">
        <v>0.99133333333333329</v>
      </c>
      <c r="G1327" s="163">
        <v>13</v>
      </c>
      <c r="H1327" s="163">
        <v>29.666666666666664</v>
      </c>
      <c r="I1327" s="163">
        <v>16.666666666666664</v>
      </c>
      <c r="J1327" s="163">
        <v>10</v>
      </c>
      <c r="K1327" s="163">
        <v>10.597192982456141</v>
      </c>
      <c r="L1327" s="163">
        <v>0.59719298245614105</v>
      </c>
      <c r="M1327" s="163">
        <v>12</v>
      </c>
      <c r="N1327" s="163">
        <v>27.104363472784524</v>
      </c>
      <c r="O1327" s="163">
        <v>15.104363472784524</v>
      </c>
      <c r="P1327" s="163"/>
      <c r="Q1327" s="163">
        <v>17</v>
      </c>
      <c r="R1327" s="163">
        <v>0</v>
      </c>
      <c r="S1327" s="163">
        <v>0</v>
      </c>
      <c r="T1327" s="163">
        <v>0</v>
      </c>
      <c r="U1327" s="163">
        <v>0</v>
      </c>
      <c r="V1327" s="163">
        <v>0</v>
      </c>
      <c r="W1327" s="163">
        <v>0</v>
      </c>
      <c r="X1327" s="163">
        <v>0</v>
      </c>
      <c r="Y1327" s="163">
        <v>17</v>
      </c>
      <c r="Z1327" s="163">
        <v>17</v>
      </c>
      <c r="AA1327" s="163">
        <v>0</v>
      </c>
      <c r="AB1327" s="163">
        <v>0</v>
      </c>
      <c r="AC1327" s="163">
        <v>12</v>
      </c>
      <c r="AD1327" s="163">
        <v>5</v>
      </c>
      <c r="AE1327" s="165">
        <v>0.48839002945107401</v>
      </c>
      <c r="AF1327" s="166">
        <v>0.63866388466678914</v>
      </c>
    </row>
    <row r="1328" spans="1:32">
      <c r="A1328" s="161">
        <v>28</v>
      </c>
      <c r="B1328" s="162">
        <v>0.625</v>
      </c>
      <c r="C1328" s="163">
        <v>15.146045741946148</v>
      </c>
      <c r="D1328" s="163">
        <v>803.19565942987811</v>
      </c>
      <c r="E1328" s="164">
        <v>0.96399999999999997</v>
      </c>
      <c r="F1328" s="164">
        <v>0.96399999999999997</v>
      </c>
      <c r="G1328" s="163">
        <v>13</v>
      </c>
      <c r="H1328" s="163">
        <v>29</v>
      </c>
      <c r="I1328" s="163">
        <v>16</v>
      </c>
      <c r="J1328" s="163">
        <v>10</v>
      </c>
      <c r="K1328" s="163">
        <v>10.597192982456141</v>
      </c>
      <c r="L1328" s="163">
        <v>0.59719298245614105</v>
      </c>
      <c r="M1328" s="163">
        <v>12</v>
      </c>
      <c r="N1328" s="163">
        <v>26.495276653171388</v>
      </c>
      <c r="O1328" s="163">
        <v>14.495276653171388</v>
      </c>
      <c r="P1328" s="163"/>
      <c r="Q1328" s="163">
        <v>19</v>
      </c>
      <c r="R1328" s="163">
        <v>0</v>
      </c>
      <c r="S1328" s="163">
        <v>0</v>
      </c>
      <c r="T1328" s="163">
        <v>0</v>
      </c>
      <c r="U1328" s="163">
        <v>0</v>
      </c>
      <c r="V1328" s="163">
        <v>0</v>
      </c>
      <c r="W1328" s="163">
        <v>0</v>
      </c>
      <c r="X1328" s="163">
        <v>0</v>
      </c>
      <c r="Y1328" s="163">
        <v>19</v>
      </c>
      <c r="Z1328" s="163">
        <v>19</v>
      </c>
      <c r="AA1328" s="163">
        <v>0</v>
      </c>
      <c r="AB1328" s="163">
        <v>0</v>
      </c>
      <c r="AC1328" s="163">
        <v>12</v>
      </c>
      <c r="AD1328" s="163">
        <v>7</v>
      </c>
      <c r="AE1328" s="165">
        <v>0.43636209678980398</v>
      </c>
      <c r="AF1328" s="166">
        <v>0.63775998761586739</v>
      </c>
    </row>
    <row r="1329" spans="1:32">
      <c r="A1329" s="161">
        <v>28</v>
      </c>
      <c r="B1329" s="162">
        <v>0.64583333333333337</v>
      </c>
      <c r="C1329" s="163">
        <v>14.524358370291825</v>
      </c>
      <c r="D1329" s="163">
        <v>782.07875297055898</v>
      </c>
      <c r="E1329" s="164">
        <v>0.94389999999999985</v>
      </c>
      <c r="F1329" s="164">
        <v>0.94389999999999985</v>
      </c>
      <c r="G1329" s="163">
        <v>13</v>
      </c>
      <c r="H1329" s="163">
        <v>23.333333333333336</v>
      </c>
      <c r="I1329" s="163">
        <v>10.333333333333336</v>
      </c>
      <c r="J1329" s="163">
        <v>10</v>
      </c>
      <c r="K1329" s="163">
        <v>10.597192982456141</v>
      </c>
      <c r="L1329" s="163">
        <v>0.59719298245614105</v>
      </c>
      <c r="M1329" s="163">
        <v>12</v>
      </c>
      <c r="N1329" s="163">
        <v>21.31803868645974</v>
      </c>
      <c r="O1329" s="163">
        <v>9.3180386864597402</v>
      </c>
      <c r="P1329" s="163"/>
      <c r="Q1329" s="163">
        <v>14</v>
      </c>
      <c r="R1329" s="163">
        <v>0</v>
      </c>
      <c r="S1329" s="163">
        <v>0</v>
      </c>
      <c r="T1329" s="163">
        <v>0</v>
      </c>
      <c r="U1329" s="163">
        <v>0</v>
      </c>
      <c r="V1329" s="163">
        <v>0</v>
      </c>
      <c r="W1329" s="163">
        <v>0</v>
      </c>
      <c r="X1329" s="163">
        <v>0</v>
      </c>
      <c r="Y1329" s="163">
        <v>14</v>
      </c>
      <c r="Z1329" s="163">
        <v>14</v>
      </c>
      <c r="AA1329" s="163">
        <v>0</v>
      </c>
      <c r="AB1329" s="163">
        <v>0</v>
      </c>
      <c r="AC1329" s="163">
        <v>10</v>
      </c>
      <c r="AD1329" s="163">
        <v>4</v>
      </c>
      <c r="AE1329" s="165">
        <v>0.55296725150613379</v>
      </c>
      <c r="AF1329" s="166">
        <v>0.59550319392968265</v>
      </c>
    </row>
    <row r="1330" spans="1:32">
      <c r="A1330" s="161">
        <v>28</v>
      </c>
      <c r="B1330" s="162">
        <v>0.66666666666666663</v>
      </c>
      <c r="C1330" s="163">
        <v>13.592845138599749</v>
      </c>
      <c r="D1330" s="163">
        <v>814.07415650028906</v>
      </c>
      <c r="E1330" s="164">
        <v>0.95189999999999986</v>
      </c>
      <c r="F1330" s="164">
        <v>0.95189999999999986</v>
      </c>
      <c r="G1330" s="163">
        <v>13</v>
      </c>
      <c r="H1330" s="163">
        <v>23.333333333333336</v>
      </c>
      <c r="I1330" s="163">
        <v>10.333333333333336</v>
      </c>
      <c r="J1330" s="163">
        <v>10</v>
      </c>
      <c r="K1330" s="163">
        <v>10.597192982456141</v>
      </c>
      <c r="L1330" s="163">
        <v>0.59719298245614105</v>
      </c>
      <c r="M1330" s="163">
        <v>12</v>
      </c>
      <c r="N1330" s="163">
        <v>21.31803868645974</v>
      </c>
      <c r="O1330" s="163">
        <v>9.3180386864597402</v>
      </c>
      <c r="P1330" s="163"/>
      <c r="Q1330" s="163">
        <v>14</v>
      </c>
      <c r="R1330" s="163">
        <v>0</v>
      </c>
      <c r="S1330" s="163">
        <v>0</v>
      </c>
      <c r="T1330" s="163">
        <v>0</v>
      </c>
      <c r="U1330" s="163">
        <v>0</v>
      </c>
      <c r="V1330" s="163">
        <v>0</v>
      </c>
      <c r="W1330" s="163">
        <v>0</v>
      </c>
      <c r="X1330" s="163">
        <v>0</v>
      </c>
      <c r="Y1330" s="163">
        <v>14</v>
      </c>
      <c r="Z1330" s="163">
        <v>14</v>
      </c>
      <c r="AA1330" s="163">
        <v>0</v>
      </c>
      <c r="AB1330" s="163">
        <v>0</v>
      </c>
      <c r="AC1330" s="163">
        <v>10</v>
      </c>
      <c r="AD1330" s="163">
        <v>4</v>
      </c>
      <c r="AE1330" s="165">
        <v>0.53867436115458045</v>
      </c>
      <c r="AF1330" s="166">
        <v>0.58011085047416366</v>
      </c>
    </row>
    <row r="1331" spans="1:32">
      <c r="A1331" s="161">
        <v>28</v>
      </c>
      <c r="B1331" s="162">
        <v>0.6875</v>
      </c>
      <c r="C1331" s="163">
        <v>13.403707338225265</v>
      </c>
      <c r="D1331" s="163">
        <v>763.25965028041196</v>
      </c>
      <c r="E1331" s="164">
        <v>0.90876666666666672</v>
      </c>
      <c r="F1331" s="164">
        <v>0.90876666666666672</v>
      </c>
      <c r="G1331" s="163">
        <v>12</v>
      </c>
      <c r="H1331" s="163">
        <v>22</v>
      </c>
      <c r="I1331" s="163">
        <v>10</v>
      </c>
      <c r="J1331" s="163">
        <v>9</v>
      </c>
      <c r="K1331" s="163">
        <v>9.7820242914979758</v>
      </c>
      <c r="L1331" s="163">
        <v>0.78202429149797581</v>
      </c>
      <c r="M1331" s="163">
        <v>11</v>
      </c>
      <c r="N1331" s="163">
        <v>20.099865047233468</v>
      </c>
      <c r="O1331" s="163">
        <v>9.0998650472334681</v>
      </c>
      <c r="P1331" s="163"/>
      <c r="Q1331" s="163">
        <v>14</v>
      </c>
      <c r="R1331" s="163">
        <v>0</v>
      </c>
      <c r="S1331" s="163">
        <v>0</v>
      </c>
      <c r="T1331" s="163">
        <v>0</v>
      </c>
      <c r="U1331" s="163">
        <v>0</v>
      </c>
      <c r="V1331" s="163">
        <v>0</v>
      </c>
      <c r="W1331" s="163">
        <v>0</v>
      </c>
      <c r="X1331" s="163">
        <v>0</v>
      </c>
      <c r="Y1331" s="163">
        <v>14</v>
      </c>
      <c r="Z1331" s="163">
        <v>14</v>
      </c>
      <c r="AA1331" s="163">
        <v>0</v>
      </c>
      <c r="AB1331" s="163">
        <v>0</v>
      </c>
      <c r="AC1331" s="163">
        <v>10</v>
      </c>
      <c r="AD1331" s="163">
        <v>4</v>
      </c>
      <c r="AE1331" s="165">
        <v>0.49802278092045255</v>
      </c>
      <c r="AF1331" s="166">
        <v>0.58102657774052791</v>
      </c>
    </row>
    <row r="1332" spans="1:32">
      <c r="A1332" s="161">
        <v>28</v>
      </c>
      <c r="B1332" s="162">
        <v>0.70833333333333337</v>
      </c>
      <c r="C1332" s="163">
        <v>13.910310159470827</v>
      </c>
      <c r="D1332" s="163">
        <v>779.02363600413855</v>
      </c>
      <c r="E1332" s="164">
        <v>0.84</v>
      </c>
      <c r="F1332" s="164">
        <v>0.84</v>
      </c>
      <c r="G1332" s="163">
        <v>12</v>
      </c>
      <c r="H1332" s="163">
        <v>20</v>
      </c>
      <c r="I1332" s="163">
        <v>8</v>
      </c>
      <c r="J1332" s="163">
        <v>9</v>
      </c>
      <c r="K1332" s="163">
        <v>9.7820242914979758</v>
      </c>
      <c r="L1332" s="163">
        <v>0.78202429149797581</v>
      </c>
      <c r="M1332" s="163">
        <v>11</v>
      </c>
      <c r="N1332" s="163">
        <v>18.27260458839406</v>
      </c>
      <c r="O1332" s="163">
        <v>7.27260458839406</v>
      </c>
      <c r="P1332" s="163"/>
      <c r="Q1332" s="163">
        <v>12</v>
      </c>
      <c r="R1332" s="163">
        <v>0</v>
      </c>
      <c r="S1332" s="163">
        <v>0</v>
      </c>
      <c r="T1332" s="163">
        <v>0</v>
      </c>
      <c r="U1332" s="163">
        <v>0</v>
      </c>
      <c r="V1332" s="163">
        <v>0</v>
      </c>
      <c r="W1332" s="163">
        <v>0</v>
      </c>
      <c r="X1332" s="163">
        <v>0</v>
      </c>
      <c r="Y1332" s="163">
        <v>12</v>
      </c>
      <c r="Z1332" s="163">
        <v>12</v>
      </c>
      <c r="AA1332" s="163">
        <v>0</v>
      </c>
      <c r="AB1332" s="163">
        <v>0</v>
      </c>
      <c r="AC1332" s="163">
        <v>10</v>
      </c>
      <c r="AD1332" s="163">
        <v>2</v>
      </c>
      <c r="AE1332" s="165">
        <v>0.61544068972596988</v>
      </c>
      <c r="AF1332" s="166">
        <v>0.61544068972596988</v>
      </c>
    </row>
    <row r="1333" spans="1:32">
      <c r="A1333" s="161">
        <v>28</v>
      </c>
      <c r="B1333" s="162">
        <v>0.72916666666666663</v>
      </c>
      <c r="C1333" s="163">
        <v>11.914672817455756</v>
      </c>
      <c r="D1333" s="163">
        <v>812.57875383712474</v>
      </c>
      <c r="E1333" s="164">
        <v>0.96630000000000005</v>
      </c>
      <c r="F1333" s="164">
        <v>0.96630000000000005</v>
      </c>
      <c r="G1333" s="163">
        <v>12</v>
      </c>
      <c r="H1333" s="163">
        <v>22.666666666666664</v>
      </c>
      <c r="I1333" s="163">
        <v>10.666666666666664</v>
      </c>
      <c r="J1333" s="163">
        <v>9</v>
      </c>
      <c r="K1333" s="163">
        <v>9.7820242914979758</v>
      </c>
      <c r="L1333" s="163">
        <v>0.78202429149797581</v>
      </c>
      <c r="M1333" s="163">
        <v>11</v>
      </c>
      <c r="N1333" s="163">
        <v>20.708951866846601</v>
      </c>
      <c r="O1333" s="163">
        <v>9.7089518668466006</v>
      </c>
      <c r="P1333" s="163"/>
      <c r="Q1333" s="163">
        <v>12</v>
      </c>
      <c r="R1333" s="163">
        <v>0</v>
      </c>
      <c r="S1333" s="163">
        <v>0</v>
      </c>
      <c r="T1333" s="163">
        <v>0</v>
      </c>
      <c r="U1333" s="163">
        <v>0</v>
      </c>
      <c r="V1333" s="163">
        <v>0</v>
      </c>
      <c r="W1333" s="163">
        <v>0</v>
      </c>
      <c r="X1333" s="163">
        <v>0</v>
      </c>
      <c r="Y1333" s="163">
        <v>12</v>
      </c>
      <c r="Z1333" s="163">
        <v>12</v>
      </c>
      <c r="AA1333" s="163">
        <v>0</v>
      </c>
      <c r="AB1333" s="163">
        <v>0</v>
      </c>
      <c r="AC1333" s="163">
        <v>10</v>
      </c>
      <c r="AD1333" s="163">
        <v>2</v>
      </c>
      <c r="AE1333" s="165">
        <v>0.54985267431359397</v>
      </c>
      <c r="AF1333" s="166">
        <v>0.54985267431359397</v>
      </c>
    </row>
    <row r="1334" spans="1:32">
      <c r="A1334" s="161">
        <v>28</v>
      </c>
      <c r="B1334" s="162">
        <v>0.75</v>
      </c>
      <c r="C1334" s="163">
        <v>12.487187059098893</v>
      </c>
      <c r="D1334" s="163">
        <v>777.71884902433544</v>
      </c>
      <c r="E1334" s="164">
        <v>0.99660000000000004</v>
      </c>
      <c r="F1334" s="164">
        <v>0.99660000000000004</v>
      </c>
      <c r="G1334" s="163">
        <v>12</v>
      </c>
      <c r="H1334" s="163">
        <v>26.666666666666664</v>
      </c>
      <c r="I1334" s="163">
        <v>14.666666666666664</v>
      </c>
      <c r="J1334" s="163">
        <v>9</v>
      </c>
      <c r="K1334" s="163">
        <v>9.7820242914979758</v>
      </c>
      <c r="L1334" s="163">
        <v>0.78202429149797581</v>
      </c>
      <c r="M1334" s="163">
        <v>11</v>
      </c>
      <c r="N1334" s="163">
        <v>24.363472784525413</v>
      </c>
      <c r="O1334" s="163">
        <v>13.363472784525413</v>
      </c>
      <c r="P1334" s="163"/>
      <c r="Q1334" s="163">
        <v>16</v>
      </c>
      <c r="R1334" s="163">
        <v>0</v>
      </c>
      <c r="S1334" s="163">
        <v>0</v>
      </c>
      <c r="T1334" s="163">
        <v>0</v>
      </c>
      <c r="U1334" s="163">
        <v>0</v>
      </c>
      <c r="V1334" s="163">
        <v>0</v>
      </c>
      <c r="W1334" s="163">
        <v>0</v>
      </c>
      <c r="X1334" s="163">
        <v>0</v>
      </c>
      <c r="Y1334" s="163">
        <v>16</v>
      </c>
      <c r="Z1334" s="163">
        <v>16</v>
      </c>
      <c r="AA1334" s="163">
        <v>0</v>
      </c>
      <c r="AB1334" s="163">
        <v>0</v>
      </c>
      <c r="AC1334" s="163">
        <v>14</v>
      </c>
      <c r="AD1334" s="163">
        <v>2</v>
      </c>
      <c r="AE1334" s="165">
        <v>0.41366355852313696</v>
      </c>
      <c r="AF1334" s="166">
        <v>0.55155141136418251</v>
      </c>
    </row>
    <row r="1335" spans="1:32">
      <c r="A1335" s="161">
        <v>28</v>
      </c>
      <c r="B1335" s="162">
        <v>0.77083333333333337</v>
      </c>
      <c r="C1335" s="163">
        <v>12.611701312254489</v>
      </c>
      <c r="D1335" s="163">
        <v>757.14378186976478</v>
      </c>
      <c r="E1335" s="164">
        <v>0.99709999999999999</v>
      </c>
      <c r="F1335" s="164">
        <v>0.99709999999999999</v>
      </c>
      <c r="G1335" s="163">
        <v>12</v>
      </c>
      <c r="H1335" s="163">
        <v>26.666666666666664</v>
      </c>
      <c r="I1335" s="163">
        <v>14.666666666666664</v>
      </c>
      <c r="J1335" s="163">
        <v>9</v>
      </c>
      <c r="K1335" s="163">
        <v>9.7820242914979758</v>
      </c>
      <c r="L1335" s="163">
        <v>0.78202429149797581</v>
      </c>
      <c r="M1335" s="163">
        <v>11</v>
      </c>
      <c r="N1335" s="163">
        <v>24.363472784525413</v>
      </c>
      <c r="O1335" s="163">
        <v>13.363472784525413</v>
      </c>
      <c r="P1335" s="163"/>
      <c r="Q1335" s="163">
        <v>16</v>
      </c>
      <c r="R1335" s="163">
        <v>0</v>
      </c>
      <c r="S1335" s="163">
        <v>0</v>
      </c>
      <c r="T1335" s="163">
        <v>0</v>
      </c>
      <c r="U1335" s="163">
        <v>0</v>
      </c>
      <c r="V1335" s="163">
        <v>0</v>
      </c>
      <c r="W1335" s="163">
        <v>0</v>
      </c>
      <c r="X1335" s="163">
        <v>0</v>
      </c>
      <c r="Y1335" s="163">
        <v>16</v>
      </c>
      <c r="Z1335" s="163">
        <v>16</v>
      </c>
      <c r="AA1335" s="163">
        <v>0</v>
      </c>
      <c r="AB1335" s="163">
        <v>0</v>
      </c>
      <c r="AC1335" s="163">
        <v>14</v>
      </c>
      <c r="AD1335" s="163">
        <v>2</v>
      </c>
      <c r="AE1335" s="165">
        <v>0.40673547991457226</v>
      </c>
      <c r="AF1335" s="166">
        <v>0.54231397321942965</v>
      </c>
    </row>
    <row r="1336" spans="1:32">
      <c r="A1336" s="161">
        <v>28</v>
      </c>
      <c r="B1336" s="162">
        <v>0.79166666666666663</v>
      </c>
      <c r="C1336" s="163">
        <v>11.653966268021618</v>
      </c>
      <c r="D1336" s="163">
        <v>726.21059278478231</v>
      </c>
      <c r="E1336" s="164">
        <v>0.99199999999999999</v>
      </c>
      <c r="F1336" s="164">
        <v>0.99199999999999999</v>
      </c>
      <c r="G1336" s="163">
        <v>10</v>
      </c>
      <c r="H1336" s="163">
        <v>23.333333333333336</v>
      </c>
      <c r="I1336" s="163">
        <v>13.333333333333336</v>
      </c>
      <c r="J1336" s="163">
        <v>8</v>
      </c>
      <c r="K1336" s="163">
        <v>8.1516869095816471</v>
      </c>
      <c r="L1336" s="163">
        <v>0.1516869095816471</v>
      </c>
      <c r="M1336" s="163">
        <v>9</v>
      </c>
      <c r="N1336" s="163">
        <v>21.31803868645974</v>
      </c>
      <c r="O1336" s="163">
        <v>12.31803868645974</v>
      </c>
      <c r="P1336" s="163"/>
      <c r="Q1336" s="163">
        <v>14</v>
      </c>
      <c r="R1336" s="163">
        <v>0</v>
      </c>
      <c r="S1336" s="163">
        <v>0</v>
      </c>
      <c r="T1336" s="163">
        <v>0</v>
      </c>
      <c r="U1336" s="163">
        <v>0</v>
      </c>
      <c r="V1336" s="163">
        <v>0</v>
      </c>
      <c r="W1336" s="163">
        <v>0</v>
      </c>
      <c r="X1336" s="163">
        <v>0</v>
      </c>
      <c r="Y1336" s="163">
        <v>14</v>
      </c>
      <c r="Z1336" s="163">
        <v>14</v>
      </c>
      <c r="AA1336" s="163">
        <v>0</v>
      </c>
      <c r="AB1336" s="163">
        <v>0</v>
      </c>
      <c r="AC1336" s="163">
        <v>12</v>
      </c>
      <c r="AD1336" s="163">
        <v>2</v>
      </c>
      <c r="AE1336" s="165">
        <v>0.41199154595033866</v>
      </c>
      <c r="AF1336" s="166">
        <v>0.5767881643304742</v>
      </c>
    </row>
    <row r="1337" spans="1:32">
      <c r="A1337" s="161">
        <v>28</v>
      </c>
      <c r="B1337" s="162">
        <v>0.8125</v>
      </c>
      <c r="C1337" s="163">
        <v>10.293008987316673</v>
      </c>
      <c r="D1337" s="163">
        <v>731.10698317043637</v>
      </c>
      <c r="E1337" s="164">
        <v>0.99660000000000004</v>
      </c>
      <c r="F1337" s="164">
        <v>0.99660000000000004</v>
      </c>
      <c r="G1337" s="163">
        <v>9</v>
      </c>
      <c r="H1337" s="163">
        <v>23.333333333333336</v>
      </c>
      <c r="I1337" s="163">
        <v>14.333333333333336</v>
      </c>
      <c r="J1337" s="163">
        <v>7</v>
      </c>
      <c r="K1337" s="163">
        <v>7.3365182186234819</v>
      </c>
      <c r="L1337" s="163">
        <v>0.33651821862348186</v>
      </c>
      <c r="M1337" s="163">
        <v>8</v>
      </c>
      <c r="N1337" s="163">
        <v>21.31803868645974</v>
      </c>
      <c r="O1337" s="163">
        <v>13.31803868645974</v>
      </c>
      <c r="P1337" s="163"/>
      <c r="Q1337" s="163">
        <v>14</v>
      </c>
      <c r="R1337" s="163">
        <v>0</v>
      </c>
      <c r="S1337" s="163">
        <v>0</v>
      </c>
      <c r="T1337" s="163">
        <v>0</v>
      </c>
      <c r="U1337" s="163">
        <v>0</v>
      </c>
      <c r="V1337" s="163">
        <v>0</v>
      </c>
      <c r="W1337" s="163">
        <v>0</v>
      </c>
      <c r="X1337" s="163">
        <v>0</v>
      </c>
      <c r="Y1337" s="163">
        <v>14</v>
      </c>
      <c r="Z1337" s="163">
        <v>14</v>
      </c>
      <c r="AA1337" s="163">
        <v>0</v>
      </c>
      <c r="AB1337" s="163">
        <v>0</v>
      </c>
      <c r="AC1337" s="163">
        <v>12</v>
      </c>
      <c r="AD1337" s="163">
        <v>2</v>
      </c>
      <c r="AE1337" s="165">
        <v>0.36633233349226924</v>
      </c>
      <c r="AF1337" s="166">
        <v>0.56985029654352992</v>
      </c>
    </row>
    <row r="1338" spans="1:32">
      <c r="A1338" s="161">
        <v>28</v>
      </c>
      <c r="B1338" s="162">
        <v>0.83333333333333337</v>
      </c>
      <c r="C1338" s="163">
        <v>9.7438806223433438</v>
      </c>
      <c r="D1338" s="163">
        <v>733.74723567542924</v>
      </c>
      <c r="E1338" s="164">
        <v>0.96583333333333332</v>
      </c>
      <c r="F1338" s="164">
        <v>0.96583333333333332</v>
      </c>
      <c r="G1338" s="163">
        <v>9</v>
      </c>
      <c r="H1338" s="163">
        <v>20.666666666666668</v>
      </c>
      <c r="I1338" s="163">
        <v>11.666666666666668</v>
      </c>
      <c r="J1338" s="163">
        <v>7</v>
      </c>
      <c r="K1338" s="163">
        <v>7.3365182186234819</v>
      </c>
      <c r="L1338" s="163">
        <v>0.33651821862348186</v>
      </c>
      <c r="M1338" s="163">
        <v>8</v>
      </c>
      <c r="N1338" s="163">
        <v>18.881691408007196</v>
      </c>
      <c r="O1338" s="163">
        <v>10.881691408007196</v>
      </c>
      <c r="P1338" s="163"/>
      <c r="Q1338" s="163">
        <v>14</v>
      </c>
      <c r="R1338" s="163">
        <v>0</v>
      </c>
      <c r="S1338" s="163">
        <v>0</v>
      </c>
      <c r="T1338" s="163">
        <v>0</v>
      </c>
      <c r="U1338" s="163">
        <v>0</v>
      </c>
      <c r="V1338" s="163">
        <v>0</v>
      </c>
      <c r="W1338" s="163">
        <v>0</v>
      </c>
      <c r="X1338" s="163">
        <v>0</v>
      </c>
      <c r="Y1338" s="163">
        <v>14</v>
      </c>
      <c r="Z1338" s="163">
        <v>14</v>
      </c>
      <c r="AA1338" s="163">
        <v>0</v>
      </c>
      <c r="AB1338" s="163">
        <v>0</v>
      </c>
      <c r="AC1338" s="163">
        <v>12</v>
      </c>
      <c r="AD1338" s="163">
        <v>2</v>
      </c>
      <c r="AE1338" s="165">
        <v>0.34804099449318343</v>
      </c>
      <c r="AF1338" s="166">
        <v>0.54139710254495199</v>
      </c>
    </row>
    <row r="1339" spans="1:32">
      <c r="A1339" s="161">
        <v>28</v>
      </c>
      <c r="B1339" s="162">
        <v>0.85416666666666663</v>
      </c>
      <c r="C1339" s="163">
        <v>9.0481126543007075</v>
      </c>
      <c r="D1339" s="163">
        <v>673.42334875467861</v>
      </c>
      <c r="E1339" s="164">
        <v>0.90513333333333323</v>
      </c>
      <c r="F1339" s="164">
        <v>0.90513333333333323</v>
      </c>
      <c r="G1339" s="163">
        <v>8</v>
      </c>
      <c r="H1339" s="163">
        <v>15.333333333333332</v>
      </c>
      <c r="I1339" s="163">
        <v>7.3333333333333321</v>
      </c>
      <c r="J1339" s="163">
        <v>6</v>
      </c>
      <c r="K1339" s="163">
        <v>6.5213495276653175</v>
      </c>
      <c r="L1339" s="163">
        <v>0.5213495276653175</v>
      </c>
      <c r="M1339" s="163">
        <v>7</v>
      </c>
      <c r="N1339" s="163">
        <v>14.008996851102113</v>
      </c>
      <c r="O1339" s="163">
        <v>7.008996851102113</v>
      </c>
      <c r="P1339" s="163"/>
      <c r="Q1339" s="163">
        <v>10</v>
      </c>
      <c r="R1339" s="163">
        <v>0</v>
      </c>
      <c r="S1339" s="163">
        <v>0</v>
      </c>
      <c r="T1339" s="163">
        <v>0</v>
      </c>
      <c r="U1339" s="163">
        <v>0</v>
      </c>
      <c r="V1339" s="163">
        <v>0</v>
      </c>
      <c r="W1339" s="163">
        <v>0</v>
      </c>
      <c r="X1339" s="163">
        <v>0</v>
      </c>
      <c r="Y1339" s="163">
        <v>10</v>
      </c>
      <c r="Z1339" s="163">
        <v>10</v>
      </c>
      <c r="AA1339" s="163">
        <v>0</v>
      </c>
      <c r="AB1339" s="163">
        <v>0</v>
      </c>
      <c r="AC1339" s="163">
        <v>8</v>
      </c>
      <c r="AD1339" s="163">
        <v>2</v>
      </c>
      <c r="AE1339" s="165">
        <v>0.41526580743038133</v>
      </c>
      <c r="AF1339" s="166">
        <v>0.51908225928797669</v>
      </c>
    </row>
    <row r="1340" spans="1:32">
      <c r="A1340" s="161">
        <v>28</v>
      </c>
      <c r="B1340" s="162">
        <v>0.875</v>
      </c>
      <c r="C1340" s="163">
        <v>8.1747400310344176</v>
      </c>
      <c r="D1340" s="163">
        <v>679.96502873555983</v>
      </c>
      <c r="E1340" s="164">
        <v>0.90680000000000005</v>
      </c>
      <c r="F1340" s="164">
        <v>0.90680000000000005</v>
      </c>
      <c r="G1340" s="163">
        <v>8</v>
      </c>
      <c r="H1340" s="163">
        <v>13.333333333333332</v>
      </c>
      <c r="I1340" s="163">
        <v>5.3333333333333321</v>
      </c>
      <c r="J1340" s="163">
        <v>6</v>
      </c>
      <c r="K1340" s="163">
        <v>6.5213495276653175</v>
      </c>
      <c r="L1340" s="163">
        <v>0.5213495276653175</v>
      </c>
      <c r="M1340" s="163">
        <v>7</v>
      </c>
      <c r="N1340" s="163">
        <v>12.181736392262707</v>
      </c>
      <c r="O1340" s="163">
        <v>5.1817363922627067</v>
      </c>
      <c r="P1340" s="163"/>
      <c r="Q1340" s="163">
        <v>8</v>
      </c>
      <c r="R1340" s="163">
        <v>0</v>
      </c>
      <c r="S1340" s="163">
        <v>0</v>
      </c>
      <c r="T1340" s="163">
        <v>0</v>
      </c>
      <c r="U1340" s="163">
        <v>0</v>
      </c>
      <c r="V1340" s="163">
        <v>0</v>
      </c>
      <c r="W1340" s="163">
        <v>0</v>
      </c>
      <c r="X1340" s="163">
        <v>0</v>
      </c>
      <c r="Y1340" s="163">
        <v>8</v>
      </c>
      <c r="Z1340" s="163">
        <v>8</v>
      </c>
      <c r="AA1340" s="163">
        <v>0</v>
      </c>
      <c r="AB1340" s="163">
        <v>0</v>
      </c>
      <c r="AC1340" s="163">
        <v>6</v>
      </c>
      <c r="AD1340" s="163">
        <v>2</v>
      </c>
      <c r="AE1340" s="165">
        <v>0.47353332112618374</v>
      </c>
      <c r="AF1340" s="166">
        <v>0.47353332112618374</v>
      </c>
    </row>
    <row r="1341" spans="1:32">
      <c r="A1341" s="161">
        <v>28</v>
      </c>
      <c r="B1341" s="162">
        <v>0.89583333333333337</v>
      </c>
      <c r="C1341" s="163">
        <v>6.8166246239121753</v>
      </c>
      <c r="D1341" s="163">
        <v>681.71290771478675</v>
      </c>
      <c r="E1341" s="164">
        <v>0.95430000000000004</v>
      </c>
      <c r="F1341" s="164">
        <v>0.95430000000000004</v>
      </c>
      <c r="G1341" s="163">
        <v>7</v>
      </c>
      <c r="H1341" s="163">
        <v>13.333333333333332</v>
      </c>
      <c r="I1341" s="163">
        <v>6.3333333333333321</v>
      </c>
      <c r="J1341" s="163">
        <v>5</v>
      </c>
      <c r="K1341" s="163">
        <v>5.7061808367071531</v>
      </c>
      <c r="L1341" s="163">
        <v>0.70618083670715315</v>
      </c>
      <c r="M1341" s="163">
        <v>6</v>
      </c>
      <c r="N1341" s="163">
        <v>12.181736392262707</v>
      </c>
      <c r="O1341" s="163">
        <v>6.1817363922627067</v>
      </c>
      <c r="P1341" s="163"/>
      <c r="Q1341" s="163">
        <v>8</v>
      </c>
      <c r="R1341" s="163">
        <v>0</v>
      </c>
      <c r="S1341" s="163">
        <v>0</v>
      </c>
      <c r="T1341" s="163">
        <v>0</v>
      </c>
      <c r="U1341" s="163">
        <v>0</v>
      </c>
      <c r="V1341" s="163">
        <v>0</v>
      </c>
      <c r="W1341" s="163">
        <v>0</v>
      </c>
      <c r="X1341" s="163">
        <v>0</v>
      </c>
      <c r="Y1341" s="163">
        <v>8</v>
      </c>
      <c r="Z1341" s="163">
        <v>8</v>
      </c>
      <c r="AA1341" s="163">
        <v>0</v>
      </c>
      <c r="AB1341" s="163">
        <v>0</v>
      </c>
      <c r="AC1341" s="163">
        <v>6</v>
      </c>
      <c r="AD1341" s="163">
        <v>2</v>
      </c>
      <c r="AE1341" s="165">
        <v>0.39587758582224952</v>
      </c>
      <c r="AF1341" s="166">
        <v>0.45243152665399944</v>
      </c>
    </row>
    <row r="1342" spans="1:32">
      <c r="A1342" s="161">
        <v>28</v>
      </c>
      <c r="B1342" s="162">
        <v>0.91666666666666663</v>
      </c>
      <c r="C1342" s="163">
        <v>3.9268615353470748</v>
      </c>
      <c r="D1342" s="163">
        <v>640.02497761648021</v>
      </c>
      <c r="E1342" s="164">
        <v>0.9663666666666666</v>
      </c>
      <c r="F1342" s="164">
        <v>0.9663666666666666</v>
      </c>
      <c r="G1342" s="163">
        <v>4</v>
      </c>
      <c r="H1342" s="163">
        <v>12</v>
      </c>
      <c r="I1342" s="163">
        <v>8</v>
      </c>
      <c r="J1342" s="163">
        <v>3</v>
      </c>
      <c r="K1342" s="163">
        <v>3.2606747638326588</v>
      </c>
      <c r="L1342" s="163">
        <v>0.26067476383265875</v>
      </c>
      <c r="M1342" s="163">
        <v>4</v>
      </c>
      <c r="N1342" s="163">
        <v>10.963562753036436</v>
      </c>
      <c r="O1342" s="163">
        <v>6.9635627530364363</v>
      </c>
      <c r="P1342" s="163"/>
      <c r="Q1342" s="163">
        <v>8</v>
      </c>
      <c r="R1342" s="163">
        <v>0</v>
      </c>
      <c r="S1342" s="163">
        <v>0</v>
      </c>
      <c r="T1342" s="163">
        <v>0</v>
      </c>
      <c r="U1342" s="163">
        <v>0</v>
      </c>
      <c r="V1342" s="163">
        <v>0</v>
      </c>
      <c r="W1342" s="163">
        <v>0</v>
      </c>
      <c r="X1342" s="163">
        <v>0</v>
      </c>
      <c r="Y1342" s="163">
        <v>8</v>
      </c>
      <c r="Z1342" s="163">
        <v>8</v>
      </c>
      <c r="AA1342" s="163">
        <v>0</v>
      </c>
      <c r="AB1342" s="163">
        <v>0</v>
      </c>
      <c r="AC1342" s="163">
        <v>6</v>
      </c>
      <c r="AD1342" s="163">
        <v>2</v>
      </c>
      <c r="AE1342" s="165">
        <v>0.21410781921419789</v>
      </c>
      <c r="AF1342" s="166">
        <v>0.42821563842839577</v>
      </c>
    </row>
    <row r="1343" spans="1:32">
      <c r="A1343" s="161">
        <v>28</v>
      </c>
      <c r="B1343" s="162">
        <v>0.9375</v>
      </c>
      <c r="C1343" s="163">
        <v>3.1387616441986177</v>
      </c>
      <c r="D1343" s="163">
        <v>637.25465180436368</v>
      </c>
      <c r="E1343" s="164">
        <v>0.94886666666666664</v>
      </c>
      <c r="F1343" s="164">
        <v>0.94886666666666664</v>
      </c>
      <c r="G1343" s="163">
        <v>4</v>
      </c>
      <c r="H1343" s="163">
        <v>9.3333333333333339</v>
      </c>
      <c r="I1343" s="163">
        <v>5.3333333333333339</v>
      </c>
      <c r="J1343" s="163">
        <v>3</v>
      </c>
      <c r="K1343" s="163">
        <v>3.2606747638326588</v>
      </c>
      <c r="L1343" s="163">
        <v>0.26067476383265875</v>
      </c>
      <c r="M1343" s="163">
        <v>4</v>
      </c>
      <c r="N1343" s="163">
        <v>8.5272154745838957</v>
      </c>
      <c r="O1343" s="163">
        <v>4.5272154745838957</v>
      </c>
      <c r="P1343" s="163"/>
      <c r="Q1343" s="163">
        <v>6</v>
      </c>
      <c r="R1343" s="163">
        <v>0</v>
      </c>
      <c r="S1343" s="163">
        <v>0</v>
      </c>
      <c r="T1343" s="163">
        <v>0</v>
      </c>
      <c r="U1343" s="163">
        <v>0</v>
      </c>
      <c r="V1343" s="163">
        <v>0</v>
      </c>
      <c r="W1343" s="163">
        <v>0</v>
      </c>
      <c r="X1343" s="163">
        <v>0</v>
      </c>
      <c r="Y1343" s="163">
        <v>6</v>
      </c>
      <c r="Z1343" s="163">
        <v>6</v>
      </c>
      <c r="AA1343" s="163">
        <v>0</v>
      </c>
      <c r="AB1343" s="163">
        <v>0</v>
      </c>
      <c r="AC1343" s="163">
        <v>4</v>
      </c>
      <c r="AD1343" s="163">
        <v>2</v>
      </c>
      <c r="AE1343" s="165">
        <v>0.22719569863459119</v>
      </c>
      <c r="AF1343" s="166">
        <v>0.34079354795188682</v>
      </c>
    </row>
    <row r="1344" spans="1:32">
      <c r="A1344" s="161">
        <v>28</v>
      </c>
      <c r="B1344" s="162">
        <v>0.95833333333333337</v>
      </c>
      <c r="C1344" s="163">
        <v>2.3069971326309924</v>
      </c>
      <c r="D1344" s="163">
        <v>605.63322264187798</v>
      </c>
      <c r="E1344" s="164">
        <v>0.95679999999999998</v>
      </c>
      <c r="F1344" s="164">
        <v>0.95679999999999998</v>
      </c>
      <c r="G1344" s="163">
        <v>4</v>
      </c>
      <c r="H1344" s="163">
        <v>6.6666666666666661</v>
      </c>
      <c r="I1344" s="163">
        <v>2.6666666666666661</v>
      </c>
      <c r="J1344" s="163">
        <v>3</v>
      </c>
      <c r="K1344" s="163">
        <v>3.2606747638326588</v>
      </c>
      <c r="L1344" s="163">
        <v>0.26067476383265875</v>
      </c>
      <c r="M1344" s="163">
        <v>4</v>
      </c>
      <c r="N1344" s="163">
        <v>6.0908681961313533</v>
      </c>
      <c r="O1344" s="163">
        <v>2.0908681961313533</v>
      </c>
      <c r="P1344" s="163"/>
      <c r="Q1344" s="163">
        <v>4</v>
      </c>
      <c r="R1344" s="163">
        <v>0</v>
      </c>
      <c r="S1344" s="163">
        <v>0</v>
      </c>
      <c r="T1344" s="163">
        <v>0</v>
      </c>
      <c r="U1344" s="163">
        <v>0</v>
      </c>
      <c r="V1344" s="163">
        <v>0</v>
      </c>
      <c r="W1344" s="163">
        <v>0</v>
      </c>
      <c r="X1344" s="163">
        <v>0</v>
      </c>
      <c r="Y1344" s="163">
        <v>4</v>
      </c>
      <c r="Z1344" s="163">
        <v>4</v>
      </c>
      <c r="AA1344" s="163">
        <v>0</v>
      </c>
      <c r="AB1344" s="163">
        <v>0</v>
      </c>
      <c r="AC1344" s="163">
        <v>4</v>
      </c>
      <c r="AD1344" s="163">
        <v>0</v>
      </c>
      <c r="AE1344" s="165">
        <v>0.23805469884102415</v>
      </c>
      <c r="AF1344" s="166">
        <v>0.23805469884102415</v>
      </c>
    </row>
    <row r="1345" spans="1:32">
      <c r="A1345" s="161">
        <v>28</v>
      </c>
      <c r="B1345" s="162">
        <v>0.97916666666666663</v>
      </c>
      <c r="C1345" s="163">
        <v>1.7177553298773347</v>
      </c>
      <c r="D1345" s="163">
        <v>605.51942256069412</v>
      </c>
      <c r="E1345" s="164">
        <v>0.98</v>
      </c>
      <c r="F1345" s="164">
        <v>0.98</v>
      </c>
      <c r="G1345" s="163">
        <v>3</v>
      </c>
      <c r="H1345" s="163">
        <v>6.6666666666666661</v>
      </c>
      <c r="I1345" s="163">
        <v>3.6666666666666661</v>
      </c>
      <c r="J1345" s="163">
        <v>2</v>
      </c>
      <c r="K1345" s="163">
        <v>2.445506072874494</v>
      </c>
      <c r="L1345" s="163">
        <v>0.44550607287449395</v>
      </c>
      <c r="M1345" s="163">
        <v>3</v>
      </c>
      <c r="N1345" s="163">
        <v>6.0908681961313533</v>
      </c>
      <c r="O1345" s="163">
        <v>3.0908681961313533</v>
      </c>
      <c r="P1345" s="163"/>
      <c r="Q1345" s="163">
        <v>4</v>
      </c>
      <c r="R1345" s="163">
        <v>0</v>
      </c>
      <c r="S1345" s="163">
        <v>0</v>
      </c>
      <c r="T1345" s="163">
        <v>0</v>
      </c>
      <c r="U1345" s="163">
        <v>0</v>
      </c>
      <c r="V1345" s="163">
        <v>0</v>
      </c>
      <c r="W1345" s="163">
        <v>0</v>
      </c>
      <c r="X1345" s="163">
        <v>0</v>
      </c>
      <c r="Y1345" s="163">
        <v>4</v>
      </c>
      <c r="Z1345" s="163">
        <v>4</v>
      </c>
      <c r="AA1345" s="163">
        <v>0</v>
      </c>
      <c r="AB1345" s="163">
        <v>0</v>
      </c>
      <c r="AC1345" s="163">
        <v>4</v>
      </c>
      <c r="AD1345" s="163">
        <v>0</v>
      </c>
      <c r="AE1345" s="165">
        <v>0.17721863840117238</v>
      </c>
      <c r="AF1345" s="166">
        <v>0.2362915178682298</v>
      </c>
    </row>
    <row r="1346" spans="1:32">
      <c r="A1346" s="161">
        <v>29</v>
      </c>
      <c r="B1346" s="162">
        <v>0</v>
      </c>
      <c r="C1346" s="163">
        <v>0.7846308085927628</v>
      </c>
      <c r="D1346" s="163">
        <v>727.37253442689735</v>
      </c>
      <c r="E1346" s="164">
        <v>0.72450000000000003</v>
      </c>
      <c r="F1346" s="164">
        <v>0.72450000000000003</v>
      </c>
      <c r="G1346" s="163">
        <v>3</v>
      </c>
      <c r="H1346" s="163">
        <v>3.333333333333333</v>
      </c>
      <c r="I1346" s="163">
        <v>0.33333333333333304</v>
      </c>
      <c r="J1346" s="163">
        <v>2</v>
      </c>
      <c r="K1346" s="163">
        <v>2.3242105263157895</v>
      </c>
      <c r="L1346" s="163">
        <v>0.3242105263157895</v>
      </c>
      <c r="M1346" s="163">
        <v>3</v>
      </c>
      <c r="N1346" s="163">
        <v>2.9824561403508771</v>
      </c>
      <c r="O1346" s="163">
        <v>-1.7543859649122862E-2</v>
      </c>
      <c r="P1346" s="163"/>
      <c r="Q1346" s="163">
        <v>2</v>
      </c>
      <c r="R1346" s="163">
        <v>0</v>
      </c>
      <c r="S1346" s="163">
        <v>0</v>
      </c>
      <c r="T1346" s="163">
        <v>0</v>
      </c>
      <c r="U1346" s="163">
        <v>0</v>
      </c>
      <c r="V1346" s="163">
        <v>0</v>
      </c>
      <c r="W1346" s="163">
        <v>0</v>
      </c>
      <c r="X1346" s="163">
        <v>0</v>
      </c>
      <c r="Y1346" s="163">
        <v>2</v>
      </c>
      <c r="Z1346" s="163">
        <v>2</v>
      </c>
      <c r="AA1346" s="163">
        <v>0</v>
      </c>
      <c r="AB1346" s="163">
        <v>0</v>
      </c>
      <c r="AC1346" s="163">
        <v>2</v>
      </c>
      <c r="AD1346" s="163">
        <v>0</v>
      </c>
      <c r="AE1346" s="165">
        <v>0.20462822873028627</v>
      </c>
      <c r="AF1346" s="166">
        <v>0.13641881915352416</v>
      </c>
    </row>
    <row r="1347" spans="1:32">
      <c r="A1347" s="161">
        <v>29</v>
      </c>
      <c r="B1347" s="162">
        <v>2.0833333333333332E-2</v>
      </c>
      <c r="C1347" s="163">
        <v>0.54831184097582575</v>
      </c>
      <c r="D1347" s="163">
        <v>661.09602332622694</v>
      </c>
      <c r="E1347" s="164">
        <v>0.81950000000000001</v>
      </c>
      <c r="F1347" s="164">
        <v>0.81950000000000001</v>
      </c>
      <c r="G1347" s="163">
        <v>2</v>
      </c>
      <c r="H1347" s="163">
        <v>3.333333333333333</v>
      </c>
      <c r="I1347" s="163">
        <v>1.333333333333333</v>
      </c>
      <c r="J1347" s="163">
        <v>1</v>
      </c>
      <c r="K1347" s="163">
        <v>1.5494736842105263</v>
      </c>
      <c r="L1347" s="163">
        <v>0.54947368421052634</v>
      </c>
      <c r="M1347" s="163">
        <v>2</v>
      </c>
      <c r="N1347" s="163">
        <v>2.9824561403508771</v>
      </c>
      <c r="O1347" s="163">
        <v>0.98245614035087714</v>
      </c>
      <c r="P1347" s="163"/>
      <c r="Q1347" s="163">
        <v>2</v>
      </c>
      <c r="R1347" s="163">
        <v>0</v>
      </c>
      <c r="S1347" s="163">
        <v>0</v>
      </c>
      <c r="T1347" s="163">
        <v>0</v>
      </c>
      <c r="U1347" s="163">
        <v>0</v>
      </c>
      <c r="V1347" s="163">
        <v>0</v>
      </c>
      <c r="W1347" s="163">
        <v>0</v>
      </c>
      <c r="X1347" s="163">
        <v>0</v>
      </c>
      <c r="Y1347" s="163">
        <v>2</v>
      </c>
      <c r="Z1347" s="163">
        <v>2</v>
      </c>
      <c r="AA1347" s="163">
        <v>0</v>
      </c>
      <c r="AB1347" s="163">
        <v>0</v>
      </c>
      <c r="AC1347" s="163">
        <v>2</v>
      </c>
      <c r="AD1347" s="163">
        <v>0</v>
      </c>
      <c r="AE1347" s="165">
        <v>0.1299677078544727</v>
      </c>
      <c r="AF1347" s="166">
        <v>0.1299677078544727</v>
      </c>
    </row>
    <row r="1348" spans="1:32">
      <c r="A1348" s="161">
        <v>29</v>
      </c>
      <c r="B1348" s="162">
        <v>4.1666666666666664E-2</v>
      </c>
      <c r="C1348" s="163">
        <v>0.60734681801744683</v>
      </c>
      <c r="D1348" s="163">
        <v>691.92555463004737</v>
      </c>
      <c r="E1348" s="164">
        <v>0.7924000000000001</v>
      </c>
      <c r="F1348" s="164">
        <v>0.7924000000000001</v>
      </c>
      <c r="G1348" s="163">
        <v>3</v>
      </c>
      <c r="H1348" s="163">
        <v>3.333333333333333</v>
      </c>
      <c r="I1348" s="163">
        <v>0.33333333333333304</v>
      </c>
      <c r="J1348" s="163">
        <v>2</v>
      </c>
      <c r="K1348" s="163">
        <v>2.3242105263157895</v>
      </c>
      <c r="L1348" s="163">
        <v>0.3242105263157895</v>
      </c>
      <c r="M1348" s="163">
        <v>3</v>
      </c>
      <c r="N1348" s="163">
        <v>2.9824561403508771</v>
      </c>
      <c r="O1348" s="163">
        <v>-1.7543859649122862E-2</v>
      </c>
      <c r="P1348" s="163"/>
      <c r="Q1348" s="163">
        <v>2</v>
      </c>
      <c r="R1348" s="163">
        <v>0</v>
      </c>
      <c r="S1348" s="163">
        <v>0</v>
      </c>
      <c r="T1348" s="163">
        <v>0</v>
      </c>
      <c r="U1348" s="163">
        <v>0</v>
      </c>
      <c r="V1348" s="163">
        <v>0</v>
      </c>
      <c r="W1348" s="163">
        <v>0</v>
      </c>
      <c r="X1348" s="163">
        <v>0</v>
      </c>
      <c r="Y1348" s="163">
        <v>2</v>
      </c>
      <c r="Z1348" s="163">
        <v>2</v>
      </c>
      <c r="AA1348" s="163">
        <v>0</v>
      </c>
      <c r="AB1348" s="163">
        <v>0</v>
      </c>
      <c r="AC1348" s="163">
        <v>2</v>
      </c>
      <c r="AD1348" s="163">
        <v>0</v>
      </c>
      <c r="AE1348" s="165">
        <v>0.1506743828177991</v>
      </c>
      <c r="AF1348" s="166">
        <v>0.10044958854519941</v>
      </c>
    </row>
    <row r="1349" spans="1:32">
      <c r="A1349" s="161">
        <v>29</v>
      </c>
      <c r="B1349" s="162">
        <v>6.25E-2</v>
      </c>
      <c r="C1349" s="163">
        <v>0.4331505871641208</v>
      </c>
      <c r="D1349" s="163">
        <v>688.07570272398516</v>
      </c>
      <c r="E1349" s="164">
        <v>0.8498</v>
      </c>
      <c r="F1349" s="164">
        <v>0.8498</v>
      </c>
      <c r="G1349" s="163">
        <v>2</v>
      </c>
      <c r="H1349" s="163">
        <v>3.333333333333333</v>
      </c>
      <c r="I1349" s="163">
        <v>1.333333333333333</v>
      </c>
      <c r="J1349" s="163">
        <v>1</v>
      </c>
      <c r="K1349" s="163">
        <v>1.5494736842105263</v>
      </c>
      <c r="L1349" s="163">
        <v>0.54947368421052634</v>
      </c>
      <c r="M1349" s="163">
        <v>2</v>
      </c>
      <c r="N1349" s="163">
        <v>2.9824561403508771</v>
      </c>
      <c r="O1349" s="163">
        <v>0.98245614035087714</v>
      </c>
      <c r="P1349" s="163"/>
      <c r="Q1349" s="163">
        <v>2</v>
      </c>
      <c r="R1349" s="163">
        <v>0</v>
      </c>
      <c r="S1349" s="163">
        <v>0</v>
      </c>
      <c r="T1349" s="163">
        <v>0</v>
      </c>
      <c r="U1349" s="163">
        <v>0</v>
      </c>
      <c r="V1349" s="163">
        <v>0</v>
      </c>
      <c r="W1349" s="163">
        <v>0</v>
      </c>
      <c r="X1349" s="163">
        <v>0</v>
      </c>
      <c r="Y1349" s="163">
        <v>2</v>
      </c>
      <c r="Z1349" s="163">
        <v>2</v>
      </c>
      <c r="AA1349" s="163">
        <v>0</v>
      </c>
      <c r="AB1349" s="163">
        <v>0</v>
      </c>
      <c r="AC1349" s="163">
        <v>2</v>
      </c>
      <c r="AD1349" s="163">
        <v>0</v>
      </c>
      <c r="AE1349" s="165">
        <v>0.10686079971159657</v>
      </c>
      <c r="AF1349" s="166">
        <v>0.10686079971159657</v>
      </c>
    </row>
    <row r="1350" spans="1:32">
      <c r="A1350" s="161">
        <v>29</v>
      </c>
      <c r="B1350" s="162">
        <v>8.3333333333333329E-2</v>
      </c>
      <c r="C1350" s="163">
        <v>0.33354729628953317</v>
      </c>
      <c r="D1350" s="163">
        <v>686.16292862507919</v>
      </c>
      <c r="E1350" s="164">
        <v>0.88319999999999999</v>
      </c>
      <c r="F1350" s="164">
        <v>0.88319999999999999</v>
      </c>
      <c r="G1350" s="163">
        <v>2</v>
      </c>
      <c r="H1350" s="163">
        <v>3.333333333333333</v>
      </c>
      <c r="I1350" s="163">
        <v>1.333333333333333</v>
      </c>
      <c r="J1350" s="163">
        <v>1</v>
      </c>
      <c r="K1350" s="163">
        <v>1.5494736842105263</v>
      </c>
      <c r="L1350" s="163">
        <v>0.54947368421052634</v>
      </c>
      <c r="M1350" s="163">
        <v>2</v>
      </c>
      <c r="N1350" s="163">
        <v>2.9824561403508771</v>
      </c>
      <c r="O1350" s="163">
        <v>0.98245614035087714</v>
      </c>
      <c r="P1350" s="163"/>
      <c r="Q1350" s="163">
        <v>2</v>
      </c>
      <c r="R1350" s="163">
        <v>0</v>
      </c>
      <c r="S1350" s="163">
        <v>0</v>
      </c>
      <c r="T1350" s="163">
        <v>0</v>
      </c>
      <c r="U1350" s="163">
        <v>0</v>
      </c>
      <c r="V1350" s="163">
        <v>0</v>
      </c>
      <c r="W1350" s="163">
        <v>0</v>
      </c>
      <c r="X1350" s="163">
        <v>0</v>
      </c>
      <c r="Y1350" s="163">
        <v>2</v>
      </c>
      <c r="Z1350" s="163">
        <v>2</v>
      </c>
      <c r="AA1350" s="163">
        <v>0</v>
      </c>
      <c r="AB1350" s="163">
        <v>0</v>
      </c>
      <c r="AC1350" s="163">
        <v>2</v>
      </c>
      <c r="AD1350" s="163">
        <v>0</v>
      </c>
      <c r="AE1350" s="165">
        <v>8.2059329775872936E-2</v>
      </c>
      <c r="AF1350" s="166">
        <v>8.2059329775872936E-2</v>
      </c>
    </row>
    <row r="1351" spans="1:32">
      <c r="A1351" s="161">
        <v>29</v>
      </c>
      <c r="B1351" s="162">
        <v>0.10416666666666667</v>
      </c>
      <c r="C1351" s="163">
        <v>0.276414511579752</v>
      </c>
      <c r="D1351" s="163">
        <v>647.21601176645765</v>
      </c>
      <c r="E1351" s="164">
        <v>0.90820000000000001</v>
      </c>
      <c r="F1351" s="164">
        <v>0.90820000000000001</v>
      </c>
      <c r="G1351" s="163">
        <v>2</v>
      </c>
      <c r="H1351" s="163">
        <v>3.333333333333333</v>
      </c>
      <c r="I1351" s="163">
        <v>1.333333333333333</v>
      </c>
      <c r="J1351" s="163">
        <v>1</v>
      </c>
      <c r="K1351" s="163">
        <v>1.5494736842105263</v>
      </c>
      <c r="L1351" s="163">
        <v>0.54947368421052634</v>
      </c>
      <c r="M1351" s="163">
        <v>2</v>
      </c>
      <c r="N1351" s="163">
        <v>2.9824561403508771</v>
      </c>
      <c r="O1351" s="163">
        <v>0.98245614035087714</v>
      </c>
      <c r="P1351" s="163"/>
      <c r="Q1351" s="163">
        <v>2</v>
      </c>
      <c r="R1351" s="163">
        <v>0</v>
      </c>
      <c r="S1351" s="163">
        <v>0</v>
      </c>
      <c r="T1351" s="163">
        <v>0</v>
      </c>
      <c r="U1351" s="163">
        <v>0</v>
      </c>
      <c r="V1351" s="163">
        <v>0</v>
      </c>
      <c r="W1351" s="163">
        <v>0</v>
      </c>
      <c r="X1351" s="163">
        <v>0</v>
      </c>
      <c r="Y1351" s="163">
        <v>2</v>
      </c>
      <c r="Z1351" s="163">
        <v>2</v>
      </c>
      <c r="AA1351" s="163">
        <v>0</v>
      </c>
      <c r="AB1351" s="163">
        <v>0</v>
      </c>
      <c r="AC1351" s="163">
        <v>2</v>
      </c>
      <c r="AD1351" s="163">
        <v>0</v>
      </c>
      <c r="AE1351" s="165">
        <v>6.4143607672882463E-2</v>
      </c>
      <c r="AF1351" s="166">
        <v>6.4143607672882463E-2</v>
      </c>
    </row>
    <row r="1352" spans="1:32">
      <c r="A1352" s="161">
        <v>29</v>
      </c>
      <c r="B1352" s="162">
        <v>0.125</v>
      </c>
      <c r="C1352" s="163">
        <v>0.20994401663711471</v>
      </c>
      <c r="D1352" s="163">
        <v>650.07344798951465</v>
      </c>
      <c r="E1352" s="164">
        <v>0.92949999999999999</v>
      </c>
      <c r="F1352" s="164">
        <v>0.92949999999999999</v>
      </c>
      <c r="G1352" s="163">
        <v>2</v>
      </c>
      <c r="H1352" s="163">
        <v>3.333333333333333</v>
      </c>
      <c r="I1352" s="163">
        <v>1.333333333333333</v>
      </c>
      <c r="J1352" s="163">
        <v>1</v>
      </c>
      <c r="K1352" s="163">
        <v>1.5494736842105263</v>
      </c>
      <c r="L1352" s="163">
        <v>0.54947368421052634</v>
      </c>
      <c r="M1352" s="163">
        <v>2</v>
      </c>
      <c r="N1352" s="163">
        <v>2.9824561403508771</v>
      </c>
      <c r="O1352" s="163">
        <v>0.98245614035087714</v>
      </c>
      <c r="P1352" s="163"/>
      <c r="Q1352" s="163">
        <v>2</v>
      </c>
      <c r="R1352" s="163">
        <v>0</v>
      </c>
      <c r="S1352" s="163">
        <v>0</v>
      </c>
      <c r="T1352" s="163">
        <v>0</v>
      </c>
      <c r="U1352" s="163">
        <v>0</v>
      </c>
      <c r="V1352" s="163">
        <v>0</v>
      </c>
      <c r="W1352" s="163">
        <v>0</v>
      </c>
      <c r="X1352" s="163">
        <v>0</v>
      </c>
      <c r="Y1352" s="163">
        <v>2</v>
      </c>
      <c r="Z1352" s="163">
        <v>2</v>
      </c>
      <c r="AA1352" s="163">
        <v>0</v>
      </c>
      <c r="AB1352" s="163">
        <v>0</v>
      </c>
      <c r="AC1352" s="163">
        <v>2</v>
      </c>
      <c r="AD1352" s="163">
        <v>0</v>
      </c>
      <c r="AE1352" s="165">
        <v>4.8933831235301296E-2</v>
      </c>
      <c r="AF1352" s="166">
        <v>4.8933831235301296E-2</v>
      </c>
    </row>
    <row r="1353" spans="1:32">
      <c r="A1353" s="161">
        <v>29</v>
      </c>
      <c r="B1353" s="162">
        <v>0.14583333333333334</v>
      </c>
      <c r="C1353" s="163">
        <v>0.16606435030011346</v>
      </c>
      <c r="D1353" s="163">
        <v>679.42701960453928</v>
      </c>
      <c r="E1353" s="164">
        <v>0.94130000000000003</v>
      </c>
      <c r="F1353" s="164">
        <v>0.94130000000000003</v>
      </c>
      <c r="G1353" s="163">
        <v>2</v>
      </c>
      <c r="H1353" s="163">
        <v>3.333333333333333</v>
      </c>
      <c r="I1353" s="163">
        <v>1.333333333333333</v>
      </c>
      <c r="J1353" s="163">
        <v>1</v>
      </c>
      <c r="K1353" s="163">
        <v>1.5494736842105263</v>
      </c>
      <c r="L1353" s="163">
        <v>0.54947368421052634</v>
      </c>
      <c r="M1353" s="163">
        <v>2</v>
      </c>
      <c r="N1353" s="163">
        <v>2.9824561403508771</v>
      </c>
      <c r="O1353" s="163">
        <v>0.98245614035087714</v>
      </c>
      <c r="P1353" s="163"/>
      <c r="Q1353" s="163">
        <v>2</v>
      </c>
      <c r="R1353" s="163">
        <v>0</v>
      </c>
      <c r="S1353" s="163">
        <v>0</v>
      </c>
      <c r="T1353" s="163">
        <v>0</v>
      </c>
      <c r="U1353" s="163">
        <v>0</v>
      </c>
      <c r="V1353" s="163">
        <v>0</v>
      </c>
      <c r="W1353" s="163">
        <v>0</v>
      </c>
      <c r="X1353" s="163">
        <v>0</v>
      </c>
      <c r="Y1353" s="163">
        <v>2</v>
      </c>
      <c r="Z1353" s="163">
        <v>2</v>
      </c>
      <c r="AA1353" s="163">
        <v>0</v>
      </c>
      <c r="AB1353" s="163">
        <v>0</v>
      </c>
      <c r="AC1353" s="163">
        <v>2</v>
      </c>
      <c r="AD1353" s="163">
        <v>0</v>
      </c>
      <c r="AE1353" s="165">
        <v>4.045409731945266E-2</v>
      </c>
      <c r="AF1353" s="166">
        <v>4.045409731945266E-2</v>
      </c>
    </row>
    <row r="1354" spans="1:32">
      <c r="A1354" s="161">
        <v>29</v>
      </c>
      <c r="B1354" s="162">
        <v>0.16666666666666666</v>
      </c>
      <c r="C1354" s="163">
        <v>0.19598317300586671</v>
      </c>
      <c r="D1354" s="163">
        <v>640.82718237492725</v>
      </c>
      <c r="E1354" s="164">
        <v>0.93500000000000005</v>
      </c>
      <c r="F1354" s="164">
        <v>0.93500000000000005</v>
      </c>
      <c r="G1354" s="163">
        <v>2</v>
      </c>
      <c r="H1354" s="163">
        <v>3.333333333333333</v>
      </c>
      <c r="I1354" s="163">
        <v>1.333333333333333</v>
      </c>
      <c r="J1354" s="163">
        <v>1</v>
      </c>
      <c r="K1354" s="163">
        <v>1.5494736842105263</v>
      </c>
      <c r="L1354" s="163">
        <v>0.54947368421052634</v>
      </c>
      <c r="M1354" s="163">
        <v>2</v>
      </c>
      <c r="N1354" s="163">
        <v>2.9824561403508771</v>
      </c>
      <c r="O1354" s="163">
        <v>0.98245614035087714</v>
      </c>
      <c r="P1354" s="163"/>
      <c r="Q1354" s="163">
        <v>2</v>
      </c>
      <c r="R1354" s="163">
        <v>0</v>
      </c>
      <c r="S1354" s="163">
        <v>0</v>
      </c>
      <c r="T1354" s="163">
        <v>0</v>
      </c>
      <c r="U1354" s="163">
        <v>0</v>
      </c>
      <c r="V1354" s="163">
        <v>0</v>
      </c>
      <c r="W1354" s="163">
        <v>0</v>
      </c>
      <c r="X1354" s="163">
        <v>0</v>
      </c>
      <c r="Y1354" s="163">
        <v>2</v>
      </c>
      <c r="Z1354" s="163">
        <v>2</v>
      </c>
      <c r="AA1354" s="163">
        <v>0</v>
      </c>
      <c r="AB1354" s="163">
        <v>0</v>
      </c>
      <c r="AC1354" s="163">
        <v>2</v>
      </c>
      <c r="AD1354" s="163">
        <v>0</v>
      </c>
      <c r="AE1354" s="165">
        <v>4.5030109194872839E-2</v>
      </c>
      <c r="AF1354" s="166">
        <v>4.5030109194872839E-2</v>
      </c>
    </row>
    <row r="1355" spans="1:32">
      <c r="A1355" s="161">
        <v>29</v>
      </c>
      <c r="B1355" s="162">
        <v>0.1875</v>
      </c>
      <c r="C1355" s="163">
        <v>0.29407485216889068</v>
      </c>
      <c r="D1355" s="163">
        <v>624.31071521555077</v>
      </c>
      <c r="E1355" s="164">
        <v>0.90610000000000002</v>
      </c>
      <c r="F1355" s="164">
        <v>0.90610000000000002</v>
      </c>
      <c r="G1355" s="163">
        <v>2</v>
      </c>
      <c r="H1355" s="163">
        <v>3.333333333333333</v>
      </c>
      <c r="I1355" s="163">
        <v>1.333333333333333</v>
      </c>
      <c r="J1355" s="163">
        <v>1</v>
      </c>
      <c r="K1355" s="163">
        <v>1.5494736842105263</v>
      </c>
      <c r="L1355" s="163">
        <v>0.54947368421052634</v>
      </c>
      <c r="M1355" s="163">
        <v>2</v>
      </c>
      <c r="N1355" s="163">
        <v>2.9824561403508771</v>
      </c>
      <c r="O1355" s="163">
        <v>0.98245614035087714</v>
      </c>
      <c r="P1355" s="163"/>
      <c r="Q1355" s="163">
        <v>2</v>
      </c>
      <c r="R1355" s="163">
        <v>0</v>
      </c>
      <c r="S1355" s="163">
        <v>0</v>
      </c>
      <c r="T1355" s="163">
        <v>0</v>
      </c>
      <c r="U1355" s="163">
        <v>0</v>
      </c>
      <c r="V1355" s="163">
        <v>0</v>
      </c>
      <c r="W1355" s="163">
        <v>0</v>
      </c>
      <c r="X1355" s="163">
        <v>0</v>
      </c>
      <c r="Y1355" s="163">
        <v>2</v>
      </c>
      <c r="Z1355" s="163">
        <v>2</v>
      </c>
      <c r="AA1355" s="163">
        <v>0</v>
      </c>
      <c r="AB1355" s="163">
        <v>0</v>
      </c>
      <c r="AC1355" s="163">
        <v>2</v>
      </c>
      <c r="AD1355" s="163">
        <v>0</v>
      </c>
      <c r="AE1355" s="165">
        <v>6.5826682223824012E-2</v>
      </c>
      <c r="AF1355" s="166">
        <v>6.5826682223824012E-2</v>
      </c>
    </row>
    <row r="1356" spans="1:32">
      <c r="A1356" s="161">
        <v>29</v>
      </c>
      <c r="B1356" s="162">
        <v>0.20833333333333334</v>
      </c>
      <c r="C1356" s="163">
        <v>0.53986596095679185</v>
      </c>
      <c r="D1356" s="163">
        <v>675.28833551712171</v>
      </c>
      <c r="E1356" s="164">
        <v>0.81840000000000002</v>
      </c>
      <c r="F1356" s="164">
        <v>0.81840000000000002</v>
      </c>
      <c r="G1356" s="163">
        <v>2</v>
      </c>
      <c r="H1356" s="163">
        <v>3.333333333333333</v>
      </c>
      <c r="I1356" s="163">
        <v>1.333333333333333</v>
      </c>
      <c r="J1356" s="163">
        <v>1</v>
      </c>
      <c r="K1356" s="163">
        <v>1.5494736842105263</v>
      </c>
      <c r="L1356" s="163">
        <v>0.54947368421052634</v>
      </c>
      <c r="M1356" s="163">
        <v>2</v>
      </c>
      <c r="N1356" s="163">
        <v>2.9824561403508771</v>
      </c>
      <c r="O1356" s="163">
        <v>0.98245614035087714</v>
      </c>
      <c r="P1356" s="163"/>
      <c r="Q1356" s="163">
        <v>2</v>
      </c>
      <c r="R1356" s="163">
        <v>0</v>
      </c>
      <c r="S1356" s="163">
        <v>0</v>
      </c>
      <c r="T1356" s="163">
        <v>0</v>
      </c>
      <c r="U1356" s="163">
        <v>0</v>
      </c>
      <c r="V1356" s="163">
        <v>0</v>
      </c>
      <c r="W1356" s="163">
        <v>0</v>
      </c>
      <c r="X1356" s="163">
        <v>0</v>
      </c>
      <c r="Y1356" s="163">
        <v>2</v>
      </c>
      <c r="Z1356" s="163">
        <v>2</v>
      </c>
      <c r="AA1356" s="163">
        <v>0</v>
      </c>
      <c r="AB1356" s="163">
        <v>0</v>
      </c>
      <c r="AC1356" s="163">
        <v>2</v>
      </c>
      <c r="AD1356" s="163">
        <v>0</v>
      </c>
      <c r="AE1356" s="165">
        <v>0.13071291020079265</v>
      </c>
      <c r="AF1356" s="166">
        <v>0.13071291020079265</v>
      </c>
    </row>
    <row r="1357" spans="1:32">
      <c r="A1357" s="161">
        <v>29</v>
      </c>
      <c r="B1357" s="162">
        <v>0.22916666666666666</v>
      </c>
      <c r="C1357" s="163">
        <v>0.93425654701729344</v>
      </c>
      <c r="D1357" s="163">
        <v>697.30735600783885</v>
      </c>
      <c r="E1357" s="164">
        <v>0.68990000000000007</v>
      </c>
      <c r="F1357" s="164">
        <v>0.68990000000000007</v>
      </c>
      <c r="G1357" s="163">
        <v>3</v>
      </c>
      <c r="H1357" s="163">
        <v>3.333333333333333</v>
      </c>
      <c r="I1357" s="163">
        <v>0.33333333333333304</v>
      </c>
      <c r="J1357" s="163">
        <v>2</v>
      </c>
      <c r="K1357" s="163">
        <v>2.3242105263157895</v>
      </c>
      <c r="L1357" s="163">
        <v>0.3242105263157895</v>
      </c>
      <c r="M1357" s="163">
        <v>3</v>
      </c>
      <c r="N1357" s="163">
        <v>2.9824561403508771</v>
      </c>
      <c r="O1357" s="163">
        <v>-1.7543859649122862E-2</v>
      </c>
      <c r="P1357" s="163"/>
      <c r="Q1357" s="163">
        <v>2</v>
      </c>
      <c r="R1357" s="163">
        <v>0</v>
      </c>
      <c r="S1357" s="163">
        <v>0</v>
      </c>
      <c r="T1357" s="163">
        <v>0</v>
      </c>
      <c r="U1357" s="163">
        <v>0</v>
      </c>
      <c r="V1357" s="163">
        <v>0</v>
      </c>
      <c r="W1357" s="163">
        <v>0</v>
      </c>
      <c r="X1357" s="163">
        <v>0</v>
      </c>
      <c r="Y1357" s="163">
        <v>2</v>
      </c>
      <c r="Z1357" s="163">
        <v>2</v>
      </c>
      <c r="AA1357" s="163">
        <v>0</v>
      </c>
      <c r="AB1357" s="163">
        <v>0</v>
      </c>
      <c r="AC1357" s="163">
        <v>2</v>
      </c>
      <c r="AD1357" s="163">
        <v>0</v>
      </c>
      <c r="AE1357" s="165">
        <v>0.23357894191650058</v>
      </c>
      <c r="AF1357" s="166">
        <v>0.1557192946110004</v>
      </c>
    </row>
    <row r="1358" spans="1:32">
      <c r="A1358" s="161">
        <v>29</v>
      </c>
      <c r="B1358" s="162">
        <v>0.25</v>
      </c>
      <c r="C1358" s="163">
        <v>1.4095671405557446</v>
      </c>
      <c r="D1358" s="163">
        <v>801.53737498846294</v>
      </c>
      <c r="E1358" s="164">
        <v>0.49830000000000002</v>
      </c>
      <c r="F1358" s="164">
        <v>0.49830000000000002</v>
      </c>
      <c r="G1358" s="163">
        <v>3</v>
      </c>
      <c r="H1358" s="163">
        <v>3.333333333333333</v>
      </c>
      <c r="I1358" s="163">
        <v>0.33333333333333304</v>
      </c>
      <c r="J1358" s="163">
        <v>2</v>
      </c>
      <c r="K1358" s="163">
        <v>2.3242105263157895</v>
      </c>
      <c r="L1358" s="163">
        <v>0.3242105263157895</v>
      </c>
      <c r="M1358" s="163">
        <v>3</v>
      </c>
      <c r="N1358" s="163">
        <v>2.9824561403508771</v>
      </c>
      <c r="O1358" s="163">
        <v>-1.7543859649122862E-2</v>
      </c>
      <c r="P1358" s="163"/>
      <c r="Q1358" s="163">
        <v>2</v>
      </c>
      <c r="R1358" s="163">
        <v>0</v>
      </c>
      <c r="S1358" s="163">
        <v>0</v>
      </c>
      <c r="T1358" s="163">
        <v>0</v>
      </c>
      <c r="U1358" s="163">
        <v>0</v>
      </c>
      <c r="V1358" s="163">
        <v>0</v>
      </c>
      <c r="W1358" s="163">
        <v>0</v>
      </c>
      <c r="X1358" s="163">
        <v>0</v>
      </c>
      <c r="Y1358" s="163">
        <v>2</v>
      </c>
      <c r="Z1358" s="163">
        <v>2</v>
      </c>
      <c r="AA1358" s="163">
        <v>0</v>
      </c>
      <c r="AB1358" s="163">
        <v>0</v>
      </c>
      <c r="AC1358" s="163">
        <v>2</v>
      </c>
      <c r="AD1358" s="163">
        <v>0</v>
      </c>
      <c r="AE1358" s="165">
        <v>0.40509122449633639</v>
      </c>
      <c r="AF1358" s="166">
        <v>0.27006081633089091</v>
      </c>
    </row>
    <row r="1359" spans="1:32">
      <c r="A1359" s="161">
        <v>29</v>
      </c>
      <c r="B1359" s="162">
        <v>0.27083333333333331</v>
      </c>
      <c r="C1359" s="163">
        <v>2.0879035627886666</v>
      </c>
      <c r="D1359" s="163">
        <v>788.84884726235487</v>
      </c>
      <c r="E1359" s="164">
        <v>0.3201</v>
      </c>
      <c r="F1359" s="164">
        <v>0.3201</v>
      </c>
      <c r="G1359" s="163">
        <v>4</v>
      </c>
      <c r="H1359" s="163">
        <v>3.333333333333333</v>
      </c>
      <c r="I1359" s="163">
        <v>-0.66666666666666696</v>
      </c>
      <c r="J1359" s="163">
        <v>3</v>
      </c>
      <c r="K1359" s="163">
        <v>3.0989473684210527</v>
      </c>
      <c r="L1359" s="163">
        <v>9.8947368421052673E-2</v>
      </c>
      <c r="M1359" s="163">
        <v>4</v>
      </c>
      <c r="N1359" s="163">
        <v>2.9824561403508771</v>
      </c>
      <c r="O1359" s="163">
        <v>-1.0175438596491229</v>
      </c>
      <c r="P1359" s="163"/>
      <c r="Q1359" s="163">
        <v>2</v>
      </c>
      <c r="R1359" s="163">
        <v>0</v>
      </c>
      <c r="S1359" s="163">
        <v>0</v>
      </c>
      <c r="T1359" s="163">
        <v>0</v>
      </c>
      <c r="U1359" s="163">
        <v>0</v>
      </c>
      <c r="V1359" s="163">
        <v>0</v>
      </c>
      <c r="W1359" s="163">
        <v>0</v>
      </c>
      <c r="X1359" s="163">
        <v>0</v>
      </c>
      <c r="Y1359" s="163">
        <v>2</v>
      </c>
      <c r="Z1359" s="163">
        <v>2</v>
      </c>
      <c r="AA1359" s="163">
        <v>0</v>
      </c>
      <c r="AB1359" s="163">
        <v>0</v>
      </c>
      <c r="AC1359" s="163">
        <v>2</v>
      </c>
      <c r="AD1359" s="163">
        <v>0</v>
      </c>
      <c r="AE1359" s="165">
        <v>0.59053755388200602</v>
      </c>
      <c r="AF1359" s="166">
        <v>0.29526877694100301</v>
      </c>
    </row>
    <row r="1360" spans="1:32">
      <c r="A1360" s="161">
        <v>29</v>
      </c>
      <c r="B1360" s="162">
        <v>0.29166666666666669</v>
      </c>
      <c r="C1360" s="163">
        <v>2.9101138773564297</v>
      </c>
      <c r="D1360" s="163">
        <v>799.23609775957209</v>
      </c>
      <c r="E1360" s="164">
        <v>0.1196</v>
      </c>
      <c r="F1360" s="164">
        <v>0.1196</v>
      </c>
      <c r="G1360" s="163">
        <v>4</v>
      </c>
      <c r="H1360" s="163">
        <v>3.333333333333333</v>
      </c>
      <c r="I1360" s="163">
        <v>-0.66666666666666696</v>
      </c>
      <c r="J1360" s="163">
        <v>3</v>
      </c>
      <c r="K1360" s="163">
        <v>3.0989473684210527</v>
      </c>
      <c r="L1360" s="163">
        <v>9.8947368421052673E-2</v>
      </c>
      <c r="M1360" s="163">
        <v>4</v>
      </c>
      <c r="N1360" s="163">
        <v>2.9824561403508771</v>
      </c>
      <c r="O1360" s="163">
        <v>-1.0175438596491229</v>
      </c>
      <c r="P1360" s="163"/>
      <c r="Q1360" s="163">
        <v>2</v>
      </c>
      <c r="R1360" s="163">
        <v>0</v>
      </c>
      <c r="S1360" s="163">
        <v>0</v>
      </c>
      <c r="T1360" s="163">
        <v>0</v>
      </c>
      <c r="U1360" s="163">
        <v>0</v>
      </c>
      <c r="V1360" s="163">
        <v>0</v>
      </c>
      <c r="W1360" s="163">
        <v>0</v>
      </c>
      <c r="X1360" s="163">
        <v>0</v>
      </c>
      <c r="Y1360" s="163">
        <v>2</v>
      </c>
      <c r="Z1360" s="163">
        <v>2</v>
      </c>
      <c r="AA1360" s="163">
        <v>0</v>
      </c>
      <c r="AB1360" s="163">
        <v>0</v>
      </c>
      <c r="AC1360" s="163">
        <v>2</v>
      </c>
      <c r="AD1360" s="163">
        <v>0</v>
      </c>
      <c r="AE1360" s="165">
        <v>0.83392763300332651</v>
      </c>
      <c r="AF1360" s="166">
        <v>0.41696381650166325</v>
      </c>
    </row>
    <row r="1361" spans="1:32">
      <c r="A1361" s="161">
        <v>29</v>
      </c>
      <c r="B1361" s="162">
        <v>0.3125</v>
      </c>
      <c r="C1361" s="163">
        <v>3.698871460684654</v>
      </c>
      <c r="D1361" s="163">
        <v>809.23947109390087</v>
      </c>
      <c r="E1361" s="164">
        <v>0.71989999999999998</v>
      </c>
      <c r="F1361" s="164">
        <v>0.71989999999999998</v>
      </c>
      <c r="G1361" s="163">
        <v>6</v>
      </c>
      <c r="H1361" s="163">
        <v>6.6666666666666661</v>
      </c>
      <c r="I1361" s="163">
        <v>0.66666666666666607</v>
      </c>
      <c r="J1361" s="163">
        <v>4</v>
      </c>
      <c r="K1361" s="163">
        <v>4.648421052631579</v>
      </c>
      <c r="L1361" s="163">
        <v>0.64842105263157901</v>
      </c>
      <c r="M1361" s="163">
        <v>5</v>
      </c>
      <c r="N1361" s="163">
        <v>5.9649122807017543</v>
      </c>
      <c r="O1361" s="163">
        <v>0.96491228070175428</v>
      </c>
      <c r="P1361" s="163"/>
      <c r="Q1361" s="163">
        <v>4</v>
      </c>
      <c r="R1361" s="163">
        <v>0</v>
      </c>
      <c r="S1361" s="163">
        <v>0</v>
      </c>
      <c r="T1361" s="163">
        <v>0</v>
      </c>
      <c r="U1361" s="163">
        <v>0</v>
      </c>
      <c r="V1361" s="163">
        <v>0</v>
      </c>
      <c r="W1361" s="163">
        <v>0</v>
      </c>
      <c r="X1361" s="163">
        <v>0</v>
      </c>
      <c r="Y1361" s="163">
        <v>4</v>
      </c>
      <c r="Z1361" s="163">
        <v>4</v>
      </c>
      <c r="AA1361" s="163">
        <v>0</v>
      </c>
      <c r="AB1361" s="163">
        <v>0</v>
      </c>
      <c r="AC1361" s="163">
        <v>4</v>
      </c>
      <c r="AD1361" s="163">
        <v>0</v>
      </c>
      <c r="AE1361" s="165">
        <v>0.53661102529897631</v>
      </c>
      <c r="AF1361" s="166">
        <v>0.35774068353265087</v>
      </c>
    </row>
    <row r="1362" spans="1:32">
      <c r="A1362" s="161">
        <v>29</v>
      </c>
      <c r="B1362" s="162">
        <v>0.33333333333333331</v>
      </c>
      <c r="C1362" s="163">
        <v>4.4806021141861265</v>
      </c>
      <c r="D1362" s="163">
        <v>811.23665136182012</v>
      </c>
      <c r="E1362" s="164">
        <v>0.85</v>
      </c>
      <c r="F1362" s="164">
        <v>0.85</v>
      </c>
      <c r="G1362" s="163">
        <v>6</v>
      </c>
      <c r="H1362" s="163">
        <v>10</v>
      </c>
      <c r="I1362" s="163">
        <v>4</v>
      </c>
      <c r="J1362" s="163">
        <v>4</v>
      </c>
      <c r="K1362" s="163">
        <v>4.648421052631579</v>
      </c>
      <c r="L1362" s="163">
        <v>0.64842105263157901</v>
      </c>
      <c r="M1362" s="163">
        <v>5</v>
      </c>
      <c r="N1362" s="163">
        <v>8.9473684210526319</v>
      </c>
      <c r="O1362" s="163">
        <v>3.9473684210526319</v>
      </c>
      <c r="P1362" s="163"/>
      <c r="Q1362" s="163">
        <v>6</v>
      </c>
      <c r="R1362" s="163">
        <v>0</v>
      </c>
      <c r="S1362" s="163">
        <v>0</v>
      </c>
      <c r="T1362" s="163">
        <v>0</v>
      </c>
      <c r="U1362" s="163">
        <v>0</v>
      </c>
      <c r="V1362" s="163">
        <v>0</v>
      </c>
      <c r="W1362" s="163">
        <v>0</v>
      </c>
      <c r="X1362" s="163">
        <v>0</v>
      </c>
      <c r="Y1362" s="163">
        <v>6</v>
      </c>
      <c r="Z1362" s="163">
        <v>6</v>
      </c>
      <c r="AA1362" s="163">
        <v>0</v>
      </c>
      <c r="AB1362" s="163">
        <v>0</v>
      </c>
      <c r="AC1362" s="163">
        <v>6</v>
      </c>
      <c r="AD1362" s="163">
        <v>0</v>
      </c>
      <c r="AE1362" s="165">
        <v>0.43441616626876922</v>
      </c>
      <c r="AF1362" s="166">
        <v>0.43441616626876922</v>
      </c>
    </row>
    <row r="1363" spans="1:32">
      <c r="A1363" s="161">
        <v>29</v>
      </c>
      <c r="B1363" s="162">
        <v>0.35416666666666669</v>
      </c>
      <c r="C1363" s="163">
        <v>5.2589170365550375</v>
      </c>
      <c r="D1363" s="163">
        <v>811.08190885334318</v>
      </c>
      <c r="E1363" s="164">
        <v>0.7712</v>
      </c>
      <c r="F1363" s="164">
        <v>0.7712</v>
      </c>
      <c r="G1363" s="163">
        <v>7</v>
      </c>
      <c r="H1363" s="163">
        <v>10</v>
      </c>
      <c r="I1363" s="163">
        <v>3</v>
      </c>
      <c r="J1363" s="163">
        <v>5</v>
      </c>
      <c r="K1363" s="163">
        <v>5.4231578947368426</v>
      </c>
      <c r="L1363" s="163">
        <v>0.42315789473684262</v>
      </c>
      <c r="M1363" s="163">
        <v>6</v>
      </c>
      <c r="N1363" s="163">
        <v>8.9473684210526319</v>
      </c>
      <c r="O1363" s="163">
        <v>2.9473684210526319</v>
      </c>
      <c r="P1363" s="163"/>
      <c r="Q1363" s="163">
        <v>6</v>
      </c>
      <c r="R1363" s="163">
        <v>0</v>
      </c>
      <c r="S1363" s="163">
        <v>0</v>
      </c>
      <c r="T1363" s="163">
        <v>0</v>
      </c>
      <c r="U1363" s="163">
        <v>0</v>
      </c>
      <c r="V1363" s="163">
        <v>0</v>
      </c>
      <c r="W1363" s="163">
        <v>0</v>
      </c>
      <c r="X1363" s="163">
        <v>0</v>
      </c>
      <c r="Y1363" s="163">
        <v>6</v>
      </c>
      <c r="Z1363" s="163">
        <v>6</v>
      </c>
      <c r="AA1363" s="163">
        <v>0</v>
      </c>
      <c r="AB1363" s="163">
        <v>0</v>
      </c>
      <c r="AC1363" s="163">
        <v>6</v>
      </c>
      <c r="AD1363" s="163">
        <v>0</v>
      </c>
      <c r="AE1363" s="165">
        <v>0.50978032471378132</v>
      </c>
      <c r="AF1363" s="166">
        <v>0.43695456404038402</v>
      </c>
    </row>
    <row r="1364" spans="1:32">
      <c r="A1364" s="161">
        <v>29</v>
      </c>
      <c r="B1364" s="162">
        <v>0.375</v>
      </c>
      <c r="C1364" s="163">
        <v>5.8050833310458909</v>
      </c>
      <c r="D1364" s="163">
        <v>806.29283986178052</v>
      </c>
      <c r="E1364" s="164">
        <v>0.71130000000000004</v>
      </c>
      <c r="F1364" s="164">
        <v>0.71130000000000004</v>
      </c>
      <c r="G1364" s="163">
        <v>7</v>
      </c>
      <c r="H1364" s="163">
        <v>10</v>
      </c>
      <c r="I1364" s="163">
        <v>3</v>
      </c>
      <c r="J1364" s="163">
        <v>5</v>
      </c>
      <c r="K1364" s="163">
        <v>5.4231578947368426</v>
      </c>
      <c r="L1364" s="163">
        <v>0.42315789473684262</v>
      </c>
      <c r="M1364" s="163">
        <v>6</v>
      </c>
      <c r="N1364" s="163">
        <v>8.9473684210526319</v>
      </c>
      <c r="O1364" s="163">
        <v>2.9473684210526319</v>
      </c>
      <c r="P1364" s="163"/>
      <c r="Q1364" s="163">
        <v>6</v>
      </c>
      <c r="R1364" s="163">
        <v>0</v>
      </c>
      <c r="S1364" s="163">
        <v>0</v>
      </c>
      <c r="T1364" s="163">
        <v>0</v>
      </c>
      <c r="U1364" s="163">
        <v>0</v>
      </c>
      <c r="V1364" s="163">
        <v>0</v>
      </c>
      <c r="W1364" s="163">
        <v>0</v>
      </c>
      <c r="X1364" s="163">
        <v>0</v>
      </c>
      <c r="Y1364" s="163">
        <v>6</v>
      </c>
      <c r="Z1364" s="163">
        <v>6</v>
      </c>
      <c r="AA1364" s="163">
        <v>0</v>
      </c>
      <c r="AB1364" s="163">
        <v>0</v>
      </c>
      <c r="AC1364" s="163">
        <v>6</v>
      </c>
      <c r="AD1364" s="163">
        <v>0</v>
      </c>
      <c r="AE1364" s="165">
        <v>0.55940107543177742</v>
      </c>
      <c r="AF1364" s="166">
        <v>0.47948663608438064</v>
      </c>
    </row>
    <row r="1365" spans="1:32">
      <c r="A1365" s="161">
        <v>29</v>
      </c>
      <c r="B1365" s="162">
        <v>0.39583333333333331</v>
      </c>
      <c r="C1365" s="163">
        <v>6.2398149571510553</v>
      </c>
      <c r="D1365" s="163">
        <v>881.31039316182603</v>
      </c>
      <c r="E1365" s="164">
        <v>0.90370000000000006</v>
      </c>
      <c r="F1365" s="164">
        <v>0.90370000000000006</v>
      </c>
      <c r="G1365" s="163">
        <v>8</v>
      </c>
      <c r="H1365" s="163">
        <v>13.333333333333332</v>
      </c>
      <c r="I1365" s="163">
        <v>5.3333333333333321</v>
      </c>
      <c r="J1365" s="163">
        <v>6</v>
      </c>
      <c r="K1365" s="163">
        <v>6.1978947368421053</v>
      </c>
      <c r="L1365" s="163">
        <v>0.19789473684210535</v>
      </c>
      <c r="M1365" s="163">
        <v>7</v>
      </c>
      <c r="N1365" s="163">
        <v>11.929824561403509</v>
      </c>
      <c r="O1365" s="163">
        <v>4.9298245614035086</v>
      </c>
      <c r="P1365" s="163"/>
      <c r="Q1365" s="163">
        <v>8</v>
      </c>
      <c r="R1365" s="163">
        <v>0</v>
      </c>
      <c r="S1365" s="163">
        <v>0</v>
      </c>
      <c r="T1365" s="163">
        <v>0</v>
      </c>
      <c r="U1365" s="163">
        <v>0</v>
      </c>
      <c r="V1365" s="163">
        <v>0</v>
      </c>
      <c r="W1365" s="163">
        <v>0</v>
      </c>
      <c r="X1365" s="163">
        <v>0</v>
      </c>
      <c r="Y1365" s="163">
        <v>8</v>
      </c>
      <c r="Z1365" s="163">
        <v>8</v>
      </c>
      <c r="AA1365" s="163">
        <v>0</v>
      </c>
      <c r="AB1365" s="163">
        <v>0</v>
      </c>
      <c r="AC1365" s="163">
        <v>8</v>
      </c>
      <c r="AD1365" s="163">
        <v>0</v>
      </c>
      <c r="AE1365" s="165">
        <v>0.49292846887140007</v>
      </c>
      <c r="AF1365" s="166">
        <v>0.49292846887140007</v>
      </c>
    </row>
    <row r="1366" spans="1:32">
      <c r="A1366" s="161">
        <v>29</v>
      </c>
      <c r="B1366" s="162">
        <v>0.41666666666666669</v>
      </c>
      <c r="C1366" s="163">
        <v>6.5517098204911255</v>
      </c>
      <c r="D1366" s="163">
        <v>794.66987091874046</v>
      </c>
      <c r="E1366" s="164">
        <v>0.92310000000000014</v>
      </c>
      <c r="F1366" s="164">
        <v>0.92310000000000014</v>
      </c>
      <c r="G1366" s="163">
        <v>7</v>
      </c>
      <c r="H1366" s="163">
        <v>13.333333333333332</v>
      </c>
      <c r="I1366" s="163">
        <v>6.3333333333333321</v>
      </c>
      <c r="J1366" s="163">
        <v>5</v>
      </c>
      <c r="K1366" s="163">
        <v>5.4231578947368426</v>
      </c>
      <c r="L1366" s="163">
        <v>0.42315789473684262</v>
      </c>
      <c r="M1366" s="163">
        <v>6</v>
      </c>
      <c r="N1366" s="163">
        <v>11.929824561403509</v>
      </c>
      <c r="O1366" s="163">
        <v>5.9298245614035086</v>
      </c>
      <c r="P1366" s="163"/>
      <c r="Q1366" s="163">
        <v>8</v>
      </c>
      <c r="R1366" s="163">
        <v>0</v>
      </c>
      <c r="S1366" s="163">
        <v>0</v>
      </c>
      <c r="T1366" s="163">
        <v>0</v>
      </c>
      <c r="U1366" s="163">
        <v>0</v>
      </c>
      <c r="V1366" s="163">
        <v>0</v>
      </c>
      <c r="W1366" s="163">
        <v>0</v>
      </c>
      <c r="X1366" s="163">
        <v>0</v>
      </c>
      <c r="Y1366" s="163">
        <v>8</v>
      </c>
      <c r="Z1366" s="163">
        <v>8</v>
      </c>
      <c r="AA1366" s="163">
        <v>0</v>
      </c>
      <c r="AB1366" s="163">
        <v>0</v>
      </c>
      <c r="AC1366" s="163">
        <v>8</v>
      </c>
      <c r="AD1366" s="163">
        <v>0</v>
      </c>
      <c r="AE1366" s="165">
        <v>0.46668592216555238</v>
      </c>
      <c r="AF1366" s="166">
        <v>0.53335533961777415</v>
      </c>
    </row>
    <row r="1367" spans="1:32">
      <c r="A1367" s="161">
        <v>29</v>
      </c>
      <c r="B1367" s="162">
        <v>0.4375</v>
      </c>
      <c r="C1367" s="163">
        <v>6.7941814641386253</v>
      </c>
      <c r="D1367" s="163">
        <v>787.44768296450525</v>
      </c>
      <c r="E1367" s="164">
        <v>0.9143</v>
      </c>
      <c r="F1367" s="164">
        <v>0.9143</v>
      </c>
      <c r="G1367" s="163">
        <v>8</v>
      </c>
      <c r="H1367" s="163">
        <v>13.333333333333332</v>
      </c>
      <c r="I1367" s="163">
        <v>5.3333333333333321</v>
      </c>
      <c r="J1367" s="163">
        <v>6</v>
      </c>
      <c r="K1367" s="163">
        <v>6.1978947368421053</v>
      </c>
      <c r="L1367" s="163">
        <v>0.19789473684210535</v>
      </c>
      <c r="M1367" s="163">
        <v>7</v>
      </c>
      <c r="N1367" s="163">
        <v>11.929824561403509</v>
      </c>
      <c r="O1367" s="163">
        <v>4.9298245614035086</v>
      </c>
      <c r="P1367" s="163"/>
      <c r="Q1367" s="163">
        <v>8</v>
      </c>
      <c r="R1367" s="163">
        <v>0</v>
      </c>
      <c r="S1367" s="163">
        <v>0</v>
      </c>
      <c r="T1367" s="163">
        <v>0</v>
      </c>
      <c r="U1367" s="163">
        <v>0</v>
      </c>
      <c r="V1367" s="163">
        <v>0</v>
      </c>
      <c r="W1367" s="163">
        <v>0</v>
      </c>
      <c r="X1367" s="163">
        <v>0</v>
      </c>
      <c r="Y1367" s="163">
        <v>8</v>
      </c>
      <c r="Z1367" s="163">
        <v>8</v>
      </c>
      <c r="AA1367" s="163">
        <v>0</v>
      </c>
      <c r="AB1367" s="163">
        <v>0</v>
      </c>
      <c r="AC1367" s="163">
        <v>8</v>
      </c>
      <c r="AD1367" s="163">
        <v>0</v>
      </c>
      <c r="AE1367" s="165">
        <v>0.4795591154322853</v>
      </c>
      <c r="AF1367" s="166">
        <v>0.4795591154322853</v>
      </c>
    </row>
    <row r="1368" spans="1:32">
      <c r="A1368" s="161">
        <v>29</v>
      </c>
      <c r="B1368" s="162">
        <v>0.45833333333333331</v>
      </c>
      <c r="C1368" s="163">
        <v>6.6436567014152086</v>
      </c>
      <c r="D1368" s="163">
        <v>778.97389226576877</v>
      </c>
      <c r="E1368" s="164">
        <v>0.92500000000000016</v>
      </c>
      <c r="F1368" s="164">
        <v>0.92500000000000016</v>
      </c>
      <c r="G1368" s="163">
        <v>7</v>
      </c>
      <c r="H1368" s="163">
        <v>13.333333333333332</v>
      </c>
      <c r="I1368" s="163">
        <v>6.3333333333333321</v>
      </c>
      <c r="J1368" s="163">
        <v>5</v>
      </c>
      <c r="K1368" s="163">
        <v>5.4231578947368426</v>
      </c>
      <c r="L1368" s="163">
        <v>0.42315789473684262</v>
      </c>
      <c r="M1368" s="163">
        <v>6</v>
      </c>
      <c r="N1368" s="163">
        <v>11.929824561403509</v>
      </c>
      <c r="O1368" s="163">
        <v>5.9298245614035086</v>
      </c>
      <c r="P1368" s="163"/>
      <c r="Q1368" s="163">
        <v>8</v>
      </c>
      <c r="R1368" s="163">
        <v>0</v>
      </c>
      <c r="S1368" s="163">
        <v>0</v>
      </c>
      <c r="T1368" s="163">
        <v>0</v>
      </c>
      <c r="U1368" s="163">
        <v>0</v>
      </c>
      <c r="V1368" s="163">
        <v>0</v>
      </c>
      <c r="W1368" s="163">
        <v>0</v>
      </c>
      <c r="X1368" s="163">
        <v>0</v>
      </c>
      <c r="Y1368" s="163">
        <v>8</v>
      </c>
      <c r="Z1368" s="163">
        <v>8</v>
      </c>
      <c r="AA1368" s="163">
        <v>0</v>
      </c>
      <c r="AB1368" s="163">
        <v>0</v>
      </c>
      <c r="AC1368" s="163">
        <v>8</v>
      </c>
      <c r="AD1368" s="163">
        <v>0</v>
      </c>
      <c r="AE1368" s="165">
        <v>0.46388826271890238</v>
      </c>
      <c r="AF1368" s="166">
        <v>0.5301580145358884</v>
      </c>
    </row>
    <row r="1369" spans="1:32">
      <c r="A1369" s="161">
        <v>29</v>
      </c>
      <c r="B1369" s="162">
        <v>0.47916666666666669</v>
      </c>
      <c r="C1369" s="163">
        <v>6.0438726713860031</v>
      </c>
      <c r="D1369" s="163">
        <v>806.09123102513774</v>
      </c>
      <c r="E1369" s="164">
        <v>0.94110000000000005</v>
      </c>
      <c r="F1369" s="164">
        <v>0.94110000000000005</v>
      </c>
      <c r="G1369" s="163">
        <v>7</v>
      </c>
      <c r="H1369" s="163">
        <v>13.333333333333332</v>
      </c>
      <c r="I1369" s="163">
        <v>6.3333333333333321</v>
      </c>
      <c r="J1369" s="163">
        <v>5</v>
      </c>
      <c r="K1369" s="163">
        <v>5.4231578947368426</v>
      </c>
      <c r="L1369" s="163">
        <v>0.42315789473684262</v>
      </c>
      <c r="M1369" s="163">
        <v>6</v>
      </c>
      <c r="N1369" s="163">
        <v>11.929824561403509</v>
      </c>
      <c r="O1369" s="163">
        <v>5.9298245614035086</v>
      </c>
      <c r="P1369" s="163"/>
      <c r="Q1369" s="163">
        <v>8</v>
      </c>
      <c r="R1369" s="163">
        <v>0</v>
      </c>
      <c r="S1369" s="163">
        <v>0</v>
      </c>
      <c r="T1369" s="163">
        <v>0</v>
      </c>
      <c r="U1369" s="163">
        <v>0</v>
      </c>
      <c r="V1369" s="163">
        <v>0</v>
      </c>
      <c r="W1369" s="163">
        <v>0</v>
      </c>
      <c r="X1369" s="163">
        <v>0</v>
      </c>
      <c r="Y1369" s="163">
        <v>8</v>
      </c>
      <c r="Z1369" s="163">
        <v>8</v>
      </c>
      <c r="AA1369" s="163">
        <v>0</v>
      </c>
      <c r="AB1369" s="163">
        <v>0</v>
      </c>
      <c r="AC1369" s="163">
        <v>8</v>
      </c>
      <c r="AD1369" s="163">
        <v>0</v>
      </c>
      <c r="AE1369" s="165">
        <v>0.43669960784126793</v>
      </c>
      <c r="AF1369" s="166">
        <v>0.4990852661043062</v>
      </c>
    </row>
    <row r="1370" spans="1:32">
      <c r="A1370" s="161">
        <v>29</v>
      </c>
      <c r="B1370" s="162">
        <v>0.5</v>
      </c>
      <c r="C1370" s="163">
        <v>5.3668237808325561</v>
      </c>
      <c r="D1370" s="163">
        <v>750.43069755497766</v>
      </c>
      <c r="E1370" s="164">
        <v>0.97389999999999999</v>
      </c>
      <c r="F1370" s="164">
        <v>0.97389999999999999</v>
      </c>
      <c r="G1370" s="163">
        <v>7</v>
      </c>
      <c r="H1370" s="163">
        <v>13.333333333333332</v>
      </c>
      <c r="I1370" s="163">
        <v>6.3333333333333321</v>
      </c>
      <c r="J1370" s="163">
        <v>5</v>
      </c>
      <c r="K1370" s="163">
        <v>5.4231578947368426</v>
      </c>
      <c r="L1370" s="163">
        <v>0.42315789473684262</v>
      </c>
      <c r="M1370" s="163">
        <v>6</v>
      </c>
      <c r="N1370" s="163">
        <v>11.929824561403509</v>
      </c>
      <c r="O1370" s="163">
        <v>5.9298245614035086</v>
      </c>
      <c r="P1370" s="163"/>
      <c r="Q1370" s="163">
        <v>8</v>
      </c>
      <c r="R1370" s="163">
        <v>0</v>
      </c>
      <c r="S1370" s="163">
        <v>0</v>
      </c>
      <c r="T1370" s="163">
        <v>0</v>
      </c>
      <c r="U1370" s="163">
        <v>0</v>
      </c>
      <c r="V1370" s="163">
        <v>0</v>
      </c>
      <c r="W1370" s="163">
        <v>0</v>
      </c>
      <c r="X1370" s="163">
        <v>0</v>
      </c>
      <c r="Y1370" s="163">
        <v>8</v>
      </c>
      <c r="Z1370" s="163">
        <v>8</v>
      </c>
      <c r="AA1370" s="163">
        <v>0</v>
      </c>
      <c r="AB1370" s="163">
        <v>0</v>
      </c>
      <c r="AC1370" s="163">
        <v>8</v>
      </c>
      <c r="AD1370" s="163">
        <v>0</v>
      </c>
      <c r="AE1370" s="165">
        <v>0.36100334463971695</v>
      </c>
      <c r="AF1370" s="166">
        <v>0.41257525101681941</v>
      </c>
    </row>
    <row r="1371" spans="1:32">
      <c r="A1371" s="161">
        <v>29</v>
      </c>
      <c r="B1371" s="162">
        <v>0.52083333333333337</v>
      </c>
      <c r="C1371" s="163">
        <v>5.4157623578658436</v>
      </c>
      <c r="D1371" s="163">
        <v>747.07891314682308</v>
      </c>
      <c r="E1371" s="164">
        <v>0.85873333333333335</v>
      </c>
      <c r="F1371" s="164">
        <v>0.85873333333333335</v>
      </c>
      <c r="G1371" s="163">
        <v>7</v>
      </c>
      <c r="H1371" s="163">
        <v>12</v>
      </c>
      <c r="I1371" s="163">
        <v>5</v>
      </c>
      <c r="J1371" s="163">
        <v>5</v>
      </c>
      <c r="K1371" s="163">
        <v>5.4231578947368426</v>
      </c>
      <c r="L1371" s="163">
        <v>0.42315789473684262</v>
      </c>
      <c r="M1371" s="163">
        <v>6</v>
      </c>
      <c r="N1371" s="163">
        <v>10.736842105263158</v>
      </c>
      <c r="O1371" s="163">
        <v>4.7368421052631575</v>
      </c>
      <c r="P1371" s="163"/>
      <c r="Q1371" s="163">
        <v>8</v>
      </c>
      <c r="R1371" s="163">
        <v>0</v>
      </c>
      <c r="S1371" s="163">
        <v>0</v>
      </c>
      <c r="T1371" s="163">
        <v>0</v>
      </c>
      <c r="U1371" s="163">
        <v>0</v>
      </c>
      <c r="V1371" s="163">
        <v>0</v>
      </c>
      <c r="W1371" s="163">
        <v>0</v>
      </c>
      <c r="X1371" s="163">
        <v>0</v>
      </c>
      <c r="Y1371" s="163">
        <v>8</v>
      </c>
      <c r="Z1371" s="163">
        <v>8</v>
      </c>
      <c r="AA1371" s="163">
        <v>0</v>
      </c>
      <c r="AB1371" s="163">
        <v>0</v>
      </c>
      <c r="AC1371" s="163">
        <v>8</v>
      </c>
      <c r="AD1371" s="163">
        <v>0</v>
      </c>
      <c r="AE1371" s="165">
        <v>0.36266811625972745</v>
      </c>
      <c r="AF1371" s="166">
        <v>0.41447784715397423</v>
      </c>
    </row>
    <row r="1372" spans="1:32">
      <c r="A1372" s="161">
        <v>29</v>
      </c>
      <c r="B1372" s="162">
        <v>0.54166666666666663</v>
      </c>
      <c r="C1372" s="163">
        <v>4.8036694325362896</v>
      </c>
      <c r="D1372" s="163">
        <v>756.53799798498244</v>
      </c>
      <c r="E1372" s="164">
        <v>0.8508</v>
      </c>
      <c r="F1372" s="164">
        <v>0.8508</v>
      </c>
      <c r="G1372" s="163">
        <v>6</v>
      </c>
      <c r="H1372" s="163">
        <v>10</v>
      </c>
      <c r="I1372" s="163">
        <v>4</v>
      </c>
      <c r="J1372" s="163">
        <v>4</v>
      </c>
      <c r="K1372" s="163">
        <v>4.648421052631579</v>
      </c>
      <c r="L1372" s="163">
        <v>0.64842105263157901</v>
      </c>
      <c r="M1372" s="163">
        <v>5</v>
      </c>
      <c r="N1372" s="163">
        <v>8.9473684210526319</v>
      </c>
      <c r="O1372" s="163">
        <v>3.9473684210526319</v>
      </c>
      <c r="P1372" s="163"/>
      <c r="Q1372" s="163">
        <v>6</v>
      </c>
      <c r="R1372" s="163">
        <v>0</v>
      </c>
      <c r="S1372" s="163">
        <v>0</v>
      </c>
      <c r="T1372" s="163">
        <v>0</v>
      </c>
      <c r="U1372" s="163">
        <v>0</v>
      </c>
      <c r="V1372" s="163">
        <v>0</v>
      </c>
      <c r="W1372" s="163">
        <v>0</v>
      </c>
      <c r="X1372" s="163">
        <v>0</v>
      </c>
      <c r="Y1372" s="163">
        <v>6</v>
      </c>
      <c r="Z1372" s="163">
        <v>6</v>
      </c>
      <c r="AA1372" s="163">
        <v>0</v>
      </c>
      <c r="AB1372" s="163">
        <v>0</v>
      </c>
      <c r="AC1372" s="163">
        <v>6</v>
      </c>
      <c r="AD1372" s="163">
        <v>0</v>
      </c>
      <c r="AE1372" s="165">
        <v>0.43433606741885922</v>
      </c>
      <c r="AF1372" s="166">
        <v>0.43433606741885922</v>
      </c>
    </row>
    <row r="1373" spans="1:32">
      <c r="A1373" s="161">
        <v>29</v>
      </c>
      <c r="B1373" s="162">
        <v>0.5625</v>
      </c>
      <c r="C1373" s="163">
        <v>4.3416265738240316</v>
      </c>
      <c r="D1373" s="163">
        <v>765.88867619567986</v>
      </c>
      <c r="E1373" s="164">
        <v>0.88329999999999986</v>
      </c>
      <c r="F1373" s="164">
        <v>0.88329999999999986</v>
      </c>
      <c r="G1373" s="163">
        <v>6</v>
      </c>
      <c r="H1373" s="163">
        <v>10</v>
      </c>
      <c r="I1373" s="163">
        <v>4</v>
      </c>
      <c r="J1373" s="163">
        <v>4</v>
      </c>
      <c r="K1373" s="163">
        <v>4.648421052631579</v>
      </c>
      <c r="L1373" s="163">
        <v>0.64842105263157901</v>
      </c>
      <c r="M1373" s="163">
        <v>5</v>
      </c>
      <c r="N1373" s="163">
        <v>8.9473684210526319</v>
      </c>
      <c r="O1373" s="163">
        <v>3.9473684210526319</v>
      </c>
      <c r="P1373" s="163"/>
      <c r="Q1373" s="163">
        <v>6</v>
      </c>
      <c r="R1373" s="163">
        <v>0</v>
      </c>
      <c r="S1373" s="163">
        <v>0</v>
      </c>
      <c r="T1373" s="163">
        <v>0</v>
      </c>
      <c r="U1373" s="163">
        <v>0</v>
      </c>
      <c r="V1373" s="163">
        <v>0</v>
      </c>
      <c r="W1373" s="163">
        <v>0</v>
      </c>
      <c r="X1373" s="163">
        <v>0</v>
      </c>
      <c r="Y1373" s="163">
        <v>6</v>
      </c>
      <c r="Z1373" s="163">
        <v>6</v>
      </c>
      <c r="AA1373" s="163">
        <v>0</v>
      </c>
      <c r="AB1373" s="163">
        <v>0</v>
      </c>
      <c r="AC1373" s="163">
        <v>6</v>
      </c>
      <c r="AD1373" s="163">
        <v>0</v>
      </c>
      <c r="AE1373" s="165">
        <v>0.39741124417572071</v>
      </c>
      <c r="AF1373" s="166">
        <v>0.39741124417572071</v>
      </c>
    </row>
    <row r="1374" spans="1:32">
      <c r="A1374" s="161">
        <v>29</v>
      </c>
      <c r="B1374" s="162">
        <v>0.58333333333333337</v>
      </c>
      <c r="C1374" s="163">
        <v>4.6029436034344444</v>
      </c>
      <c r="D1374" s="163">
        <v>778.67500226011589</v>
      </c>
      <c r="E1374" s="164">
        <v>0.85609999999999997</v>
      </c>
      <c r="F1374" s="164">
        <v>0.85609999999999997</v>
      </c>
      <c r="G1374" s="163">
        <v>6</v>
      </c>
      <c r="H1374" s="163">
        <v>10</v>
      </c>
      <c r="I1374" s="163">
        <v>4</v>
      </c>
      <c r="J1374" s="163">
        <v>4</v>
      </c>
      <c r="K1374" s="163">
        <v>4.648421052631579</v>
      </c>
      <c r="L1374" s="163">
        <v>0.64842105263157901</v>
      </c>
      <c r="M1374" s="163">
        <v>5</v>
      </c>
      <c r="N1374" s="163">
        <v>8.9473684210526319</v>
      </c>
      <c r="O1374" s="163">
        <v>3.9473684210526319</v>
      </c>
      <c r="P1374" s="163"/>
      <c r="Q1374" s="163">
        <v>6</v>
      </c>
      <c r="R1374" s="163">
        <v>0</v>
      </c>
      <c r="S1374" s="163">
        <v>0</v>
      </c>
      <c r="T1374" s="163">
        <v>0</v>
      </c>
      <c r="U1374" s="163">
        <v>0</v>
      </c>
      <c r="V1374" s="163">
        <v>0</v>
      </c>
      <c r="W1374" s="163">
        <v>0</v>
      </c>
      <c r="X1374" s="163">
        <v>0</v>
      </c>
      <c r="Y1374" s="163">
        <v>6</v>
      </c>
      <c r="Z1374" s="163">
        <v>6</v>
      </c>
      <c r="AA1374" s="163">
        <v>0</v>
      </c>
      <c r="AB1374" s="163">
        <v>0</v>
      </c>
      <c r="AC1374" s="163">
        <v>6</v>
      </c>
      <c r="AD1374" s="163">
        <v>0</v>
      </c>
      <c r="AE1374" s="165">
        <v>0.42836494373579997</v>
      </c>
      <c r="AF1374" s="166">
        <v>0.42836494373579997</v>
      </c>
    </row>
    <row r="1375" spans="1:32">
      <c r="A1375" s="161">
        <v>29</v>
      </c>
      <c r="B1375" s="162">
        <v>0.60416666666666663</v>
      </c>
      <c r="C1375" s="163">
        <v>4.2352603596476586</v>
      </c>
      <c r="D1375" s="163">
        <v>799.24640498192855</v>
      </c>
      <c r="E1375" s="164">
        <v>0.87679999999999991</v>
      </c>
      <c r="F1375" s="164">
        <v>0.87679999999999991</v>
      </c>
      <c r="G1375" s="163">
        <v>6</v>
      </c>
      <c r="H1375" s="163">
        <v>10</v>
      </c>
      <c r="I1375" s="163">
        <v>4</v>
      </c>
      <c r="J1375" s="163">
        <v>4</v>
      </c>
      <c r="K1375" s="163">
        <v>4.648421052631579</v>
      </c>
      <c r="L1375" s="163">
        <v>0.64842105263157901</v>
      </c>
      <c r="M1375" s="163">
        <v>5</v>
      </c>
      <c r="N1375" s="163">
        <v>8.9473684210526319</v>
      </c>
      <c r="O1375" s="163">
        <v>3.9473684210526319</v>
      </c>
      <c r="P1375" s="163"/>
      <c r="Q1375" s="163">
        <v>6</v>
      </c>
      <c r="R1375" s="163">
        <v>0</v>
      </c>
      <c r="S1375" s="163">
        <v>0</v>
      </c>
      <c r="T1375" s="163">
        <v>0</v>
      </c>
      <c r="U1375" s="163">
        <v>0</v>
      </c>
      <c r="V1375" s="163">
        <v>0</v>
      </c>
      <c r="W1375" s="163">
        <v>0</v>
      </c>
      <c r="X1375" s="163">
        <v>0</v>
      </c>
      <c r="Y1375" s="163">
        <v>6</v>
      </c>
      <c r="Z1375" s="163">
        <v>6</v>
      </c>
      <c r="AA1375" s="163">
        <v>0</v>
      </c>
      <c r="AB1375" s="163">
        <v>0</v>
      </c>
      <c r="AC1375" s="163">
        <v>6</v>
      </c>
      <c r="AD1375" s="163">
        <v>0</v>
      </c>
      <c r="AE1375" s="165">
        <v>0.40455990662493929</v>
      </c>
      <c r="AF1375" s="166">
        <v>0.40455990662493929</v>
      </c>
    </row>
    <row r="1376" spans="1:32">
      <c r="A1376" s="161">
        <v>29</v>
      </c>
      <c r="B1376" s="162">
        <v>0.625</v>
      </c>
      <c r="C1376" s="163">
        <v>4.1115719269039115</v>
      </c>
      <c r="D1376" s="163">
        <v>807.24284642010264</v>
      </c>
      <c r="E1376" s="164">
        <v>0.88339999999999996</v>
      </c>
      <c r="F1376" s="164">
        <v>0.88339999999999996</v>
      </c>
      <c r="G1376" s="163">
        <v>6</v>
      </c>
      <c r="H1376" s="163">
        <v>10</v>
      </c>
      <c r="I1376" s="163">
        <v>4</v>
      </c>
      <c r="J1376" s="163">
        <v>4</v>
      </c>
      <c r="K1376" s="163">
        <v>4.648421052631579</v>
      </c>
      <c r="L1376" s="163">
        <v>0.64842105263157901</v>
      </c>
      <c r="M1376" s="163">
        <v>5</v>
      </c>
      <c r="N1376" s="163">
        <v>8.9473684210526319</v>
      </c>
      <c r="O1376" s="163">
        <v>3.9473684210526319</v>
      </c>
      <c r="P1376" s="163"/>
      <c r="Q1376" s="163">
        <v>6</v>
      </c>
      <c r="R1376" s="163">
        <v>0</v>
      </c>
      <c r="S1376" s="163">
        <v>0</v>
      </c>
      <c r="T1376" s="163">
        <v>0</v>
      </c>
      <c r="U1376" s="163">
        <v>0</v>
      </c>
      <c r="V1376" s="163">
        <v>0</v>
      </c>
      <c r="W1376" s="163">
        <v>0</v>
      </c>
      <c r="X1376" s="163">
        <v>0</v>
      </c>
      <c r="Y1376" s="163">
        <v>6</v>
      </c>
      <c r="Z1376" s="163">
        <v>6</v>
      </c>
      <c r="AA1376" s="163">
        <v>0</v>
      </c>
      <c r="AB1376" s="163">
        <v>0</v>
      </c>
      <c r="AC1376" s="163">
        <v>6</v>
      </c>
      <c r="AD1376" s="163">
        <v>0</v>
      </c>
      <c r="AE1376" s="165">
        <v>0.39667436270357215</v>
      </c>
      <c r="AF1376" s="166">
        <v>0.39667436270357215</v>
      </c>
    </row>
    <row r="1377" spans="1:32">
      <c r="A1377" s="161">
        <v>29</v>
      </c>
      <c r="B1377" s="162">
        <v>0.64583333333333337</v>
      </c>
      <c r="C1377" s="163">
        <v>3.9627675465525738</v>
      </c>
      <c r="D1377" s="163">
        <v>805.92833677860187</v>
      </c>
      <c r="E1377" s="164">
        <v>0.89539999999999997</v>
      </c>
      <c r="F1377" s="164">
        <v>0.89539999999999997</v>
      </c>
      <c r="G1377" s="163">
        <v>6</v>
      </c>
      <c r="H1377" s="163">
        <v>10</v>
      </c>
      <c r="I1377" s="163">
        <v>4</v>
      </c>
      <c r="J1377" s="163">
        <v>4</v>
      </c>
      <c r="K1377" s="163">
        <v>4.648421052631579</v>
      </c>
      <c r="L1377" s="163">
        <v>0.64842105263157901</v>
      </c>
      <c r="M1377" s="163">
        <v>5</v>
      </c>
      <c r="N1377" s="163">
        <v>8.9473684210526319</v>
      </c>
      <c r="O1377" s="163">
        <v>3.9473684210526319</v>
      </c>
      <c r="P1377" s="163"/>
      <c r="Q1377" s="163">
        <v>6</v>
      </c>
      <c r="R1377" s="163">
        <v>0</v>
      </c>
      <c r="S1377" s="163">
        <v>0</v>
      </c>
      <c r="T1377" s="163">
        <v>0</v>
      </c>
      <c r="U1377" s="163">
        <v>0</v>
      </c>
      <c r="V1377" s="163">
        <v>0</v>
      </c>
      <c r="W1377" s="163">
        <v>0</v>
      </c>
      <c r="X1377" s="163">
        <v>0</v>
      </c>
      <c r="Y1377" s="163">
        <v>6</v>
      </c>
      <c r="Z1377" s="163">
        <v>6</v>
      </c>
      <c r="AA1377" s="163">
        <v>0</v>
      </c>
      <c r="AB1377" s="163">
        <v>0</v>
      </c>
      <c r="AC1377" s="163">
        <v>6</v>
      </c>
      <c r="AD1377" s="163">
        <v>0</v>
      </c>
      <c r="AE1377" s="165">
        <v>0.38169551692603537</v>
      </c>
      <c r="AF1377" s="166">
        <v>0.38169551692603537</v>
      </c>
    </row>
    <row r="1378" spans="1:32">
      <c r="A1378" s="161">
        <v>29</v>
      </c>
      <c r="B1378" s="162">
        <v>0.66666666666666663</v>
      </c>
      <c r="C1378" s="163">
        <v>3.8193807505356112</v>
      </c>
      <c r="D1378" s="163">
        <v>802.96191852049083</v>
      </c>
      <c r="E1378" s="164">
        <v>0.90689999999999993</v>
      </c>
      <c r="F1378" s="164">
        <v>0.90689999999999993</v>
      </c>
      <c r="G1378" s="163">
        <v>6</v>
      </c>
      <c r="H1378" s="163">
        <v>10</v>
      </c>
      <c r="I1378" s="163">
        <v>4</v>
      </c>
      <c r="J1378" s="163">
        <v>4</v>
      </c>
      <c r="K1378" s="163">
        <v>4.648421052631579</v>
      </c>
      <c r="L1378" s="163">
        <v>0.64842105263157901</v>
      </c>
      <c r="M1378" s="163">
        <v>5</v>
      </c>
      <c r="N1378" s="163">
        <v>8.9473684210526319</v>
      </c>
      <c r="O1378" s="163">
        <v>3.9473684210526319</v>
      </c>
      <c r="P1378" s="163"/>
      <c r="Q1378" s="163">
        <v>6</v>
      </c>
      <c r="R1378" s="163">
        <v>0</v>
      </c>
      <c r="S1378" s="163">
        <v>0</v>
      </c>
      <c r="T1378" s="163">
        <v>0</v>
      </c>
      <c r="U1378" s="163">
        <v>0</v>
      </c>
      <c r="V1378" s="163">
        <v>0</v>
      </c>
      <c r="W1378" s="163">
        <v>0</v>
      </c>
      <c r="X1378" s="163">
        <v>0</v>
      </c>
      <c r="Y1378" s="163">
        <v>6</v>
      </c>
      <c r="Z1378" s="163">
        <v>6</v>
      </c>
      <c r="AA1378" s="163">
        <v>0</v>
      </c>
      <c r="AB1378" s="163">
        <v>0</v>
      </c>
      <c r="AC1378" s="163">
        <v>6</v>
      </c>
      <c r="AD1378" s="163">
        <v>0</v>
      </c>
      <c r="AE1378" s="165">
        <v>0.36653034800973616</v>
      </c>
      <c r="AF1378" s="166">
        <v>0.36653034800973616</v>
      </c>
    </row>
    <row r="1379" spans="1:32">
      <c r="A1379" s="161">
        <v>29</v>
      </c>
      <c r="B1379" s="162">
        <v>0.6875</v>
      </c>
      <c r="C1379" s="163">
        <v>3.6921062804766378</v>
      </c>
      <c r="D1379" s="163">
        <v>797.7818277997435</v>
      </c>
      <c r="E1379" s="164">
        <v>0.9173</v>
      </c>
      <c r="F1379" s="164">
        <v>0.9173</v>
      </c>
      <c r="G1379" s="163">
        <v>6</v>
      </c>
      <c r="H1379" s="163">
        <v>10</v>
      </c>
      <c r="I1379" s="163">
        <v>4</v>
      </c>
      <c r="J1379" s="163">
        <v>4</v>
      </c>
      <c r="K1379" s="163">
        <v>4.648421052631579</v>
      </c>
      <c r="L1379" s="163">
        <v>0.64842105263157901</v>
      </c>
      <c r="M1379" s="163">
        <v>5</v>
      </c>
      <c r="N1379" s="163">
        <v>8.9473684210526319</v>
      </c>
      <c r="O1379" s="163">
        <v>3.9473684210526319</v>
      </c>
      <c r="P1379" s="163"/>
      <c r="Q1379" s="163">
        <v>6</v>
      </c>
      <c r="R1379" s="163">
        <v>0</v>
      </c>
      <c r="S1379" s="163">
        <v>0</v>
      </c>
      <c r="T1379" s="163">
        <v>0</v>
      </c>
      <c r="U1379" s="163">
        <v>0</v>
      </c>
      <c r="V1379" s="163">
        <v>0</v>
      </c>
      <c r="W1379" s="163">
        <v>0</v>
      </c>
      <c r="X1379" s="163">
        <v>0</v>
      </c>
      <c r="Y1379" s="163">
        <v>6</v>
      </c>
      <c r="Z1379" s="163">
        <v>6</v>
      </c>
      <c r="AA1379" s="163">
        <v>0</v>
      </c>
      <c r="AB1379" s="163">
        <v>0</v>
      </c>
      <c r="AC1379" s="163">
        <v>6</v>
      </c>
      <c r="AD1379" s="163">
        <v>0</v>
      </c>
      <c r="AE1379" s="165">
        <v>0.35203056210070527</v>
      </c>
      <c r="AF1379" s="166">
        <v>0.35203056210070527</v>
      </c>
    </row>
    <row r="1380" spans="1:32">
      <c r="A1380" s="161">
        <v>29</v>
      </c>
      <c r="B1380" s="162">
        <v>0.70833333333333337</v>
      </c>
      <c r="C1380" s="163">
        <v>3.6295889357423685</v>
      </c>
      <c r="D1380" s="163">
        <v>778.7854825047018</v>
      </c>
      <c r="E1380" s="164">
        <v>0.92679999999999996</v>
      </c>
      <c r="F1380" s="164">
        <v>0.92679999999999996</v>
      </c>
      <c r="G1380" s="163">
        <v>6</v>
      </c>
      <c r="H1380" s="163">
        <v>10</v>
      </c>
      <c r="I1380" s="163">
        <v>4</v>
      </c>
      <c r="J1380" s="163">
        <v>4</v>
      </c>
      <c r="K1380" s="163">
        <v>4.648421052631579</v>
      </c>
      <c r="L1380" s="163">
        <v>0.64842105263157901</v>
      </c>
      <c r="M1380" s="163">
        <v>5</v>
      </c>
      <c r="N1380" s="163">
        <v>8.9473684210526319</v>
      </c>
      <c r="O1380" s="163">
        <v>3.9473684210526319</v>
      </c>
      <c r="P1380" s="163"/>
      <c r="Q1380" s="163">
        <v>6</v>
      </c>
      <c r="R1380" s="163">
        <v>0</v>
      </c>
      <c r="S1380" s="163">
        <v>0</v>
      </c>
      <c r="T1380" s="163">
        <v>0</v>
      </c>
      <c r="U1380" s="163">
        <v>0</v>
      </c>
      <c r="V1380" s="163">
        <v>0</v>
      </c>
      <c r="W1380" s="163">
        <v>0</v>
      </c>
      <c r="X1380" s="163">
        <v>0</v>
      </c>
      <c r="Y1380" s="163">
        <v>6</v>
      </c>
      <c r="Z1380" s="163">
        <v>6</v>
      </c>
      <c r="AA1380" s="163">
        <v>0</v>
      </c>
      <c r="AB1380" s="163">
        <v>0</v>
      </c>
      <c r="AC1380" s="163">
        <v>6</v>
      </c>
      <c r="AD1380" s="163">
        <v>0</v>
      </c>
      <c r="AE1380" s="165">
        <v>0.33782930908880021</v>
      </c>
      <c r="AF1380" s="166">
        <v>0.33782930908880021</v>
      </c>
    </row>
    <row r="1381" spans="1:32">
      <c r="A1381" s="161">
        <v>29</v>
      </c>
      <c r="B1381" s="162">
        <v>0.72916666666666663</v>
      </c>
      <c r="C1381" s="163">
        <v>3.3887854612825761</v>
      </c>
      <c r="D1381" s="163">
        <v>761.24510751823732</v>
      </c>
      <c r="E1381" s="164">
        <v>0.97929999999999995</v>
      </c>
      <c r="F1381" s="164">
        <v>0.97929999999999995</v>
      </c>
      <c r="G1381" s="163">
        <v>6</v>
      </c>
      <c r="H1381" s="163">
        <v>11.333333333333332</v>
      </c>
      <c r="I1381" s="163">
        <v>5.3333333333333321</v>
      </c>
      <c r="J1381" s="163">
        <v>4</v>
      </c>
      <c r="K1381" s="163">
        <v>4.648421052631579</v>
      </c>
      <c r="L1381" s="163">
        <v>0.64842105263157901</v>
      </c>
      <c r="M1381" s="163">
        <v>5</v>
      </c>
      <c r="N1381" s="163">
        <v>10.140350877192981</v>
      </c>
      <c r="O1381" s="163">
        <v>5.1403508771929811</v>
      </c>
      <c r="P1381" s="163"/>
      <c r="Q1381" s="163">
        <v>6</v>
      </c>
      <c r="R1381" s="163">
        <v>0</v>
      </c>
      <c r="S1381" s="163">
        <v>0</v>
      </c>
      <c r="T1381" s="163">
        <v>0</v>
      </c>
      <c r="U1381" s="163">
        <v>0</v>
      </c>
      <c r="V1381" s="163">
        <v>0</v>
      </c>
      <c r="W1381" s="163">
        <v>0</v>
      </c>
      <c r="X1381" s="163">
        <v>0</v>
      </c>
      <c r="Y1381" s="163">
        <v>6</v>
      </c>
      <c r="Z1381" s="163">
        <v>6</v>
      </c>
      <c r="AA1381" s="163">
        <v>0</v>
      </c>
      <c r="AB1381" s="163">
        <v>0</v>
      </c>
      <c r="AC1381" s="163">
        <v>6</v>
      </c>
      <c r="AD1381" s="163">
        <v>0</v>
      </c>
      <c r="AE1381" s="165">
        <v>0.30831213959198611</v>
      </c>
      <c r="AF1381" s="166">
        <v>0.30831213959198611</v>
      </c>
    </row>
    <row r="1382" spans="1:32">
      <c r="A1382" s="161">
        <v>29</v>
      </c>
      <c r="B1382" s="162">
        <v>0.75</v>
      </c>
      <c r="C1382" s="163">
        <v>3.5753816406749017</v>
      </c>
      <c r="D1382" s="163">
        <v>744.43948524421012</v>
      </c>
      <c r="E1382" s="164">
        <v>0.99619999999999997</v>
      </c>
      <c r="F1382" s="164">
        <v>0.99619999999999997</v>
      </c>
      <c r="G1382" s="163">
        <v>6</v>
      </c>
      <c r="H1382" s="163">
        <v>13.333333333333332</v>
      </c>
      <c r="I1382" s="163">
        <v>7.3333333333333321</v>
      </c>
      <c r="J1382" s="163">
        <v>4</v>
      </c>
      <c r="K1382" s="163">
        <v>4.648421052631579</v>
      </c>
      <c r="L1382" s="163">
        <v>0.64842105263157901</v>
      </c>
      <c r="M1382" s="163">
        <v>5</v>
      </c>
      <c r="N1382" s="163">
        <v>11.929824561403509</v>
      </c>
      <c r="O1382" s="163">
        <v>6.9298245614035086</v>
      </c>
      <c r="P1382" s="163"/>
      <c r="Q1382" s="163">
        <v>8</v>
      </c>
      <c r="R1382" s="163">
        <v>0</v>
      </c>
      <c r="S1382" s="163">
        <v>0</v>
      </c>
      <c r="T1382" s="163">
        <v>0</v>
      </c>
      <c r="U1382" s="163">
        <v>0</v>
      </c>
      <c r="V1382" s="163">
        <v>0</v>
      </c>
      <c r="W1382" s="163">
        <v>0</v>
      </c>
      <c r="X1382" s="163">
        <v>0</v>
      </c>
      <c r="Y1382" s="163">
        <v>8</v>
      </c>
      <c r="Z1382" s="163">
        <v>8</v>
      </c>
      <c r="AA1382" s="163">
        <v>0</v>
      </c>
      <c r="AB1382" s="163">
        <v>0</v>
      </c>
      <c r="AC1382" s="163">
        <v>8</v>
      </c>
      <c r="AD1382" s="163">
        <v>0</v>
      </c>
      <c r="AE1382" s="165">
        <v>0.23858058808205407</v>
      </c>
      <c r="AF1382" s="166">
        <v>0.31810745077607211</v>
      </c>
    </row>
    <row r="1383" spans="1:32">
      <c r="A1383" s="161">
        <v>29</v>
      </c>
      <c r="B1383" s="162">
        <v>0.77083333333333337</v>
      </c>
      <c r="C1383" s="163">
        <v>3.8119586973390822</v>
      </c>
      <c r="D1383" s="163">
        <v>727.79293229588529</v>
      </c>
      <c r="E1383" s="164">
        <v>0.99529999999999996</v>
      </c>
      <c r="F1383" s="164">
        <v>0.99529999999999996</v>
      </c>
      <c r="G1383" s="163">
        <v>6</v>
      </c>
      <c r="H1383" s="163">
        <v>13.333333333333332</v>
      </c>
      <c r="I1383" s="163">
        <v>7.3333333333333321</v>
      </c>
      <c r="J1383" s="163">
        <v>4</v>
      </c>
      <c r="K1383" s="163">
        <v>4.648421052631579</v>
      </c>
      <c r="L1383" s="163">
        <v>0.64842105263157901</v>
      </c>
      <c r="M1383" s="163">
        <v>5</v>
      </c>
      <c r="N1383" s="163">
        <v>11.929824561403509</v>
      </c>
      <c r="O1383" s="163">
        <v>6.9298245614035086</v>
      </c>
      <c r="P1383" s="163"/>
      <c r="Q1383" s="163">
        <v>8</v>
      </c>
      <c r="R1383" s="163">
        <v>0</v>
      </c>
      <c r="S1383" s="163">
        <v>0</v>
      </c>
      <c r="T1383" s="163">
        <v>0</v>
      </c>
      <c r="U1383" s="163">
        <v>0</v>
      </c>
      <c r="V1383" s="163">
        <v>0</v>
      </c>
      <c r="W1383" s="163">
        <v>0</v>
      </c>
      <c r="X1383" s="163">
        <v>0</v>
      </c>
      <c r="Y1383" s="163">
        <v>8</v>
      </c>
      <c r="Z1383" s="163">
        <v>8</v>
      </c>
      <c r="AA1383" s="163">
        <v>0</v>
      </c>
      <c r="AB1383" s="163">
        <v>0</v>
      </c>
      <c r="AC1383" s="163">
        <v>8</v>
      </c>
      <c r="AD1383" s="163">
        <v>0</v>
      </c>
      <c r="AE1383" s="165">
        <v>0.24867911837832626</v>
      </c>
      <c r="AF1383" s="166">
        <v>0.33157215783776833</v>
      </c>
    </row>
    <row r="1384" spans="1:32">
      <c r="A1384" s="161">
        <v>29</v>
      </c>
      <c r="B1384" s="162">
        <v>0.79166666666666663</v>
      </c>
      <c r="C1384" s="163">
        <v>3.5530240216993341</v>
      </c>
      <c r="D1384" s="163">
        <v>716.52034243145715</v>
      </c>
      <c r="E1384" s="164">
        <v>0.99690000000000001</v>
      </c>
      <c r="F1384" s="164">
        <v>0.99690000000000001</v>
      </c>
      <c r="G1384" s="163">
        <v>4</v>
      </c>
      <c r="H1384" s="163">
        <v>13.333333333333332</v>
      </c>
      <c r="I1384" s="163">
        <v>9.3333333333333321</v>
      </c>
      <c r="J1384" s="163">
        <v>3</v>
      </c>
      <c r="K1384" s="163">
        <v>3.0989473684210527</v>
      </c>
      <c r="L1384" s="163">
        <v>9.8947368421052673E-2</v>
      </c>
      <c r="M1384" s="163">
        <v>4</v>
      </c>
      <c r="N1384" s="163">
        <v>11.929824561403509</v>
      </c>
      <c r="O1384" s="163">
        <v>7.9298245614035086</v>
      </c>
      <c r="P1384" s="163"/>
      <c r="Q1384" s="163">
        <v>8</v>
      </c>
      <c r="R1384" s="163">
        <v>0</v>
      </c>
      <c r="S1384" s="163">
        <v>0</v>
      </c>
      <c r="T1384" s="163">
        <v>0</v>
      </c>
      <c r="U1384" s="163">
        <v>0</v>
      </c>
      <c r="V1384" s="163">
        <v>0</v>
      </c>
      <c r="W1384" s="163">
        <v>0</v>
      </c>
      <c r="X1384" s="163">
        <v>0</v>
      </c>
      <c r="Y1384" s="163">
        <v>8</v>
      </c>
      <c r="Z1384" s="163">
        <v>8</v>
      </c>
      <c r="AA1384" s="163">
        <v>0</v>
      </c>
      <c r="AB1384" s="163">
        <v>0</v>
      </c>
      <c r="AC1384" s="163">
        <v>8</v>
      </c>
      <c r="AD1384" s="163">
        <v>0</v>
      </c>
      <c r="AE1384" s="165">
        <v>0.22819701929163269</v>
      </c>
      <c r="AF1384" s="166">
        <v>0.45639403858326538</v>
      </c>
    </row>
    <row r="1385" spans="1:32">
      <c r="A1385" s="161">
        <v>29</v>
      </c>
      <c r="B1385" s="162">
        <v>0.8125</v>
      </c>
      <c r="C1385" s="163">
        <v>3.3123462878000764</v>
      </c>
      <c r="D1385" s="163">
        <v>713.04108483999539</v>
      </c>
      <c r="E1385" s="164">
        <v>0.99790000000000001</v>
      </c>
      <c r="F1385" s="164">
        <v>0.99790000000000001</v>
      </c>
      <c r="G1385" s="163">
        <v>4</v>
      </c>
      <c r="H1385" s="163">
        <v>13.333333333333332</v>
      </c>
      <c r="I1385" s="163">
        <v>9.3333333333333321</v>
      </c>
      <c r="J1385" s="163">
        <v>3</v>
      </c>
      <c r="K1385" s="163">
        <v>3.0989473684210527</v>
      </c>
      <c r="L1385" s="163">
        <v>9.8947368421052673E-2</v>
      </c>
      <c r="M1385" s="163">
        <v>4</v>
      </c>
      <c r="N1385" s="163">
        <v>11.929824561403509</v>
      </c>
      <c r="O1385" s="163">
        <v>7.9298245614035086</v>
      </c>
      <c r="P1385" s="163"/>
      <c r="Q1385" s="163">
        <v>8</v>
      </c>
      <c r="R1385" s="163">
        <v>0</v>
      </c>
      <c r="S1385" s="163">
        <v>0</v>
      </c>
      <c r="T1385" s="163">
        <v>0</v>
      </c>
      <c r="U1385" s="163">
        <v>0</v>
      </c>
      <c r="V1385" s="163">
        <v>0</v>
      </c>
      <c r="W1385" s="163">
        <v>0</v>
      </c>
      <c r="X1385" s="163">
        <v>0</v>
      </c>
      <c r="Y1385" s="163">
        <v>8</v>
      </c>
      <c r="Z1385" s="163">
        <v>8</v>
      </c>
      <c r="AA1385" s="163">
        <v>0</v>
      </c>
      <c r="AB1385" s="163">
        <v>0</v>
      </c>
      <c r="AC1385" s="163">
        <v>8</v>
      </c>
      <c r="AD1385" s="163">
        <v>0</v>
      </c>
      <c r="AE1385" s="165">
        <v>0.21170620479485236</v>
      </c>
      <c r="AF1385" s="166">
        <v>0.42341240958970472</v>
      </c>
    </row>
    <row r="1386" spans="1:32">
      <c r="A1386" s="161">
        <v>29</v>
      </c>
      <c r="B1386" s="162">
        <v>0.83333333333333337</v>
      </c>
      <c r="C1386" s="163">
        <v>3.1503935266389131</v>
      </c>
      <c r="D1386" s="163">
        <v>705.60708456365558</v>
      </c>
      <c r="E1386" s="164">
        <v>0.97626666666666662</v>
      </c>
      <c r="F1386" s="164">
        <v>0.97626666666666662</v>
      </c>
      <c r="G1386" s="163">
        <v>4</v>
      </c>
      <c r="H1386" s="163">
        <v>12</v>
      </c>
      <c r="I1386" s="163">
        <v>8</v>
      </c>
      <c r="J1386" s="163">
        <v>3</v>
      </c>
      <c r="K1386" s="163">
        <v>3.0989473684210527</v>
      </c>
      <c r="L1386" s="163">
        <v>9.8947368421052673E-2</v>
      </c>
      <c r="M1386" s="163">
        <v>4</v>
      </c>
      <c r="N1386" s="163">
        <v>10.736842105263158</v>
      </c>
      <c r="O1386" s="163">
        <v>6.7368421052631575</v>
      </c>
      <c r="P1386" s="163"/>
      <c r="Q1386" s="163">
        <v>8</v>
      </c>
      <c r="R1386" s="163">
        <v>0</v>
      </c>
      <c r="S1386" s="163">
        <v>0</v>
      </c>
      <c r="T1386" s="163">
        <v>0</v>
      </c>
      <c r="U1386" s="163">
        <v>0</v>
      </c>
      <c r="V1386" s="163">
        <v>0</v>
      </c>
      <c r="W1386" s="163">
        <v>0</v>
      </c>
      <c r="X1386" s="163">
        <v>0</v>
      </c>
      <c r="Y1386" s="163">
        <v>8</v>
      </c>
      <c r="Z1386" s="163">
        <v>8</v>
      </c>
      <c r="AA1386" s="163">
        <v>0</v>
      </c>
      <c r="AB1386" s="163">
        <v>0</v>
      </c>
      <c r="AC1386" s="163">
        <v>8</v>
      </c>
      <c r="AD1386" s="163">
        <v>0</v>
      </c>
      <c r="AE1386" s="165">
        <v>0.19925583031230201</v>
      </c>
      <c r="AF1386" s="166">
        <v>0.39851166062460402</v>
      </c>
    </row>
    <row r="1387" spans="1:32">
      <c r="A1387" s="161">
        <v>29</v>
      </c>
      <c r="B1387" s="162">
        <v>0.85416666666666663</v>
      </c>
      <c r="C1387" s="163">
        <v>2.825370833980716</v>
      </c>
      <c r="D1387" s="163">
        <v>700.78917145446746</v>
      </c>
      <c r="E1387" s="164">
        <v>0.92099999999999993</v>
      </c>
      <c r="F1387" s="164">
        <v>0.92099999999999993</v>
      </c>
      <c r="G1387" s="163">
        <v>4</v>
      </c>
      <c r="H1387" s="163">
        <v>8.6666666666666661</v>
      </c>
      <c r="I1387" s="163">
        <v>4.6666666666666661</v>
      </c>
      <c r="J1387" s="163">
        <v>3</v>
      </c>
      <c r="K1387" s="163">
        <v>3.0989473684210527</v>
      </c>
      <c r="L1387" s="163">
        <v>9.8947368421052673E-2</v>
      </c>
      <c r="M1387" s="163">
        <v>4</v>
      </c>
      <c r="N1387" s="163">
        <v>7.7543859649122799</v>
      </c>
      <c r="O1387" s="163">
        <v>3.7543859649122799</v>
      </c>
      <c r="P1387" s="163"/>
      <c r="Q1387" s="163">
        <v>6</v>
      </c>
      <c r="R1387" s="163">
        <v>0</v>
      </c>
      <c r="S1387" s="163">
        <v>0</v>
      </c>
      <c r="T1387" s="163">
        <v>0</v>
      </c>
      <c r="U1387" s="163">
        <v>0</v>
      </c>
      <c r="V1387" s="163">
        <v>0</v>
      </c>
      <c r="W1387" s="163">
        <v>0</v>
      </c>
      <c r="X1387" s="163">
        <v>0</v>
      </c>
      <c r="Y1387" s="163">
        <v>6</v>
      </c>
      <c r="Z1387" s="163">
        <v>6</v>
      </c>
      <c r="AA1387" s="163">
        <v>0</v>
      </c>
      <c r="AB1387" s="163">
        <v>0</v>
      </c>
      <c r="AC1387" s="163">
        <v>6</v>
      </c>
      <c r="AD1387" s="163">
        <v>0</v>
      </c>
      <c r="AE1387" s="165">
        <v>0.23663821224676876</v>
      </c>
      <c r="AF1387" s="166">
        <v>0.3549573183701531</v>
      </c>
    </row>
    <row r="1388" spans="1:32">
      <c r="A1388" s="161">
        <v>29</v>
      </c>
      <c r="B1388" s="162">
        <v>0.875</v>
      </c>
      <c r="C1388" s="163">
        <v>2.3612442947500352</v>
      </c>
      <c r="D1388" s="163">
        <v>702.5352936486272</v>
      </c>
      <c r="E1388" s="164">
        <v>0.93110000000000015</v>
      </c>
      <c r="F1388" s="164">
        <v>0.93110000000000015</v>
      </c>
      <c r="G1388" s="163">
        <v>4</v>
      </c>
      <c r="H1388" s="163">
        <v>6.6666666666666661</v>
      </c>
      <c r="I1388" s="163">
        <v>2.6666666666666661</v>
      </c>
      <c r="J1388" s="163">
        <v>3</v>
      </c>
      <c r="K1388" s="163">
        <v>3.0989473684210527</v>
      </c>
      <c r="L1388" s="163">
        <v>9.8947368421052673E-2</v>
      </c>
      <c r="M1388" s="163">
        <v>4</v>
      </c>
      <c r="N1388" s="163">
        <v>5.9649122807017543</v>
      </c>
      <c r="O1388" s="163">
        <v>1.9649122807017543</v>
      </c>
      <c r="P1388" s="163"/>
      <c r="Q1388" s="163">
        <v>4</v>
      </c>
      <c r="R1388" s="163">
        <v>0</v>
      </c>
      <c r="S1388" s="163">
        <v>0</v>
      </c>
      <c r="T1388" s="163">
        <v>0</v>
      </c>
      <c r="U1388" s="163">
        <v>0</v>
      </c>
      <c r="V1388" s="163">
        <v>0</v>
      </c>
      <c r="W1388" s="163">
        <v>0</v>
      </c>
      <c r="X1388" s="163">
        <v>0</v>
      </c>
      <c r="Y1388" s="163">
        <v>4</v>
      </c>
      <c r="Z1388" s="163">
        <v>4</v>
      </c>
      <c r="AA1388" s="163">
        <v>0</v>
      </c>
      <c r="AB1388" s="163">
        <v>0</v>
      </c>
      <c r="AC1388" s="163">
        <v>4</v>
      </c>
      <c r="AD1388" s="163">
        <v>0</v>
      </c>
      <c r="AE1388" s="165">
        <v>0.2973872624714945</v>
      </c>
      <c r="AF1388" s="166">
        <v>0.2973872624714945</v>
      </c>
    </row>
    <row r="1389" spans="1:32">
      <c r="A1389" s="161">
        <v>29</v>
      </c>
      <c r="B1389" s="162">
        <v>0.89583333333333337</v>
      </c>
      <c r="C1389" s="163">
        <v>2.065158153862221</v>
      </c>
      <c r="D1389" s="163">
        <v>691.52452216473398</v>
      </c>
      <c r="E1389" s="164">
        <v>0.95289999999999997</v>
      </c>
      <c r="F1389" s="164">
        <v>0.95289999999999997</v>
      </c>
      <c r="G1389" s="163">
        <v>4</v>
      </c>
      <c r="H1389" s="163">
        <v>6.6666666666666661</v>
      </c>
      <c r="I1389" s="163">
        <v>2.6666666666666661</v>
      </c>
      <c r="J1389" s="163">
        <v>3</v>
      </c>
      <c r="K1389" s="163">
        <v>3.0989473684210527</v>
      </c>
      <c r="L1389" s="163">
        <v>9.8947368421052673E-2</v>
      </c>
      <c r="M1389" s="163">
        <v>4</v>
      </c>
      <c r="N1389" s="163">
        <v>5.9649122807017543</v>
      </c>
      <c r="O1389" s="163">
        <v>1.9649122807017543</v>
      </c>
      <c r="P1389" s="163"/>
      <c r="Q1389" s="163">
        <v>4</v>
      </c>
      <c r="R1389" s="163">
        <v>0</v>
      </c>
      <c r="S1389" s="163">
        <v>0</v>
      </c>
      <c r="T1389" s="163">
        <v>0</v>
      </c>
      <c r="U1389" s="163">
        <v>0</v>
      </c>
      <c r="V1389" s="163">
        <v>0</v>
      </c>
      <c r="W1389" s="163">
        <v>0</v>
      </c>
      <c r="X1389" s="163">
        <v>0</v>
      </c>
      <c r="Y1389" s="163">
        <v>4</v>
      </c>
      <c r="Z1389" s="163">
        <v>4</v>
      </c>
      <c r="AA1389" s="163">
        <v>0</v>
      </c>
      <c r="AB1389" s="163">
        <v>0</v>
      </c>
      <c r="AC1389" s="163">
        <v>4</v>
      </c>
      <c r="AD1389" s="163">
        <v>0</v>
      </c>
      <c r="AE1389" s="165">
        <v>0.25602017856789094</v>
      </c>
      <c r="AF1389" s="166">
        <v>0.25602017856789094</v>
      </c>
    </row>
    <row r="1390" spans="1:32">
      <c r="A1390" s="161">
        <v>29</v>
      </c>
      <c r="B1390" s="162">
        <v>0.91666666666666663</v>
      </c>
      <c r="C1390" s="163">
        <v>1.7687630857701155</v>
      </c>
      <c r="D1390" s="163">
        <v>685.23030527210199</v>
      </c>
      <c r="E1390" s="164">
        <v>0.63646666666666663</v>
      </c>
      <c r="F1390" s="164">
        <v>0.63646666666666663</v>
      </c>
      <c r="G1390" s="163">
        <v>3</v>
      </c>
      <c r="H1390" s="163">
        <v>5.333333333333333</v>
      </c>
      <c r="I1390" s="163">
        <v>2.333333333333333</v>
      </c>
      <c r="J1390" s="163">
        <v>2</v>
      </c>
      <c r="K1390" s="163">
        <v>2.3242105263157895</v>
      </c>
      <c r="L1390" s="163">
        <v>0.3242105263157895</v>
      </c>
      <c r="M1390" s="163">
        <v>3</v>
      </c>
      <c r="N1390" s="163">
        <v>4.7719298245614032</v>
      </c>
      <c r="O1390" s="163">
        <v>1.7719298245614032</v>
      </c>
      <c r="P1390" s="163"/>
      <c r="Q1390" s="163">
        <v>4</v>
      </c>
      <c r="R1390" s="163">
        <v>0</v>
      </c>
      <c r="S1390" s="163">
        <v>0</v>
      </c>
      <c r="T1390" s="163">
        <v>0</v>
      </c>
      <c r="U1390" s="163">
        <v>0</v>
      </c>
      <c r="V1390" s="163">
        <v>0</v>
      </c>
      <c r="W1390" s="163">
        <v>0</v>
      </c>
      <c r="X1390" s="163">
        <v>0</v>
      </c>
      <c r="Y1390" s="163">
        <v>4</v>
      </c>
      <c r="Z1390" s="163">
        <v>4</v>
      </c>
      <c r="AA1390" s="163">
        <v>0</v>
      </c>
      <c r="AB1390" s="163">
        <v>0</v>
      </c>
      <c r="AC1390" s="163">
        <v>4</v>
      </c>
      <c r="AD1390" s="163">
        <v>0</v>
      </c>
      <c r="AE1390" s="165">
        <v>0.21727988484213981</v>
      </c>
      <c r="AF1390" s="166">
        <v>0.28970651312285312</v>
      </c>
    </row>
    <row r="1391" spans="1:32">
      <c r="A1391" s="161">
        <v>29</v>
      </c>
      <c r="B1391" s="162">
        <v>0.9375</v>
      </c>
      <c r="C1391" s="163">
        <v>1.5401273868284207</v>
      </c>
      <c r="D1391" s="163">
        <v>672.56592265311974</v>
      </c>
      <c r="E1391" s="164">
        <v>0.53569999999999995</v>
      </c>
      <c r="F1391" s="164">
        <v>0.53569999999999995</v>
      </c>
      <c r="G1391" s="163">
        <v>3</v>
      </c>
      <c r="H1391" s="163">
        <v>3.333333333333333</v>
      </c>
      <c r="I1391" s="163">
        <v>0.33333333333333304</v>
      </c>
      <c r="J1391" s="163">
        <v>2</v>
      </c>
      <c r="K1391" s="163">
        <v>2.3242105263157895</v>
      </c>
      <c r="L1391" s="163">
        <v>0.3242105263157895</v>
      </c>
      <c r="M1391" s="163">
        <v>3</v>
      </c>
      <c r="N1391" s="163">
        <v>2.9824561403508771</v>
      </c>
      <c r="O1391" s="163">
        <v>-1.7543859649122862E-2</v>
      </c>
      <c r="P1391" s="163"/>
      <c r="Q1391" s="163">
        <v>2</v>
      </c>
      <c r="R1391" s="163">
        <v>0</v>
      </c>
      <c r="S1391" s="163">
        <v>0</v>
      </c>
      <c r="T1391" s="163">
        <v>0</v>
      </c>
      <c r="U1391" s="163">
        <v>0</v>
      </c>
      <c r="V1391" s="163">
        <v>0</v>
      </c>
      <c r="W1391" s="163">
        <v>0</v>
      </c>
      <c r="X1391" s="163">
        <v>0</v>
      </c>
      <c r="Y1391" s="163">
        <v>2</v>
      </c>
      <c r="Z1391" s="163">
        <v>2</v>
      </c>
      <c r="AA1391" s="163">
        <v>0</v>
      </c>
      <c r="AB1391" s="163">
        <v>0</v>
      </c>
      <c r="AC1391" s="163">
        <v>2</v>
      </c>
      <c r="AD1391" s="163">
        <v>0</v>
      </c>
      <c r="AE1391" s="165">
        <v>0.37139392250879949</v>
      </c>
      <c r="AF1391" s="166">
        <v>0.24759594833919965</v>
      </c>
    </row>
    <row r="1392" spans="1:32">
      <c r="A1392" s="161">
        <v>29</v>
      </c>
      <c r="B1392" s="162">
        <v>0.95833333333333337</v>
      </c>
      <c r="C1392" s="163">
        <v>1.3023418237046764</v>
      </c>
      <c r="D1392" s="163">
        <v>661.71906944852856</v>
      </c>
      <c r="E1392" s="164">
        <v>0.60370000000000001</v>
      </c>
      <c r="F1392" s="164">
        <v>0.60370000000000001</v>
      </c>
      <c r="G1392" s="163">
        <v>3</v>
      </c>
      <c r="H1392" s="163">
        <v>3.333333333333333</v>
      </c>
      <c r="I1392" s="163">
        <v>0.33333333333333304</v>
      </c>
      <c r="J1392" s="163">
        <v>2</v>
      </c>
      <c r="K1392" s="163">
        <v>2.3242105263157895</v>
      </c>
      <c r="L1392" s="163">
        <v>0.3242105263157895</v>
      </c>
      <c r="M1392" s="163">
        <v>3</v>
      </c>
      <c r="N1392" s="163">
        <v>2.9824561403508771</v>
      </c>
      <c r="O1392" s="163">
        <v>-1.7543859649122862E-2</v>
      </c>
      <c r="P1392" s="163"/>
      <c r="Q1392" s="163">
        <v>2</v>
      </c>
      <c r="R1392" s="163">
        <v>0</v>
      </c>
      <c r="S1392" s="163">
        <v>0</v>
      </c>
      <c r="T1392" s="163">
        <v>0</v>
      </c>
      <c r="U1392" s="163">
        <v>0</v>
      </c>
      <c r="V1392" s="163">
        <v>0</v>
      </c>
      <c r="W1392" s="163">
        <v>0</v>
      </c>
      <c r="X1392" s="163">
        <v>0</v>
      </c>
      <c r="Y1392" s="163">
        <v>2</v>
      </c>
      <c r="Z1392" s="163">
        <v>2</v>
      </c>
      <c r="AA1392" s="163">
        <v>0</v>
      </c>
      <c r="AB1392" s="163">
        <v>0</v>
      </c>
      <c r="AC1392" s="163">
        <v>2</v>
      </c>
      <c r="AD1392" s="163">
        <v>0</v>
      </c>
      <c r="AE1392" s="165">
        <v>0.30898822414759597</v>
      </c>
      <c r="AF1392" s="166">
        <v>0.20599214943173064</v>
      </c>
    </row>
    <row r="1393" spans="1:32">
      <c r="A1393" s="161">
        <v>29</v>
      </c>
      <c r="B1393" s="162">
        <v>0.97916666666666663</v>
      </c>
      <c r="C1393" s="163">
        <v>0.99925720103978732</v>
      </c>
      <c r="D1393" s="163">
        <v>595.4263512805594</v>
      </c>
      <c r="E1393" s="164">
        <v>0.71599999999999986</v>
      </c>
      <c r="F1393" s="164">
        <v>0.71599999999999986</v>
      </c>
      <c r="G1393" s="163">
        <v>3</v>
      </c>
      <c r="H1393" s="163">
        <v>3.333333333333333</v>
      </c>
      <c r="I1393" s="163">
        <v>0.33333333333333304</v>
      </c>
      <c r="J1393" s="163">
        <v>2</v>
      </c>
      <c r="K1393" s="163">
        <v>2.3242105263157895</v>
      </c>
      <c r="L1393" s="163">
        <v>0.3242105263157895</v>
      </c>
      <c r="M1393" s="163">
        <v>3</v>
      </c>
      <c r="N1393" s="163">
        <v>2.9824561403508771</v>
      </c>
      <c r="O1393" s="163">
        <v>-1.7543859649122862E-2</v>
      </c>
      <c r="P1393" s="163"/>
      <c r="Q1393" s="163">
        <v>2</v>
      </c>
      <c r="R1393" s="163">
        <v>0</v>
      </c>
      <c r="S1393" s="163">
        <v>0</v>
      </c>
      <c r="T1393" s="163">
        <v>0</v>
      </c>
      <c r="U1393" s="163">
        <v>0</v>
      </c>
      <c r="V1393" s="163">
        <v>0</v>
      </c>
      <c r="W1393" s="163">
        <v>0</v>
      </c>
      <c r="X1393" s="163">
        <v>0</v>
      </c>
      <c r="Y1393" s="163">
        <v>2</v>
      </c>
      <c r="Z1393" s="163">
        <v>2</v>
      </c>
      <c r="AA1393" s="163">
        <v>0</v>
      </c>
      <c r="AB1393" s="163">
        <v>0</v>
      </c>
      <c r="AC1393" s="163">
        <v>2</v>
      </c>
      <c r="AD1393" s="163">
        <v>0</v>
      </c>
      <c r="AE1393" s="165">
        <v>0.21332837626269915</v>
      </c>
      <c r="AF1393" s="166">
        <v>0.1422189175084661</v>
      </c>
    </row>
    <row r="1394" spans="1:32">
      <c r="A1394" s="161">
        <v>30</v>
      </c>
      <c r="B1394" s="162">
        <v>0</v>
      </c>
      <c r="C1394" s="163">
        <v>0.67435748013880392</v>
      </c>
      <c r="D1394" s="163">
        <v>641.76599114487863</v>
      </c>
      <c r="E1394" s="164">
        <v>0.78739999999999999</v>
      </c>
      <c r="F1394" s="164">
        <v>0.78739999999999999</v>
      </c>
      <c r="G1394" s="163">
        <v>3</v>
      </c>
      <c r="H1394" s="163">
        <v>3.333333333333333</v>
      </c>
      <c r="I1394" s="163">
        <v>0.33333333333333304</v>
      </c>
      <c r="J1394" s="163">
        <v>2</v>
      </c>
      <c r="K1394" s="163">
        <v>2.3242105263157895</v>
      </c>
      <c r="L1394" s="163">
        <v>0.3242105263157895</v>
      </c>
      <c r="M1394" s="163">
        <v>3</v>
      </c>
      <c r="N1394" s="163">
        <v>2.9824561403508771</v>
      </c>
      <c r="O1394" s="163">
        <v>-1.7543859649122862E-2</v>
      </c>
      <c r="P1394" s="163"/>
      <c r="Q1394" s="163">
        <v>2</v>
      </c>
      <c r="R1394" s="163">
        <v>0</v>
      </c>
      <c r="S1394" s="163">
        <v>0</v>
      </c>
      <c r="T1394" s="163">
        <v>0</v>
      </c>
      <c r="U1394" s="163">
        <v>0</v>
      </c>
      <c r="V1394" s="163">
        <v>0</v>
      </c>
      <c r="W1394" s="163">
        <v>0</v>
      </c>
      <c r="X1394" s="163">
        <v>0</v>
      </c>
      <c r="Y1394" s="163">
        <v>2</v>
      </c>
      <c r="Z1394" s="163">
        <v>2</v>
      </c>
      <c r="AA1394" s="163">
        <v>0</v>
      </c>
      <c r="AB1394" s="163">
        <v>0</v>
      </c>
      <c r="AC1394" s="163">
        <v>2</v>
      </c>
      <c r="AD1394" s="163">
        <v>0</v>
      </c>
      <c r="AE1394" s="165">
        <v>0.15517086043020839</v>
      </c>
      <c r="AF1394" s="166">
        <v>0.1034472402868056</v>
      </c>
    </row>
    <row r="1395" spans="1:32">
      <c r="A1395" s="161">
        <v>30</v>
      </c>
      <c r="B1395" s="162">
        <v>2.0833333333333332E-2</v>
      </c>
      <c r="C1395" s="163">
        <v>0.4284263262225676</v>
      </c>
      <c r="D1395" s="163">
        <v>641.60635135054099</v>
      </c>
      <c r="E1395" s="164">
        <v>0.86129999999999995</v>
      </c>
      <c r="F1395" s="164">
        <v>0.86129999999999995</v>
      </c>
      <c r="G1395" s="163">
        <v>2</v>
      </c>
      <c r="H1395" s="163">
        <v>3.333333333333333</v>
      </c>
      <c r="I1395" s="163">
        <v>1.333333333333333</v>
      </c>
      <c r="J1395" s="163">
        <v>1</v>
      </c>
      <c r="K1395" s="163">
        <v>1.5494736842105263</v>
      </c>
      <c r="L1395" s="163">
        <v>0.54947368421052634</v>
      </c>
      <c r="M1395" s="163">
        <v>2</v>
      </c>
      <c r="N1395" s="163">
        <v>2.9824561403508771</v>
      </c>
      <c r="O1395" s="163">
        <v>0.98245614035087714</v>
      </c>
      <c r="P1395" s="163"/>
      <c r="Q1395" s="163">
        <v>2</v>
      </c>
      <c r="R1395" s="163">
        <v>0</v>
      </c>
      <c r="S1395" s="163">
        <v>0</v>
      </c>
      <c r="T1395" s="163">
        <v>0</v>
      </c>
      <c r="U1395" s="163">
        <v>0</v>
      </c>
      <c r="V1395" s="163">
        <v>0</v>
      </c>
      <c r="W1395" s="163">
        <v>0</v>
      </c>
      <c r="X1395" s="163">
        <v>0</v>
      </c>
      <c r="Y1395" s="163">
        <v>2</v>
      </c>
      <c r="Z1395" s="163">
        <v>2</v>
      </c>
      <c r="AA1395" s="163">
        <v>0</v>
      </c>
      <c r="AB1395" s="163">
        <v>0</v>
      </c>
      <c r="AC1395" s="163">
        <v>2</v>
      </c>
      <c r="AD1395" s="163">
        <v>0</v>
      </c>
      <c r="AE1395" s="165">
        <v>9.8557140470512256E-2</v>
      </c>
      <c r="AF1395" s="166">
        <v>9.8557140470512256E-2</v>
      </c>
    </row>
    <row r="1396" spans="1:32">
      <c r="A1396" s="161">
        <v>30</v>
      </c>
      <c r="B1396" s="162">
        <v>4.1666666666666664E-2</v>
      </c>
      <c r="C1396" s="163">
        <v>0.59111578945624588</v>
      </c>
      <c r="D1396" s="163">
        <v>599.56171049473642</v>
      </c>
      <c r="E1396" s="164">
        <v>0.82410000000000005</v>
      </c>
      <c r="F1396" s="164">
        <v>0.82410000000000005</v>
      </c>
      <c r="G1396" s="163">
        <v>2</v>
      </c>
      <c r="H1396" s="163">
        <v>3.333333333333333</v>
      </c>
      <c r="I1396" s="163">
        <v>1.333333333333333</v>
      </c>
      <c r="J1396" s="163">
        <v>1</v>
      </c>
      <c r="K1396" s="163">
        <v>1.5494736842105263</v>
      </c>
      <c r="L1396" s="163">
        <v>0.54947368421052634</v>
      </c>
      <c r="M1396" s="163">
        <v>2</v>
      </c>
      <c r="N1396" s="163">
        <v>2.9824561403508771</v>
      </c>
      <c r="O1396" s="163">
        <v>0.98245614035087714</v>
      </c>
      <c r="P1396" s="163"/>
      <c r="Q1396" s="163">
        <v>2</v>
      </c>
      <c r="R1396" s="163">
        <v>0</v>
      </c>
      <c r="S1396" s="163">
        <v>0</v>
      </c>
      <c r="T1396" s="163">
        <v>0</v>
      </c>
      <c r="U1396" s="163">
        <v>0</v>
      </c>
      <c r="V1396" s="163">
        <v>0</v>
      </c>
      <c r="W1396" s="163">
        <v>0</v>
      </c>
      <c r="X1396" s="163">
        <v>0</v>
      </c>
      <c r="Y1396" s="163">
        <v>2</v>
      </c>
      <c r="Z1396" s="163">
        <v>2</v>
      </c>
      <c r="AA1396" s="163">
        <v>0</v>
      </c>
      <c r="AB1396" s="163">
        <v>0</v>
      </c>
      <c r="AC1396" s="163">
        <v>2</v>
      </c>
      <c r="AD1396" s="163">
        <v>0</v>
      </c>
      <c r="AE1396" s="165">
        <v>0.12707196336635401</v>
      </c>
      <c r="AF1396" s="166">
        <v>0.12707196336635401</v>
      </c>
    </row>
    <row r="1397" spans="1:32">
      <c r="A1397" s="161">
        <v>30</v>
      </c>
      <c r="B1397" s="162">
        <v>6.25E-2</v>
      </c>
      <c r="C1397" s="163">
        <v>0.46222167355942234</v>
      </c>
      <c r="D1397" s="163">
        <v>649.16788635608668</v>
      </c>
      <c r="E1397" s="164">
        <v>0.84920000000000007</v>
      </c>
      <c r="F1397" s="164">
        <v>0.84920000000000007</v>
      </c>
      <c r="G1397" s="163">
        <v>2</v>
      </c>
      <c r="H1397" s="163">
        <v>3.333333333333333</v>
      </c>
      <c r="I1397" s="163">
        <v>1.333333333333333</v>
      </c>
      <c r="J1397" s="163">
        <v>1</v>
      </c>
      <c r="K1397" s="163">
        <v>1.5494736842105263</v>
      </c>
      <c r="L1397" s="163">
        <v>0.54947368421052634</v>
      </c>
      <c r="M1397" s="163">
        <v>2</v>
      </c>
      <c r="N1397" s="163">
        <v>2.9824561403508771</v>
      </c>
      <c r="O1397" s="163">
        <v>0.98245614035087714</v>
      </c>
      <c r="P1397" s="163"/>
      <c r="Q1397" s="163">
        <v>2</v>
      </c>
      <c r="R1397" s="163">
        <v>0</v>
      </c>
      <c r="S1397" s="163">
        <v>0</v>
      </c>
      <c r="T1397" s="163">
        <v>0</v>
      </c>
      <c r="U1397" s="163">
        <v>0</v>
      </c>
      <c r="V1397" s="163">
        <v>0</v>
      </c>
      <c r="W1397" s="163">
        <v>0</v>
      </c>
      <c r="X1397" s="163">
        <v>0</v>
      </c>
      <c r="Y1397" s="163">
        <v>2</v>
      </c>
      <c r="Z1397" s="163">
        <v>2</v>
      </c>
      <c r="AA1397" s="163">
        <v>0</v>
      </c>
      <c r="AB1397" s="163">
        <v>0</v>
      </c>
      <c r="AC1397" s="163">
        <v>2</v>
      </c>
      <c r="AD1397" s="163">
        <v>0</v>
      </c>
      <c r="AE1397" s="165">
        <v>0.10758472732107341</v>
      </c>
      <c r="AF1397" s="166">
        <v>0.10758472732107341</v>
      </c>
    </row>
    <row r="1398" spans="1:32">
      <c r="A1398" s="161">
        <v>30</v>
      </c>
      <c r="B1398" s="162">
        <v>8.3333333333333329E-2</v>
      </c>
      <c r="C1398" s="163">
        <v>0.35417644758795686</v>
      </c>
      <c r="D1398" s="163">
        <v>611.44792608850128</v>
      </c>
      <c r="E1398" s="164">
        <v>0.88990000000000002</v>
      </c>
      <c r="F1398" s="164">
        <v>0.88990000000000002</v>
      </c>
      <c r="G1398" s="163">
        <v>2</v>
      </c>
      <c r="H1398" s="163">
        <v>3.333333333333333</v>
      </c>
      <c r="I1398" s="163">
        <v>1.333333333333333</v>
      </c>
      <c r="J1398" s="163">
        <v>1</v>
      </c>
      <c r="K1398" s="163">
        <v>1.5494736842105263</v>
      </c>
      <c r="L1398" s="163">
        <v>0.54947368421052634</v>
      </c>
      <c r="M1398" s="163">
        <v>2</v>
      </c>
      <c r="N1398" s="163">
        <v>2.9824561403508771</v>
      </c>
      <c r="O1398" s="163">
        <v>0.98245614035087714</v>
      </c>
      <c r="P1398" s="163"/>
      <c r="Q1398" s="163">
        <v>2</v>
      </c>
      <c r="R1398" s="163">
        <v>0</v>
      </c>
      <c r="S1398" s="163">
        <v>0</v>
      </c>
      <c r="T1398" s="163">
        <v>0</v>
      </c>
      <c r="U1398" s="163">
        <v>0</v>
      </c>
      <c r="V1398" s="163">
        <v>0</v>
      </c>
      <c r="W1398" s="163">
        <v>0</v>
      </c>
      <c r="X1398" s="163">
        <v>0</v>
      </c>
      <c r="Y1398" s="163">
        <v>2</v>
      </c>
      <c r="Z1398" s="163">
        <v>2</v>
      </c>
      <c r="AA1398" s="163">
        <v>0</v>
      </c>
      <c r="AB1398" s="163">
        <v>0</v>
      </c>
      <c r="AC1398" s="163">
        <v>2</v>
      </c>
      <c r="AD1398" s="163">
        <v>0</v>
      </c>
      <c r="AE1398" s="165">
        <v>7.7646600101787644E-2</v>
      </c>
      <c r="AF1398" s="166">
        <v>7.7646600101787644E-2</v>
      </c>
    </row>
    <row r="1399" spans="1:32">
      <c r="A1399" s="161">
        <v>30</v>
      </c>
      <c r="B1399" s="162">
        <v>0.10416666666666667</v>
      </c>
      <c r="C1399" s="163">
        <v>0.26041370998008995</v>
      </c>
      <c r="D1399" s="163">
        <v>643.54544675213936</v>
      </c>
      <c r="E1399" s="164">
        <v>0.91390000000000005</v>
      </c>
      <c r="F1399" s="164">
        <v>0.91390000000000005</v>
      </c>
      <c r="G1399" s="163">
        <v>2</v>
      </c>
      <c r="H1399" s="163">
        <v>3.333333333333333</v>
      </c>
      <c r="I1399" s="163">
        <v>1.333333333333333</v>
      </c>
      <c r="J1399" s="163">
        <v>1</v>
      </c>
      <c r="K1399" s="163">
        <v>1.5494736842105263</v>
      </c>
      <c r="L1399" s="163">
        <v>0.54947368421052634</v>
      </c>
      <c r="M1399" s="163">
        <v>2</v>
      </c>
      <c r="N1399" s="163">
        <v>2.9824561403508771</v>
      </c>
      <c r="O1399" s="163">
        <v>0.98245614035087714</v>
      </c>
      <c r="P1399" s="163"/>
      <c r="Q1399" s="163">
        <v>2</v>
      </c>
      <c r="R1399" s="163">
        <v>0</v>
      </c>
      <c r="S1399" s="163">
        <v>0</v>
      </c>
      <c r="T1399" s="163">
        <v>0</v>
      </c>
      <c r="U1399" s="163">
        <v>0</v>
      </c>
      <c r="V1399" s="163">
        <v>0</v>
      </c>
      <c r="W1399" s="163">
        <v>0</v>
      </c>
      <c r="X1399" s="163">
        <v>0</v>
      </c>
      <c r="Y1399" s="163">
        <v>2</v>
      </c>
      <c r="Z1399" s="163">
        <v>2</v>
      </c>
      <c r="AA1399" s="163">
        <v>0</v>
      </c>
      <c r="AB1399" s="163">
        <v>0</v>
      </c>
      <c r="AC1399" s="163">
        <v>2</v>
      </c>
      <c r="AD1399" s="163">
        <v>0</v>
      </c>
      <c r="AE1399" s="165">
        <v>6.0087807390943188E-2</v>
      </c>
      <c r="AF1399" s="166">
        <v>6.0087807390943188E-2</v>
      </c>
    </row>
    <row r="1400" spans="1:32">
      <c r="A1400" s="161">
        <v>30</v>
      </c>
      <c r="B1400" s="162">
        <v>0.125</v>
      </c>
      <c r="C1400" s="163">
        <v>0.22477152136647433</v>
      </c>
      <c r="D1400" s="163">
        <v>579.43756856334085</v>
      </c>
      <c r="E1400" s="164">
        <v>0.93300000000000016</v>
      </c>
      <c r="F1400" s="164">
        <v>0.93300000000000016</v>
      </c>
      <c r="G1400" s="163">
        <v>2</v>
      </c>
      <c r="H1400" s="163">
        <v>3.333333333333333</v>
      </c>
      <c r="I1400" s="163">
        <v>1.333333333333333</v>
      </c>
      <c r="J1400" s="163">
        <v>1</v>
      </c>
      <c r="K1400" s="163">
        <v>1.5494736842105263</v>
      </c>
      <c r="L1400" s="163">
        <v>0.54947368421052634</v>
      </c>
      <c r="M1400" s="163">
        <v>2</v>
      </c>
      <c r="N1400" s="163">
        <v>2.9824561403508771</v>
      </c>
      <c r="O1400" s="163">
        <v>0.98245614035087714</v>
      </c>
      <c r="P1400" s="163"/>
      <c r="Q1400" s="163">
        <v>2</v>
      </c>
      <c r="R1400" s="163">
        <v>0</v>
      </c>
      <c r="S1400" s="163">
        <v>0</v>
      </c>
      <c r="T1400" s="163">
        <v>0</v>
      </c>
      <c r="U1400" s="163">
        <v>0</v>
      </c>
      <c r="V1400" s="163">
        <v>0</v>
      </c>
      <c r="W1400" s="163">
        <v>0</v>
      </c>
      <c r="X1400" s="163">
        <v>0</v>
      </c>
      <c r="Y1400" s="163">
        <v>2</v>
      </c>
      <c r="Z1400" s="163">
        <v>2</v>
      </c>
      <c r="AA1400" s="163">
        <v>0</v>
      </c>
      <c r="AB1400" s="163">
        <v>0</v>
      </c>
      <c r="AC1400" s="163">
        <v>2</v>
      </c>
      <c r="AD1400" s="163">
        <v>0</v>
      </c>
      <c r="AE1400" s="165">
        <v>4.6697241331419552E-2</v>
      </c>
      <c r="AF1400" s="166">
        <v>4.6697241331419552E-2</v>
      </c>
    </row>
    <row r="1401" spans="1:32">
      <c r="A1401" s="161">
        <v>30</v>
      </c>
      <c r="B1401" s="162">
        <v>0.14583333333333334</v>
      </c>
      <c r="C1401" s="163">
        <v>0.22533085143178369</v>
      </c>
      <c r="D1401" s="163">
        <v>648.99000535185291</v>
      </c>
      <c r="E1401" s="164">
        <v>0.92449999999999999</v>
      </c>
      <c r="F1401" s="164">
        <v>0.92449999999999999</v>
      </c>
      <c r="G1401" s="163">
        <v>2</v>
      </c>
      <c r="H1401" s="163">
        <v>3.333333333333333</v>
      </c>
      <c r="I1401" s="163">
        <v>1.333333333333333</v>
      </c>
      <c r="J1401" s="163">
        <v>1</v>
      </c>
      <c r="K1401" s="163">
        <v>1.5494736842105263</v>
      </c>
      <c r="L1401" s="163">
        <v>0.54947368421052634</v>
      </c>
      <c r="M1401" s="163">
        <v>2</v>
      </c>
      <c r="N1401" s="163">
        <v>2.9824561403508771</v>
      </c>
      <c r="O1401" s="163">
        <v>0.98245614035087714</v>
      </c>
      <c r="P1401" s="163"/>
      <c r="Q1401" s="163">
        <v>2</v>
      </c>
      <c r="R1401" s="163">
        <v>0</v>
      </c>
      <c r="S1401" s="163">
        <v>0</v>
      </c>
      <c r="T1401" s="163">
        <v>0</v>
      </c>
      <c r="U1401" s="163">
        <v>0</v>
      </c>
      <c r="V1401" s="163">
        <v>0</v>
      </c>
      <c r="W1401" s="163">
        <v>0</v>
      </c>
      <c r="X1401" s="163">
        <v>0</v>
      </c>
      <c r="Y1401" s="163">
        <v>2</v>
      </c>
      <c r="Z1401" s="163">
        <v>2</v>
      </c>
      <c r="AA1401" s="163">
        <v>0</v>
      </c>
      <c r="AB1401" s="163">
        <v>0</v>
      </c>
      <c r="AC1401" s="163">
        <v>2</v>
      </c>
      <c r="AD1401" s="163">
        <v>0</v>
      </c>
      <c r="AE1401" s="165">
        <v>5.243266793207213E-2</v>
      </c>
      <c r="AF1401" s="166">
        <v>5.243266793207213E-2</v>
      </c>
    </row>
    <row r="1402" spans="1:32">
      <c r="A1402" s="161">
        <v>30</v>
      </c>
      <c r="B1402" s="162">
        <v>0.16666666666666666</v>
      </c>
      <c r="C1402" s="163">
        <v>0.19346112014903533</v>
      </c>
      <c r="D1402" s="163">
        <v>677.13545423233927</v>
      </c>
      <c r="E1402" s="164">
        <v>0.93210000000000004</v>
      </c>
      <c r="F1402" s="164">
        <v>0.93210000000000004</v>
      </c>
      <c r="G1402" s="163">
        <v>2</v>
      </c>
      <c r="H1402" s="163">
        <v>3.333333333333333</v>
      </c>
      <c r="I1402" s="163">
        <v>1.333333333333333</v>
      </c>
      <c r="J1402" s="163">
        <v>1</v>
      </c>
      <c r="K1402" s="163">
        <v>1.5494736842105263</v>
      </c>
      <c r="L1402" s="163">
        <v>0.54947368421052634</v>
      </c>
      <c r="M1402" s="163">
        <v>2</v>
      </c>
      <c r="N1402" s="163">
        <v>2.9824561403508771</v>
      </c>
      <c r="O1402" s="163">
        <v>0.98245614035087714</v>
      </c>
      <c r="P1402" s="163"/>
      <c r="Q1402" s="163">
        <v>2</v>
      </c>
      <c r="R1402" s="163">
        <v>0</v>
      </c>
      <c r="S1402" s="163">
        <v>0</v>
      </c>
      <c r="T1402" s="163">
        <v>0</v>
      </c>
      <c r="U1402" s="163">
        <v>0</v>
      </c>
      <c r="V1402" s="163">
        <v>0</v>
      </c>
      <c r="W1402" s="163">
        <v>0</v>
      </c>
      <c r="X1402" s="163">
        <v>0</v>
      </c>
      <c r="Y1402" s="163">
        <v>2</v>
      </c>
      <c r="Z1402" s="163">
        <v>2</v>
      </c>
      <c r="AA1402" s="163">
        <v>0</v>
      </c>
      <c r="AB1402" s="163">
        <v>0</v>
      </c>
      <c r="AC1402" s="163">
        <v>2</v>
      </c>
      <c r="AD1402" s="163">
        <v>0</v>
      </c>
      <c r="AE1402" s="165">
        <v>4.6969132810610457E-2</v>
      </c>
      <c r="AF1402" s="166">
        <v>4.6969132810610457E-2</v>
      </c>
    </row>
    <row r="1403" spans="1:32">
      <c r="A1403" s="161">
        <v>30</v>
      </c>
      <c r="B1403" s="162">
        <v>0.1875</v>
      </c>
      <c r="C1403" s="163">
        <v>0.22803316837268289</v>
      </c>
      <c r="D1403" s="163">
        <v>670.6275238971441</v>
      </c>
      <c r="E1403" s="164">
        <v>0.92099999999999993</v>
      </c>
      <c r="F1403" s="164">
        <v>0.92099999999999993</v>
      </c>
      <c r="G1403" s="163">
        <v>2</v>
      </c>
      <c r="H1403" s="163">
        <v>3.333333333333333</v>
      </c>
      <c r="I1403" s="163">
        <v>1.333333333333333</v>
      </c>
      <c r="J1403" s="163">
        <v>1</v>
      </c>
      <c r="K1403" s="163">
        <v>1.5494736842105263</v>
      </c>
      <c r="L1403" s="163">
        <v>0.54947368421052634</v>
      </c>
      <c r="M1403" s="163">
        <v>2</v>
      </c>
      <c r="N1403" s="163">
        <v>2.9824561403508771</v>
      </c>
      <c r="O1403" s="163">
        <v>0.98245614035087714</v>
      </c>
      <c r="P1403" s="163"/>
      <c r="Q1403" s="163">
        <v>2</v>
      </c>
      <c r="R1403" s="163">
        <v>0</v>
      </c>
      <c r="S1403" s="163">
        <v>0</v>
      </c>
      <c r="T1403" s="163">
        <v>0</v>
      </c>
      <c r="U1403" s="163">
        <v>0</v>
      </c>
      <c r="V1403" s="163">
        <v>0</v>
      </c>
      <c r="W1403" s="163">
        <v>0</v>
      </c>
      <c r="X1403" s="163">
        <v>0</v>
      </c>
      <c r="Y1403" s="163">
        <v>2</v>
      </c>
      <c r="Z1403" s="163">
        <v>2</v>
      </c>
      <c r="AA1403" s="163">
        <v>0</v>
      </c>
      <c r="AB1403" s="163">
        <v>0</v>
      </c>
      <c r="AC1403" s="163">
        <v>2</v>
      </c>
      <c r="AD1403" s="163">
        <v>0</v>
      </c>
      <c r="AE1403" s="165">
        <v>5.4830560506711666E-2</v>
      </c>
      <c r="AF1403" s="166">
        <v>5.4830560506711666E-2</v>
      </c>
    </row>
    <row r="1404" spans="1:32">
      <c r="A1404" s="161">
        <v>30</v>
      </c>
      <c r="B1404" s="162">
        <v>0.20833333333333334</v>
      </c>
      <c r="C1404" s="163">
        <v>0.32072576559058169</v>
      </c>
      <c r="D1404" s="163">
        <v>628.2492191205065</v>
      </c>
      <c r="E1404" s="164">
        <v>0.89710000000000001</v>
      </c>
      <c r="F1404" s="164">
        <v>0.89710000000000001</v>
      </c>
      <c r="G1404" s="163">
        <v>2</v>
      </c>
      <c r="H1404" s="163">
        <v>3.333333333333333</v>
      </c>
      <c r="I1404" s="163">
        <v>1.333333333333333</v>
      </c>
      <c r="J1404" s="163">
        <v>1</v>
      </c>
      <c r="K1404" s="163">
        <v>1.5494736842105263</v>
      </c>
      <c r="L1404" s="163">
        <v>0.54947368421052634</v>
      </c>
      <c r="M1404" s="163">
        <v>2</v>
      </c>
      <c r="N1404" s="163">
        <v>2.9824561403508771</v>
      </c>
      <c r="O1404" s="163">
        <v>0.98245614035087714</v>
      </c>
      <c r="P1404" s="163"/>
      <c r="Q1404" s="163">
        <v>2</v>
      </c>
      <c r="R1404" s="163">
        <v>0</v>
      </c>
      <c r="S1404" s="163">
        <v>0</v>
      </c>
      <c r="T1404" s="163">
        <v>0</v>
      </c>
      <c r="U1404" s="163">
        <v>0</v>
      </c>
      <c r="V1404" s="163">
        <v>0</v>
      </c>
      <c r="W1404" s="163">
        <v>0</v>
      </c>
      <c r="X1404" s="163">
        <v>0</v>
      </c>
      <c r="Y1404" s="163">
        <v>2</v>
      </c>
      <c r="Z1404" s="163">
        <v>2</v>
      </c>
      <c r="AA1404" s="163">
        <v>0</v>
      </c>
      <c r="AB1404" s="163">
        <v>0</v>
      </c>
      <c r="AC1404" s="163">
        <v>2</v>
      </c>
      <c r="AD1404" s="163">
        <v>0</v>
      </c>
      <c r="AE1404" s="165">
        <v>7.2245216710033242E-2</v>
      </c>
      <c r="AF1404" s="166">
        <v>7.2245216710033242E-2</v>
      </c>
    </row>
    <row r="1405" spans="1:32">
      <c r="A1405" s="161">
        <v>30</v>
      </c>
      <c r="B1405" s="162">
        <v>0.22916666666666666</v>
      </c>
      <c r="C1405" s="163">
        <v>0.49435961646357618</v>
      </c>
      <c r="D1405" s="163">
        <v>648.05161663414219</v>
      </c>
      <c r="E1405" s="164">
        <v>0.83950000000000002</v>
      </c>
      <c r="F1405" s="164">
        <v>0.83950000000000002</v>
      </c>
      <c r="G1405" s="163">
        <v>2</v>
      </c>
      <c r="H1405" s="163">
        <v>3.333333333333333</v>
      </c>
      <c r="I1405" s="163">
        <v>1.333333333333333</v>
      </c>
      <c r="J1405" s="163">
        <v>1</v>
      </c>
      <c r="K1405" s="163">
        <v>1.5494736842105263</v>
      </c>
      <c r="L1405" s="163">
        <v>0.54947368421052634</v>
      </c>
      <c r="M1405" s="163">
        <v>2</v>
      </c>
      <c r="N1405" s="163">
        <v>2.9824561403508771</v>
      </c>
      <c r="O1405" s="163">
        <v>0.98245614035087714</v>
      </c>
      <c r="P1405" s="163"/>
      <c r="Q1405" s="163">
        <v>2</v>
      </c>
      <c r="R1405" s="163">
        <v>0</v>
      </c>
      <c r="S1405" s="163">
        <v>0</v>
      </c>
      <c r="T1405" s="163">
        <v>0</v>
      </c>
      <c r="U1405" s="163">
        <v>0</v>
      </c>
      <c r="V1405" s="163">
        <v>0</v>
      </c>
      <c r="W1405" s="163">
        <v>0</v>
      </c>
      <c r="X1405" s="163">
        <v>0</v>
      </c>
      <c r="Y1405" s="163">
        <v>2</v>
      </c>
      <c r="Z1405" s="163">
        <v>2</v>
      </c>
      <c r="AA1405" s="163">
        <v>0</v>
      </c>
      <c r="AB1405" s="163">
        <v>0</v>
      </c>
      <c r="AC1405" s="163">
        <v>2</v>
      </c>
      <c r="AD1405" s="163">
        <v>0</v>
      </c>
      <c r="AE1405" s="165">
        <v>0.11486715776549754</v>
      </c>
      <c r="AF1405" s="166">
        <v>0.11486715776549754</v>
      </c>
    </row>
    <row r="1406" spans="1:32">
      <c r="A1406" s="161">
        <v>30</v>
      </c>
      <c r="B1406" s="162">
        <v>0.25</v>
      </c>
      <c r="C1406" s="163">
        <v>0.74601812436131931</v>
      </c>
      <c r="D1406" s="163">
        <v>736.40827636763083</v>
      </c>
      <c r="E1406" s="164">
        <v>0.73380000000000001</v>
      </c>
      <c r="F1406" s="164">
        <v>0.73380000000000001</v>
      </c>
      <c r="G1406" s="163">
        <v>3</v>
      </c>
      <c r="H1406" s="163">
        <v>3.333333333333333</v>
      </c>
      <c r="I1406" s="163">
        <v>0.33333333333333304</v>
      </c>
      <c r="J1406" s="163">
        <v>2</v>
      </c>
      <c r="K1406" s="163">
        <v>2.3242105263157895</v>
      </c>
      <c r="L1406" s="163">
        <v>0.3242105263157895</v>
      </c>
      <c r="M1406" s="163">
        <v>3</v>
      </c>
      <c r="N1406" s="163">
        <v>2.9824561403508771</v>
      </c>
      <c r="O1406" s="163">
        <v>-1.7543859649122862E-2</v>
      </c>
      <c r="P1406" s="163"/>
      <c r="Q1406" s="163">
        <v>2</v>
      </c>
      <c r="R1406" s="163">
        <v>0</v>
      </c>
      <c r="S1406" s="163">
        <v>0</v>
      </c>
      <c r="T1406" s="163">
        <v>0</v>
      </c>
      <c r="U1406" s="163">
        <v>0</v>
      </c>
      <c r="V1406" s="163">
        <v>0</v>
      </c>
      <c r="W1406" s="163">
        <v>0</v>
      </c>
      <c r="X1406" s="163">
        <v>0</v>
      </c>
      <c r="Y1406" s="163">
        <v>2</v>
      </c>
      <c r="Z1406" s="163">
        <v>2</v>
      </c>
      <c r="AA1406" s="163">
        <v>0</v>
      </c>
      <c r="AB1406" s="163">
        <v>0</v>
      </c>
      <c r="AC1406" s="163">
        <v>2</v>
      </c>
      <c r="AD1406" s="163">
        <v>0</v>
      </c>
      <c r="AE1406" s="165">
        <v>0.19697510003205593</v>
      </c>
      <c r="AF1406" s="166">
        <v>0.13131673335470395</v>
      </c>
    </row>
    <row r="1407" spans="1:32">
      <c r="A1407" s="161">
        <v>30</v>
      </c>
      <c r="B1407" s="162">
        <v>0.27083333333333331</v>
      </c>
      <c r="C1407" s="163">
        <v>1.1408505304238314</v>
      </c>
      <c r="D1407" s="163">
        <v>745.76914038007214</v>
      </c>
      <c r="E1407" s="164">
        <v>0.60670000000000002</v>
      </c>
      <c r="F1407" s="164">
        <v>0.60670000000000002</v>
      </c>
      <c r="G1407" s="163">
        <v>3</v>
      </c>
      <c r="H1407" s="163">
        <v>3.333333333333333</v>
      </c>
      <c r="I1407" s="163">
        <v>0.33333333333333304</v>
      </c>
      <c r="J1407" s="163">
        <v>2</v>
      </c>
      <c r="K1407" s="163">
        <v>2.3242105263157895</v>
      </c>
      <c r="L1407" s="163">
        <v>0.3242105263157895</v>
      </c>
      <c r="M1407" s="163">
        <v>3</v>
      </c>
      <c r="N1407" s="163">
        <v>2.9824561403508771</v>
      </c>
      <c r="O1407" s="163">
        <v>-1.7543859649122862E-2</v>
      </c>
      <c r="P1407" s="163"/>
      <c r="Q1407" s="163">
        <v>2</v>
      </c>
      <c r="R1407" s="163">
        <v>0</v>
      </c>
      <c r="S1407" s="163">
        <v>0</v>
      </c>
      <c r="T1407" s="163">
        <v>0</v>
      </c>
      <c r="U1407" s="163">
        <v>0</v>
      </c>
      <c r="V1407" s="163">
        <v>0</v>
      </c>
      <c r="W1407" s="163">
        <v>0</v>
      </c>
      <c r="X1407" s="163">
        <v>0</v>
      </c>
      <c r="Y1407" s="163">
        <v>2</v>
      </c>
      <c r="Z1407" s="163">
        <v>2</v>
      </c>
      <c r="AA1407" s="163">
        <v>0</v>
      </c>
      <c r="AB1407" s="163">
        <v>0</v>
      </c>
      <c r="AC1407" s="163">
        <v>2</v>
      </c>
      <c r="AD1407" s="163">
        <v>0</v>
      </c>
      <c r="AE1407" s="165">
        <v>0.30505380563387435</v>
      </c>
      <c r="AF1407" s="166">
        <v>0.20336920375591624</v>
      </c>
    </row>
    <row r="1408" spans="1:32">
      <c r="A1408" s="161">
        <v>30</v>
      </c>
      <c r="B1408" s="162">
        <v>0.29166666666666669</v>
      </c>
      <c r="C1408" s="163">
        <v>1.6587128340130146</v>
      </c>
      <c r="D1408" s="163">
        <v>800.20629062421926</v>
      </c>
      <c r="E1408" s="164">
        <v>0.42720000000000002</v>
      </c>
      <c r="F1408" s="164">
        <v>0.42720000000000002</v>
      </c>
      <c r="G1408" s="163">
        <v>3</v>
      </c>
      <c r="H1408" s="163">
        <v>3.333333333333333</v>
      </c>
      <c r="I1408" s="163">
        <v>0.33333333333333304</v>
      </c>
      <c r="J1408" s="163">
        <v>2</v>
      </c>
      <c r="K1408" s="163">
        <v>2.3242105263157895</v>
      </c>
      <c r="L1408" s="163">
        <v>0.3242105263157895</v>
      </c>
      <c r="M1408" s="163">
        <v>3</v>
      </c>
      <c r="N1408" s="163">
        <v>2.9824561403508771</v>
      </c>
      <c r="O1408" s="163">
        <v>-1.7543859649122862E-2</v>
      </c>
      <c r="P1408" s="163"/>
      <c r="Q1408" s="163">
        <v>2</v>
      </c>
      <c r="R1408" s="163">
        <v>0</v>
      </c>
      <c r="S1408" s="163">
        <v>0</v>
      </c>
      <c r="T1408" s="163">
        <v>0</v>
      </c>
      <c r="U1408" s="163">
        <v>0</v>
      </c>
      <c r="V1408" s="163">
        <v>0</v>
      </c>
      <c r="W1408" s="163">
        <v>0</v>
      </c>
      <c r="X1408" s="163">
        <v>0</v>
      </c>
      <c r="Y1408" s="163">
        <v>2</v>
      </c>
      <c r="Z1408" s="163">
        <v>2</v>
      </c>
      <c r="AA1408" s="163">
        <v>0</v>
      </c>
      <c r="AB1408" s="163">
        <v>0</v>
      </c>
      <c r="AC1408" s="163">
        <v>2</v>
      </c>
      <c r="AD1408" s="163">
        <v>0</v>
      </c>
      <c r="AE1408" s="165">
        <v>0.4759008234867616</v>
      </c>
      <c r="AF1408" s="166">
        <v>0.31726721565784105</v>
      </c>
    </row>
    <row r="1409" spans="1:32">
      <c r="A1409" s="161">
        <v>30</v>
      </c>
      <c r="B1409" s="162">
        <v>0.3125</v>
      </c>
      <c r="C1409" s="163">
        <v>2.2316335307441508</v>
      </c>
      <c r="D1409" s="163">
        <v>802.52185681373305</v>
      </c>
      <c r="E1409" s="164">
        <v>0.91600000000000004</v>
      </c>
      <c r="F1409" s="164">
        <v>0.91600000000000004</v>
      </c>
      <c r="G1409" s="163">
        <v>4</v>
      </c>
      <c r="H1409" s="163">
        <v>6.6666666666666661</v>
      </c>
      <c r="I1409" s="163">
        <v>2.6666666666666661</v>
      </c>
      <c r="J1409" s="163">
        <v>3</v>
      </c>
      <c r="K1409" s="163">
        <v>3.0989473684210527</v>
      </c>
      <c r="L1409" s="163">
        <v>9.8947368421052673E-2</v>
      </c>
      <c r="M1409" s="163">
        <v>4</v>
      </c>
      <c r="N1409" s="163">
        <v>5.9649122807017543</v>
      </c>
      <c r="O1409" s="163">
        <v>1.9649122807017543</v>
      </c>
      <c r="P1409" s="163"/>
      <c r="Q1409" s="163">
        <v>4</v>
      </c>
      <c r="R1409" s="163">
        <v>0</v>
      </c>
      <c r="S1409" s="163">
        <v>0</v>
      </c>
      <c r="T1409" s="163">
        <v>0</v>
      </c>
      <c r="U1409" s="163">
        <v>0</v>
      </c>
      <c r="V1409" s="163">
        <v>0</v>
      </c>
      <c r="W1409" s="163">
        <v>0</v>
      </c>
      <c r="X1409" s="163">
        <v>0</v>
      </c>
      <c r="Y1409" s="163">
        <v>4</v>
      </c>
      <c r="Z1409" s="163">
        <v>4</v>
      </c>
      <c r="AA1409" s="163">
        <v>0</v>
      </c>
      <c r="AB1409" s="163">
        <v>0</v>
      </c>
      <c r="AC1409" s="163">
        <v>4</v>
      </c>
      <c r="AD1409" s="163">
        <v>0</v>
      </c>
      <c r="AE1409" s="165">
        <v>0.32106505709910055</v>
      </c>
      <c r="AF1409" s="166">
        <v>0.32106505709910055</v>
      </c>
    </row>
    <row r="1410" spans="1:32">
      <c r="A1410" s="161">
        <v>30</v>
      </c>
      <c r="B1410" s="162">
        <v>0.33333333333333331</v>
      </c>
      <c r="C1410" s="163">
        <v>2.922693007540472</v>
      </c>
      <c r="D1410" s="163">
        <v>787.35547850711157</v>
      </c>
      <c r="E1410" s="164">
        <v>0.84660000000000002</v>
      </c>
      <c r="F1410" s="164">
        <v>0.84660000000000002</v>
      </c>
      <c r="G1410" s="163">
        <v>4</v>
      </c>
      <c r="H1410" s="163">
        <v>6.6666666666666661</v>
      </c>
      <c r="I1410" s="163">
        <v>2.6666666666666661</v>
      </c>
      <c r="J1410" s="163">
        <v>3</v>
      </c>
      <c r="K1410" s="163">
        <v>3.0989473684210527</v>
      </c>
      <c r="L1410" s="163">
        <v>9.8947368421052673E-2</v>
      </c>
      <c r="M1410" s="163">
        <v>4</v>
      </c>
      <c r="N1410" s="163">
        <v>5.9649122807017543</v>
      </c>
      <c r="O1410" s="163">
        <v>1.9649122807017543</v>
      </c>
      <c r="P1410" s="163"/>
      <c r="Q1410" s="163">
        <v>4</v>
      </c>
      <c r="R1410" s="163">
        <v>0</v>
      </c>
      <c r="S1410" s="163">
        <v>0</v>
      </c>
      <c r="T1410" s="163">
        <v>0</v>
      </c>
      <c r="U1410" s="163">
        <v>0</v>
      </c>
      <c r="V1410" s="163">
        <v>0</v>
      </c>
      <c r="W1410" s="163">
        <v>0</v>
      </c>
      <c r="X1410" s="163">
        <v>0</v>
      </c>
      <c r="Y1410" s="163">
        <v>4</v>
      </c>
      <c r="Z1410" s="163">
        <v>4</v>
      </c>
      <c r="AA1410" s="163">
        <v>0</v>
      </c>
      <c r="AB1410" s="163">
        <v>0</v>
      </c>
      <c r="AC1410" s="163">
        <v>4</v>
      </c>
      <c r="AD1410" s="163">
        <v>0</v>
      </c>
      <c r="AE1410" s="165">
        <v>0.41254122016669431</v>
      </c>
      <c r="AF1410" s="166">
        <v>0.41254122016669431</v>
      </c>
    </row>
    <row r="1411" spans="1:32">
      <c r="A1411" s="161">
        <v>30</v>
      </c>
      <c r="B1411" s="162">
        <v>0.35416666666666669</v>
      </c>
      <c r="C1411" s="163">
        <v>3.5437525271889778</v>
      </c>
      <c r="D1411" s="163">
        <v>769.87138714485718</v>
      </c>
      <c r="E1411" s="164">
        <v>0.77290000000000003</v>
      </c>
      <c r="F1411" s="164">
        <v>0.77290000000000003</v>
      </c>
      <c r="G1411" s="163">
        <v>6</v>
      </c>
      <c r="H1411" s="163">
        <v>6.6666666666666661</v>
      </c>
      <c r="I1411" s="163">
        <v>0.66666666666666607</v>
      </c>
      <c r="J1411" s="163">
        <v>4</v>
      </c>
      <c r="K1411" s="163">
        <v>4.648421052631579</v>
      </c>
      <c r="L1411" s="163">
        <v>0.64842105263157901</v>
      </c>
      <c r="M1411" s="163">
        <v>5</v>
      </c>
      <c r="N1411" s="163">
        <v>5.9649122807017543</v>
      </c>
      <c r="O1411" s="163">
        <v>0.96491228070175428</v>
      </c>
      <c r="P1411" s="163"/>
      <c r="Q1411" s="163">
        <v>4</v>
      </c>
      <c r="R1411" s="163">
        <v>0</v>
      </c>
      <c r="S1411" s="163">
        <v>0</v>
      </c>
      <c r="T1411" s="163">
        <v>0</v>
      </c>
      <c r="U1411" s="163">
        <v>0</v>
      </c>
      <c r="V1411" s="163">
        <v>0</v>
      </c>
      <c r="W1411" s="163">
        <v>0</v>
      </c>
      <c r="X1411" s="163">
        <v>0</v>
      </c>
      <c r="Y1411" s="163">
        <v>4</v>
      </c>
      <c r="Z1411" s="163">
        <v>4</v>
      </c>
      <c r="AA1411" s="163">
        <v>0</v>
      </c>
      <c r="AB1411" s="163">
        <v>0</v>
      </c>
      <c r="AC1411" s="163">
        <v>4</v>
      </c>
      <c r="AD1411" s="163">
        <v>0</v>
      </c>
      <c r="AE1411" s="165">
        <v>0.48909684294135297</v>
      </c>
      <c r="AF1411" s="166">
        <v>0.326064561960902</v>
      </c>
    </row>
    <row r="1412" spans="1:32">
      <c r="A1412" s="161">
        <v>30</v>
      </c>
      <c r="B1412" s="162">
        <v>0.375</v>
      </c>
      <c r="C1412" s="163">
        <v>4.0859396473991749</v>
      </c>
      <c r="D1412" s="163">
        <v>773.91016619071331</v>
      </c>
      <c r="E1412" s="164">
        <v>0.89870000000000017</v>
      </c>
      <c r="F1412" s="164">
        <v>0.89870000000000017</v>
      </c>
      <c r="G1412" s="163">
        <v>6</v>
      </c>
      <c r="H1412" s="163">
        <v>10</v>
      </c>
      <c r="I1412" s="163">
        <v>4</v>
      </c>
      <c r="J1412" s="163">
        <v>4</v>
      </c>
      <c r="K1412" s="163">
        <v>4.648421052631579</v>
      </c>
      <c r="L1412" s="163">
        <v>0.64842105263157901</v>
      </c>
      <c r="M1412" s="163">
        <v>5</v>
      </c>
      <c r="N1412" s="163">
        <v>8.9473684210526319</v>
      </c>
      <c r="O1412" s="163">
        <v>3.9473684210526319</v>
      </c>
      <c r="P1412" s="163"/>
      <c r="Q1412" s="163">
        <v>6</v>
      </c>
      <c r="R1412" s="163">
        <v>0</v>
      </c>
      <c r="S1412" s="163">
        <v>0</v>
      </c>
      <c r="T1412" s="163">
        <v>0</v>
      </c>
      <c r="U1412" s="163">
        <v>0</v>
      </c>
      <c r="V1412" s="163">
        <v>0</v>
      </c>
      <c r="W1412" s="163">
        <v>0</v>
      </c>
      <c r="X1412" s="163">
        <v>0</v>
      </c>
      <c r="Y1412" s="163">
        <v>6</v>
      </c>
      <c r="Z1412" s="163">
        <v>6</v>
      </c>
      <c r="AA1412" s="163">
        <v>0</v>
      </c>
      <c r="AB1412" s="163">
        <v>0</v>
      </c>
      <c r="AC1412" s="163">
        <v>6</v>
      </c>
      <c r="AD1412" s="163">
        <v>0</v>
      </c>
      <c r="AE1412" s="165">
        <v>0.37792405394345358</v>
      </c>
      <c r="AF1412" s="166">
        <v>0.37792405394345358</v>
      </c>
    </row>
    <row r="1413" spans="1:32">
      <c r="A1413" s="161">
        <v>30</v>
      </c>
      <c r="B1413" s="162">
        <v>0.39583333333333331</v>
      </c>
      <c r="C1413" s="163">
        <v>4.5663847326975118</v>
      </c>
      <c r="D1413" s="163">
        <v>811.18769230983958</v>
      </c>
      <c r="E1413" s="164">
        <v>0.84209999999999996</v>
      </c>
      <c r="F1413" s="164">
        <v>0.84209999999999996</v>
      </c>
      <c r="G1413" s="163">
        <v>6</v>
      </c>
      <c r="H1413" s="163">
        <v>10</v>
      </c>
      <c r="I1413" s="163">
        <v>4</v>
      </c>
      <c r="J1413" s="163">
        <v>4</v>
      </c>
      <c r="K1413" s="163">
        <v>4.648421052631579</v>
      </c>
      <c r="L1413" s="163">
        <v>0.64842105263157901</v>
      </c>
      <c r="M1413" s="163">
        <v>5</v>
      </c>
      <c r="N1413" s="163">
        <v>8.9473684210526319</v>
      </c>
      <c r="O1413" s="163">
        <v>3.9473684210526319</v>
      </c>
      <c r="P1413" s="163"/>
      <c r="Q1413" s="163">
        <v>6</v>
      </c>
      <c r="R1413" s="163">
        <v>0</v>
      </c>
      <c r="S1413" s="163">
        <v>0</v>
      </c>
      <c r="T1413" s="163">
        <v>0</v>
      </c>
      <c r="U1413" s="163">
        <v>0</v>
      </c>
      <c r="V1413" s="163">
        <v>0</v>
      </c>
      <c r="W1413" s="163">
        <v>0</v>
      </c>
      <c r="X1413" s="163">
        <v>0</v>
      </c>
      <c r="Y1413" s="163">
        <v>6</v>
      </c>
      <c r="Z1413" s="163">
        <v>6</v>
      </c>
      <c r="AA1413" s="163">
        <v>0</v>
      </c>
      <c r="AB1413" s="163">
        <v>0</v>
      </c>
      <c r="AC1413" s="163">
        <v>6</v>
      </c>
      <c r="AD1413" s="163">
        <v>0</v>
      </c>
      <c r="AE1413" s="165">
        <v>0.44270648888385533</v>
      </c>
      <c r="AF1413" s="166">
        <v>0.44270648888385533</v>
      </c>
    </row>
    <row r="1414" spans="1:32">
      <c r="A1414" s="161">
        <v>30</v>
      </c>
      <c r="B1414" s="162">
        <v>0.41666666666666669</v>
      </c>
      <c r="C1414" s="163">
        <v>4.8790318664792043</v>
      </c>
      <c r="D1414" s="163">
        <v>796.63344231164422</v>
      </c>
      <c r="E1414" s="164">
        <v>0.82069999999999999</v>
      </c>
      <c r="F1414" s="164">
        <v>0.82069999999999999</v>
      </c>
      <c r="G1414" s="163">
        <v>7</v>
      </c>
      <c r="H1414" s="163">
        <v>10</v>
      </c>
      <c r="I1414" s="163">
        <v>3</v>
      </c>
      <c r="J1414" s="163">
        <v>5</v>
      </c>
      <c r="K1414" s="163">
        <v>5.4231578947368426</v>
      </c>
      <c r="L1414" s="163">
        <v>0.42315789473684262</v>
      </c>
      <c r="M1414" s="163">
        <v>6</v>
      </c>
      <c r="N1414" s="163">
        <v>8.9473684210526319</v>
      </c>
      <c r="O1414" s="163">
        <v>2.9473684210526319</v>
      </c>
      <c r="P1414" s="163"/>
      <c r="Q1414" s="163">
        <v>6</v>
      </c>
      <c r="R1414" s="163">
        <v>0</v>
      </c>
      <c r="S1414" s="163">
        <v>0</v>
      </c>
      <c r="T1414" s="163">
        <v>0</v>
      </c>
      <c r="U1414" s="163">
        <v>0</v>
      </c>
      <c r="V1414" s="163">
        <v>0</v>
      </c>
      <c r="W1414" s="163">
        <v>0</v>
      </c>
      <c r="X1414" s="163">
        <v>0</v>
      </c>
      <c r="Y1414" s="163">
        <v>6</v>
      </c>
      <c r="Z1414" s="163">
        <v>6</v>
      </c>
      <c r="AA1414" s="163">
        <v>0</v>
      </c>
      <c r="AB1414" s="163">
        <v>0</v>
      </c>
      <c r="AC1414" s="163">
        <v>6</v>
      </c>
      <c r="AD1414" s="163">
        <v>0</v>
      </c>
      <c r="AE1414" s="165">
        <v>0.46453048930586477</v>
      </c>
      <c r="AF1414" s="166">
        <v>0.39816899083359836</v>
      </c>
    </row>
    <row r="1415" spans="1:32">
      <c r="A1415" s="161">
        <v>30</v>
      </c>
      <c r="B1415" s="162">
        <v>0.4375</v>
      </c>
      <c r="C1415" s="163">
        <v>5.0879911746037578</v>
      </c>
      <c r="D1415" s="163">
        <v>760.83267400481179</v>
      </c>
      <c r="E1415" s="164">
        <v>0.82310000000000005</v>
      </c>
      <c r="F1415" s="164">
        <v>0.82310000000000005</v>
      </c>
      <c r="G1415" s="163">
        <v>7</v>
      </c>
      <c r="H1415" s="163">
        <v>10</v>
      </c>
      <c r="I1415" s="163">
        <v>3</v>
      </c>
      <c r="J1415" s="163">
        <v>5</v>
      </c>
      <c r="K1415" s="163">
        <v>5.4231578947368426</v>
      </c>
      <c r="L1415" s="163">
        <v>0.42315789473684262</v>
      </c>
      <c r="M1415" s="163">
        <v>6</v>
      </c>
      <c r="N1415" s="163">
        <v>8.9473684210526319</v>
      </c>
      <c r="O1415" s="163">
        <v>2.9473684210526319</v>
      </c>
      <c r="P1415" s="163"/>
      <c r="Q1415" s="163">
        <v>6</v>
      </c>
      <c r="R1415" s="163">
        <v>0</v>
      </c>
      <c r="S1415" s="163">
        <v>0</v>
      </c>
      <c r="T1415" s="163">
        <v>0</v>
      </c>
      <c r="U1415" s="163">
        <v>0</v>
      </c>
      <c r="V1415" s="163">
        <v>0</v>
      </c>
      <c r="W1415" s="163">
        <v>0</v>
      </c>
      <c r="X1415" s="163">
        <v>0</v>
      </c>
      <c r="Y1415" s="163">
        <v>6</v>
      </c>
      <c r="Z1415" s="163">
        <v>6</v>
      </c>
      <c r="AA1415" s="163">
        <v>0</v>
      </c>
      <c r="AB1415" s="163">
        <v>0</v>
      </c>
      <c r="AC1415" s="163">
        <v>6</v>
      </c>
      <c r="AD1415" s="163">
        <v>0</v>
      </c>
      <c r="AE1415" s="165">
        <v>0.46265529817737605</v>
      </c>
      <c r="AF1415" s="166">
        <v>0.39656168415203658</v>
      </c>
    </row>
    <row r="1416" spans="1:32">
      <c r="A1416" s="161">
        <v>30</v>
      </c>
      <c r="B1416" s="162">
        <v>0.45833333333333331</v>
      </c>
      <c r="C1416" s="163">
        <v>5.4324935122431679</v>
      </c>
      <c r="D1416" s="163">
        <v>760.16977543793882</v>
      </c>
      <c r="E1416" s="164">
        <v>0.79029999999999989</v>
      </c>
      <c r="F1416" s="164">
        <v>0.79029999999999989</v>
      </c>
      <c r="G1416" s="163">
        <v>7</v>
      </c>
      <c r="H1416" s="163">
        <v>10</v>
      </c>
      <c r="I1416" s="163">
        <v>3</v>
      </c>
      <c r="J1416" s="163">
        <v>5</v>
      </c>
      <c r="K1416" s="163">
        <v>5.4231578947368426</v>
      </c>
      <c r="L1416" s="163">
        <v>0.42315789473684262</v>
      </c>
      <c r="M1416" s="163">
        <v>6</v>
      </c>
      <c r="N1416" s="163">
        <v>8.9473684210526319</v>
      </c>
      <c r="O1416" s="163">
        <v>2.9473684210526319</v>
      </c>
      <c r="P1416" s="163"/>
      <c r="Q1416" s="163">
        <v>6</v>
      </c>
      <c r="R1416" s="163">
        <v>0</v>
      </c>
      <c r="S1416" s="163">
        <v>0</v>
      </c>
      <c r="T1416" s="163">
        <v>0</v>
      </c>
      <c r="U1416" s="163">
        <v>0</v>
      </c>
      <c r="V1416" s="163">
        <v>0</v>
      </c>
      <c r="W1416" s="163">
        <v>0</v>
      </c>
      <c r="X1416" s="163">
        <v>0</v>
      </c>
      <c r="Y1416" s="163">
        <v>6</v>
      </c>
      <c r="Z1416" s="163">
        <v>6</v>
      </c>
      <c r="AA1416" s="163">
        <v>0</v>
      </c>
      <c r="AB1416" s="163">
        <v>0</v>
      </c>
      <c r="AC1416" s="163">
        <v>6</v>
      </c>
      <c r="AD1416" s="163">
        <v>0</v>
      </c>
      <c r="AE1416" s="165">
        <v>0.49355078811977288</v>
      </c>
      <c r="AF1416" s="166">
        <v>0.42304353267409101</v>
      </c>
    </row>
    <row r="1417" spans="1:32">
      <c r="A1417" s="161">
        <v>30</v>
      </c>
      <c r="B1417" s="162">
        <v>0.47916666666666669</v>
      </c>
      <c r="C1417" s="163">
        <v>5.1708611354449943</v>
      </c>
      <c r="D1417" s="163">
        <v>746.59593644956965</v>
      </c>
      <c r="E1417" s="164">
        <v>0.82459999999999989</v>
      </c>
      <c r="F1417" s="164">
        <v>0.82459999999999989</v>
      </c>
      <c r="G1417" s="163">
        <v>7</v>
      </c>
      <c r="H1417" s="163">
        <v>10</v>
      </c>
      <c r="I1417" s="163">
        <v>3</v>
      </c>
      <c r="J1417" s="163">
        <v>5</v>
      </c>
      <c r="K1417" s="163">
        <v>5.4231578947368426</v>
      </c>
      <c r="L1417" s="163">
        <v>0.42315789473684262</v>
      </c>
      <c r="M1417" s="163">
        <v>6</v>
      </c>
      <c r="N1417" s="163">
        <v>8.9473684210526319</v>
      </c>
      <c r="O1417" s="163">
        <v>2.9473684210526319</v>
      </c>
      <c r="P1417" s="163"/>
      <c r="Q1417" s="163">
        <v>6</v>
      </c>
      <c r="R1417" s="163">
        <v>0</v>
      </c>
      <c r="S1417" s="163">
        <v>0</v>
      </c>
      <c r="T1417" s="163">
        <v>0</v>
      </c>
      <c r="U1417" s="163">
        <v>0</v>
      </c>
      <c r="V1417" s="163">
        <v>0</v>
      </c>
      <c r="W1417" s="163">
        <v>0</v>
      </c>
      <c r="X1417" s="163">
        <v>0</v>
      </c>
      <c r="Y1417" s="163">
        <v>6</v>
      </c>
      <c r="Z1417" s="163">
        <v>6</v>
      </c>
      <c r="AA1417" s="163">
        <v>0</v>
      </c>
      <c r="AB1417" s="163">
        <v>0</v>
      </c>
      <c r="AC1417" s="163">
        <v>6</v>
      </c>
      <c r="AD1417" s="163">
        <v>0</v>
      </c>
      <c r="AE1417" s="165">
        <v>0.46139250152033373</v>
      </c>
      <c r="AF1417" s="166">
        <v>0.3954792870174289</v>
      </c>
    </row>
    <row r="1418" spans="1:32">
      <c r="A1418" s="161">
        <v>30</v>
      </c>
      <c r="B1418" s="162">
        <v>0.5</v>
      </c>
      <c r="C1418" s="163">
        <v>5.0060053934768458</v>
      </c>
      <c r="D1418" s="163">
        <v>742.65831829070498</v>
      </c>
      <c r="E1418" s="164">
        <v>0.84150000000000003</v>
      </c>
      <c r="F1418" s="164">
        <v>0.84150000000000003</v>
      </c>
      <c r="G1418" s="163">
        <v>6</v>
      </c>
      <c r="H1418" s="163">
        <v>10</v>
      </c>
      <c r="I1418" s="163">
        <v>4</v>
      </c>
      <c r="J1418" s="163">
        <v>4</v>
      </c>
      <c r="K1418" s="163">
        <v>4.648421052631579</v>
      </c>
      <c r="L1418" s="163">
        <v>0.64842105263157901</v>
      </c>
      <c r="M1418" s="163">
        <v>5</v>
      </c>
      <c r="N1418" s="163">
        <v>8.9473684210526319</v>
      </c>
      <c r="O1418" s="163">
        <v>3.9473684210526319</v>
      </c>
      <c r="P1418" s="163"/>
      <c r="Q1418" s="163">
        <v>6</v>
      </c>
      <c r="R1418" s="163">
        <v>0</v>
      </c>
      <c r="S1418" s="163">
        <v>0</v>
      </c>
      <c r="T1418" s="163">
        <v>0</v>
      </c>
      <c r="U1418" s="163">
        <v>0</v>
      </c>
      <c r="V1418" s="163">
        <v>0</v>
      </c>
      <c r="W1418" s="163">
        <v>0</v>
      </c>
      <c r="X1418" s="163">
        <v>0</v>
      </c>
      <c r="Y1418" s="163">
        <v>6</v>
      </c>
      <c r="Z1418" s="163">
        <v>6</v>
      </c>
      <c r="AA1418" s="163">
        <v>0</v>
      </c>
      <c r="AB1418" s="163">
        <v>0</v>
      </c>
      <c r="AC1418" s="163">
        <v>6</v>
      </c>
      <c r="AD1418" s="163">
        <v>0</v>
      </c>
      <c r="AE1418" s="165">
        <v>0.4443266869879765</v>
      </c>
      <c r="AF1418" s="166">
        <v>0.4443266869879765</v>
      </c>
    </row>
    <row r="1419" spans="1:32">
      <c r="A1419" s="161">
        <v>30</v>
      </c>
      <c r="B1419" s="162">
        <v>0.52083333333333337</v>
      </c>
      <c r="C1419" s="163">
        <v>4.4947654968578714</v>
      </c>
      <c r="D1419" s="163">
        <v>751.91069948380289</v>
      </c>
      <c r="E1419" s="164">
        <v>0.87790000000000001</v>
      </c>
      <c r="F1419" s="164">
        <v>0.87790000000000001</v>
      </c>
      <c r="G1419" s="163">
        <v>6</v>
      </c>
      <c r="H1419" s="163">
        <v>10</v>
      </c>
      <c r="I1419" s="163">
        <v>4</v>
      </c>
      <c r="J1419" s="163">
        <v>4</v>
      </c>
      <c r="K1419" s="163">
        <v>4.648421052631579</v>
      </c>
      <c r="L1419" s="163">
        <v>0.64842105263157901</v>
      </c>
      <c r="M1419" s="163">
        <v>5</v>
      </c>
      <c r="N1419" s="163">
        <v>8.9473684210526319</v>
      </c>
      <c r="O1419" s="163">
        <v>3.9473684210526319</v>
      </c>
      <c r="P1419" s="163"/>
      <c r="Q1419" s="163">
        <v>6</v>
      </c>
      <c r="R1419" s="163">
        <v>0</v>
      </c>
      <c r="S1419" s="163">
        <v>0</v>
      </c>
      <c r="T1419" s="163">
        <v>0</v>
      </c>
      <c r="U1419" s="163">
        <v>0</v>
      </c>
      <c r="V1419" s="163">
        <v>0</v>
      </c>
      <c r="W1419" s="163">
        <v>0</v>
      </c>
      <c r="X1419" s="163">
        <v>0</v>
      </c>
      <c r="Y1419" s="163">
        <v>6</v>
      </c>
      <c r="Z1419" s="163">
        <v>6</v>
      </c>
      <c r="AA1419" s="163">
        <v>0</v>
      </c>
      <c r="AB1419" s="163">
        <v>0</v>
      </c>
      <c r="AC1419" s="163">
        <v>6</v>
      </c>
      <c r="AD1419" s="163">
        <v>0</v>
      </c>
      <c r="AE1419" s="165">
        <v>0.40391998230175136</v>
      </c>
      <c r="AF1419" s="166">
        <v>0.40391998230175136</v>
      </c>
    </row>
    <row r="1420" spans="1:32">
      <c r="A1420" s="161">
        <v>30</v>
      </c>
      <c r="B1420" s="162">
        <v>0.54166666666666663</v>
      </c>
      <c r="C1420" s="163">
        <v>4.3331922352419392</v>
      </c>
      <c r="D1420" s="163">
        <v>750.7760958424459</v>
      </c>
      <c r="E1420" s="164">
        <v>0.89039999999999997</v>
      </c>
      <c r="F1420" s="164">
        <v>0.89039999999999997</v>
      </c>
      <c r="G1420" s="163">
        <v>6</v>
      </c>
      <c r="H1420" s="163">
        <v>10</v>
      </c>
      <c r="I1420" s="163">
        <v>4</v>
      </c>
      <c r="J1420" s="163">
        <v>4</v>
      </c>
      <c r="K1420" s="163">
        <v>4.648421052631579</v>
      </c>
      <c r="L1420" s="163">
        <v>0.64842105263157901</v>
      </c>
      <c r="M1420" s="163">
        <v>5</v>
      </c>
      <c r="N1420" s="163">
        <v>8.9473684210526319</v>
      </c>
      <c r="O1420" s="163">
        <v>3.9473684210526319</v>
      </c>
      <c r="P1420" s="163"/>
      <c r="Q1420" s="163">
        <v>6</v>
      </c>
      <c r="R1420" s="163">
        <v>0</v>
      </c>
      <c r="S1420" s="163">
        <v>0</v>
      </c>
      <c r="T1420" s="163">
        <v>0</v>
      </c>
      <c r="U1420" s="163">
        <v>0</v>
      </c>
      <c r="V1420" s="163">
        <v>0</v>
      </c>
      <c r="W1420" s="163">
        <v>0</v>
      </c>
      <c r="X1420" s="163">
        <v>0</v>
      </c>
      <c r="Y1420" s="163">
        <v>6</v>
      </c>
      <c r="Z1420" s="163">
        <v>6</v>
      </c>
      <c r="AA1420" s="163">
        <v>0</v>
      </c>
      <c r="AB1420" s="163">
        <v>0</v>
      </c>
      <c r="AC1420" s="163">
        <v>6</v>
      </c>
      <c r="AD1420" s="163">
        <v>0</v>
      </c>
      <c r="AE1420" s="165">
        <v>0.38881268763388904</v>
      </c>
      <c r="AF1420" s="166">
        <v>0.38881268763388904</v>
      </c>
    </row>
    <row r="1421" spans="1:32">
      <c r="A1421" s="161">
        <v>30</v>
      </c>
      <c r="B1421" s="162">
        <v>0.5625</v>
      </c>
      <c r="C1421" s="163">
        <v>4.1754405014157081</v>
      </c>
      <c r="D1421" s="163">
        <v>752.51710649129541</v>
      </c>
      <c r="E1421" s="164">
        <v>0.90069999999999995</v>
      </c>
      <c r="F1421" s="164">
        <v>0.90069999999999995</v>
      </c>
      <c r="G1421" s="163">
        <v>6</v>
      </c>
      <c r="H1421" s="163">
        <v>10</v>
      </c>
      <c r="I1421" s="163">
        <v>4</v>
      </c>
      <c r="J1421" s="163">
        <v>4</v>
      </c>
      <c r="K1421" s="163">
        <v>4.648421052631579</v>
      </c>
      <c r="L1421" s="163">
        <v>0.64842105263157901</v>
      </c>
      <c r="M1421" s="163">
        <v>5</v>
      </c>
      <c r="N1421" s="163">
        <v>8.9473684210526319</v>
      </c>
      <c r="O1421" s="163">
        <v>3.9473684210526319</v>
      </c>
      <c r="P1421" s="163"/>
      <c r="Q1421" s="163">
        <v>6</v>
      </c>
      <c r="R1421" s="163">
        <v>0</v>
      </c>
      <c r="S1421" s="163">
        <v>0</v>
      </c>
      <c r="T1421" s="163">
        <v>0</v>
      </c>
      <c r="U1421" s="163">
        <v>0</v>
      </c>
      <c r="V1421" s="163">
        <v>0</v>
      </c>
      <c r="W1421" s="163">
        <v>0</v>
      </c>
      <c r="X1421" s="163">
        <v>0</v>
      </c>
      <c r="Y1421" s="163">
        <v>6</v>
      </c>
      <c r="Z1421" s="163">
        <v>6</v>
      </c>
      <c r="AA1421" s="163">
        <v>0</v>
      </c>
      <c r="AB1421" s="163">
        <v>0</v>
      </c>
      <c r="AC1421" s="163">
        <v>6</v>
      </c>
      <c r="AD1421" s="163">
        <v>0</v>
      </c>
      <c r="AE1421" s="165">
        <v>0.37552660580582187</v>
      </c>
      <c r="AF1421" s="166">
        <v>0.37552660580582187</v>
      </c>
    </row>
    <row r="1422" spans="1:32">
      <c r="A1422" s="161">
        <v>30</v>
      </c>
      <c r="B1422" s="162">
        <v>0.58333333333333337</v>
      </c>
      <c r="C1422" s="163">
        <v>3.5196757214625247</v>
      </c>
      <c r="D1422" s="163">
        <v>761.77549001537955</v>
      </c>
      <c r="E1422" s="164">
        <v>0.9376000000000001</v>
      </c>
      <c r="F1422" s="164">
        <v>0.9376000000000001</v>
      </c>
      <c r="G1422" s="163">
        <v>6</v>
      </c>
      <c r="H1422" s="163">
        <v>10</v>
      </c>
      <c r="I1422" s="163">
        <v>4</v>
      </c>
      <c r="J1422" s="163">
        <v>4</v>
      </c>
      <c r="K1422" s="163">
        <v>4.648421052631579</v>
      </c>
      <c r="L1422" s="163">
        <v>0.64842105263157901</v>
      </c>
      <c r="M1422" s="163">
        <v>5</v>
      </c>
      <c r="N1422" s="163">
        <v>8.9473684210526319</v>
      </c>
      <c r="O1422" s="163">
        <v>3.9473684210526319</v>
      </c>
      <c r="P1422" s="163"/>
      <c r="Q1422" s="163">
        <v>6</v>
      </c>
      <c r="R1422" s="163">
        <v>0</v>
      </c>
      <c r="S1422" s="163">
        <v>0</v>
      </c>
      <c r="T1422" s="163">
        <v>0</v>
      </c>
      <c r="U1422" s="163">
        <v>0</v>
      </c>
      <c r="V1422" s="163">
        <v>0</v>
      </c>
      <c r="W1422" s="163">
        <v>0</v>
      </c>
      <c r="X1422" s="163">
        <v>0</v>
      </c>
      <c r="Y1422" s="163">
        <v>6</v>
      </c>
      <c r="Z1422" s="163">
        <v>6</v>
      </c>
      <c r="AA1422" s="163">
        <v>0</v>
      </c>
      <c r="AB1422" s="163">
        <v>0</v>
      </c>
      <c r="AC1422" s="163">
        <v>6</v>
      </c>
      <c r="AD1422" s="163">
        <v>0</v>
      </c>
      <c r="AE1422" s="165">
        <v>0.32044365974005279</v>
      </c>
      <c r="AF1422" s="166">
        <v>0.32044365974005279</v>
      </c>
    </row>
    <row r="1423" spans="1:32">
      <c r="A1423" s="161">
        <v>30</v>
      </c>
      <c r="B1423" s="162">
        <v>0.60416666666666663</v>
      </c>
      <c r="C1423" s="163">
        <v>3.308022214684033</v>
      </c>
      <c r="D1423" s="163">
        <v>762.43434050465362</v>
      </c>
      <c r="E1423" s="164">
        <v>0.94810000000000005</v>
      </c>
      <c r="F1423" s="164">
        <v>0.94810000000000005</v>
      </c>
      <c r="G1423" s="163">
        <v>4</v>
      </c>
      <c r="H1423" s="163">
        <v>10</v>
      </c>
      <c r="I1423" s="163">
        <v>6</v>
      </c>
      <c r="J1423" s="163">
        <v>3</v>
      </c>
      <c r="K1423" s="163">
        <v>3.0989473684210527</v>
      </c>
      <c r="L1423" s="163">
        <v>9.8947368421052673E-2</v>
      </c>
      <c r="M1423" s="163">
        <v>4</v>
      </c>
      <c r="N1423" s="163">
        <v>8.9473684210526319</v>
      </c>
      <c r="O1423" s="163">
        <v>4.9473684210526319</v>
      </c>
      <c r="P1423" s="163"/>
      <c r="Q1423" s="163">
        <v>6</v>
      </c>
      <c r="R1423" s="163">
        <v>0</v>
      </c>
      <c r="S1423" s="163">
        <v>0</v>
      </c>
      <c r="T1423" s="163">
        <v>0</v>
      </c>
      <c r="U1423" s="163">
        <v>0</v>
      </c>
      <c r="V1423" s="163">
        <v>0</v>
      </c>
      <c r="W1423" s="163">
        <v>0</v>
      </c>
      <c r="X1423" s="163">
        <v>0</v>
      </c>
      <c r="Y1423" s="163">
        <v>6</v>
      </c>
      <c r="Z1423" s="163">
        <v>6</v>
      </c>
      <c r="AA1423" s="163">
        <v>0</v>
      </c>
      <c r="AB1423" s="163">
        <v>0</v>
      </c>
      <c r="AC1423" s="163">
        <v>6</v>
      </c>
      <c r="AD1423" s="163">
        <v>0</v>
      </c>
      <c r="AE1423" s="165">
        <v>0.30143446166037591</v>
      </c>
      <c r="AF1423" s="166">
        <v>0.45215169249056392</v>
      </c>
    </row>
    <row r="1424" spans="1:32">
      <c r="A1424" s="161">
        <v>30</v>
      </c>
      <c r="B1424" s="162">
        <v>0.625</v>
      </c>
      <c r="C1424" s="163">
        <v>3.1175932104075388</v>
      </c>
      <c r="D1424" s="163">
        <v>756.61450747282458</v>
      </c>
      <c r="E1424" s="164">
        <v>0.91776666666666662</v>
      </c>
      <c r="F1424" s="164">
        <v>0.91776666666666662</v>
      </c>
      <c r="G1424" s="163">
        <v>4</v>
      </c>
      <c r="H1424" s="163">
        <v>9.3333333333333339</v>
      </c>
      <c r="I1424" s="163">
        <v>5.3333333333333339</v>
      </c>
      <c r="J1424" s="163">
        <v>3</v>
      </c>
      <c r="K1424" s="163">
        <v>3.0989473684210527</v>
      </c>
      <c r="L1424" s="163">
        <v>9.8947368421052673E-2</v>
      </c>
      <c r="M1424" s="163">
        <v>4</v>
      </c>
      <c r="N1424" s="163">
        <v>8.3508771929824572</v>
      </c>
      <c r="O1424" s="163">
        <v>4.3508771929824572</v>
      </c>
      <c r="P1424" s="163"/>
      <c r="Q1424" s="163">
        <v>6</v>
      </c>
      <c r="R1424" s="163">
        <v>0</v>
      </c>
      <c r="S1424" s="163">
        <v>0</v>
      </c>
      <c r="T1424" s="163">
        <v>0</v>
      </c>
      <c r="U1424" s="163">
        <v>0</v>
      </c>
      <c r="V1424" s="163">
        <v>0</v>
      </c>
      <c r="W1424" s="163">
        <v>0</v>
      </c>
      <c r="X1424" s="163">
        <v>0</v>
      </c>
      <c r="Y1424" s="163">
        <v>6</v>
      </c>
      <c r="Z1424" s="163">
        <v>6</v>
      </c>
      <c r="AA1424" s="163">
        <v>0</v>
      </c>
      <c r="AB1424" s="163">
        <v>0</v>
      </c>
      <c r="AC1424" s="163">
        <v>6</v>
      </c>
      <c r="AD1424" s="163">
        <v>0</v>
      </c>
      <c r="AE1424" s="165">
        <v>0.28191367738821782</v>
      </c>
      <c r="AF1424" s="166">
        <v>0.42287051608232673</v>
      </c>
    </row>
    <row r="1425" spans="1:32">
      <c r="A1425" s="161">
        <v>30</v>
      </c>
      <c r="B1425" s="162">
        <v>0.64583333333333337</v>
      </c>
      <c r="C1425" s="163">
        <v>3.2166962884913142</v>
      </c>
      <c r="D1425" s="163">
        <v>757.66401093064644</v>
      </c>
      <c r="E1425" s="164">
        <v>0.82489999999999997</v>
      </c>
      <c r="F1425" s="164">
        <v>0.82489999999999997</v>
      </c>
      <c r="G1425" s="163">
        <v>4</v>
      </c>
      <c r="H1425" s="163">
        <v>6.6666666666666661</v>
      </c>
      <c r="I1425" s="163">
        <v>2.6666666666666661</v>
      </c>
      <c r="J1425" s="163">
        <v>3</v>
      </c>
      <c r="K1425" s="163">
        <v>3.0989473684210527</v>
      </c>
      <c r="L1425" s="163">
        <v>9.8947368421052673E-2</v>
      </c>
      <c r="M1425" s="163">
        <v>4</v>
      </c>
      <c r="N1425" s="163">
        <v>5.9649122807017543</v>
      </c>
      <c r="O1425" s="163">
        <v>1.9649122807017543</v>
      </c>
      <c r="P1425" s="163"/>
      <c r="Q1425" s="163">
        <v>4</v>
      </c>
      <c r="R1425" s="163">
        <v>0</v>
      </c>
      <c r="S1425" s="163">
        <v>0</v>
      </c>
      <c r="T1425" s="163">
        <v>0</v>
      </c>
      <c r="U1425" s="163">
        <v>0</v>
      </c>
      <c r="V1425" s="163">
        <v>0</v>
      </c>
      <c r="W1425" s="163">
        <v>0</v>
      </c>
      <c r="X1425" s="163">
        <v>0</v>
      </c>
      <c r="Y1425" s="163">
        <v>4</v>
      </c>
      <c r="Z1425" s="163">
        <v>4</v>
      </c>
      <c r="AA1425" s="163">
        <v>0</v>
      </c>
      <c r="AB1425" s="163">
        <v>0</v>
      </c>
      <c r="AC1425" s="163">
        <v>4</v>
      </c>
      <c r="AD1425" s="163">
        <v>0</v>
      </c>
      <c r="AE1425" s="165">
        <v>0.4369180746697332</v>
      </c>
      <c r="AF1425" s="166">
        <v>0.4369180746697332</v>
      </c>
    </row>
    <row r="1426" spans="1:32">
      <c r="A1426" s="161">
        <v>30</v>
      </c>
      <c r="B1426" s="162">
        <v>0.66666666666666663</v>
      </c>
      <c r="C1426" s="163">
        <v>3.1723190985221956</v>
      </c>
      <c r="D1426" s="163">
        <v>761.90486250035997</v>
      </c>
      <c r="E1426" s="164">
        <v>0.82809999999999995</v>
      </c>
      <c r="F1426" s="164">
        <v>0.82809999999999995</v>
      </c>
      <c r="G1426" s="163">
        <v>4</v>
      </c>
      <c r="H1426" s="163">
        <v>6.6666666666666661</v>
      </c>
      <c r="I1426" s="163">
        <v>2.6666666666666661</v>
      </c>
      <c r="J1426" s="163">
        <v>3</v>
      </c>
      <c r="K1426" s="163">
        <v>3.0989473684210527</v>
      </c>
      <c r="L1426" s="163">
        <v>9.8947368421052673E-2</v>
      </c>
      <c r="M1426" s="163">
        <v>4</v>
      </c>
      <c r="N1426" s="163">
        <v>5.9649122807017543</v>
      </c>
      <c r="O1426" s="163">
        <v>1.9649122807017543</v>
      </c>
      <c r="P1426" s="163"/>
      <c r="Q1426" s="163">
        <v>4</v>
      </c>
      <c r="R1426" s="163">
        <v>0</v>
      </c>
      <c r="S1426" s="163">
        <v>0</v>
      </c>
      <c r="T1426" s="163">
        <v>0</v>
      </c>
      <c r="U1426" s="163">
        <v>0</v>
      </c>
      <c r="V1426" s="163">
        <v>0</v>
      </c>
      <c r="W1426" s="163">
        <v>0</v>
      </c>
      <c r="X1426" s="163">
        <v>0</v>
      </c>
      <c r="Y1426" s="163">
        <v>4</v>
      </c>
      <c r="Z1426" s="163">
        <v>4</v>
      </c>
      <c r="AA1426" s="163">
        <v>0</v>
      </c>
      <c r="AB1426" s="163">
        <v>0</v>
      </c>
      <c r="AC1426" s="163">
        <v>4</v>
      </c>
      <c r="AD1426" s="163">
        <v>0</v>
      </c>
      <c r="AE1426" s="165">
        <v>0.43330221151088427</v>
      </c>
      <c r="AF1426" s="166">
        <v>0.43330221151088427</v>
      </c>
    </row>
    <row r="1427" spans="1:32">
      <c r="A1427" s="161">
        <v>30</v>
      </c>
      <c r="B1427" s="162">
        <v>0.6875</v>
      </c>
      <c r="C1427" s="163">
        <v>3.3283063623527749</v>
      </c>
      <c r="D1427" s="163">
        <v>764.24041243871181</v>
      </c>
      <c r="E1427" s="164">
        <v>0.80650000000000011</v>
      </c>
      <c r="F1427" s="164">
        <v>0.80650000000000011</v>
      </c>
      <c r="G1427" s="163">
        <v>4</v>
      </c>
      <c r="H1427" s="163">
        <v>6.6666666666666661</v>
      </c>
      <c r="I1427" s="163">
        <v>2.6666666666666661</v>
      </c>
      <c r="J1427" s="163">
        <v>3</v>
      </c>
      <c r="K1427" s="163">
        <v>3.0989473684210527</v>
      </c>
      <c r="L1427" s="163">
        <v>9.8947368421052673E-2</v>
      </c>
      <c r="M1427" s="163">
        <v>4</v>
      </c>
      <c r="N1427" s="163">
        <v>5.9649122807017543</v>
      </c>
      <c r="O1427" s="163">
        <v>1.9649122807017543</v>
      </c>
      <c r="P1427" s="163"/>
      <c r="Q1427" s="163">
        <v>4</v>
      </c>
      <c r="R1427" s="163">
        <v>0</v>
      </c>
      <c r="S1427" s="163">
        <v>0</v>
      </c>
      <c r="T1427" s="163">
        <v>0</v>
      </c>
      <c r="U1427" s="163">
        <v>0</v>
      </c>
      <c r="V1427" s="163">
        <v>0</v>
      </c>
      <c r="W1427" s="163">
        <v>0</v>
      </c>
      <c r="X1427" s="163">
        <v>0</v>
      </c>
      <c r="Y1427" s="163">
        <v>4</v>
      </c>
      <c r="Z1427" s="163">
        <v>4</v>
      </c>
      <c r="AA1427" s="163">
        <v>0</v>
      </c>
      <c r="AB1427" s="163">
        <v>0</v>
      </c>
      <c r="AC1427" s="163">
        <v>4</v>
      </c>
      <c r="AD1427" s="163">
        <v>0</v>
      </c>
      <c r="AE1427" s="165">
        <v>0.45600183343382583</v>
      </c>
      <c r="AF1427" s="166">
        <v>0.45600183343382583</v>
      </c>
    </row>
    <row r="1428" spans="1:32">
      <c r="A1428" s="161">
        <v>30</v>
      </c>
      <c r="B1428" s="162">
        <v>0.70833333333333337</v>
      </c>
      <c r="C1428" s="163">
        <v>3.2929779817998033</v>
      </c>
      <c r="D1428" s="163">
        <v>757.45032291106122</v>
      </c>
      <c r="E1428" s="164">
        <v>0.81520000000000004</v>
      </c>
      <c r="F1428" s="164">
        <v>0.81520000000000004</v>
      </c>
      <c r="G1428" s="163">
        <v>4</v>
      </c>
      <c r="H1428" s="163">
        <v>6.6666666666666661</v>
      </c>
      <c r="I1428" s="163">
        <v>2.6666666666666661</v>
      </c>
      <c r="J1428" s="163">
        <v>3</v>
      </c>
      <c r="K1428" s="163">
        <v>3.0989473684210527</v>
      </c>
      <c r="L1428" s="163">
        <v>9.8947368421052673E-2</v>
      </c>
      <c r="M1428" s="163">
        <v>4</v>
      </c>
      <c r="N1428" s="163">
        <v>5.9649122807017543</v>
      </c>
      <c r="O1428" s="163">
        <v>1.9649122807017543</v>
      </c>
      <c r="P1428" s="163"/>
      <c r="Q1428" s="163">
        <v>4</v>
      </c>
      <c r="R1428" s="163">
        <v>0</v>
      </c>
      <c r="S1428" s="163">
        <v>0</v>
      </c>
      <c r="T1428" s="163">
        <v>0</v>
      </c>
      <c r="U1428" s="163">
        <v>0</v>
      </c>
      <c r="V1428" s="163">
        <v>0</v>
      </c>
      <c r="W1428" s="163">
        <v>0</v>
      </c>
      <c r="X1428" s="163">
        <v>0</v>
      </c>
      <c r="Y1428" s="163">
        <v>4</v>
      </c>
      <c r="Z1428" s="163">
        <v>4</v>
      </c>
      <c r="AA1428" s="163">
        <v>0</v>
      </c>
      <c r="AB1428" s="163">
        <v>0</v>
      </c>
      <c r="AC1428" s="163">
        <v>4</v>
      </c>
      <c r="AD1428" s="163">
        <v>0</v>
      </c>
      <c r="AE1428" s="165">
        <v>0.4471531313916462</v>
      </c>
      <c r="AF1428" s="166">
        <v>0.4471531313916462</v>
      </c>
    </row>
    <row r="1429" spans="1:32">
      <c r="A1429" s="161">
        <v>30</v>
      </c>
      <c r="B1429" s="162">
        <v>0.72916666666666663</v>
      </c>
      <c r="C1429" s="163">
        <v>3.3395011697554251</v>
      </c>
      <c r="D1429" s="163">
        <v>712.81134466394337</v>
      </c>
      <c r="E1429" s="164">
        <v>0.91610000000000003</v>
      </c>
      <c r="F1429" s="164">
        <v>0.91610000000000003</v>
      </c>
      <c r="G1429" s="163">
        <v>4</v>
      </c>
      <c r="H1429" s="163">
        <v>8</v>
      </c>
      <c r="I1429" s="163">
        <v>4</v>
      </c>
      <c r="J1429" s="163">
        <v>3</v>
      </c>
      <c r="K1429" s="163">
        <v>3.0989473684210527</v>
      </c>
      <c r="L1429" s="163">
        <v>9.8947368421052673E-2</v>
      </c>
      <c r="M1429" s="163">
        <v>4</v>
      </c>
      <c r="N1429" s="163">
        <v>7.1578947368421053</v>
      </c>
      <c r="O1429" s="163">
        <v>3.1578947368421053</v>
      </c>
      <c r="P1429" s="163"/>
      <c r="Q1429" s="163">
        <v>4</v>
      </c>
      <c r="R1429" s="163">
        <v>0</v>
      </c>
      <c r="S1429" s="163">
        <v>0</v>
      </c>
      <c r="T1429" s="163">
        <v>0</v>
      </c>
      <c r="U1429" s="163">
        <v>0</v>
      </c>
      <c r="V1429" s="163">
        <v>0</v>
      </c>
      <c r="W1429" s="163">
        <v>0</v>
      </c>
      <c r="X1429" s="163">
        <v>0</v>
      </c>
      <c r="Y1429" s="163">
        <v>4</v>
      </c>
      <c r="Z1429" s="163">
        <v>4</v>
      </c>
      <c r="AA1429" s="163">
        <v>0</v>
      </c>
      <c r="AB1429" s="163">
        <v>0</v>
      </c>
      <c r="AC1429" s="163">
        <v>4</v>
      </c>
      <c r="AD1429" s="163">
        <v>0</v>
      </c>
      <c r="AE1429" s="165">
        <v>0.42674603777063846</v>
      </c>
      <c r="AF1429" s="166">
        <v>0.42674603777063846</v>
      </c>
    </row>
    <row r="1430" spans="1:32">
      <c r="A1430" s="161">
        <v>30</v>
      </c>
      <c r="B1430" s="162">
        <v>0.75</v>
      </c>
      <c r="C1430" s="163">
        <v>3.6306038128592228</v>
      </c>
      <c r="D1430" s="163">
        <v>746.70201707202261</v>
      </c>
      <c r="E1430" s="164">
        <v>0.93559999999999999</v>
      </c>
      <c r="F1430" s="164">
        <v>0.93559999999999999</v>
      </c>
      <c r="G1430" s="163">
        <v>6</v>
      </c>
      <c r="H1430" s="163">
        <v>10</v>
      </c>
      <c r="I1430" s="163">
        <v>4</v>
      </c>
      <c r="J1430" s="163">
        <v>4</v>
      </c>
      <c r="K1430" s="163">
        <v>4.648421052631579</v>
      </c>
      <c r="L1430" s="163">
        <v>0.64842105263157901</v>
      </c>
      <c r="M1430" s="163">
        <v>5</v>
      </c>
      <c r="N1430" s="163">
        <v>8.9473684210526319</v>
      </c>
      <c r="O1430" s="163">
        <v>3.9473684210526319</v>
      </c>
      <c r="P1430" s="163"/>
      <c r="Q1430" s="163">
        <v>6</v>
      </c>
      <c r="R1430" s="163">
        <v>0</v>
      </c>
      <c r="S1430" s="163">
        <v>0</v>
      </c>
      <c r="T1430" s="163">
        <v>0</v>
      </c>
      <c r="U1430" s="163">
        <v>0</v>
      </c>
      <c r="V1430" s="163">
        <v>0</v>
      </c>
      <c r="W1430" s="163">
        <v>0</v>
      </c>
      <c r="X1430" s="163">
        <v>0</v>
      </c>
      <c r="Y1430" s="163">
        <v>6</v>
      </c>
      <c r="Z1430" s="163">
        <v>6</v>
      </c>
      <c r="AA1430" s="163">
        <v>0</v>
      </c>
      <c r="AB1430" s="163">
        <v>0</v>
      </c>
      <c r="AC1430" s="163">
        <v>6</v>
      </c>
      <c r="AD1430" s="163">
        <v>0</v>
      </c>
      <c r="AE1430" s="165">
        <v>0.32400239416500476</v>
      </c>
      <c r="AF1430" s="166">
        <v>0.32400239416500476</v>
      </c>
    </row>
    <row r="1431" spans="1:32">
      <c r="A1431" s="161">
        <v>30</v>
      </c>
      <c r="B1431" s="162">
        <v>0.77083333333333337</v>
      </c>
      <c r="C1431" s="163">
        <v>3.7580086053314137</v>
      </c>
      <c r="D1431" s="163">
        <v>741.5785022498693</v>
      </c>
      <c r="E1431" s="164">
        <v>0.93010000000000004</v>
      </c>
      <c r="F1431" s="164">
        <v>0.93010000000000004</v>
      </c>
      <c r="G1431" s="163">
        <v>6</v>
      </c>
      <c r="H1431" s="163">
        <v>10</v>
      </c>
      <c r="I1431" s="163">
        <v>4</v>
      </c>
      <c r="J1431" s="163">
        <v>4</v>
      </c>
      <c r="K1431" s="163">
        <v>4.648421052631579</v>
      </c>
      <c r="L1431" s="163">
        <v>0.64842105263157901</v>
      </c>
      <c r="M1431" s="163">
        <v>5</v>
      </c>
      <c r="N1431" s="163">
        <v>8.9473684210526319</v>
      </c>
      <c r="O1431" s="163">
        <v>3.9473684210526319</v>
      </c>
      <c r="P1431" s="163"/>
      <c r="Q1431" s="163">
        <v>6</v>
      </c>
      <c r="R1431" s="163">
        <v>0</v>
      </c>
      <c r="S1431" s="163">
        <v>0</v>
      </c>
      <c r="T1431" s="163">
        <v>0</v>
      </c>
      <c r="U1431" s="163">
        <v>0</v>
      </c>
      <c r="V1431" s="163">
        <v>0</v>
      </c>
      <c r="W1431" s="163">
        <v>0</v>
      </c>
      <c r="X1431" s="163">
        <v>0</v>
      </c>
      <c r="Y1431" s="163">
        <v>6</v>
      </c>
      <c r="Z1431" s="163">
        <v>6</v>
      </c>
      <c r="AA1431" s="163">
        <v>0</v>
      </c>
      <c r="AB1431" s="163">
        <v>0</v>
      </c>
      <c r="AC1431" s="163">
        <v>6</v>
      </c>
      <c r="AD1431" s="163">
        <v>0</v>
      </c>
      <c r="AE1431" s="165">
        <v>0.33307108913730382</v>
      </c>
      <c r="AF1431" s="166">
        <v>0.33307108913730382</v>
      </c>
    </row>
    <row r="1432" spans="1:32">
      <c r="A1432" s="161">
        <v>30</v>
      </c>
      <c r="B1432" s="162">
        <v>0.79166666666666663</v>
      </c>
      <c r="C1432" s="163">
        <v>3.5148936535203035</v>
      </c>
      <c r="D1432" s="163">
        <v>727.97699135025641</v>
      </c>
      <c r="E1432" s="164">
        <v>0.80430000000000001</v>
      </c>
      <c r="F1432" s="164">
        <v>0.80430000000000001</v>
      </c>
      <c r="G1432" s="163">
        <v>6</v>
      </c>
      <c r="H1432" s="163">
        <v>6.6666666666666661</v>
      </c>
      <c r="I1432" s="163">
        <v>0.66666666666666607</v>
      </c>
      <c r="J1432" s="163">
        <v>4</v>
      </c>
      <c r="K1432" s="163">
        <v>4.648421052631579</v>
      </c>
      <c r="L1432" s="163">
        <v>0.64842105263157901</v>
      </c>
      <c r="M1432" s="163">
        <v>5</v>
      </c>
      <c r="N1432" s="163">
        <v>5.9649122807017543</v>
      </c>
      <c r="O1432" s="163">
        <v>0.96491228070175428</v>
      </c>
      <c r="P1432" s="163"/>
      <c r="Q1432" s="163">
        <v>4</v>
      </c>
      <c r="R1432" s="163">
        <v>0</v>
      </c>
      <c r="S1432" s="163">
        <v>0</v>
      </c>
      <c r="T1432" s="163">
        <v>0</v>
      </c>
      <c r="U1432" s="163">
        <v>0</v>
      </c>
      <c r="V1432" s="163">
        <v>0</v>
      </c>
      <c r="W1432" s="163">
        <v>0</v>
      </c>
      <c r="X1432" s="163">
        <v>0</v>
      </c>
      <c r="Y1432" s="163">
        <v>4</v>
      </c>
      <c r="Z1432" s="163">
        <v>4</v>
      </c>
      <c r="AA1432" s="163">
        <v>0</v>
      </c>
      <c r="AB1432" s="163">
        <v>0</v>
      </c>
      <c r="AC1432" s="163">
        <v>4</v>
      </c>
      <c r="AD1432" s="163">
        <v>0</v>
      </c>
      <c r="AE1432" s="165">
        <v>0.45871520634539742</v>
      </c>
      <c r="AF1432" s="166">
        <v>0.30581013756359832</v>
      </c>
    </row>
    <row r="1433" spans="1:32">
      <c r="A1433" s="161">
        <v>30</v>
      </c>
      <c r="B1433" s="162">
        <v>0.8125</v>
      </c>
      <c r="C1433" s="163">
        <v>3.5135095602658524</v>
      </c>
      <c r="D1433" s="163">
        <v>726.60677174671866</v>
      </c>
      <c r="E1433" s="164">
        <v>0.80530000000000002</v>
      </c>
      <c r="F1433" s="164">
        <v>0.80530000000000002</v>
      </c>
      <c r="G1433" s="163">
        <v>4</v>
      </c>
      <c r="H1433" s="163">
        <v>6.6666666666666661</v>
      </c>
      <c r="I1433" s="163">
        <v>2.6666666666666661</v>
      </c>
      <c r="J1433" s="163">
        <v>3</v>
      </c>
      <c r="K1433" s="163">
        <v>3.0989473684210527</v>
      </c>
      <c r="L1433" s="163">
        <v>9.8947368421052673E-2</v>
      </c>
      <c r="M1433" s="163">
        <v>4</v>
      </c>
      <c r="N1433" s="163">
        <v>5.9649122807017543</v>
      </c>
      <c r="O1433" s="163">
        <v>1.9649122807017543</v>
      </c>
      <c r="P1433" s="163"/>
      <c r="Q1433" s="163">
        <v>4</v>
      </c>
      <c r="R1433" s="163">
        <v>0</v>
      </c>
      <c r="S1433" s="163">
        <v>0</v>
      </c>
      <c r="T1433" s="163">
        <v>0</v>
      </c>
      <c r="U1433" s="163">
        <v>0</v>
      </c>
      <c r="V1433" s="163">
        <v>0</v>
      </c>
      <c r="W1433" s="163">
        <v>0</v>
      </c>
      <c r="X1433" s="163">
        <v>0</v>
      </c>
      <c r="Y1433" s="163">
        <v>4</v>
      </c>
      <c r="Z1433" s="163">
        <v>4</v>
      </c>
      <c r="AA1433" s="163">
        <v>0</v>
      </c>
      <c r="AB1433" s="163">
        <v>0</v>
      </c>
      <c r="AC1433" s="163">
        <v>4</v>
      </c>
      <c r="AD1433" s="163">
        <v>0</v>
      </c>
      <c r="AE1433" s="165">
        <v>0.45767150647865784</v>
      </c>
      <c r="AF1433" s="166">
        <v>0.45767150647865784</v>
      </c>
    </row>
    <row r="1434" spans="1:32">
      <c r="A1434" s="161">
        <v>30</v>
      </c>
      <c r="B1434" s="162">
        <v>0.83333333333333337</v>
      </c>
      <c r="C1434" s="163">
        <v>3.3876573994944827</v>
      </c>
      <c r="D1434" s="163">
        <v>737.83046706140544</v>
      </c>
      <c r="E1434" s="164">
        <v>0.32056666666666667</v>
      </c>
      <c r="F1434" s="164">
        <v>0.32056666666666667</v>
      </c>
      <c r="G1434" s="163">
        <v>4</v>
      </c>
      <c r="H1434" s="163">
        <v>5.333333333333333</v>
      </c>
      <c r="I1434" s="163">
        <v>1.333333333333333</v>
      </c>
      <c r="J1434" s="163">
        <v>3</v>
      </c>
      <c r="K1434" s="163">
        <v>3.0989473684210527</v>
      </c>
      <c r="L1434" s="163">
        <v>9.8947368421052673E-2</v>
      </c>
      <c r="M1434" s="163">
        <v>4</v>
      </c>
      <c r="N1434" s="163">
        <v>4.7719298245614032</v>
      </c>
      <c r="O1434" s="163">
        <v>0.77192982456140324</v>
      </c>
      <c r="P1434" s="163"/>
      <c r="Q1434" s="163">
        <v>4</v>
      </c>
      <c r="R1434" s="163">
        <v>0</v>
      </c>
      <c r="S1434" s="163">
        <v>0</v>
      </c>
      <c r="T1434" s="163">
        <v>0</v>
      </c>
      <c r="U1434" s="163">
        <v>0</v>
      </c>
      <c r="V1434" s="163">
        <v>0</v>
      </c>
      <c r="W1434" s="163">
        <v>0</v>
      </c>
      <c r="X1434" s="163">
        <v>0</v>
      </c>
      <c r="Y1434" s="163">
        <v>4</v>
      </c>
      <c r="Z1434" s="163">
        <v>4</v>
      </c>
      <c r="AA1434" s="163">
        <v>0</v>
      </c>
      <c r="AB1434" s="163">
        <v>0</v>
      </c>
      <c r="AC1434" s="163">
        <v>4</v>
      </c>
      <c r="AD1434" s="163">
        <v>0</v>
      </c>
      <c r="AE1434" s="165">
        <v>0.44809424049807295</v>
      </c>
      <c r="AF1434" s="166">
        <v>0.44809424049807295</v>
      </c>
    </row>
    <row r="1435" spans="1:32">
      <c r="A1435" s="161">
        <v>30</v>
      </c>
      <c r="B1435" s="162">
        <v>0.85416666666666663</v>
      </c>
      <c r="C1435" s="163">
        <v>3.1760726131834867</v>
      </c>
      <c r="D1435" s="163">
        <v>732.29787936147022</v>
      </c>
      <c r="E1435" s="164">
        <v>0.1201</v>
      </c>
      <c r="F1435" s="164">
        <v>0.1201</v>
      </c>
      <c r="G1435" s="163">
        <v>4</v>
      </c>
      <c r="H1435" s="163">
        <v>3.333333333333333</v>
      </c>
      <c r="I1435" s="163">
        <v>-0.66666666666666696</v>
      </c>
      <c r="J1435" s="163">
        <v>3</v>
      </c>
      <c r="K1435" s="163">
        <v>3.0989473684210527</v>
      </c>
      <c r="L1435" s="163">
        <v>9.8947368421052673E-2</v>
      </c>
      <c r="M1435" s="163">
        <v>4</v>
      </c>
      <c r="N1435" s="163">
        <v>2.9824561403508771</v>
      </c>
      <c r="O1435" s="163">
        <v>-1.0175438596491229</v>
      </c>
      <c r="P1435" s="163"/>
      <c r="Q1435" s="163">
        <v>2</v>
      </c>
      <c r="R1435" s="163">
        <v>0</v>
      </c>
      <c r="S1435" s="163">
        <v>0</v>
      </c>
      <c r="T1435" s="163">
        <v>0</v>
      </c>
      <c r="U1435" s="163">
        <v>0</v>
      </c>
      <c r="V1435" s="163">
        <v>0</v>
      </c>
      <c r="W1435" s="163">
        <v>0</v>
      </c>
      <c r="X1435" s="163">
        <v>0</v>
      </c>
      <c r="Y1435" s="163">
        <v>2</v>
      </c>
      <c r="Z1435" s="163">
        <v>2</v>
      </c>
      <c r="AA1435" s="163">
        <v>0</v>
      </c>
      <c r="AB1435" s="163">
        <v>0</v>
      </c>
      <c r="AC1435" s="163">
        <v>2</v>
      </c>
      <c r="AD1435" s="163">
        <v>0</v>
      </c>
      <c r="AE1435" s="165">
        <v>0.83391443137292232</v>
      </c>
      <c r="AF1435" s="166">
        <v>0.41695721568646116</v>
      </c>
    </row>
    <row r="1436" spans="1:32">
      <c r="A1436" s="161">
        <v>30</v>
      </c>
      <c r="B1436" s="162">
        <v>0.875</v>
      </c>
      <c r="C1436" s="163">
        <v>2.8376369522743019</v>
      </c>
      <c r="D1436" s="163">
        <v>694.17976661052785</v>
      </c>
      <c r="E1436" s="164">
        <v>0.22189999999999999</v>
      </c>
      <c r="F1436" s="164">
        <v>0.22189999999999999</v>
      </c>
      <c r="G1436" s="163">
        <v>4</v>
      </c>
      <c r="H1436" s="163">
        <v>3.333333333333333</v>
      </c>
      <c r="I1436" s="163">
        <v>-0.66666666666666696</v>
      </c>
      <c r="J1436" s="163">
        <v>3</v>
      </c>
      <c r="K1436" s="163">
        <v>3.0989473684210527</v>
      </c>
      <c r="L1436" s="163">
        <v>9.8947368421052673E-2</v>
      </c>
      <c r="M1436" s="163">
        <v>4</v>
      </c>
      <c r="N1436" s="163">
        <v>2.9824561403508771</v>
      </c>
      <c r="O1436" s="163">
        <v>-1.0175438596491229</v>
      </c>
      <c r="P1436" s="163"/>
      <c r="Q1436" s="163">
        <v>2</v>
      </c>
      <c r="R1436" s="163">
        <v>0</v>
      </c>
      <c r="S1436" s="163">
        <v>0</v>
      </c>
      <c r="T1436" s="163">
        <v>0</v>
      </c>
      <c r="U1436" s="163">
        <v>0</v>
      </c>
      <c r="V1436" s="163">
        <v>0</v>
      </c>
      <c r="W1436" s="163">
        <v>0</v>
      </c>
      <c r="X1436" s="163">
        <v>0</v>
      </c>
      <c r="Y1436" s="163">
        <v>2</v>
      </c>
      <c r="Z1436" s="163">
        <v>2</v>
      </c>
      <c r="AA1436" s="163">
        <v>0</v>
      </c>
      <c r="AB1436" s="163">
        <v>0</v>
      </c>
      <c r="AC1436" s="163">
        <v>2</v>
      </c>
      <c r="AD1436" s="163">
        <v>0</v>
      </c>
      <c r="AE1436" s="165">
        <v>0.70627213518735843</v>
      </c>
      <c r="AF1436" s="166">
        <v>0.35313606759367921</v>
      </c>
    </row>
    <row r="1437" spans="1:32">
      <c r="A1437" s="161">
        <v>30</v>
      </c>
      <c r="B1437" s="162">
        <v>0.89583333333333337</v>
      </c>
      <c r="C1437" s="163">
        <v>2.5721124329519709</v>
      </c>
      <c r="D1437" s="163">
        <v>734.94331069495081</v>
      </c>
      <c r="E1437" s="164">
        <v>0.24510000000000001</v>
      </c>
      <c r="F1437" s="164">
        <v>0.24510000000000001</v>
      </c>
      <c r="G1437" s="163">
        <v>4</v>
      </c>
      <c r="H1437" s="163">
        <v>3.333333333333333</v>
      </c>
      <c r="I1437" s="163">
        <v>-0.66666666666666696</v>
      </c>
      <c r="J1437" s="163">
        <v>3</v>
      </c>
      <c r="K1437" s="163">
        <v>3.0989473684210527</v>
      </c>
      <c r="L1437" s="163">
        <v>9.8947368421052673E-2</v>
      </c>
      <c r="M1437" s="163">
        <v>4</v>
      </c>
      <c r="N1437" s="163">
        <v>2.9824561403508771</v>
      </c>
      <c r="O1437" s="163">
        <v>-1.0175438596491229</v>
      </c>
      <c r="P1437" s="163"/>
      <c r="Q1437" s="163">
        <v>2</v>
      </c>
      <c r="R1437" s="163">
        <v>0</v>
      </c>
      <c r="S1437" s="163">
        <v>0</v>
      </c>
      <c r="T1437" s="163">
        <v>0</v>
      </c>
      <c r="U1437" s="163">
        <v>0</v>
      </c>
      <c r="V1437" s="163">
        <v>0</v>
      </c>
      <c r="W1437" s="163">
        <v>0</v>
      </c>
      <c r="X1437" s="163">
        <v>0</v>
      </c>
      <c r="Y1437" s="163">
        <v>2</v>
      </c>
      <c r="Z1437" s="163">
        <v>2</v>
      </c>
      <c r="AA1437" s="163">
        <v>0</v>
      </c>
      <c r="AB1437" s="163">
        <v>0</v>
      </c>
      <c r="AC1437" s="163">
        <v>2</v>
      </c>
      <c r="AD1437" s="163">
        <v>0</v>
      </c>
      <c r="AE1437" s="165">
        <v>0.67777739492968658</v>
      </c>
      <c r="AF1437" s="166">
        <v>0.33888869746484329</v>
      </c>
    </row>
    <row r="1438" spans="1:32">
      <c r="A1438" s="161">
        <v>30</v>
      </c>
      <c r="B1438" s="162">
        <v>0.91666666666666663</v>
      </c>
      <c r="C1438" s="163">
        <v>2.2118035553724562</v>
      </c>
      <c r="D1438" s="163">
        <v>738.87104000874206</v>
      </c>
      <c r="E1438" s="164">
        <v>0.32500000000000001</v>
      </c>
      <c r="F1438" s="164">
        <v>0.32500000000000001</v>
      </c>
      <c r="G1438" s="163">
        <v>4</v>
      </c>
      <c r="H1438" s="163">
        <v>3.333333333333333</v>
      </c>
      <c r="I1438" s="163">
        <v>-0.66666666666666696</v>
      </c>
      <c r="J1438" s="163">
        <v>3</v>
      </c>
      <c r="K1438" s="163">
        <v>3.0989473684210527</v>
      </c>
      <c r="L1438" s="163">
        <v>9.8947368421052673E-2</v>
      </c>
      <c r="M1438" s="163">
        <v>4</v>
      </c>
      <c r="N1438" s="163">
        <v>2.9824561403508771</v>
      </c>
      <c r="O1438" s="163">
        <v>-1.0175438596491229</v>
      </c>
      <c r="P1438" s="163"/>
      <c r="Q1438" s="163">
        <v>2</v>
      </c>
      <c r="R1438" s="163">
        <v>0</v>
      </c>
      <c r="S1438" s="163">
        <v>0</v>
      </c>
      <c r="T1438" s="163">
        <v>0</v>
      </c>
      <c r="U1438" s="163">
        <v>0</v>
      </c>
      <c r="V1438" s="163">
        <v>0</v>
      </c>
      <c r="W1438" s="163">
        <v>0</v>
      </c>
      <c r="X1438" s="163">
        <v>0</v>
      </c>
      <c r="Y1438" s="163">
        <v>2</v>
      </c>
      <c r="Z1438" s="163">
        <v>2</v>
      </c>
      <c r="AA1438" s="163">
        <v>0</v>
      </c>
      <c r="AB1438" s="163">
        <v>0</v>
      </c>
      <c r="AC1438" s="163">
        <v>2</v>
      </c>
      <c r="AD1438" s="163">
        <v>0</v>
      </c>
      <c r="AE1438" s="165">
        <v>0.5859472047065315</v>
      </c>
      <c r="AF1438" s="166">
        <v>0.29297360235326575</v>
      </c>
    </row>
    <row r="1439" spans="1:32">
      <c r="A1439" s="161">
        <v>30</v>
      </c>
      <c r="B1439" s="162">
        <v>0.9375</v>
      </c>
      <c r="C1439" s="163">
        <v>1.595923492280745</v>
      </c>
      <c r="D1439" s="163">
        <v>687.87126950693698</v>
      </c>
      <c r="E1439" s="164">
        <v>0.5121</v>
      </c>
      <c r="F1439" s="164">
        <v>0.5121</v>
      </c>
      <c r="G1439" s="163">
        <v>3</v>
      </c>
      <c r="H1439" s="163">
        <v>3.333333333333333</v>
      </c>
      <c r="I1439" s="163">
        <v>0.33333333333333304</v>
      </c>
      <c r="J1439" s="163">
        <v>2</v>
      </c>
      <c r="K1439" s="163">
        <v>2.3242105263157895</v>
      </c>
      <c r="L1439" s="163">
        <v>0.3242105263157895</v>
      </c>
      <c r="M1439" s="163">
        <v>3</v>
      </c>
      <c r="N1439" s="163">
        <v>2.9824561403508771</v>
      </c>
      <c r="O1439" s="163">
        <v>-1.7543859649122862E-2</v>
      </c>
      <c r="P1439" s="163"/>
      <c r="Q1439" s="163">
        <v>2</v>
      </c>
      <c r="R1439" s="163">
        <v>0</v>
      </c>
      <c r="S1439" s="163">
        <v>0</v>
      </c>
      <c r="T1439" s="163">
        <v>0</v>
      </c>
      <c r="U1439" s="163">
        <v>0</v>
      </c>
      <c r="V1439" s="163">
        <v>0</v>
      </c>
      <c r="W1439" s="163">
        <v>0</v>
      </c>
      <c r="X1439" s="163">
        <v>0</v>
      </c>
      <c r="Y1439" s="163">
        <v>2</v>
      </c>
      <c r="Z1439" s="163">
        <v>2</v>
      </c>
      <c r="AA1439" s="163">
        <v>0</v>
      </c>
      <c r="AB1439" s="163">
        <v>0</v>
      </c>
      <c r="AC1439" s="163">
        <v>2</v>
      </c>
      <c r="AD1439" s="163">
        <v>0</v>
      </c>
      <c r="AE1439" s="165">
        <v>0.39360674167328863</v>
      </c>
      <c r="AF1439" s="166">
        <v>0.26240449444885905</v>
      </c>
    </row>
    <row r="1440" spans="1:32">
      <c r="A1440" s="161">
        <v>30</v>
      </c>
      <c r="B1440" s="162">
        <v>0.95833333333333337</v>
      </c>
      <c r="C1440" s="163">
        <v>1.1191773273599679</v>
      </c>
      <c r="D1440" s="163">
        <v>642.26193150356619</v>
      </c>
      <c r="E1440" s="164">
        <v>0.66249999999999998</v>
      </c>
      <c r="F1440" s="164">
        <v>0.66249999999999998</v>
      </c>
      <c r="G1440" s="163">
        <v>3</v>
      </c>
      <c r="H1440" s="163">
        <v>3.333333333333333</v>
      </c>
      <c r="I1440" s="163">
        <v>0.33333333333333304</v>
      </c>
      <c r="J1440" s="163">
        <v>2</v>
      </c>
      <c r="K1440" s="163">
        <v>2.3242105263157895</v>
      </c>
      <c r="L1440" s="163">
        <v>0.3242105263157895</v>
      </c>
      <c r="M1440" s="163">
        <v>3</v>
      </c>
      <c r="N1440" s="163">
        <v>2.9824561403508771</v>
      </c>
      <c r="O1440" s="163">
        <v>-1.7543859649122862E-2</v>
      </c>
      <c r="P1440" s="163"/>
      <c r="Q1440" s="163">
        <v>2</v>
      </c>
      <c r="R1440" s="163">
        <v>0</v>
      </c>
      <c r="S1440" s="163">
        <v>0</v>
      </c>
      <c r="T1440" s="163">
        <v>0</v>
      </c>
      <c r="U1440" s="163">
        <v>0</v>
      </c>
      <c r="V1440" s="163">
        <v>0</v>
      </c>
      <c r="W1440" s="163">
        <v>0</v>
      </c>
      <c r="X1440" s="163">
        <v>0</v>
      </c>
      <c r="Y1440" s="163">
        <v>2</v>
      </c>
      <c r="Z1440" s="163">
        <v>2</v>
      </c>
      <c r="AA1440" s="163">
        <v>0</v>
      </c>
      <c r="AB1440" s="163">
        <v>0</v>
      </c>
      <c r="AC1440" s="163">
        <v>2</v>
      </c>
      <c r="AD1440" s="163">
        <v>0</v>
      </c>
      <c r="AE1440" s="165">
        <v>0.25772371013245449</v>
      </c>
      <c r="AF1440" s="166">
        <v>0.17181580675496966</v>
      </c>
    </row>
    <row r="1441" spans="1:32">
      <c r="A1441" s="161">
        <v>30</v>
      </c>
      <c r="B1441" s="162">
        <v>0.97916666666666663</v>
      </c>
      <c r="C1441" s="163">
        <v>0.85874792712327386</v>
      </c>
      <c r="D1441" s="163">
        <v>513.69653617114227</v>
      </c>
      <c r="E1441" s="164">
        <v>0.78569999999999995</v>
      </c>
      <c r="F1441" s="164">
        <v>0.78569999999999995</v>
      </c>
      <c r="G1441" s="163">
        <v>3</v>
      </c>
      <c r="H1441" s="163">
        <v>3.333333333333333</v>
      </c>
      <c r="I1441" s="163">
        <v>0.33333333333333304</v>
      </c>
      <c r="J1441" s="163">
        <v>2</v>
      </c>
      <c r="K1441" s="163">
        <v>2.3242105263157895</v>
      </c>
      <c r="L1441" s="163">
        <v>0.3242105263157895</v>
      </c>
      <c r="M1441" s="163">
        <v>3</v>
      </c>
      <c r="N1441" s="163">
        <v>2.9824561403508771</v>
      </c>
      <c r="O1441" s="163">
        <v>-1.7543859649122862E-2</v>
      </c>
      <c r="P1441" s="163"/>
      <c r="Q1441" s="163">
        <v>2</v>
      </c>
      <c r="R1441" s="163">
        <v>0</v>
      </c>
      <c r="S1441" s="163">
        <v>0</v>
      </c>
      <c r="T1441" s="163">
        <v>0</v>
      </c>
      <c r="U1441" s="163">
        <v>0</v>
      </c>
      <c r="V1441" s="163">
        <v>0</v>
      </c>
      <c r="W1441" s="163">
        <v>0</v>
      </c>
      <c r="X1441" s="163">
        <v>0</v>
      </c>
      <c r="Y1441" s="163">
        <v>2</v>
      </c>
      <c r="Z1441" s="163">
        <v>2</v>
      </c>
      <c r="AA1441" s="163">
        <v>0</v>
      </c>
      <c r="AB1441" s="163">
        <v>0</v>
      </c>
      <c r="AC1441" s="163">
        <v>2</v>
      </c>
      <c r="AD1441" s="163">
        <v>0</v>
      </c>
      <c r="AE1441" s="165">
        <v>0.15816690965693148</v>
      </c>
      <c r="AF1441" s="166">
        <v>0.10544460643795431</v>
      </c>
    </row>
    <row r="1442" spans="1:32">
      <c r="A1442" s="161">
        <v>31</v>
      </c>
      <c r="B1442" s="162">
        <v>0</v>
      </c>
      <c r="C1442" s="163">
        <v>1.2779761486436367</v>
      </c>
      <c r="D1442" s="163">
        <v>649.85589973986237</v>
      </c>
      <c r="E1442" s="164">
        <v>0.98899999999999999</v>
      </c>
      <c r="F1442" s="164">
        <v>0.98899999999999999</v>
      </c>
      <c r="G1442" s="163">
        <v>3</v>
      </c>
      <c r="H1442" s="163">
        <v>6.6666666666666661</v>
      </c>
      <c r="I1442" s="163">
        <v>3.6666666666666661</v>
      </c>
      <c r="J1442" s="163">
        <v>2</v>
      </c>
      <c r="K1442" s="163">
        <v>2.445506072874494</v>
      </c>
      <c r="L1442" s="163">
        <v>0.44550607287449395</v>
      </c>
      <c r="M1442" s="163">
        <v>3</v>
      </c>
      <c r="N1442" s="163">
        <v>6.0908681961313533</v>
      </c>
      <c r="O1442" s="163">
        <v>3.0908681961313533</v>
      </c>
      <c r="P1442" s="163"/>
      <c r="Q1442" s="163">
        <v>4</v>
      </c>
      <c r="R1442" s="163">
        <v>0</v>
      </c>
      <c r="S1442" s="163">
        <v>0</v>
      </c>
      <c r="T1442" s="163">
        <v>0</v>
      </c>
      <c r="U1442" s="163">
        <v>0</v>
      </c>
      <c r="V1442" s="163">
        <v>0</v>
      </c>
      <c r="W1442" s="163">
        <v>0</v>
      </c>
      <c r="X1442" s="163">
        <v>0</v>
      </c>
      <c r="Y1442" s="163">
        <v>4</v>
      </c>
      <c r="Z1442" s="163">
        <v>4</v>
      </c>
      <c r="AA1442" s="163">
        <v>0</v>
      </c>
      <c r="AB1442" s="163">
        <v>0</v>
      </c>
      <c r="AC1442" s="163">
        <v>4</v>
      </c>
      <c r="AD1442" s="163">
        <v>0</v>
      </c>
      <c r="AE1442" s="165">
        <v>0.14150110365273477</v>
      </c>
      <c r="AF1442" s="166">
        <v>0.18866813820364634</v>
      </c>
    </row>
    <row r="1443" spans="1:32">
      <c r="A1443" s="161">
        <v>31</v>
      </c>
      <c r="B1443" s="162">
        <v>2.0833333333333332E-2</v>
      </c>
      <c r="C1443" s="163">
        <v>0.89377812761850117</v>
      </c>
      <c r="D1443" s="163">
        <v>649.7245151648641</v>
      </c>
      <c r="E1443" s="164">
        <v>0.99590000000000012</v>
      </c>
      <c r="F1443" s="164">
        <v>0.99590000000000012</v>
      </c>
      <c r="G1443" s="163">
        <v>3</v>
      </c>
      <c r="H1443" s="163">
        <v>6.6666666666666661</v>
      </c>
      <c r="I1443" s="163">
        <v>3.6666666666666661</v>
      </c>
      <c r="J1443" s="163">
        <v>2</v>
      </c>
      <c r="K1443" s="163">
        <v>2.445506072874494</v>
      </c>
      <c r="L1443" s="163">
        <v>0.44550607287449395</v>
      </c>
      <c r="M1443" s="163">
        <v>3</v>
      </c>
      <c r="N1443" s="163">
        <v>6.0908681961313533</v>
      </c>
      <c r="O1443" s="163">
        <v>3.0908681961313533</v>
      </c>
      <c r="P1443" s="163"/>
      <c r="Q1443" s="163">
        <v>4</v>
      </c>
      <c r="R1443" s="163">
        <v>0</v>
      </c>
      <c r="S1443" s="163">
        <v>0</v>
      </c>
      <c r="T1443" s="163">
        <v>0</v>
      </c>
      <c r="U1443" s="163">
        <v>0</v>
      </c>
      <c r="V1443" s="163">
        <v>0</v>
      </c>
      <c r="W1443" s="163">
        <v>0</v>
      </c>
      <c r="X1443" s="163">
        <v>0</v>
      </c>
      <c r="Y1443" s="163">
        <v>4</v>
      </c>
      <c r="Z1443" s="163">
        <v>4</v>
      </c>
      <c r="AA1443" s="163">
        <v>0</v>
      </c>
      <c r="AB1443" s="163">
        <v>0</v>
      </c>
      <c r="AC1443" s="163">
        <v>4</v>
      </c>
      <c r="AD1443" s="163">
        <v>0</v>
      </c>
      <c r="AE1443" s="165">
        <v>9.8941613604560552E-2</v>
      </c>
      <c r="AF1443" s="166">
        <v>0.13192215147274738</v>
      </c>
    </row>
    <row r="1444" spans="1:32">
      <c r="A1444" s="161">
        <v>31</v>
      </c>
      <c r="B1444" s="162">
        <v>4.1666666666666664E-2</v>
      </c>
      <c r="C1444" s="163">
        <v>0.68048707998061642</v>
      </c>
      <c r="D1444" s="163">
        <v>615.72934753140214</v>
      </c>
      <c r="E1444" s="164">
        <v>0.99839999999999984</v>
      </c>
      <c r="F1444" s="164">
        <v>0.99839999999999984</v>
      </c>
      <c r="G1444" s="163">
        <v>3</v>
      </c>
      <c r="H1444" s="163">
        <v>6.6666666666666661</v>
      </c>
      <c r="I1444" s="163">
        <v>3.6666666666666661</v>
      </c>
      <c r="J1444" s="163">
        <v>2</v>
      </c>
      <c r="K1444" s="163">
        <v>2.445506072874494</v>
      </c>
      <c r="L1444" s="163">
        <v>0.44550607287449395</v>
      </c>
      <c r="M1444" s="163">
        <v>3</v>
      </c>
      <c r="N1444" s="163">
        <v>6.0908681961313533</v>
      </c>
      <c r="O1444" s="163">
        <v>3.0908681961313533</v>
      </c>
      <c r="P1444" s="163"/>
      <c r="Q1444" s="163">
        <v>4</v>
      </c>
      <c r="R1444" s="163">
        <v>0</v>
      </c>
      <c r="S1444" s="163">
        <v>0</v>
      </c>
      <c r="T1444" s="163">
        <v>0</v>
      </c>
      <c r="U1444" s="163">
        <v>0</v>
      </c>
      <c r="V1444" s="163">
        <v>0</v>
      </c>
      <c r="W1444" s="163">
        <v>0</v>
      </c>
      <c r="X1444" s="163">
        <v>0</v>
      </c>
      <c r="Y1444" s="163">
        <v>4</v>
      </c>
      <c r="Z1444" s="163">
        <v>4</v>
      </c>
      <c r="AA1444" s="163">
        <v>0</v>
      </c>
      <c r="AB1444" s="163">
        <v>0</v>
      </c>
      <c r="AC1444" s="163">
        <v>4</v>
      </c>
      <c r="AD1444" s="163">
        <v>0</v>
      </c>
      <c r="AE1444" s="165">
        <v>7.1388745531975994E-2</v>
      </c>
      <c r="AF1444" s="166">
        <v>9.5184994042634655E-2</v>
      </c>
    </row>
    <row r="1445" spans="1:32">
      <c r="A1445" s="161">
        <v>31</v>
      </c>
      <c r="B1445" s="162">
        <v>6.25E-2</v>
      </c>
      <c r="C1445" s="163">
        <v>0.53921442920707141</v>
      </c>
      <c r="D1445" s="163">
        <v>599.54080619071726</v>
      </c>
      <c r="E1445" s="164">
        <v>0.99919999999999998</v>
      </c>
      <c r="F1445" s="164">
        <v>0.99919999999999998</v>
      </c>
      <c r="G1445" s="163">
        <v>2</v>
      </c>
      <c r="H1445" s="163">
        <v>6.6666666666666661</v>
      </c>
      <c r="I1445" s="163">
        <v>4.6666666666666661</v>
      </c>
      <c r="J1445" s="163">
        <v>1</v>
      </c>
      <c r="K1445" s="163">
        <v>1.6303373819163294</v>
      </c>
      <c r="L1445" s="163">
        <v>0.63033738191632938</v>
      </c>
      <c r="M1445" s="163">
        <v>2</v>
      </c>
      <c r="N1445" s="163">
        <v>6.0908681961313533</v>
      </c>
      <c r="O1445" s="163">
        <v>4.0908681961313533</v>
      </c>
      <c r="P1445" s="163"/>
      <c r="Q1445" s="163">
        <v>4</v>
      </c>
      <c r="R1445" s="163">
        <v>0</v>
      </c>
      <c r="S1445" s="163">
        <v>0</v>
      </c>
      <c r="T1445" s="163">
        <v>0</v>
      </c>
      <c r="U1445" s="163">
        <v>0</v>
      </c>
      <c r="V1445" s="163">
        <v>0</v>
      </c>
      <c r="W1445" s="163">
        <v>0</v>
      </c>
      <c r="X1445" s="163">
        <v>0</v>
      </c>
      <c r="Y1445" s="163">
        <v>4</v>
      </c>
      <c r="Z1445" s="163">
        <v>4</v>
      </c>
      <c r="AA1445" s="163">
        <v>0</v>
      </c>
      <c r="AB1445" s="163">
        <v>0</v>
      </c>
      <c r="AC1445" s="163">
        <v>4</v>
      </c>
      <c r="AD1445" s="163">
        <v>0</v>
      </c>
      <c r="AE1445" s="165">
        <v>5.5080803312093932E-2</v>
      </c>
      <c r="AF1445" s="166">
        <v>0.11016160662418786</v>
      </c>
    </row>
    <row r="1446" spans="1:32">
      <c r="A1446" s="161">
        <v>31</v>
      </c>
      <c r="B1446" s="162">
        <v>8.3333333333333329E-2</v>
      </c>
      <c r="C1446" s="163">
        <v>0.43401164291855565</v>
      </c>
      <c r="D1446" s="163">
        <v>617.29209156974036</v>
      </c>
      <c r="E1446" s="164">
        <v>0.99949999999999994</v>
      </c>
      <c r="F1446" s="164">
        <v>0.99949999999999994</v>
      </c>
      <c r="G1446" s="163">
        <v>2</v>
      </c>
      <c r="H1446" s="163">
        <v>6.6666666666666661</v>
      </c>
      <c r="I1446" s="163">
        <v>4.6666666666666661</v>
      </c>
      <c r="J1446" s="163">
        <v>1</v>
      </c>
      <c r="K1446" s="163">
        <v>1.6303373819163294</v>
      </c>
      <c r="L1446" s="163">
        <v>0.63033738191632938</v>
      </c>
      <c r="M1446" s="163">
        <v>2</v>
      </c>
      <c r="N1446" s="163">
        <v>6.0908681961313533</v>
      </c>
      <c r="O1446" s="163">
        <v>4.0908681961313533</v>
      </c>
      <c r="P1446" s="163"/>
      <c r="Q1446" s="163">
        <v>4</v>
      </c>
      <c r="R1446" s="163">
        <v>0</v>
      </c>
      <c r="S1446" s="163">
        <v>0</v>
      </c>
      <c r="T1446" s="163">
        <v>0</v>
      </c>
      <c r="U1446" s="163">
        <v>0</v>
      </c>
      <c r="V1446" s="163">
        <v>0</v>
      </c>
      <c r="W1446" s="163">
        <v>0</v>
      </c>
      <c r="X1446" s="163">
        <v>0</v>
      </c>
      <c r="Y1446" s="163">
        <v>4</v>
      </c>
      <c r="Z1446" s="163">
        <v>4</v>
      </c>
      <c r="AA1446" s="163">
        <v>0</v>
      </c>
      <c r="AB1446" s="163">
        <v>0</v>
      </c>
      <c r="AC1446" s="163">
        <v>4</v>
      </c>
      <c r="AD1446" s="163">
        <v>0</v>
      </c>
      <c r="AE1446" s="165">
        <v>4.5646985879270678E-2</v>
      </c>
      <c r="AF1446" s="166">
        <v>9.1293971758541356E-2</v>
      </c>
    </row>
    <row r="1447" spans="1:32">
      <c r="A1447" s="161">
        <v>31</v>
      </c>
      <c r="B1447" s="162">
        <v>0.10416666666666667</v>
      </c>
      <c r="C1447" s="163">
        <v>0.34550934156907609</v>
      </c>
      <c r="D1447" s="163">
        <v>587.4549984989734</v>
      </c>
      <c r="E1447" s="164">
        <v>0.99980000000000002</v>
      </c>
      <c r="F1447" s="164">
        <v>0.99980000000000002</v>
      </c>
      <c r="G1447" s="163">
        <v>2</v>
      </c>
      <c r="H1447" s="163">
        <v>6.6666666666666661</v>
      </c>
      <c r="I1447" s="163">
        <v>4.6666666666666661</v>
      </c>
      <c r="J1447" s="163">
        <v>1</v>
      </c>
      <c r="K1447" s="163">
        <v>1.6303373819163294</v>
      </c>
      <c r="L1447" s="163">
        <v>0.63033738191632938</v>
      </c>
      <c r="M1447" s="163">
        <v>2</v>
      </c>
      <c r="N1447" s="163">
        <v>6.0908681961313533</v>
      </c>
      <c r="O1447" s="163">
        <v>4.0908681961313533</v>
      </c>
      <c r="P1447" s="163"/>
      <c r="Q1447" s="163">
        <v>4</v>
      </c>
      <c r="R1447" s="163">
        <v>0</v>
      </c>
      <c r="S1447" s="163">
        <v>0</v>
      </c>
      <c r="T1447" s="163">
        <v>0</v>
      </c>
      <c r="U1447" s="163">
        <v>0</v>
      </c>
      <c r="V1447" s="163">
        <v>0</v>
      </c>
      <c r="W1447" s="163">
        <v>0</v>
      </c>
      <c r="X1447" s="163">
        <v>0</v>
      </c>
      <c r="Y1447" s="163">
        <v>4</v>
      </c>
      <c r="Z1447" s="163">
        <v>4</v>
      </c>
      <c r="AA1447" s="163">
        <v>0</v>
      </c>
      <c r="AB1447" s="163">
        <v>0</v>
      </c>
      <c r="AC1447" s="163">
        <v>4</v>
      </c>
      <c r="AD1447" s="163">
        <v>0</v>
      </c>
      <c r="AE1447" s="165">
        <v>3.458234268702693E-2</v>
      </c>
      <c r="AF1447" s="166">
        <v>6.9164685374053861E-2</v>
      </c>
    </row>
    <row r="1448" spans="1:32">
      <c r="A1448" s="161">
        <v>31</v>
      </c>
      <c r="B1448" s="162">
        <v>0.125</v>
      </c>
      <c r="C1448" s="163">
        <v>0.31154749742310772</v>
      </c>
      <c r="D1448" s="163">
        <v>587.35642304553107</v>
      </c>
      <c r="E1448" s="164">
        <v>0.99980000000000002</v>
      </c>
      <c r="F1448" s="164">
        <v>0.99980000000000002</v>
      </c>
      <c r="G1448" s="163">
        <v>2</v>
      </c>
      <c r="H1448" s="163">
        <v>6.6666666666666661</v>
      </c>
      <c r="I1448" s="163">
        <v>4.6666666666666661</v>
      </c>
      <c r="J1448" s="163">
        <v>1</v>
      </c>
      <c r="K1448" s="163">
        <v>1.6303373819163294</v>
      </c>
      <c r="L1448" s="163">
        <v>0.63033738191632938</v>
      </c>
      <c r="M1448" s="163">
        <v>2</v>
      </c>
      <c r="N1448" s="163">
        <v>6.0908681961313533</v>
      </c>
      <c r="O1448" s="163">
        <v>4.0908681961313533</v>
      </c>
      <c r="P1448" s="163"/>
      <c r="Q1448" s="163">
        <v>4</v>
      </c>
      <c r="R1448" s="163">
        <v>0</v>
      </c>
      <c r="S1448" s="163">
        <v>0</v>
      </c>
      <c r="T1448" s="163">
        <v>0</v>
      </c>
      <c r="U1448" s="163">
        <v>0</v>
      </c>
      <c r="V1448" s="163">
        <v>0</v>
      </c>
      <c r="W1448" s="163">
        <v>0</v>
      </c>
      <c r="X1448" s="163">
        <v>0</v>
      </c>
      <c r="Y1448" s="163">
        <v>4</v>
      </c>
      <c r="Z1448" s="163">
        <v>4</v>
      </c>
      <c r="AA1448" s="163">
        <v>0</v>
      </c>
      <c r="AB1448" s="163">
        <v>0</v>
      </c>
      <c r="AC1448" s="163">
        <v>4</v>
      </c>
      <c r="AD1448" s="163">
        <v>0</v>
      </c>
      <c r="AE1448" s="165">
        <v>3.1177838424552573E-2</v>
      </c>
      <c r="AF1448" s="166">
        <v>6.2355676849105146E-2</v>
      </c>
    </row>
    <row r="1449" spans="1:32">
      <c r="A1449" s="161">
        <v>31</v>
      </c>
      <c r="B1449" s="162">
        <v>0.14583333333333334</v>
      </c>
      <c r="C1449" s="163">
        <v>0.31388833072202899</v>
      </c>
      <c r="D1449" s="163">
        <v>621.95528307728978</v>
      </c>
      <c r="E1449" s="164">
        <v>0.99980000000000002</v>
      </c>
      <c r="F1449" s="164">
        <v>0.99980000000000002</v>
      </c>
      <c r="G1449" s="163">
        <v>2</v>
      </c>
      <c r="H1449" s="163">
        <v>6.6666666666666661</v>
      </c>
      <c r="I1449" s="163">
        <v>4.6666666666666661</v>
      </c>
      <c r="J1449" s="163">
        <v>1</v>
      </c>
      <c r="K1449" s="163">
        <v>1.6303373819163294</v>
      </c>
      <c r="L1449" s="163">
        <v>0.63033738191632938</v>
      </c>
      <c r="M1449" s="163">
        <v>2</v>
      </c>
      <c r="N1449" s="163">
        <v>6.0908681961313533</v>
      </c>
      <c r="O1449" s="163">
        <v>4.0908681961313533</v>
      </c>
      <c r="P1449" s="163"/>
      <c r="Q1449" s="163">
        <v>4</v>
      </c>
      <c r="R1449" s="163">
        <v>0</v>
      </c>
      <c r="S1449" s="163">
        <v>0</v>
      </c>
      <c r="T1449" s="163">
        <v>0</v>
      </c>
      <c r="U1449" s="163">
        <v>0</v>
      </c>
      <c r="V1449" s="163">
        <v>0</v>
      </c>
      <c r="W1449" s="163">
        <v>0</v>
      </c>
      <c r="X1449" s="163">
        <v>0</v>
      </c>
      <c r="Y1449" s="163">
        <v>4</v>
      </c>
      <c r="Z1449" s="163">
        <v>4</v>
      </c>
      <c r="AA1449" s="163">
        <v>0</v>
      </c>
      <c r="AB1449" s="163">
        <v>0</v>
      </c>
      <c r="AC1449" s="163">
        <v>4</v>
      </c>
      <c r="AD1449" s="163">
        <v>0</v>
      </c>
      <c r="AE1449" s="165">
        <v>3.3262458391588819E-2</v>
      </c>
      <c r="AF1449" s="166">
        <v>6.6524916783177637E-2</v>
      </c>
    </row>
    <row r="1450" spans="1:32">
      <c r="A1450" s="161">
        <v>31</v>
      </c>
      <c r="B1450" s="162">
        <v>0.16666666666666666</v>
      </c>
      <c r="C1450" s="163">
        <v>0.35302922663636027</v>
      </c>
      <c r="D1450" s="163">
        <v>621.95248581972214</v>
      </c>
      <c r="E1450" s="164">
        <v>0.99970000000000014</v>
      </c>
      <c r="F1450" s="164">
        <v>0.99970000000000014</v>
      </c>
      <c r="G1450" s="163">
        <v>2</v>
      </c>
      <c r="H1450" s="163">
        <v>6.6666666666666661</v>
      </c>
      <c r="I1450" s="163">
        <v>4.6666666666666661</v>
      </c>
      <c r="J1450" s="163">
        <v>1</v>
      </c>
      <c r="K1450" s="163">
        <v>1.6303373819163294</v>
      </c>
      <c r="L1450" s="163">
        <v>0.63033738191632938</v>
      </c>
      <c r="M1450" s="163">
        <v>2</v>
      </c>
      <c r="N1450" s="163">
        <v>6.0908681961313533</v>
      </c>
      <c r="O1450" s="163">
        <v>4.0908681961313533</v>
      </c>
      <c r="P1450" s="163"/>
      <c r="Q1450" s="163">
        <v>4</v>
      </c>
      <c r="R1450" s="163">
        <v>0</v>
      </c>
      <c r="S1450" s="163">
        <v>0</v>
      </c>
      <c r="T1450" s="163">
        <v>0</v>
      </c>
      <c r="U1450" s="163">
        <v>0</v>
      </c>
      <c r="V1450" s="163">
        <v>0</v>
      </c>
      <c r="W1450" s="163">
        <v>0</v>
      </c>
      <c r="X1450" s="163">
        <v>0</v>
      </c>
      <c r="Y1450" s="163">
        <v>4</v>
      </c>
      <c r="Z1450" s="163">
        <v>4</v>
      </c>
      <c r="AA1450" s="163">
        <v>0</v>
      </c>
      <c r="AB1450" s="163">
        <v>0</v>
      </c>
      <c r="AC1450" s="163">
        <v>4</v>
      </c>
      <c r="AD1450" s="163">
        <v>0</v>
      </c>
      <c r="AE1450" s="165">
        <v>3.7410014963933182E-2</v>
      </c>
      <c r="AF1450" s="166">
        <v>7.4820029927866363E-2</v>
      </c>
    </row>
    <row r="1451" spans="1:32">
      <c r="A1451" s="161">
        <v>31</v>
      </c>
      <c r="B1451" s="162">
        <v>0.1875</v>
      </c>
      <c r="C1451" s="163">
        <v>0.52047153030973625</v>
      </c>
      <c r="D1451" s="163">
        <v>660.81078845230638</v>
      </c>
      <c r="E1451" s="164">
        <v>0.99909999999999999</v>
      </c>
      <c r="F1451" s="164">
        <v>0.99909999999999999</v>
      </c>
      <c r="G1451" s="163">
        <v>2</v>
      </c>
      <c r="H1451" s="163">
        <v>6.6666666666666661</v>
      </c>
      <c r="I1451" s="163">
        <v>4.6666666666666661</v>
      </c>
      <c r="J1451" s="163">
        <v>1</v>
      </c>
      <c r="K1451" s="163">
        <v>1.6303373819163294</v>
      </c>
      <c r="L1451" s="163">
        <v>0.63033738191632938</v>
      </c>
      <c r="M1451" s="163">
        <v>2</v>
      </c>
      <c r="N1451" s="163">
        <v>6.0908681961313533</v>
      </c>
      <c r="O1451" s="163">
        <v>4.0908681961313533</v>
      </c>
      <c r="P1451" s="163"/>
      <c r="Q1451" s="163">
        <v>4</v>
      </c>
      <c r="R1451" s="163">
        <v>0</v>
      </c>
      <c r="S1451" s="163">
        <v>0</v>
      </c>
      <c r="T1451" s="163">
        <v>0</v>
      </c>
      <c r="U1451" s="163">
        <v>0</v>
      </c>
      <c r="V1451" s="163">
        <v>0</v>
      </c>
      <c r="W1451" s="163">
        <v>0</v>
      </c>
      <c r="X1451" s="163">
        <v>0</v>
      </c>
      <c r="Y1451" s="163">
        <v>4</v>
      </c>
      <c r="Z1451" s="163">
        <v>4</v>
      </c>
      <c r="AA1451" s="163">
        <v>0</v>
      </c>
      <c r="AB1451" s="163">
        <v>0</v>
      </c>
      <c r="AC1451" s="163">
        <v>4</v>
      </c>
      <c r="AD1451" s="163">
        <v>0</v>
      </c>
      <c r="AE1451" s="165">
        <v>5.8599527742924006E-2</v>
      </c>
      <c r="AF1451" s="166">
        <v>0.11719905548584801</v>
      </c>
    </row>
    <row r="1452" spans="1:32">
      <c r="A1452" s="161">
        <v>31</v>
      </c>
      <c r="B1452" s="162">
        <v>0.20833333333333334</v>
      </c>
      <c r="C1452" s="163">
        <v>0.91279262693356134</v>
      </c>
      <c r="D1452" s="163">
        <v>694.86894799905656</v>
      </c>
      <c r="E1452" s="164">
        <v>0.99480000000000002</v>
      </c>
      <c r="F1452" s="164">
        <v>0.99480000000000002</v>
      </c>
      <c r="G1452" s="163">
        <v>3</v>
      </c>
      <c r="H1452" s="163">
        <v>6.6666666666666661</v>
      </c>
      <c r="I1452" s="163">
        <v>3.6666666666666661</v>
      </c>
      <c r="J1452" s="163">
        <v>2</v>
      </c>
      <c r="K1452" s="163">
        <v>2.445506072874494</v>
      </c>
      <c r="L1452" s="163">
        <v>0.44550607287449395</v>
      </c>
      <c r="M1452" s="163">
        <v>3</v>
      </c>
      <c r="N1452" s="163">
        <v>6.0908681961313533</v>
      </c>
      <c r="O1452" s="163">
        <v>3.0908681961313533</v>
      </c>
      <c r="P1452" s="163"/>
      <c r="Q1452" s="163">
        <v>4</v>
      </c>
      <c r="R1452" s="163">
        <v>0</v>
      </c>
      <c r="S1452" s="163">
        <v>0</v>
      </c>
      <c r="T1452" s="163">
        <v>0</v>
      </c>
      <c r="U1452" s="163">
        <v>0</v>
      </c>
      <c r="V1452" s="163">
        <v>0</v>
      </c>
      <c r="W1452" s="163">
        <v>0</v>
      </c>
      <c r="X1452" s="163">
        <v>0</v>
      </c>
      <c r="Y1452" s="163">
        <v>4</v>
      </c>
      <c r="Z1452" s="163">
        <v>4</v>
      </c>
      <c r="AA1452" s="163">
        <v>0</v>
      </c>
      <c r="AB1452" s="163">
        <v>0</v>
      </c>
      <c r="AC1452" s="163">
        <v>4</v>
      </c>
      <c r="AD1452" s="163">
        <v>0</v>
      </c>
      <c r="AE1452" s="165">
        <v>0.10806748404313657</v>
      </c>
      <c r="AF1452" s="166">
        <v>0.14408997872418208</v>
      </c>
    </row>
    <row r="1453" spans="1:32">
      <c r="A1453" s="161">
        <v>31</v>
      </c>
      <c r="B1453" s="162">
        <v>0.22916666666666666</v>
      </c>
      <c r="C1453" s="163">
        <v>1.5271712363054872</v>
      </c>
      <c r="D1453" s="163">
        <v>710.22417013717165</v>
      </c>
      <c r="E1453" s="164">
        <v>0.97729999999999995</v>
      </c>
      <c r="F1453" s="164">
        <v>0.97729999999999995</v>
      </c>
      <c r="G1453" s="163">
        <v>3</v>
      </c>
      <c r="H1453" s="163">
        <v>6.6666666666666661</v>
      </c>
      <c r="I1453" s="163">
        <v>3.6666666666666661</v>
      </c>
      <c r="J1453" s="163">
        <v>2</v>
      </c>
      <c r="K1453" s="163">
        <v>2.445506072874494</v>
      </c>
      <c r="L1453" s="163">
        <v>0.44550607287449395</v>
      </c>
      <c r="M1453" s="163">
        <v>3</v>
      </c>
      <c r="N1453" s="163">
        <v>6.0908681961313533</v>
      </c>
      <c r="O1453" s="163">
        <v>3.0908681961313533</v>
      </c>
      <c r="P1453" s="163"/>
      <c r="Q1453" s="163">
        <v>4</v>
      </c>
      <c r="R1453" s="163">
        <v>0</v>
      </c>
      <c r="S1453" s="163">
        <v>0</v>
      </c>
      <c r="T1453" s="163">
        <v>0</v>
      </c>
      <c r="U1453" s="163">
        <v>0</v>
      </c>
      <c r="V1453" s="163">
        <v>0</v>
      </c>
      <c r="W1453" s="163">
        <v>0</v>
      </c>
      <c r="X1453" s="163">
        <v>0</v>
      </c>
      <c r="Y1453" s="163">
        <v>4</v>
      </c>
      <c r="Z1453" s="163">
        <v>4</v>
      </c>
      <c r="AA1453" s="163">
        <v>0</v>
      </c>
      <c r="AB1453" s="163">
        <v>0</v>
      </c>
      <c r="AC1453" s="163">
        <v>4</v>
      </c>
      <c r="AD1453" s="163">
        <v>0</v>
      </c>
      <c r="AE1453" s="165">
        <v>0.18480052315707465</v>
      </c>
      <c r="AF1453" s="166">
        <v>0.24640069754276617</v>
      </c>
    </row>
    <row r="1454" spans="1:32">
      <c r="A1454" s="161">
        <v>31</v>
      </c>
      <c r="B1454" s="162">
        <v>0.25</v>
      </c>
      <c r="C1454" s="163">
        <v>2.3463163866553929</v>
      </c>
      <c r="D1454" s="163">
        <v>717.65644919187741</v>
      </c>
      <c r="E1454" s="164">
        <v>0.93010000000000004</v>
      </c>
      <c r="F1454" s="164">
        <v>0.93010000000000004</v>
      </c>
      <c r="G1454" s="163">
        <v>4</v>
      </c>
      <c r="H1454" s="163">
        <v>6.6666666666666661</v>
      </c>
      <c r="I1454" s="163">
        <v>2.6666666666666661</v>
      </c>
      <c r="J1454" s="163">
        <v>3</v>
      </c>
      <c r="K1454" s="163">
        <v>3.2606747638326588</v>
      </c>
      <c r="L1454" s="163">
        <v>0.26067476383265875</v>
      </c>
      <c r="M1454" s="163">
        <v>4</v>
      </c>
      <c r="N1454" s="163">
        <v>6.0908681961313533</v>
      </c>
      <c r="O1454" s="163">
        <v>2.0908681961313533</v>
      </c>
      <c r="P1454" s="163"/>
      <c r="Q1454" s="163">
        <v>4</v>
      </c>
      <c r="R1454" s="163">
        <v>0</v>
      </c>
      <c r="S1454" s="163">
        <v>0</v>
      </c>
      <c r="T1454" s="163">
        <v>0</v>
      </c>
      <c r="U1454" s="163">
        <v>0</v>
      </c>
      <c r="V1454" s="163">
        <v>0</v>
      </c>
      <c r="W1454" s="163">
        <v>0</v>
      </c>
      <c r="X1454" s="163">
        <v>0</v>
      </c>
      <c r="Y1454" s="163">
        <v>4</v>
      </c>
      <c r="Z1454" s="163">
        <v>4</v>
      </c>
      <c r="AA1454" s="163">
        <v>0</v>
      </c>
      <c r="AB1454" s="163">
        <v>0</v>
      </c>
      <c r="AC1454" s="163">
        <v>4</v>
      </c>
      <c r="AD1454" s="163">
        <v>0</v>
      </c>
      <c r="AE1454" s="165">
        <v>0.28689513140808337</v>
      </c>
      <c r="AF1454" s="166">
        <v>0.28689513140808337</v>
      </c>
    </row>
    <row r="1455" spans="1:32">
      <c r="A1455" s="161">
        <v>31</v>
      </c>
      <c r="B1455" s="162">
        <v>0.27083333333333331</v>
      </c>
      <c r="C1455" s="163">
        <v>3.3913506270416218</v>
      </c>
      <c r="D1455" s="163">
        <v>786.53415661193583</v>
      </c>
      <c r="E1455" s="164">
        <v>0.7921999999999999</v>
      </c>
      <c r="F1455" s="164">
        <v>0.7921999999999999</v>
      </c>
      <c r="G1455" s="163">
        <v>5</v>
      </c>
      <c r="H1455" s="163">
        <v>6.6666666666666661</v>
      </c>
      <c r="I1455" s="163">
        <v>1.6666666666666661</v>
      </c>
      <c r="J1455" s="163">
        <v>4</v>
      </c>
      <c r="K1455" s="163">
        <v>4.0758434547908236</v>
      </c>
      <c r="L1455" s="163">
        <v>7.584345479082355E-2</v>
      </c>
      <c r="M1455" s="163">
        <v>5</v>
      </c>
      <c r="N1455" s="163">
        <v>6.0908681961313533</v>
      </c>
      <c r="O1455" s="163">
        <v>1.0908681961313533</v>
      </c>
      <c r="P1455" s="163"/>
      <c r="Q1455" s="163">
        <v>4</v>
      </c>
      <c r="R1455" s="163">
        <v>0</v>
      </c>
      <c r="S1455" s="163">
        <v>0</v>
      </c>
      <c r="T1455" s="163">
        <v>0</v>
      </c>
      <c r="U1455" s="163">
        <v>0</v>
      </c>
      <c r="V1455" s="163">
        <v>0</v>
      </c>
      <c r="W1455" s="163">
        <v>0</v>
      </c>
      <c r="X1455" s="163">
        <v>0</v>
      </c>
      <c r="Y1455" s="163">
        <v>4</v>
      </c>
      <c r="Z1455" s="163">
        <v>4</v>
      </c>
      <c r="AA1455" s="163">
        <v>0</v>
      </c>
      <c r="AB1455" s="163">
        <v>0</v>
      </c>
      <c r="AC1455" s="163">
        <v>4</v>
      </c>
      <c r="AD1455" s="163">
        <v>0</v>
      </c>
      <c r="AE1455" s="165">
        <v>0.45447530860831431</v>
      </c>
      <c r="AF1455" s="166">
        <v>0.36358024688665147</v>
      </c>
    </row>
    <row r="1456" spans="1:32">
      <c r="A1456" s="161">
        <v>31</v>
      </c>
      <c r="B1456" s="162">
        <v>0.29166666666666669</v>
      </c>
      <c r="C1456" s="163">
        <v>8.9363643558065391</v>
      </c>
      <c r="D1456" s="163">
        <v>822.83290771132397</v>
      </c>
      <c r="E1456" s="164">
        <v>0.54020000000000001</v>
      </c>
      <c r="F1456" s="164">
        <v>0.54020000000000001</v>
      </c>
      <c r="G1456" s="163">
        <v>9</v>
      </c>
      <c r="H1456" s="163">
        <v>11.666666666666668</v>
      </c>
      <c r="I1456" s="163">
        <v>2.6666666666666679</v>
      </c>
      <c r="J1456" s="163">
        <v>7</v>
      </c>
      <c r="K1456" s="163">
        <v>7.3365182186234819</v>
      </c>
      <c r="L1456" s="163">
        <v>0.33651821862348186</v>
      </c>
      <c r="M1456" s="163">
        <v>8</v>
      </c>
      <c r="N1456" s="163">
        <v>10.65901934322987</v>
      </c>
      <c r="O1456" s="163">
        <v>2.6590193432298701</v>
      </c>
      <c r="P1456" s="163"/>
      <c r="Q1456" s="163">
        <v>7</v>
      </c>
      <c r="R1456" s="163">
        <v>0</v>
      </c>
      <c r="S1456" s="163">
        <v>0</v>
      </c>
      <c r="T1456" s="163">
        <v>0</v>
      </c>
      <c r="U1456" s="163">
        <v>0</v>
      </c>
      <c r="V1456" s="163">
        <v>0</v>
      </c>
      <c r="W1456" s="163">
        <v>0</v>
      </c>
      <c r="X1456" s="163">
        <v>0</v>
      </c>
      <c r="Y1456" s="163">
        <v>7</v>
      </c>
      <c r="Z1456" s="163">
        <v>7</v>
      </c>
      <c r="AA1456" s="163">
        <v>0</v>
      </c>
      <c r="AB1456" s="163">
        <v>0</v>
      </c>
      <c r="AC1456" s="163">
        <v>4</v>
      </c>
      <c r="AD1456" s="163">
        <v>3</v>
      </c>
      <c r="AE1456" s="165">
        <v>0.71590349693502764</v>
      </c>
      <c r="AF1456" s="166">
        <v>0.5568138309494659</v>
      </c>
    </row>
    <row r="1457" spans="1:32">
      <c r="A1457" s="161">
        <v>31</v>
      </c>
      <c r="B1457" s="162">
        <v>0.3125</v>
      </c>
      <c r="C1457" s="163">
        <v>10.477833566891336</v>
      </c>
      <c r="D1457" s="163">
        <v>792.88006850739657</v>
      </c>
      <c r="E1457" s="164">
        <v>0.90729999999999988</v>
      </c>
      <c r="F1457" s="164">
        <v>0.90729999999999988</v>
      </c>
      <c r="G1457" s="163">
        <v>10</v>
      </c>
      <c r="H1457" s="163">
        <v>18.333333333333332</v>
      </c>
      <c r="I1457" s="163">
        <v>8.3333333333333321</v>
      </c>
      <c r="J1457" s="163">
        <v>8</v>
      </c>
      <c r="K1457" s="163">
        <v>8.1516869095816471</v>
      </c>
      <c r="L1457" s="163">
        <v>0.1516869095816471</v>
      </c>
      <c r="M1457" s="163">
        <v>9</v>
      </c>
      <c r="N1457" s="163">
        <v>16.749887539361222</v>
      </c>
      <c r="O1457" s="163">
        <v>7.7498875393612217</v>
      </c>
      <c r="P1457" s="163"/>
      <c r="Q1457" s="163">
        <v>11</v>
      </c>
      <c r="R1457" s="163">
        <v>0</v>
      </c>
      <c r="S1457" s="163">
        <v>0</v>
      </c>
      <c r="T1457" s="163">
        <v>0</v>
      </c>
      <c r="U1457" s="163">
        <v>0</v>
      </c>
      <c r="V1457" s="163">
        <v>0</v>
      </c>
      <c r="W1457" s="163">
        <v>0</v>
      </c>
      <c r="X1457" s="163">
        <v>0</v>
      </c>
      <c r="Y1457" s="163">
        <v>11</v>
      </c>
      <c r="Z1457" s="163">
        <v>11</v>
      </c>
      <c r="AA1457" s="163">
        <v>0</v>
      </c>
      <c r="AB1457" s="163">
        <v>0</v>
      </c>
      <c r="AC1457" s="163">
        <v>8</v>
      </c>
      <c r="AD1457" s="163">
        <v>3</v>
      </c>
      <c r="AE1457" s="165">
        <v>0.51471439601945324</v>
      </c>
      <c r="AF1457" s="166">
        <v>0.56618583562139868</v>
      </c>
    </row>
    <row r="1458" spans="1:32">
      <c r="A1458" s="161">
        <v>31</v>
      </c>
      <c r="B1458" s="162">
        <v>0.33333333333333331</v>
      </c>
      <c r="C1458" s="163">
        <v>15.449868518460196</v>
      </c>
      <c r="D1458" s="163">
        <v>835.87740387223232</v>
      </c>
      <c r="E1458" s="164">
        <v>0.79249999999999998</v>
      </c>
      <c r="F1458" s="164">
        <v>0.79249999999999998</v>
      </c>
      <c r="G1458" s="163">
        <v>14</v>
      </c>
      <c r="H1458" s="163">
        <v>21.666666666666664</v>
      </c>
      <c r="I1458" s="163">
        <v>7.6666666666666643</v>
      </c>
      <c r="J1458" s="163">
        <v>11</v>
      </c>
      <c r="K1458" s="163">
        <v>11.412361673414306</v>
      </c>
      <c r="L1458" s="163">
        <v>0.4123616734143063</v>
      </c>
      <c r="M1458" s="163">
        <v>13</v>
      </c>
      <c r="N1458" s="163">
        <v>19.795321637426898</v>
      </c>
      <c r="O1458" s="163">
        <v>6.7953216374268983</v>
      </c>
      <c r="P1458" s="163"/>
      <c r="Q1458" s="163">
        <v>13</v>
      </c>
      <c r="R1458" s="163">
        <v>0</v>
      </c>
      <c r="S1458" s="163">
        <v>0</v>
      </c>
      <c r="T1458" s="163">
        <v>0</v>
      </c>
      <c r="U1458" s="163">
        <v>0</v>
      </c>
      <c r="V1458" s="163">
        <v>0</v>
      </c>
      <c r="W1458" s="163">
        <v>0</v>
      </c>
      <c r="X1458" s="163">
        <v>0</v>
      </c>
      <c r="Y1458" s="163">
        <v>13</v>
      </c>
      <c r="Z1458" s="163">
        <v>13</v>
      </c>
      <c r="AA1458" s="163">
        <v>0</v>
      </c>
      <c r="AB1458" s="163">
        <v>0</v>
      </c>
      <c r="AC1458" s="163">
        <v>10</v>
      </c>
      <c r="AD1458" s="163">
        <v>3</v>
      </c>
      <c r="AE1458" s="165">
        <v>0.67702393815028528</v>
      </c>
      <c r="AF1458" s="166">
        <v>0.62866508542526489</v>
      </c>
    </row>
    <row r="1459" spans="1:32">
      <c r="A1459" s="161">
        <v>31</v>
      </c>
      <c r="B1459" s="162">
        <v>0.35416666666666669</v>
      </c>
      <c r="C1459" s="163">
        <v>17.847433428526138</v>
      </c>
      <c r="D1459" s="163">
        <v>926.26508089507684</v>
      </c>
      <c r="E1459" s="164">
        <v>0.73480000000000001</v>
      </c>
      <c r="F1459" s="164">
        <v>0.73480000000000001</v>
      </c>
      <c r="G1459" s="163">
        <v>16</v>
      </c>
      <c r="H1459" s="163">
        <v>25</v>
      </c>
      <c r="I1459" s="163">
        <v>9</v>
      </c>
      <c r="J1459" s="163">
        <v>13</v>
      </c>
      <c r="K1459" s="163">
        <v>13.042699055330635</v>
      </c>
      <c r="L1459" s="163">
        <v>4.2699055330635005E-2</v>
      </c>
      <c r="M1459" s="163">
        <v>15</v>
      </c>
      <c r="N1459" s="163">
        <v>22.840755735492575</v>
      </c>
      <c r="O1459" s="163">
        <v>7.840755735492575</v>
      </c>
      <c r="P1459" s="163"/>
      <c r="Q1459" s="163">
        <v>15</v>
      </c>
      <c r="R1459" s="163">
        <v>0</v>
      </c>
      <c r="S1459" s="163">
        <v>0</v>
      </c>
      <c r="T1459" s="163">
        <v>0</v>
      </c>
      <c r="U1459" s="163">
        <v>0</v>
      </c>
      <c r="V1459" s="163">
        <v>0</v>
      </c>
      <c r="W1459" s="163">
        <v>0</v>
      </c>
      <c r="X1459" s="163">
        <v>0</v>
      </c>
      <c r="Y1459" s="163">
        <v>15</v>
      </c>
      <c r="Z1459" s="163">
        <v>15</v>
      </c>
      <c r="AA1459" s="163">
        <v>0</v>
      </c>
      <c r="AB1459" s="163">
        <v>0</v>
      </c>
      <c r="AC1459" s="163">
        <v>10</v>
      </c>
      <c r="AD1459" s="163">
        <v>5</v>
      </c>
      <c r="AE1459" s="165">
        <v>0.75110353784618478</v>
      </c>
      <c r="AF1459" s="166">
        <v>0.70415956673079838</v>
      </c>
    </row>
    <row r="1460" spans="1:32">
      <c r="A1460" s="161">
        <v>31</v>
      </c>
      <c r="B1460" s="162">
        <v>0.375</v>
      </c>
      <c r="C1460" s="163">
        <v>21.334453461734732</v>
      </c>
      <c r="D1460" s="163">
        <v>891.92827910346568</v>
      </c>
      <c r="E1460" s="164">
        <v>0.69589999999999996</v>
      </c>
      <c r="F1460" s="164">
        <v>0.69589999999999996</v>
      </c>
      <c r="G1460" s="163">
        <v>19</v>
      </c>
      <c r="H1460" s="163">
        <v>28.333333333333336</v>
      </c>
      <c r="I1460" s="163">
        <v>9.3333333333333357</v>
      </c>
      <c r="J1460" s="163">
        <v>15</v>
      </c>
      <c r="K1460" s="163">
        <v>15.488205128205129</v>
      </c>
      <c r="L1460" s="163">
        <v>0.48820512820512896</v>
      </c>
      <c r="M1460" s="163">
        <v>17</v>
      </c>
      <c r="N1460" s="163">
        <v>25.886189833558255</v>
      </c>
      <c r="O1460" s="163">
        <v>8.8861898335582552</v>
      </c>
      <c r="P1460" s="163"/>
      <c r="Q1460" s="163">
        <v>17</v>
      </c>
      <c r="R1460" s="163">
        <v>0</v>
      </c>
      <c r="S1460" s="163">
        <v>0</v>
      </c>
      <c r="T1460" s="163">
        <v>0</v>
      </c>
      <c r="U1460" s="163">
        <v>0</v>
      </c>
      <c r="V1460" s="163">
        <v>0</v>
      </c>
      <c r="W1460" s="163">
        <v>0</v>
      </c>
      <c r="X1460" s="163">
        <v>0</v>
      </c>
      <c r="Y1460" s="163">
        <v>17</v>
      </c>
      <c r="Z1460" s="163">
        <v>17</v>
      </c>
      <c r="AA1460" s="163">
        <v>0</v>
      </c>
      <c r="AB1460" s="163">
        <v>0</v>
      </c>
      <c r="AC1460" s="163">
        <v>12</v>
      </c>
      <c r="AD1460" s="163">
        <v>5</v>
      </c>
      <c r="AE1460" s="165">
        <v>0.76285595022101083</v>
      </c>
      <c r="AF1460" s="166">
        <v>0.68255532388195705</v>
      </c>
    </row>
    <row r="1461" spans="1:32">
      <c r="A1461" s="161">
        <v>31</v>
      </c>
      <c r="B1461" s="162">
        <v>0.39583333333333331</v>
      </c>
      <c r="C1461" s="163">
        <v>23.864455586012756</v>
      </c>
      <c r="D1461" s="163">
        <v>909.90093398804152</v>
      </c>
      <c r="E1461" s="164">
        <v>0.71919999999999995</v>
      </c>
      <c r="F1461" s="164">
        <v>0.71919999999999995</v>
      </c>
      <c r="G1461" s="163">
        <v>20</v>
      </c>
      <c r="H1461" s="163">
        <v>31.666666666666664</v>
      </c>
      <c r="I1461" s="163">
        <v>11.666666666666664</v>
      </c>
      <c r="J1461" s="163">
        <v>16</v>
      </c>
      <c r="K1461" s="163">
        <v>16.303373819163294</v>
      </c>
      <c r="L1461" s="163">
        <v>0.3033738191632942</v>
      </c>
      <c r="M1461" s="163">
        <v>18</v>
      </c>
      <c r="N1461" s="163">
        <v>28.931623931623928</v>
      </c>
      <c r="O1461" s="163">
        <v>10.931623931623928</v>
      </c>
      <c r="P1461" s="163"/>
      <c r="Q1461" s="163">
        <v>19</v>
      </c>
      <c r="R1461" s="163">
        <v>0</v>
      </c>
      <c r="S1461" s="163">
        <v>0</v>
      </c>
      <c r="T1461" s="163">
        <v>0</v>
      </c>
      <c r="U1461" s="163">
        <v>0</v>
      </c>
      <c r="V1461" s="163">
        <v>0</v>
      </c>
      <c r="W1461" s="163">
        <v>0</v>
      </c>
      <c r="X1461" s="163">
        <v>0</v>
      </c>
      <c r="Y1461" s="163">
        <v>19</v>
      </c>
      <c r="Z1461" s="163">
        <v>19</v>
      </c>
      <c r="AA1461" s="163">
        <v>0</v>
      </c>
      <c r="AB1461" s="163">
        <v>0</v>
      </c>
      <c r="AC1461" s="163">
        <v>14</v>
      </c>
      <c r="AD1461" s="163">
        <v>5</v>
      </c>
      <c r="AE1461" s="165">
        <v>0.77888267760628105</v>
      </c>
      <c r="AF1461" s="166">
        <v>0.73993854372596712</v>
      </c>
    </row>
    <row r="1462" spans="1:32">
      <c r="A1462" s="161">
        <v>31</v>
      </c>
      <c r="B1462" s="162">
        <v>0.41666666666666669</v>
      </c>
      <c r="C1462" s="163">
        <v>24.928708839157757</v>
      </c>
      <c r="D1462" s="163">
        <v>921.24512977430174</v>
      </c>
      <c r="E1462" s="164">
        <v>0.61529999999999996</v>
      </c>
      <c r="F1462" s="164">
        <v>0.61529999999999996</v>
      </c>
      <c r="G1462" s="163">
        <v>21</v>
      </c>
      <c r="H1462" s="163">
        <v>31.666666666666664</v>
      </c>
      <c r="I1462" s="163">
        <v>10.666666666666664</v>
      </c>
      <c r="J1462" s="163">
        <v>17</v>
      </c>
      <c r="K1462" s="163">
        <v>17.118542510121458</v>
      </c>
      <c r="L1462" s="163">
        <v>0.11854251012145767</v>
      </c>
      <c r="M1462" s="163">
        <v>19</v>
      </c>
      <c r="N1462" s="163">
        <v>28.931623931623928</v>
      </c>
      <c r="O1462" s="163">
        <v>9.9316239316239283</v>
      </c>
      <c r="P1462" s="163"/>
      <c r="Q1462" s="163">
        <v>19</v>
      </c>
      <c r="R1462" s="163">
        <v>0</v>
      </c>
      <c r="S1462" s="163">
        <v>0</v>
      </c>
      <c r="T1462" s="163">
        <v>0</v>
      </c>
      <c r="U1462" s="163">
        <v>0</v>
      </c>
      <c r="V1462" s="163">
        <v>0</v>
      </c>
      <c r="W1462" s="163">
        <v>0</v>
      </c>
      <c r="X1462" s="163">
        <v>0</v>
      </c>
      <c r="Y1462" s="163">
        <v>19</v>
      </c>
      <c r="Z1462" s="163">
        <v>19</v>
      </c>
      <c r="AA1462" s="163">
        <v>0</v>
      </c>
      <c r="AB1462" s="163">
        <v>0</v>
      </c>
      <c r="AC1462" s="163">
        <v>14</v>
      </c>
      <c r="AD1462" s="163">
        <v>5</v>
      </c>
      <c r="AE1462" s="165">
        <v>0.82376131526958396</v>
      </c>
      <c r="AF1462" s="166">
        <v>0.74530785667248078</v>
      </c>
    </row>
    <row r="1463" spans="1:32">
      <c r="A1463" s="161">
        <v>31</v>
      </c>
      <c r="B1463" s="162">
        <v>0.4375</v>
      </c>
      <c r="C1463" s="163">
        <v>24.871535158883646</v>
      </c>
      <c r="D1463" s="163">
        <v>875.70079970541485</v>
      </c>
      <c r="E1463" s="164">
        <v>0.71519999999999995</v>
      </c>
      <c r="F1463" s="164">
        <v>0.71519999999999995</v>
      </c>
      <c r="G1463" s="163">
        <v>20</v>
      </c>
      <c r="H1463" s="163">
        <v>31.666666666666664</v>
      </c>
      <c r="I1463" s="163">
        <v>11.666666666666664</v>
      </c>
      <c r="J1463" s="163">
        <v>16</v>
      </c>
      <c r="K1463" s="163">
        <v>16.303373819163294</v>
      </c>
      <c r="L1463" s="163">
        <v>0.3033738191632942</v>
      </c>
      <c r="M1463" s="163">
        <v>18</v>
      </c>
      <c r="N1463" s="163">
        <v>28.931623931623928</v>
      </c>
      <c r="O1463" s="163">
        <v>10.931623931623928</v>
      </c>
      <c r="P1463" s="163"/>
      <c r="Q1463" s="163">
        <v>19</v>
      </c>
      <c r="R1463" s="163">
        <v>0</v>
      </c>
      <c r="S1463" s="163">
        <v>0</v>
      </c>
      <c r="T1463" s="163">
        <v>0</v>
      </c>
      <c r="U1463" s="163">
        <v>0</v>
      </c>
      <c r="V1463" s="163">
        <v>0</v>
      </c>
      <c r="W1463" s="163">
        <v>0</v>
      </c>
      <c r="X1463" s="163">
        <v>0</v>
      </c>
      <c r="Y1463" s="163">
        <v>19</v>
      </c>
      <c r="Z1463" s="163">
        <v>19</v>
      </c>
      <c r="AA1463" s="163">
        <v>0</v>
      </c>
      <c r="AB1463" s="163">
        <v>0</v>
      </c>
      <c r="AC1463" s="163">
        <v>14</v>
      </c>
      <c r="AD1463" s="163">
        <v>5</v>
      </c>
      <c r="AE1463" s="165">
        <v>0.7812404862011475</v>
      </c>
      <c r="AF1463" s="166">
        <v>0.74217846189109027</v>
      </c>
    </row>
    <row r="1464" spans="1:32">
      <c r="A1464" s="161">
        <v>31</v>
      </c>
      <c r="B1464" s="162">
        <v>0.45833333333333331</v>
      </c>
      <c r="C1464" s="163">
        <v>27.459452384679771</v>
      </c>
      <c r="D1464" s="163">
        <v>867.17704754042086</v>
      </c>
      <c r="E1464" s="164">
        <v>0.53459999999999996</v>
      </c>
      <c r="F1464" s="164">
        <v>0.53459999999999996</v>
      </c>
      <c r="G1464" s="163">
        <v>23</v>
      </c>
      <c r="H1464" s="163">
        <v>31.666666666666664</v>
      </c>
      <c r="I1464" s="163">
        <v>8.6666666666666643</v>
      </c>
      <c r="J1464" s="163">
        <v>18</v>
      </c>
      <c r="K1464" s="163">
        <v>18.748879892037788</v>
      </c>
      <c r="L1464" s="163">
        <v>0.74887989203778815</v>
      </c>
      <c r="M1464" s="163">
        <v>21</v>
      </c>
      <c r="N1464" s="163">
        <v>28.931623931623928</v>
      </c>
      <c r="O1464" s="163">
        <v>7.9316239316239283</v>
      </c>
      <c r="P1464" s="163"/>
      <c r="Q1464" s="163">
        <v>19</v>
      </c>
      <c r="R1464" s="163">
        <v>0</v>
      </c>
      <c r="S1464" s="163">
        <v>0</v>
      </c>
      <c r="T1464" s="163">
        <v>0</v>
      </c>
      <c r="U1464" s="163">
        <v>0</v>
      </c>
      <c r="V1464" s="163">
        <v>0</v>
      </c>
      <c r="W1464" s="163">
        <v>0</v>
      </c>
      <c r="X1464" s="163">
        <v>0</v>
      </c>
      <c r="Y1464" s="163">
        <v>19</v>
      </c>
      <c r="Z1464" s="163">
        <v>19</v>
      </c>
      <c r="AA1464" s="163">
        <v>0</v>
      </c>
      <c r="AB1464" s="163">
        <v>0</v>
      </c>
      <c r="AC1464" s="163">
        <v>14</v>
      </c>
      <c r="AD1464" s="163">
        <v>5</v>
      </c>
      <c r="AE1464" s="165">
        <v>0.85413407776058925</v>
      </c>
      <c r="AF1464" s="166">
        <v>0.70558902075874774</v>
      </c>
    </row>
    <row r="1465" spans="1:32">
      <c r="A1465" s="161">
        <v>31</v>
      </c>
      <c r="B1465" s="162">
        <v>0.47916666666666669</v>
      </c>
      <c r="C1465" s="163">
        <v>25.439830091626785</v>
      </c>
      <c r="D1465" s="163">
        <v>834.9066772044954</v>
      </c>
      <c r="E1465" s="164">
        <v>0.755</v>
      </c>
      <c r="F1465" s="164">
        <v>0.755</v>
      </c>
      <c r="G1465" s="163">
        <v>20</v>
      </c>
      <c r="H1465" s="163">
        <v>31.666666666666664</v>
      </c>
      <c r="I1465" s="163">
        <v>11.666666666666664</v>
      </c>
      <c r="J1465" s="163">
        <v>16</v>
      </c>
      <c r="K1465" s="163">
        <v>16.303373819163294</v>
      </c>
      <c r="L1465" s="163">
        <v>0.3033738191632942</v>
      </c>
      <c r="M1465" s="163">
        <v>18</v>
      </c>
      <c r="N1465" s="163">
        <v>28.931623931623928</v>
      </c>
      <c r="O1465" s="163">
        <v>10.931623931623928</v>
      </c>
      <c r="P1465" s="163"/>
      <c r="Q1465" s="163">
        <v>19</v>
      </c>
      <c r="R1465" s="163">
        <v>0</v>
      </c>
      <c r="S1465" s="163">
        <v>0</v>
      </c>
      <c r="T1465" s="163">
        <v>0</v>
      </c>
      <c r="U1465" s="163">
        <v>0</v>
      </c>
      <c r="V1465" s="163">
        <v>0</v>
      </c>
      <c r="W1465" s="163">
        <v>0</v>
      </c>
      <c r="X1465" s="163">
        <v>0</v>
      </c>
      <c r="Y1465" s="163">
        <v>19</v>
      </c>
      <c r="Z1465" s="163">
        <v>19</v>
      </c>
      <c r="AA1465" s="163">
        <v>0</v>
      </c>
      <c r="AB1465" s="163">
        <v>0</v>
      </c>
      <c r="AC1465" s="163">
        <v>14</v>
      </c>
      <c r="AD1465" s="163">
        <v>5</v>
      </c>
      <c r="AE1465" s="165">
        <v>0.76186591433186446</v>
      </c>
      <c r="AF1465" s="166">
        <v>0.72377261861527142</v>
      </c>
    </row>
    <row r="1466" spans="1:32">
      <c r="A1466" s="161">
        <v>31</v>
      </c>
      <c r="B1466" s="162">
        <v>0.5</v>
      </c>
      <c r="C1466" s="163">
        <v>25.507176187075114</v>
      </c>
      <c r="D1466" s="163">
        <v>887.41945805232797</v>
      </c>
      <c r="E1466" s="164">
        <v>0.64549999999999996</v>
      </c>
      <c r="F1466" s="164">
        <v>0.64549999999999996</v>
      </c>
      <c r="G1466" s="163">
        <v>21</v>
      </c>
      <c r="H1466" s="163">
        <v>31.666666666666664</v>
      </c>
      <c r="I1466" s="163">
        <v>10.666666666666664</v>
      </c>
      <c r="J1466" s="163">
        <v>17</v>
      </c>
      <c r="K1466" s="163">
        <v>17.118542510121458</v>
      </c>
      <c r="L1466" s="163">
        <v>0.11854251012145767</v>
      </c>
      <c r="M1466" s="163">
        <v>19</v>
      </c>
      <c r="N1466" s="163">
        <v>28.931623931623928</v>
      </c>
      <c r="O1466" s="163">
        <v>9.9316239316239283</v>
      </c>
      <c r="P1466" s="163"/>
      <c r="Q1466" s="163">
        <v>19</v>
      </c>
      <c r="R1466" s="163">
        <v>0</v>
      </c>
      <c r="S1466" s="163">
        <v>0</v>
      </c>
      <c r="T1466" s="163">
        <v>0</v>
      </c>
      <c r="U1466" s="163">
        <v>0</v>
      </c>
      <c r="V1466" s="163">
        <v>0</v>
      </c>
      <c r="W1466" s="163">
        <v>0</v>
      </c>
      <c r="X1466" s="163">
        <v>0</v>
      </c>
      <c r="Y1466" s="163">
        <v>19</v>
      </c>
      <c r="Z1466" s="163">
        <v>19</v>
      </c>
      <c r="AA1466" s="163">
        <v>0</v>
      </c>
      <c r="AB1466" s="163">
        <v>0</v>
      </c>
      <c r="AC1466" s="163">
        <v>14</v>
      </c>
      <c r="AD1466" s="163">
        <v>5</v>
      </c>
      <c r="AE1466" s="165">
        <v>0.81192839902692071</v>
      </c>
      <c r="AF1466" s="166">
        <v>0.73460188483388078</v>
      </c>
    </row>
    <row r="1467" spans="1:32">
      <c r="A1467" s="161">
        <v>31</v>
      </c>
      <c r="B1467" s="162">
        <v>0.52083333333333337</v>
      </c>
      <c r="C1467" s="163">
        <v>23.040013531959552</v>
      </c>
      <c r="D1467" s="163">
        <v>835.6993665197233</v>
      </c>
      <c r="E1467" s="164">
        <v>0.74149999999999994</v>
      </c>
      <c r="F1467" s="164">
        <v>0.74149999999999994</v>
      </c>
      <c r="G1467" s="163">
        <v>19</v>
      </c>
      <c r="H1467" s="163">
        <v>30.333333333333336</v>
      </c>
      <c r="I1467" s="163">
        <v>11.333333333333336</v>
      </c>
      <c r="J1467" s="163">
        <v>15</v>
      </c>
      <c r="K1467" s="163">
        <v>15.488205128205129</v>
      </c>
      <c r="L1467" s="163">
        <v>0.48820512820512896</v>
      </c>
      <c r="M1467" s="163">
        <v>17</v>
      </c>
      <c r="N1467" s="163">
        <v>27.713450292397663</v>
      </c>
      <c r="O1467" s="163">
        <v>10.713450292397663</v>
      </c>
      <c r="P1467" s="163"/>
      <c r="Q1467" s="163">
        <v>19</v>
      </c>
      <c r="R1467" s="163">
        <v>0</v>
      </c>
      <c r="S1467" s="163">
        <v>0</v>
      </c>
      <c r="T1467" s="163">
        <v>0</v>
      </c>
      <c r="U1467" s="163">
        <v>0</v>
      </c>
      <c r="V1467" s="163">
        <v>0</v>
      </c>
      <c r="W1467" s="163">
        <v>0</v>
      </c>
      <c r="X1467" s="163">
        <v>0</v>
      </c>
      <c r="Y1467" s="163">
        <v>19</v>
      </c>
      <c r="Z1467" s="163">
        <v>19</v>
      </c>
      <c r="AA1467" s="163">
        <v>0</v>
      </c>
      <c r="AB1467" s="163">
        <v>0</v>
      </c>
      <c r="AC1467" s="163">
        <v>14</v>
      </c>
      <c r="AD1467" s="163">
        <v>5</v>
      </c>
      <c r="AE1467" s="165">
        <v>0.6906518919068213</v>
      </c>
      <c r="AF1467" s="166">
        <v>0.6906518919068213</v>
      </c>
    </row>
    <row r="1468" spans="1:32">
      <c r="A1468" s="161">
        <v>31</v>
      </c>
      <c r="B1468" s="162">
        <v>0.54166666666666663</v>
      </c>
      <c r="C1468" s="163">
        <v>22.952586510814427</v>
      </c>
      <c r="D1468" s="163">
        <v>831.34406291650726</v>
      </c>
      <c r="E1468" s="164">
        <v>0.69320000000000004</v>
      </c>
      <c r="F1468" s="164">
        <v>0.69320000000000004</v>
      </c>
      <c r="G1468" s="163">
        <v>19</v>
      </c>
      <c r="H1468" s="163">
        <v>28.333333333333336</v>
      </c>
      <c r="I1468" s="163">
        <v>9.3333333333333357</v>
      </c>
      <c r="J1468" s="163">
        <v>15</v>
      </c>
      <c r="K1468" s="163">
        <v>15.488205128205129</v>
      </c>
      <c r="L1468" s="163">
        <v>0.48820512820512896</v>
      </c>
      <c r="M1468" s="163">
        <v>17</v>
      </c>
      <c r="N1468" s="163">
        <v>25.886189833558255</v>
      </c>
      <c r="O1468" s="163">
        <v>8.8861898335582552</v>
      </c>
      <c r="P1468" s="163"/>
      <c r="Q1468" s="163">
        <v>17</v>
      </c>
      <c r="R1468" s="163">
        <v>0</v>
      </c>
      <c r="S1468" s="163">
        <v>0</v>
      </c>
      <c r="T1468" s="163">
        <v>0</v>
      </c>
      <c r="U1468" s="163">
        <v>0</v>
      </c>
      <c r="V1468" s="163">
        <v>0</v>
      </c>
      <c r="W1468" s="163">
        <v>0</v>
      </c>
      <c r="X1468" s="163">
        <v>0</v>
      </c>
      <c r="Y1468" s="163">
        <v>17</v>
      </c>
      <c r="Z1468" s="163">
        <v>17</v>
      </c>
      <c r="AA1468" s="163">
        <v>0</v>
      </c>
      <c r="AB1468" s="163">
        <v>0</v>
      </c>
      <c r="AC1468" s="163">
        <v>12</v>
      </c>
      <c r="AD1468" s="163">
        <v>5</v>
      </c>
      <c r="AE1468" s="165">
        <v>0.76496843500702172</v>
      </c>
      <c r="AF1468" s="166">
        <v>0.68444544184838785</v>
      </c>
    </row>
    <row r="1469" spans="1:32">
      <c r="A1469" s="161">
        <v>31</v>
      </c>
      <c r="B1469" s="162">
        <v>0.5625</v>
      </c>
      <c r="C1469" s="163">
        <v>21.173205164599846</v>
      </c>
      <c r="D1469" s="163">
        <v>804.7256168728502</v>
      </c>
      <c r="E1469" s="164">
        <v>0.83289999999999997</v>
      </c>
      <c r="F1469" s="164">
        <v>0.83289999999999997</v>
      </c>
      <c r="G1469" s="163">
        <v>16</v>
      </c>
      <c r="H1469" s="163">
        <v>28.333333333333336</v>
      </c>
      <c r="I1469" s="163">
        <v>12.333333333333336</v>
      </c>
      <c r="J1469" s="163">
        <v>13</v>
      </c>
      <c r="K1469" s="163">
        <v>13.042699055330635</v>
      </c>
      <c r="L1469" s="163">
        <v>4.2699055330635005E-2</v>
      </c>
      <c r="M1469" s="163">
        <v>15</v>
      </c>
      <c r="N1469" s="163">
        <v>25.886189833558255</v>
      </c>
      <c r="O1469" s="163">
        <v>10.886189833558255</v>
      </c>
      <c r="P1469" s="163"/>
      <c r="Q1469" s="163">
        <v>17</v>
      </c>
      <c r="R1469" s="163">
        <v>0</v>
      </c>
      <c r="S1469" s="163">
        <v>0</v>
      </c>
      <c r="T1469" s="163">
        <v>0</v>
      </c>
      <c r="U1469" s="163">
        <v>0</v>
      </c>
      <c r="V1469" s="163">
        <v>0</v>
      </c>
      <c r="W1469" s="163">
        <v>0</v>
      </c>
      <c r="X1469" s="163">
        <v>0</v>
      </c>
      <c r="Y1469" s="163">
        <v>17</v>
      </c>
      <c r="Z1469" s="163">
        <v>17</v>
      </c>
      <c r="AA1469" s="163">
        <v>0</v>
      </c>
      <c r="AB1469" s="163">
        <v>0</v>
      </c>
      <c r="AC1469" s="163">
        <v>12</v>
      </c>
      <c r="AD1469" s="163">
        <v>5</v>
      </c>
      <c r="AE1469" s="165">
        <v>0.68307047660990072</v>
      </c>
      <c r="AF1469" s="166">
        <v>0.72576238139801952</v>
      </c>
    </row>
    <row r="1470" spans="1:32">
      <c r="A1470" s="161">
        <v>31</v>
      </c>
      <c r="B1470" s="162">
        <v>0.58333333333333337</v>
      </c>
      <c r="C1470" s="163">
        <v>22.237100695810312</v>
      </c>
      <c r="D1470" s="163">
        <v>830.31486942649212</v>
      </c>
      <c r="E1470" s="164">
        <v>0.7409</v>
      </c>
      <c r="F1470" s="164">
        <v>0.7409</v>
      </c>
      <c r="G1470" s="163">
        <v>18</v>
      </c>
      <c r="H1470" s="163">
        <v>28.333333333333336</v>
      </c>
      <c r="I1470" s="163">
        <v>10.333333333333336</v>
      </c>
      <c r="J1470" s="163">
        <v>14</v>
      </c>
      <c r="K1470" s="163">
        <v>14.673036437246964</v>
      </c>
      <c r="L1470" s="163">
        <v>0.67303643724696371</v>
      </c>
      <c r="M1470" s="163">
        <v>16</v>
      </c>
      <c r="N1470" s="163">
        <v>25.886189833558255</v>
      </c>
      <c r="O1470" s="163">
        <v>9.8861898335582552</v>
      </c>
      <c r="P1470" s="163"/>
      <c r="Q1470" s="163">
        <v>17</v>
      </c>
      <c r="R1470" s="163">
        <v>0</v>
      </c>
      <c r="S1470" s="163">
        <v>0</v>
      </c>
      <c r="T1470" s="163">
        <v>0</v>
      </c>
      <c r="U1470" s="163">
        <v>0</v>
      </c>
      <c r="V1470" s="163">
        <v>0</v>
      </c>
      <c r="W1470" s="163">
        <v>0</v>
      </c>
      <c r="X1470" s="163">
        <v>0</v>
      </c>
      <c r="Y1470" s="163">
        <v>17</v>
      </c>
      <c r="Z1470" s="163">
        <v>17</v>
      </c>
      <c r="AA1470" s="163">
        <v>0</v>
      </c>
      <c r="AB1470" s="163">
        <v>0</v>
      </c>
      <c r="AC1470" s="163">
        <v>12</v>
      </c>
      <c r="AD1470" s="163">
        <v>5</v>
      </c>
      <c r="AE1470" s="165">
        <v>0.74020507895276011</v>
      </c>
      <c r="AF1470" s="166">
        <v>0.69908257456649558</v>
      </c>
    </row>
    <row r="1471" spans="1:32">
      <c r="A1471" s="161">
        <v>31</v>
      </c>
      <c r="B1471" s="162">
        <v>0.60416666666666663</v>
      </c>
      <c r="C1471" s="163">
        <v>21.060512694784428</v>
      </c>
      <c r="D1471" s="163">
        <v>813.11065360912323</v>
      </c>
      <c r="E1471" s="164">
        <v>0.9030999999999999</v>
      </c>
      <c r="F1471" s="164">
        <v>0.9030999999999999</v>
      </c>
      <c r="G1471" s="163">
        <v>16</v>
      </c>
      <c r="H1471" s="163">
        <v>29.666666666666664</v>
      </c>
      <c r="I1471" s="163">
        <v>13.666666666666664</v>
      </c>
      <c r="J1471" s="163">
        <v>13</v>
      </c>
      <c r="K1471" s="163">
        <v>13.042699055330635</v>
      </c>
      <c r="L1471" s="163">
        <v>4.2699055330635005E-2</v>
      </c>
      <c r="M1471" s="163">
        <v>15</v>
      </c>
      <c r="N1471" s="163">
        <v>27.104363472784524</v>
      </c>
      <c r="O1471" s="163">
        <v>12.104363472784524</v>
      </c>
      <c r="P1471" s="163"/>
      <c r="Q1471" s="163">
        <v>17</v>
      </c>
      <c r="R1471" s="163">
        <v>0</v>
      </c>
      <c r="S1471" s="163">
        <v>0</v>
      </c>
      <c r="T1471" s="163">
        <v>0</v>
      </c>
      <c r="U1471" s="163">
        <v>0</v>
      </c>
      <c r="V1471" s="163">
        <v>0</v>
      </c>
      <c r="W1471" s="163">
        <v>0</v>
      </c>
      <c r="X1471" s="163">
        <v>0</v>
      </c>
      <c r="Y1471" s="163">
        <v>17</v>
      </c>
      <c r="Z1471" s="163">
        <v>17</v>
      </c>
      <c r="AA1471" s="163">
        <v>0</v>
      </c>
      <c r="AB1471" s="163">
        <v>0</v>
      </c>
      <c r="AC1471" s="163">
        <v>12</v>
      </c>
      <c r="AD1471" s="163">
        <v>5</v>
      </c>
      <c r="AE1471" s="165">
        <v>0.68651443498126541</v>
      </c>
      <c r="AF1471" s="166">
        <v>0.72942158716759453</v>
      </c>
    </row>
    <row r="1472" spans="1:32">
      <c r="A1472" s="161">
        <v>31</v>
      </c>
      <c r="B1472" s="162">
        <v>0.625</v>
      </c>
      <c r="C1472" s="163">
        <v>21.371496819503143</v>
      </c>
      <c r="D1472" s="163">
        <v>844.42741800462272</v>
      </c>
      <c r="E1472" s="164">
        <v>0.6827333333333333</v>
      </c>
      <c r="F1472" s="164">
        <v>0.6827333333333333</v>
      </c>
      <c r="G1472" s="163">
        <v>18</v>
      </c>
      <c r="H1472" s="163">
        <v>29</v>
      </c>
      <c r="I1472" s="163">
        <v>11</v>
      </c>
      <c r="J1472" s="163">
        <v>14</v>
      </c>
      <c r="K1472" s="163">
        <v>14.673036437246964</v>
      </c>
      <c r="L1472" s="163">
        <v>0.67303643724696371</v>
      </c>
      <c r="M1472" s="163">
        <v>16</v>
      </c>
      <c r="N1472" s="163">
        <v>26.495276653171388</v>
      </c>
      <c r="O1472" s="163">
        <v>10.495276653171388</v>
      </c>
      <c r="P1472" s="163"/>
      <c r="Q1472" s="163">
        <v>19</v>
      </c>
      <c r="R1472" s="163">
        <v>0</v>
      </c>
      <c r="S1472" s="163">
        <v>0</v>
      </c>
      <c r="T1472" s="163">
        <v>0</v>
      </c>
      <c r="U1472" s="163">
        <v>0</v>
      </c>
      <c r="V1472" s="163">
        <v>0</v>
      </c>
      <c r="W1472" s="163">
        <v>0</v>
      </c>
      <c r="X1472" s="163">
        <v>0</v>
      </c>
      <c r="Y1472" s="163">
        <v>19</v>
      </c>
      <c r="Z1472" s="163">
        <v>19</v>
      </c>
      <c r="AA1472" s="163">
        <v>0</v>
      </c>
      <c r="AB1472" s="163">
        <v>0</v>
      </c>
      <c r="AC1472" s="163">
        <v>12</v>
      </c>
      <c r="AD1472" s="163">
        <v>7</v>
      </c>
      <c r="AE1472" s="165">
        <v>0.64732692210347986</v>
      </c>
      <c r="AF1472" s="166">
        <v>0.68328952888700656</v>
      </c>
    </row>
    <row r="1473" spans="1:32">
      <c r="A1473" s="161">
        <v>31</v>
      </c>
      <c r="B1473" s="162">
        <v>0.64583333333333337</v>
      </c>
      <c r="C1473" s="163">
        <v>20.102792456168459</v>
      </c>
      <c r="D1473" s="163">
        <v>849.06010688718584</v>
      </c>
      <c r="E1473" s="164">
        <v>0.52910000000000001</v>
      </c>
      <c r="F1473" s="164">
        <v>0.52910000000000001</v>
      </c>
      <c r="G1473" s="163">
        <v>16</v>
      </c>
      <c r="H1473" s="163">
        <v>23.333333333333336</v>
      </c>
      <c r="I1473" s="163">
        <v>7.3333333333333357</v>
      </c>
      <c r="J1473" s="163">
        <v>13</v>
      </c>
      <c r="K1473" s="163">
        <v>13.042699055330635</v>
      </c>
      <c r="L1473" s="163">
        <v>4.2699055330635005E-2</v>
      </c>
      <c r="M1473" s="163">
        <v>15</v>
      </c>
      <c r="N1473" s="163">
        <v>21.31803868645974</v>
      </c>
      <c r="O1473" s="163">
        <v>6.3180386864597402</v>
      </c>
      <c r="P1473" s="163"/>
      <c r="Q1473" s="163">
        <v>14</v>
      </c>
      <c r="R1473" s="163">
        <v>0</v>
      </c>
      <c r="S1473" s="163">
        <v>0</v>
      </c>
      <c r="T1473" s="163">
        <v>0</v>
      </c>
      <c r="U1473" s="163">
        <v>0</v>
      </c>
      <c r="V1473" s="163">
        <v>0</v>
      </c>
      <c r="W1473" s="163">
        <v>0</v>
      </c>
      <c r="X1473" s="163">
        <v>0</v>
      </c>
      <c r="Y1473" s="163">
        <v>14</v>
      </c>
      <c r="Z1473" s="163">
        <v>14</v>
      </c>
      <c r="AA1473" s="163">
        <v>0</v>
      </c>
      <c r="AB1473" s="163">
        <v>0</v>
      </c>
      <c r="AC1473" s="163">
        <v>10</v>
      </c>
      <c r="AD1473" s="163">
        <v>4</v>
      </c>
      <c r="AE1473" s="165">
        <v>0.83089623924240075</v>
      </c>
      <c r="AF1473" s="166">
        <v>0.72703420933710072</v>
      </c>
    </row>
    <row r="1474" spans="1:32">
      <c r="A1474" s="161">
        <v>31</v>
      </c>
      <c r="B1474" s="162">
        <v>0.66666666666666663</v>
      </c>
      <c r="C1474" s="163">
        <v>19.968787367477809</v>
      </c>
      <c r="D1474" s="163">
        <v>846.73670071094273</v>
      </c>
      <c r="E1474" s="164">
        <v>0.54849999999999999</v>
      </c>
      <c r="F1474" s="164">
        <v>0.54849999999999999</v>
      </c>
      <c r="G1474" s="163">
        <v>16</v>
      </c>
      <c r="H1474" s="163">
        <v>23.333333333333336</v>
      </c>
      <c r="I1474" s="163">
        <v>7.3333333333333357</v>
      </c>
      <c r="J1474" s="163">
        <v>13</v>
      </c>
      <c r="K1474" s="163">
        <v>13.042699055330635</v>
      </c>
      <c r="L1474" s="163">
        <v>4.2699055330635005E-2</v>
      </c>
      <c r="M1474" s="163">
        <v>15</v>
      </c>
      <c r="N1474" s="163">
        <v>21.31803868645974</v>
      </c>
      <c r="O1474" s="163">
        <v>6.3180386864597402</v>
      </c>
      <c r="P1474" s="163"/>
      <c r="Q1474" s="163">
        <v>14</v>
      </c>
      <c r="R1474" s="163">
        <v>0</v>
      </c>
      <c r="S1474" s="163">
        <v>0</v>
      </c>
      <c r="T1474" s="163">
        <v>0</v>
      </c>
      <c r="U1474" s="163">
        <v>0</v>
      </c>
      <c r="V1474" s="163">
        <v>0</v>
      </c>
      <c r="W1474" s="163">
        <v>0</v>
      </c>
      <c r="X1474" s="163">
        <v>0</v>
      </c>
      <c r="Y1474" s="163">
        <v>14</v>
      </c>
      <c r="Z1474" s="163">
        <v>14</v>
      </c>
      <c r="AA1474" s="163">
        <v>0</v>
      </c>
      <c r="AB1474" s="163">
        <v>0</v>
      </c>
      <c r="AC1474" s="163">
        <v>10</v>
      </c>
      <c r="AD1474" s="163">
        <v>4</v>
      </c>
      <c r="AE1474" s="165">
        <v>0.82309894484004498</v>
      </c>
      <c r="AF1474" s="166">
        <v>0.72021157673503944</v>
      </c>
    </row>
    <row r="1475" spans="1:32">
      <c r="A1475" s="161">
        <v>31</v>
      </c>
      <c r="B1475" s="162">
        <v>0.6875</v>
      </c>
      <c r="C1475" s="163">
        <v>18.880860101109256</v>
      </c>
      <c r="D1475" s="163">
        <v>881.92778996300569</v>
      </c>
      <c r="E1475" s="164">
        <v>0.29853333333333337</v>
      </c>
      <c r="F1475" s="164">
        <v>0.29853333333333337</v>
      </c>
      <c r="G1475" s="163">
        <v>16</v>
      </c>
      <c r="H1475" s="163">
        <v>22</v>
      </c>
      <c r="I1475" s="163">
        <v>6</v>
      </c>
      <c r="J1475" s="163">
        <v>13</v>
      </c>
      <c r="K1475" s="163">
        <v>13.042699055330635</v>
      </c>
      <c r="L1475" s="163">
        <v>4.2699055330635005E-2</v>
      </c>
      <c r="M1475" s="163">
        <v>15</v>
      </c>
      <c r="N1475" s="163">
        <v>20.099865047233468</v>
      </c>
      <c r="O1475" s="163">
        <v>5.0998650472334681</v>
      </c>
      <c r="P1475" s="163"/>
      <c r="Q1475" s="163">
        <v>14</v>
      </c>
      <c r="R1475" s="163">
        <v>0</v>
      </c>
      <c r="S1475" s="163">
        <v>0</v>
      </c>
      <c r="T1475" s="163">
        <v>0</v>
      </c>
      <c r="U1475" s="163">
        <v>0</v>
      </c>
      <c r="V1475" s="163">
        <v>0</v>
      </c>
      <c r="W1475" s="163">
        <v>0</v>
      </c>
      <c r="X1475" s="163">
        <v>0</v>
      </c>
      <c r="Y1475" s="163">
        <v>14</v>
      </c>
      <c r="Z1475" s="163">
        <v>14</v>
      </c>
      <c r="AA1475" s="163">
        <v>0</v>
      </c>
      <c r="AB1475" s="163">
        <v>0</v>
      </c>
      <c r="AC1475" s="163">
        <v>10</v>
      </c>
      <c r="AD1475" s="163">
        <v>4</v>
      </c>
      <c r="AE1475" s="165">
        <v>0.81060031890987172</v>
      </c>
      <c r="AF1475" s="166">
        <v>0.70927527904613774</v>
      </c>
    </row>
    <row r="1476" spans="1:32">
      <c r="A1476" s="161">
        <v>31</v>
      </c>
      <c r="B1476" s="162">
        <v>0.70833333333333337</v>
      </c>
      <c r="C1476" s="163">
        <v>18.879196598416101</v>
      </c>
      <c r="D1476" s="163">
        <v>855.09452526071027</v>
      </c>
      <c r="E1476" s="164">
        <v>0.23949999999999996</v>
      </c>
      <c r="F1476" s="164">
        <v>0.23949999999999996</v>
      </c>
      <c r="G1476" s="163">
        <v>16</v>
      </c>
      <c r="H1476" s="163">
        <v>20</v>
      </c>
      <c r="I1476" s="163">
        <v>4</v>
      </c>
      <c r="J1476" s="163">
        <v>13</v>
      </c>
      <c r="K1476" s="163">
        <v>13.042699055330635</v>
      </c>
      <c r="L1476" s="163">
        <v>4.2699055330635005E-2</v>
      </c>
      <c r="M1476" s="163">
        <v>15</v>
      </c>
      <c r="N1476" s="163">
        <v>18.27260458839406</v>
      </c>
      <c r="O1476" s="163">
        <v>3.27260458839406</v>
      </c>
      <c r="P1476" s="163"/>
      <c r="Q1476" s="163">
        <v>12</v>
      </c>
      <c r="R1476" s="163">
        <v>0</v>
      </c>
      <c r="S1476" s="163">
        <v>0</v>
      </c>
      <c r="T1476" s="163">
        <v>0</v>
      </c>
      <c r="U1476" s="163">
        <v>0</v>
      </c>
      <c r="V1476" s="163">
        <v>0</v>
      </c>
      <c r="W1476" s="163">
        <v>0</v>
      </c>
      <c r="X1476" s="163">
        <v>0</v>
      </c>
      <c r="Y1476" s="163">
        <v>12</v>
      </c>
      <c r="Z1476" s="163">
        <v>12</v>
      </c>
      <c r="AA1476" s="163">
        <v>0</v>
      </c>
      <c r="AB1476" s="163">
        <v>0</v>
      </c>
      <c r="AC1476" s="163">
        <v>10</v>
      </c>
      <c r="AD1476" s="163">
        <v>2</v>
      </c>
      <c r="AE1476" s="165">
        <v>0.91684599626374053</v>
      </c>
      <c r="AF1476" s="166">
        <v>0.68763449719780545</v>
      </c>
    </row>
    <row r="1477" spans="1:32">
      <c r="A1477" s="161">
        <v>31</v>
      </c>
      <c r="B1477" s="162">
        <v>0.72916666666666663</v>
      </c>
      <c r="C1477" s="163">
        <v>18.744302717180148</v>
      </c>
      <c r="D1477" s="163">
        <v>838.92440146004174</v>
      </c>
      <c r="E1477" s="164">
        <v>0.68889999999999996</v>
      </c>
      <c r="F1477" s="164">
        <v>0.68889999999999996</v>
      </c>
      <c r="G1477" s="163">
        <v>16</v>
      </c>
      <c r="H1477" s="163">
        <v>22.666666666666664</v>
      </c>
      <c r="I1477" s="163">
        <v>6.6666666666666643</v>
      </c>
      <c r="J1477" s="163">
        <v>13</v>
      </c>
      <c r="K1477" s="163">
        <v>13.042699055330635</v>
      </c>
      <c r="L1477" s="163">
        <v>4.2699055330635005E-2</v>
      </c>
      <c r="M1477" s="163">
        <v>15</v>
      </c>
      <c r="N1477" s="163">
        <v>20.708951866846601</v>
      </c>
      <c r="O1477" s="163">
        <v>5.7089518668466006</v>
      </c>
      <c r="P1477" s="163"/>
      <c r="Q1477" s="163">
        <v>12</v>
      </c>
      <c r="R1477" s="163">
        <v>0</v>
      </c>
      <c r="S1477" s="163">
        <v>0</v>
      </c>
      <c r="T1477" s="163">
        <v>0</v>
      </c>
      <c r="U1477" s="163">
        <v>0</v>
      </c>
      <c r="V1477" s="163">
        <v>0</v>
      </c>
      <c r="W1477" s="163">
        <v>0</v>
      </c>
      <c r="X1477" s="163">
        <v>0</v>
      </c>
      <c r="Y1477" s="163">
        <v>12</v>
      </c>
      <c r="Z1477" s="163">
        <v>12</v>
      </c>
      <c r="AA1477" s="163">
        <v>0</v>
      </c>
      <c r="AB1477" s="163">
        <v>0</v>
      </c>
      <c r="AC1477" s="163">
        <v>10</v>
      </c>
      <c r="AD1477" s="163">
        <v>2</v>
      </c>
      <c r="AE1477" s="165">
        <v>0.89308104955237932</v>
      </c>
      <c r="AF1477" s="166">
        <v>0.66981078716428455</v>
      </c>
    </row>
    <row r="1478" spans="1:32">
      <c r="A1478" s="161">
        <v>31</v>
      </c>
      <c r="B1478" s="162">
        <v>0.75</v>
      </c>
      <c r="C1478" s="163">
        <v>18.059811517825182</v>
      </c>
      <c r="D1478" s="163">
        <v>843.0857413219976</v>
      </c>
      <c r="E1478" s="164">
        <v>0.90339999999999998</v>
      </c>
      <c r="F1478" s="164">
        <v>0.90339999999999998</v>
      </c>
      <c r="G1478" s="163">
        <v>15</v>
      </c>
      <c r="H1478" s="163">
        <v>26.666666666666664</v>
      </c>
      <c r="I1478" s="163">
        <v>11.666666666666664</v>
      </c>
      <c r="J1478" s="163">
        <v>12</v>
      </c>
      <c r="K1478" s="163">
        <v>12.22753036437247</v>
      </c>
      <c r="L1478" s="163">
        <v>0.22753036437246976</v>
      </c>
      <c r="M1478" s="163">
        <v>14</v>
      </c>
      <c r="N1478" s="163">
        <v>24.363472784525413</v>
      </c>
      <c r="O1478" s="163">
        <v>10.363472784525413</v>
      </c>
      <c r="P1478" s="163"/>
      <c r="Q1478" s="163">
        <v>16</v>
      </c>
      <c r="R1478" s="163">
        <v>0</v>
      </c>
      <c r="S1478" s="163">
        <v>0</v>
      </c>
      <c r="T1478" s="163">
        <v>0</v>
      </c>
      <c r="U1478" s="163">
        <v>0</v>
      </c>
      <c r="V1478" s="163">
        <v>0</v>
      </c>
      <c r="W1478" s="163">
        <v>0</v>
      </c>
      <c r="X1478" s="163">
        <v>0</v>
      </c>
      <c r="Y1478" s="163">
        <v>16</v>
      </c>
      <c r="Z1478" s="163">
        <v>16</v>
      </c>
      <c r="AA1478" s="163">
        <v>0</v>
      </c>
      <c r="AB1478" s="163">
        <v>0</v>
      </c>
      <c r="AC1478" s="163">
        <v>14</v>
      </c>
      <c r="AD1478" s="163">
        <v>2</v>
      </c>
      <c r="AE1478" s="165">
        <v>0.64855226314092318</v>
      </c>
      <c r="AF1478" s="166">
        <v>0.6917890806836513</v>
      </c>
    </row>
    <row r="1479" spans="1:32">
      <c r="A1479" s="161">
        <v>31</v>
      </c>
      <c r="B1479" s="162">
        <v>0.77083333333333337</v>
      </c>
      <c r="C1479" s="163">
        <v>17.557450403751091</v>
      </c>
      <c r="D1479" s="163">
        <v>791.34360675945004</v>
      </c>
      <c r="E1479" s="164">
        <v>0.94769999999999988</v>
      </c>
      <c r="F1479" s="164">
        <v>0.94769999999999988</v>
      </c>
      <c r="G1479" s="163">
        <v>14</v>
      </c>
      <c r="H1479" s="163">
        <v>26.666666666666664</v>
      </c>
      <c r="I1479" s="163">
        <v>12.666666666666664</v>
      </c>
      <c r="J1479" s="163">
        <v>11</v>
      </c>
      <c r="K1479" s="163">
        <v>11.412361673414306</v>
      </c>
      <c r="L1479" s="163">
        <v>0.4123616734143063</v>
      </c>
      <c r="M1479" s="163">
        <v>13</v>
      </c>
      <c r="N1479" s="163">
        <v>24.363472784525413</v>
      </c>
      <c r="O1479" s="163">
        <v>11.363472784525413</v>
      </c>
      <c r="P1479" s="163"/>
      <c r="Q1479" s="163">
        <v>16</v>
      </c>
      <c r="R1479" s="163">
        <v>0</v>
      </c>
      <c r="S1479" s="163">
        <v>0</v>
      </c>
      <c r="T1479" s="163">
        <v>0</v>
      </c>
      <c r="U1479" s="163">
        <v>0</v>
      </c>
      <c r="V1479" s="163">
        <v>0</v>
      </c>
      <c r="W1479" s="163">
        <v>0</v>
      </c>
      <c r="X1479" s="163">
        <v>0</v>
      </c>
      <c r="Y1479" s="163">
        <v>16</v>
      </c>
      <c r="Z1479" s="163">
        <v>16</v>
      </c>
      <c r="AA1479" s="163">
        <v>0</v>
      </c>
      <c r="AB1479" s="163">
        <v>0</v>
      </c>
      <c r="AC1479" s="163">
        <v>14</v>
      </c>
      <c r="AD1479" s="163">
        <v>2</v>
      </c>
      <c r="AE1479" s="165">
        <v>0.59181581925057458</v>
      </c>
      <c r="AF1479" s="166">
        <v>0.67636093628637095</v>
      </c>
    </row>
    <row r="1480" spans="1:32">
      <c r="A1480" s="161">
        <v>31</v>
      </c>
      <c r="B1480" s="162">
        <v>0.79166666666666663</v>
      </c>
      <c r="C1480" s="163">
        <v>15.608001164768357</v>
      </c>
      <c r="D1480" s="163">
        <v>787.47490996802253</v>
      </c>
      <c r="E1480" s="164">
        <v>0.91090000000000015</v>
      </c>
      <c r="F1480" s="164">
        <v>0.91090000000000015</v>
      </c>
      <c r="G1480" s="163">
        <v>13</v>
      </c>
      <c r="H1480" s="163">
        <v>23.333333333333336</v>
      </c>
      <c r="I1480" s="163">
        <v>10.333333333333336</v>
      </c>
      <c r="J1480" s="163">
        <v>10</v>
      </c>
      <c r="K1480" s="163">
        <v>10.597192982456141</v>
      </c>
      <c r="L1480" s="163">
        <v>0.59719298245614105</v>
      </c>
      <c r="M1480" s="163">
        <v>12</v>
      </c>
      <c r="N1480" s="163">
        <v>21.31803868645974</v>
      </c>
      <c r="O1480" s="163">
        <v>9.3180386864597402</v>
      </c>
      <c r="P1480" s="163"/>
      <c r="Q1480" s="163">
        <v>14</v>
      </c>
      <c r="R1480" s="163">
        <v>0</v>
      </c>
      <c r="S1480" s="163">
        <v>0</v>
      </c>
      <c r="T1480" s="163">
        <v>0</v>
      </c>
      <c r="U1480" s="163">
        <v>0</v>
      </c>
      <c r="V1480" s="163">
        <v>0</v>
      </c>
      <c r="W1480" s="163">
        <v>0</v>
      </c>
      <c r="X1480" s="163">
        <v>0</v>
      </c>
      <c r="Y1480" s="163">
        <v>14</v>
      </c>
      <c r="Z1480" s="163">
        <v>14</v>
      </c>
      <c r="AA1480" s="163">
        <v>0</v>
      </c>
      <c r="AB1480" s="163">
        <v>0</v>
      </c>
      <c r="AC1480" s="163">
        <v>12</v>
      </c>
      <c r="AD1480" s="163">
        <v>2</v>
      </c>
      <c r="AE1480" s="165">
        <v>0.5983233923458372</v>
      </c>
      <c r="AF1480" s="166">
        <v>0.6443482686801324</v>
      </c>
    </row>
    <row r="1481" spans="1:32">
      <c r="A1481" s="161">
        <v>31</v>
      </c>
      <c r="B1481" s="162">
        <v>0.8125</v>
      </c>
      <c r="C1481" s="163">
        <v>14.160303657428351</v>
      </c>
      <c r="D1481" s="163">
        <v>795.14811595948345</v>
      </c>
      <c r="E1481" s="164">
        <v>0.94669999999999999</v>
      </c>
      <c r="F1481" s="164">
        <v>0.94669999999999999</v>
      </c>
      <c r="G1481" s="163">
        <v>13</v>
      </c>
      <c r="H1481" s="163">
        <v>23.333333333333336</v>
      </c>
      <c r="I1481" s="163">
        <v>10.333333333333336</v>
      </c>
      <c r="J1481" s="163">
        <v>10</v>
      </c>
      <c r="K1481" s="163">
        <v>10.597192982456141</v>
      </c>
      <c r="L1481" s="163">
        <v>0.59719298245614105</v>
      </c>
      <c r="M1481" s="163">
        <v>12</v>
      </c>
      <c r="N1481" s="163">
        <v>21.31803868645974</v>
      </c>
      <c r="O1481" s="163">
        <v>9.3180386864597402</v>
      </c>
      <c r="P1481" s="163"/>
      <c r="Q1481" s="163">
        <v>14</v>
      </c>
      <c r="R1481" s="163">
        <v>0</v>
      </c>
      <c r="S1481" s="163">
        <v>0</v>
      </c>
      <c r="T1481" s="163">
        <v>0</v>
      </c>
      <c r="U1481" s="163">
        <v>0</v>
      </c>
      <c r="V1481" s="163">
        <v>0</v>
      </c>
      <c r="W1481" s="163">
        <v>0</v>
      </c>
      <c r="X1481" s="163">
        <v>0</v>
      </c>
      <c r="Y1481" s="163">
        <v>14</v>
      </c>
      <c r="Z1481" s="163">
        <v>14</v>
      </c>
      <c r="AA1481" s="163">
        <v>0</v>
      </c>
      <c r="AB1481" s="163">
        <v>0</v>
      </c>
      <c r="AC1481" s="163">
        <v>12</v>
      </c>
      <c r="AD1481" s="163">
        <v>2</v>
      </c>
      <c r="AE1481" s="165">
        <v>0.54811611288174089</v>
      </c>
      <c r="AF1481" s="166">
        <v>0.59027889079572105</v>
      </c>
    </row>
    <row r="1482" spans="1:32">
      <c r="A1482" s="161">
        <v>31</v>
      </c>
      <c r="B1482" s="162">
        <v>0.83333333333333337</v>
      </c>
      <c r="C1482" s="163">
        <v>14.531916226600634</v>
      </c>
      <c r="D1482" s="163">
        <v>772.31038458107275</v>
      </c>
      <c r="E1482" s="164">
        <v>0.72953333333333326</v>
      </c>
      <c r="F1482" s="164">
        <v>0.72953333333333326</v>
      </c>
      <c r="G1482" s="163">
        <v>13</v>
      </c>
      <c r="H1482" s="163">
        <v>20.666666666666668</v>
      </c>
      <c r="I1482" s="163">
        <v>7.6666666666666679</v>
      </c>
      <c r="J1482" s="163">
        <v>10</v>
      </c>
      <c r="K1482" s="163">
        <v>10.597192982456141</v>
      </c>
      <c r="L1482" s="163">
        <v>0.59719298245614105</v>
      </c>
      <c r="M1482" s="163">
        <v>12</v>
      </c>
      <c r="N1482" s="163">
        <v>18.881691408007196</v>
      </c>
      <c r="O1482" s="163">
        <v>6.881691408007196</v>
      </c>
      <c r="P1482" s="163"/>
      <c r="Q1482" s="163">
        <v>14</v>
      </c>
      <c r="R1482" s="163">
        <v>0</v>
      </c>
      <c r="S1482" s="163">
        <v>0</v>
      </c>
      <c r="T1482" s="163">
        <v>0</v>
      </c>
      <c r="U1482" s="163">
        <v>0</v>
      </c>
      <c r="V1482" s="163">
        <v>0</v>
      </c>
      <c r="W1482" s="163">
        <v>0</v>
      </c>
      <c r="X1482" s="163">
        <v>0</v>
      </c>
      <c r="Y1482" s="163">
        <v>14</v>
      </c>
      <c r="Z1482" s="163">
        <v>14</v>
      </c>
      <c r="AA1482" s="163">
        <v>0</v>
      </c>
      <c r="AB1482" s="163">
        <v>0</v>
      </c>
      <c r="AC1482" s="163">
        <v>12</v>
      </c>
      <c r="AD1482" s="163">
        <v>2</v>
      </c>
      <c r="AE1482" s="165">
        <v>0.54634469236258976</v>
      </c>
      <c r="AF1482" s="166">
        <v>0.58837120715971203</v>
      </c>
    </row>
    <row r="1483" spans="1:32">
      <c r="A1483" s="161">
        <v>31</v>
      </c>
      <c r="B1483" s="162">
        <v>0.85416666666666663</v>
      </c>
      <c r="C1483" s="163">
        <v>13.733144560835957</v>
      </c>
      <c r="D1483" s="163">
        <v>765.82708163854443</v>
      </c>
      <c r="E1483" s="164">
        <v>0.40090000000000003</v>
      </c>
      <c r="F1483" s="164">
        <v>0.40090000000000003</v>
      </c>
      <c r="G1483" s="163">
        <v>12</v>
      </c>
      <c r="H1483" s="163">
        <v>15.333333333333332</v>
      </c>
      <c r="I1483" s="163">
        <v>3.3333333333333321</v>
      </c>
      <c r="J1483" s="163">
        <v>9</v>
      </c>
      <c r="K1483" s="163">
        <v>9.7820242914979758</v>
      </c>
      <c r="L1483" s="163">
        <v>0.78202429149797581</v>
      </c>
      <c r="M1483" s="163">
        <v>11</v>
      </c>
      <c r="N1483" s="163">
        <v>14.008996851102113</v>
      </c>
      <c r="O1483" s="163">
        <v>3.008996851102113</v>
      </c>
      <c r="P1483" s="163"/>
      <c r="Q1483" s="163">
        <v>10</v>
      </c>
      <c r="R1483" s="163">
        <v>0</v>
      </c>
      <c r="S1483" s="163">
        <v>0</v>
      </c>
      <c r="T1483" s="163">
        <v>0</v>
      </c>
      <c r="U1483" s="163">
        <v>0</v>
      </c>
      <c r="V1483" s="163">
        <v>0</v>
      </c>
      <c r="W1483" s="163">
        <v>0</v>
      </c>
      <c r="X1483" s="163">
        <v>0</v>
      </c>
      <c r="Y1483" s="163">
        <v>10</v>
      </c>
      <c r="Z1483" s="163">
        <v>10</v>
      </c>
      <c r="AA1483" s="163">
        <v>0</v>
      </c>
      <c r="AB1483" s="163">
        <v>0</v>
      </c>
      <c r="AC1483" s="163">
        <v>8</v>
      </c>
      <c r="AD1483" s="163">
        <v>2</v>
      </c>
      <c r="AE1483" s="165">
        <v>0.71677147846833467</v>
      </c>
      <c r="AF1483" s="166">
        <v>0.5973095653902788</v>
      </c>
    </row>
    <row r="1484" spans="1:32">
      <c r="A1484" s="161">
        <v>31</v>
      </c>
      <c r="B1484" s="162">
        <v>0.875</v>
      </c>
      <c r="C1484" s="163">
        <v>12.128112535918016</v>
      </c>
      <c r="D1484" s="163">
        <v>761.70488901424108</v>
      </c>
      <c r="E1484" s="164">
        <v>0.47669999999999996</v>
      </c>
      <c r="F1484" s="164">
        <v>0.47669999999999996</v>
      </c>
      <c r="G1484" s="163">
        <v>10</v>
      </c>
      <c r="H1484" s="163">
        <v>13.333333333333332</v>
      </c>
      <c r="I1484" s="163">
        <v>3.3333333333333321</v>
      </c>
      <c r="J1484" s="163">
        <v>8</v>
      </c>
      <c r="K1484" s="163">
        <v>8.1516869095816471</v>
      </c>
      <c r="L1484" s="163">
        <v>0.1516869095816471</v>
      </c>
      <c r="M1484" s="163">
        <v>9</v>
      </c>
      <c r="N1484" s="163">
        <v>12.181736392262707</v>
      </c>
      <c r="O1484" s="163">
        <v>3.1817363922627067</v>
      </c>
      <c r="P1484" s="163"/>
      <c r="Q1484" s="163">
        <v>8</v>
      </c>
      <c r="R1484" s="163">
        <v>0</v>
      </c>
      <c r="S1484" s="163">
        <v>0</v>
      </c>
      <c r="T1484" s="163">
        <v>0</v>
      </c>
      <c r="U1484" s="163">
        <v>0</v>
      </c>
      <c r="V1484" s="163">
        <v>0</v>
      </c>
      <c r="W1484" s="163">
        <v>0</v>
      </c>
      <c r="X1484" s="163">
        <v>0</v>
      </c>
      <c r="Y1484" s="163">
        <v>8</v>
      </c>
      <c r="Z1484" s="163">
        <v>8</v>
      </c>
      <c r="AA1484" s="163">
        <v>0</v>
      </c>
      <c r="AB1484" s="163">
        <v>0</v>
      </c>
      <c r="AC1484" s="163">
        <v>6</v>
      </c>
      <c r="AD1484" s="163">
        <v>2</v>
      </c>
      <c r="AE1484" s="165">
        <v>0.78699138489777976</v>
      </c>
      <c r="AF1484" s="166">
        <v>0.62959310791822376</v>
      </c>
    </row>
    <row r="1485" spans="1:32">
      <c r="A1485" s="161">
        <v>31</v>
      </c>
      <c r="B1485" s="162">
        <v>0.89583333333333337</v>
      </c>
      <c r="C1485" s="163">
        <v>10.046321775212956</v>
      </c>
      <c r="D1485" s="163">
        <v>727.91631384333061</v>
      </c>
      <c r="E1485" s="164">
        <v>0.74880000000000002</v>
      </c>
      <c r="F1485" s="164">
        <v>0.74880000000000002</v>
      </c>
      <c r="G1485" s="163">
        <v>9</v>
      </c>
      <c r="H1485" s="163">
        <v>13.333333333333332</v>
      </c>
      <c r="I1485" s="163">
        <v>4.3333333333333321</v>
      </c>
      <c r="J1485" s="163">
        <v>7</v>
      </c>
      <c r="K1485" s="163">
        <v>7.3365182186234819</v>
      </c>
      <c r="L1485" s="163">
        <v>0.33651821862348186</v>
      </c>
      <c r="M1485" s="163">
        <v>8</v>
      </c>
      <c r="N1485" s="163">
        <v>12.181736392262707</v>
      </c>
      <c r="O1485" s="163">
        <v>4.1817363922627067</v>
      </c>
      <c r="P1485" s="163"/>
      <c r="Q1485" s="163">
        <v>8</v>
      </c>
      <c r="R1485" s="163">
        <v>0</v>
      </c>
      <c r="S1485" s="163">
        <v>0</v>
      </c>
      <c r="T1485" s="163">
        <v>0</v>
      </c>
      <c r="U1485" s="163">
        <v>0</v>
      </c>
      <c r="V1485" s="163">
        <v>0</v>
      </c>
      <c r="W1485" s="163">
        <v>0</v>
      </c>
      <c r="X1485" s="163">
        <v>0</v>
      </c>
      <c r="Y1485" s="163">
        <v>8</v>
      </c>
      <c r="Z1485" s="163">
        <v>8</v>
      </c>
      <c r="AA1485" s="163">
        <v>0</v>
      </c>
      <c r="AB1485" s="163">
        <v>0</v>
      </c>
      <c r="AC1485" s="163">
        <v>6</v>
      </c>
      <c r="AD1485" s="163">
        <v>2</v>
      </c>
      <c r="AE1485" s="165">
        <v>0.62298638267311179</v>
      </c>
      <c r="AF1485" s="166">
        <v>0.55376567348721051</v>
      </c>
    </row>
    <row r="1486" spans="1:32">
      <c r="A1486" s="161">
        <v>31</v>
      </c>
      <c r="B1486" s="162">
        <v>0.91666666666666663</v>
      </c>
      <c r="C1486" s="163">
        <v>4.9084582121746205</v>
      </c>
      <c r="D1486" s="163">
        <v>687.19992034905738</v>
      </c>
      <c r="E1486" s="164">
        <v>0.91869999999999996</v>
      </c>
      <c r="F1486" s="164">
        <v>0.91869999999999996</v>
      </c>
      <c r="G1486" s="163">
        <v>5</v>
      </c>
      <c r="H1486" s="163">
        <v>12</v>
      </c>
      <c r="I1486" s="163">
        <v>7</v>
      </c>
      <c r="J1486" s="163">
        <v>4</v>
      </c>
      <c r="K1486" s="163">
        <v>4.0758434547908236</v>
      </c>
      <c r="L1486" s="163">
        <v>7.584345479082355E-2</v>
      </c>
      <c r="M1486" s="163">
        <v>5</v>
      </c>
      <c r="N1486" s="163">
        <v>10.963562753036436</v>
      </c>
      <c r="O1486" s="163">
        <v>5.9635627530364363</v>
      </c>
      <c r="P1486" s="163"/>
      <c r="Q1486" s="163">
        <v>8</v>
      </c>
      <c r="R1486" s="163">
        <v>0</v>
      </c>
      <c r="S1486" s="163">
        <v>0</v>
      </c>
      <c r="T1486" s="163">
        <v>0</v>
      </c>
      <c r="U1486" s="163">
        <v>0</v>
      </c>
      <c r="V1486" s="163">
        <v>0</v>
      </c>
      <c r="W1486" s="163">
        <v>0</v>
      </c>
      <c r="X1486" s="163">
        <v>0</v>
      </c>
      <c r="Y1486" s="163">
        <v>8</v>
      </c>
      <c r="Z1486" s="163">
        <v>8</v>
      </c>
      <c r="AA1486" s="163">
        <v>0</v>
      </c>
      <c r="AB1486" s="163">
        <v>0</v>
      </c>
      <c r="AC1486" s="163">
        <v>6</v>
      </c>
      <c r="AD1486" s="163">
        <v>2</v>
      </c>
      <c r="AE1486" s="165">
        <v>0.28735464084657741</v>
      </c>
      <c r="AF1486" s="166">
        <v>0.45976742535452392</v>
      </c>
    </row>
    <row r="1487" spans="1:32">
      <c r="A1487" s="161">
        <v>31</v>
      </c>
      <c r="B1487" s="162">
        <v>0.9375</v>
      </c>
      <c r="C1487" s="163">
        <v>3.9201014443576465</v>
      </c>
      <c r="D1487" s="163">
        <v>684.22866397510506</v>
      </c>
      <c r="E1487" s="164">
        <v>0.89029999999999998</v>
      </c>
      <c r="F1487" s="164">
        <v>0.89029999999999998</v>
      </c>
      <c r="G1487" s="163">
        <v>5</v>
      </c>
      <c r="H1487" s="163">
        <v>9.3333333333333339</v>
      </c>
      <c r="I1487" s="163">
        <v>4.3333333333333339</v>
      </c>
      <c r="J1487" s="163">
        <v>4</v>
      </c>
      <c r="K1487" s="163">
        <v>4.0758434547908236</v>
      </c>
      <c r="L1487" s="163">
        <v>7.584345479082355E-2</v>
      </c>
      <c r="M1487" s="163">
        <v>5</v>
      </c>
      <c r="N1487" s="163">
        <v>8.5272154745838957</v>
      </c>
      <c r="O1487" s="163">
        <v>3.5272154745838957</v>
      </c>
      <c r="P1487" s="163"/>
      <c r="Q1487" s="163">
        <v>6</v>
      </c>
      <c r="R1487" s="163">
        <v>0</v>
      </c>
      <c r="S1487" s="163">
        <v>0</v>
      </c>
      <c r="T1487" s="163">
        <v>0</v>
      </c>
      <c r="U1487" s="163">
        <v>0</v>
      </c>
      <c r="V1487" s="163">
        <v>0</v>
      </c>
      <c r="W1487" s="163">
        <v>0</v>
      </c>
      <c r="X1487" s="163">
        <v>0</v>
      </c>
      <c r="Y1487" s="163">
        <v>6</v>
      </c>
      <c r="Z1487" s="163">
        <v>6</v>
      </c>
      <c r="AA1487" s="163">
        <v>0</v>
      </c>
      <c r="AB1487" s="163">
        <v>0</v>
      </c>
      <c r="AC1487" s="163">
        <v>4</v>
      </c>
      <c r="AD1487" s="163">
        <v>2</v>
      </c>
      <c r="AE1487" s="165">
        <v>0.3046683378943672</v>
      </c>
      <c r="AF1487" s="166">
        <v>0.36560200547324068</v>
      </c>
    </row>
    <row r="1488" spans="1:32">
      <c r="A1488" s="161">
        <v>31</v>
      </c>
      <c r="B1488" s="162">
        <v>0.95833333333333337</v>
      </c>
      <c r="C1488" s="163">
        <v>2.8792952290639824</v>
      </c>
      <c r="D1488" s="163">
        <v>650.26577111839015</v>
      </c>
      <c r="E1488" s="164">
        <v>0.91</v>
      </c>
      <c r="F1488" s="164">
        <v>0.91</v>
      </c>
      <c r="G1488" s="163">
        <v>4</v>
      </c>
      <c r="H1488" s="163">
        <v>6.6666666666666661</v>
      </c>
      <c r="I1488" s="163">
        <v>2.6666666666666661</v>
      </c>
      <c r="J1488" s="163">
        <v>3</v>
      </c>
      <c r="K1488" s="163">
        <v>3.2606747638326588</v>
      </c>
      <c r="L1488" s="163">
        <v>0.26067476383265875</v>
      </c>
      <c r="M1488" s="163">
        <v>4</v>
      </c>
      <c r="N1488" s="163">
        <v>6.0908681961313533</v>
      </c>
      <c r="O1488" s="163">
        <v>2.0908681961313533</v>
      </c>
      <c r="P1488" s="163"/>
      <c r="Q1488" s="163">
        <v>4</v>
      </c>
      <c r="R1488" s="163">
        <v>0</v>
      </c>
      <c r="S1488" s="163">
        <v>0</v>
      </c>
      <c r="T1488" s="163">
        <v>0</v>
      </c>
      <c r="U1488" s="163">
        <v>0</v>
      </c>
      <c r="V1488" s="163">
        <v>0</v>
      </c>
      <c r="W1488" s="163">
        <v>0</v>
      </c>
      <c r="X1488" s="163">
        <v>0</v>
      </c>
      <c r="Y1488" s="163">
        <v>4</v>
      </c>
      <c r="Z1488" s="163">
        <v>4</v>
      </c>
      <c r="AA1488" s="163">
        <v>0</v>
      </c>
      <c r="AB1488" s="163">
        <v>0</v>
      </c>
      <c r="AC1488" s="163">
        <v>4</v>
      </c>
      <c r="AD1488" s="163">
        <v>0</v>
      </c>
      <c r="AE1488" s="165">
        <v>0.3190047166467892</v>
      </c>
      <c r="AF1488" s="166">
        <v>0.3190047166467892</v>
      </c>
    </row>
    <row r="1489" spans="1:32">
      <c r="A1489" s="167">
        <v>31</v>
      </c>
      <c r="B1489" s="168">
        <v>0.97916666666666663</v>
      </c>
      <c r="C1489" s="169">
        <v>2.1445781315056833</v>
      </c>
      <c r="D1489" s="169">
        <v>650.14851530788053</v>
      </c>
      <c r="E1489" s="170">
        <v>0.95669999999999999</v>
      </c>
      <c r="F1489" s="170">
        <v>0.95669999999999999</v>
      </c>
      <c r="G1489" s="169">
        <v>4</v>
      </c>
      <c r="H1489" s="169">
        <v>6.6666666666666661</v>
      </c>
      <c r="I1489" s="169">
        <v>2.6666666666666661</v>
      </c>
      <c r="J1489" s="169">
        <v>3</v>
      </c>
      <c r="K1489" s="169">
        <v>3.2606747638326588</v>
      </c>
      <c r="L1489" s="169">
        <v>0.26067476383265875</v>
      </c>
      <c r="M1489" s="169">
        <v>4</v>
      </c>
      <c r="N1489" s="169">
        <v>6.0908681961313533</v>
      </c>
      <c r="O1489" s="169">
        <v>2.0908681961313533</v>
      </c>
      <c r="P1489" s="169"/>
      <c r="Q1489" s="169">
        <v>4</v>
      </c>
      <c r="R1489" s="169">
        <v>0</v>
      </c>
      <c r="S1489" s="169">
        <v>0</v>
      </c>
      <c r="T1489" s="169">
        <v>0</v>
      </c>
      <c r="U1489" s="169">
        <v>0</v>
      </c>
      <c r="V1489" s="169">
        <v>0</v>
      </c>
      <c r="W1489" s="169">
        <v>0</v>
      </c>
      <c r="X1489" s="169">
        <v>0</v>
      </c>
      <c r="Y1489" s="169">
        <v>4</v>
      </c>
      <c r="Z1489" s="169">
        <v>4</v>
      </c>
      <c r="AA1489" s="169">
        <v>0</v>
      </c>
      <c r="AB1489" s="169">
        <v>0</v>
      </c>
      <c r="AC1489" s="169">
        <v>4</v>
      </c>
      <c r="AD1489" s="169">
        <v>0</v>
      </c>
      <c r="AE1489" s="171">
        <v>0.23756062593506613</v>
      </c>
      <c r="AF1489" s="172">
        <v>0.23756062593506613</v>
      </c>
    </row>
    <row r="1491" spans="1:32">
      <c r="D1491" s="467"/>
      <c r="E1491" s="327">
        <f>SUMPRODUCT(E2:E1489,C2:C1489)/SUM(C2:C1489)</f>
        <v>0.81492588974464542</v>
      </c>
    </row>
  </sheetData>
  <conditionalFormatting sqref="AY3:AY3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3:AZ3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EX_dim_ANO_BT">
                <anchor moveWithCells="1">
                  <from>
                    <xdr:col>32</xdr:col>
                    <xdr:colOff>228600</xdr:colOff>
                    <xdr:row>0</xdr:row>
                    <xdr:rowOff>57150</xdr:rowOff>
                  </from>
                  <to>
                    <xdr:col>36</xdr:col>
                    <xdr:colOff>466725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CALC_PMMS">
                <anchor moveWithCells="1">
                  <from>
                    <xdr:col>67</xdr:col>
                    <xdr:colOff>581025</xdr:colOff>
                    <xdr:row>0</xdr:row>
                    <xdr:rowOff>38100</xdr:rowOff>
                  </from>
                  <to>
                    <xdr:col>69</xdr:col>
                    <xdr:colOff>381000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limpa_mes_rodado">
                <anchor moveWithCells="1">
                  <from>
                    <xdr:col>36</xdr:col>
                    <xdr:colOff>581025</xdr:colOff>
                    <xdr:row>0</xdr:row>
                    <xdr:rowOff>57150</xdr:rowOff>
                  </from>
                  <to>
                    <xdr:col>37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GLOSSÁRIO_ON">
                <anchor moveWithCells="1">
                  <from>
                    <xdr:col>64</xdr:col>
                    <xdr:colOff>476250</xdr:colOff>
                    <xdr:row>0</xdr:row>
                    <xdr:rowOff>38100</xdr:rowOff>
                  </from>
                  <to>
                    <xdr:col>66</xdr:col>
                    <xdr:colOff>666750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CALC_CONS_INTER">
                <anchor moveWithCells="1">
                  <from>
                    <xdr:col>70</xdr:col>
                    <xdr:colOff>133350</xdr:colOff>
                    <xdr:row>0</xdr:row>
                    <xdr:rowOff>47625</xdr:rowOff>
                  </from>
                  <to>
                    <xdr:col>116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>
    <tabColor theme="0" tint="-4.9989318521683403E-2"/>
  </sheetPr>
  <dimension ref="A1:U44"/>
  <sheetViews>
    <sheetView showGridLines="0" showRowColHeaders="0" topLeftCell="O1" zoomScale="85" zoomScaleNormal="85" workbookViewId="0">
      <selection activeCell="O1" sqref="O1"/>
    </sheetView>
  </sheetViews>
  <sheetFormatPr defaultRowHeight="15"/>
  <cols>
    <col min="1" max="14" width="0" hidden="1" customWidth="1"/>
    <col min="15" max="15" width="7.5" bestFit="1" customWidth="1"/>
    <col min="16" max="16" width="11.375" bestFit="1" customWidth="1"/>
    <col min="17" max="17" width="44.375" bestFit="1" customWidth="1"/>
    <col min="18" max="18" width="74" bestFit="1" customWidth="1"/>
  </cols>
  <sheetData>
    <row r="1" spans="1:21">
      <c r="A1" s="527"/>
      <c r="B1" s="324"/>
      <c r="C1" s="324"/>
      <c r="D1" s="324"/>
      <c r="E1" s="324"/>
      <c r="F1" s="324"/>
      <c r="G1" s="324"/>
      <c r="H1" s="324"/>
      <c r="I1" s="324"/>
      <c r="J1" s="324"/>
      <c r="K1" s="324"/>
      <c r="L1" s="324"/>
      <c r="M1" s="324"/>
      <c r="N1" s="324"/>
      <c r="O1" s="324" t="s">
        <v>696</v>
      </c>
      <c r="P1" s="324" t="s">
        <v>695</v>
      </c>
      <c r="Q1" s="324" t="s">
        <v>694</v>
      </c>
      <c r="R1" s="325" t="s">
        <v>703</v>
      </c>
      <c r="S1" s="177"/>
      <c r="U1" s="177"/>
    </row>
    <row r="2" spans="1:21">
      <c r="O2" s="320"/>
      <c r="P2" s="321" t="s">
        <v>608</v>
      </c>
      <c r="Q2" s="322" t="s">
        <v>697</v>
      </c>
      <c r="R2" s="323"/>
    </row>
    <row r="3" spans="1:21">
      <c r="O3" s="307"/>
      <c r="P3" s="308" t="s">
        <v>609</v>
      </c>
      <c r="Q3" s="309" t="s">
        <v>699</v>
      </c>
      <c r="R3" s="310"/>
    </row>
    <row r="4" spans="1:21">
      <c r="O4" s="307"/>
      <c r="P4" s="308" t="s">
        <v>607</v>
      </c>
      <c r="Q4" s="309" t="s">
        <v>698</v>
      </c>
      <c r="R4" s="310"/>
    </row>
    <row r="5" spans="1:21">
      <c r="O5" s="307"/>
      <c r="P5" s="308" t="s">
        <v>638</v>
      </c>
      <c r="Q5" s="309" t="s">
        <v>700</v>
      </c>
      <c r="R5" s="311" t="s">
        <v>745</v>
      </c>
    </row>
    <row r="6" spans="1:21">
      <c r="O6" s="307"/>
      <c r="P6" s="308" t="s">
        <v>606</v>
      </c>
      <c r="Q6" s="309" t="s">
        <v>701</v>
      </c>
      <c r="R6" s="310"/>
    </row>
    <row r="7" spans="1:21">
      <c r="O7" s="307"/>
      <c r="P7" s="308" t="s">
        <v>590</v>
      </c>
      <c r="Q7" s="309" t="s">
        <v>702</v>
      </c>
      <c r="R7" s="310"/>
    </row>
    <row r="8" spans="1:21">
      <c r="O8" s="307"/>
      <c r="P8" s="308" t="s">
        <v>627</v>
      </c>
      <c r="Q8" s="309" t="s">
        <v>746</v>
      </c>
      <c r="R8" s="310"/>
    </row>
    <row r="9" spans="1:21">
      <c r="O9" s="312" t="s">
        <v>614</v>
      </c>
      <c r="P9" s="308" t="s">
        <v>689</v>
      </c>
      <c r="Q9" s="309" t="s">
        <v>704</v>
      </c>
      <c r="R9" s="311" t="s">
        <v>730</v>
      </c>
    </row>
    <row r="10" spans="1:21">
      <c r="O10" s="312" t="s">
        <v>614</v>
      </c>
      <c r="P10" s="308" t="s">
        <v>690</v>
      </c>
      <c r="Q10" s="309" t="s">
        <v>705</v>
      </c>
      <c r="R10" s="311" t="s">
        <v>731</v>
      </c>
    </row>
    <row r="11" spans="1:21">
      <c r="O11" s="312" t="s">
        <v>614</v>
      </c>
      <c r="P11" s="308" t="s">
        <v>691</v>
      </c>
      <c r="Q11" s="309" t="s">
        <v>706</v>
      </c>
      <c r="R11" s="311" t="s">
        <v>732</v>
      </c>
    </row>
    <row r="12" spans="1:21">
      <c r="O12" s="312" t="s">
        <v>614</v>
      </c>
      <c r="P12" s="308" t="s">
        <v>692</v>
      </c>
      <c r="Q12" s="309" t="s">
        <v>707</v>
      </c>
      <c r="R12" s="311" t="s">
        <v>733</v>
      </c>
    </row>
    <row r="13" spans="1:21">
      <c r="O13" s="312" t="s">
        <v>614</v>
      </c>
      <c r="P13" s="308" t="s">
        <v>682</v>
      </c>
      <c r="Q13" s="309" t="s">
        <v>708</v>
      </c>
      <c r="R13" s="311" t="s">
        <v>734</v>
      </c>
    </row>
    <row r="14" spans="1:21">
      <c r="O14" s="312" t="s">
        <v>614</v>
      </c>
      <c r="P14" s="308" t="s">
        <v>693</v>
      </c>
      <c r="Q14" s="309" t="s">
        <v>709</v>
      </c>
      <c r="R14" s="310"/>
    </row>
    <row r="15" spans="1:21">
      <c r="O15" s="307"/>
      <c r="P15" s="313" t="s">
        <v>593</v>
      </c>
      <c r="Q15" s="309" t="s">
        <v>710</v>
      </c>
      <c r="R15" s="311" t="s">
        <v>736</v>
      </c>
    </row>
    <row r="16" spans="1:21">
      <c r="O16" s="312"/>
      <c r="P16" s="313" t="s">
        <v>657</v>
      </c>
      <c r="Q16" s="309" t="s">
        <v>711</v>
      </c>
      <c r="R16" s="311" t="s">
        <v>735</v>
      </c>
    </row>
    <row r="17" spans="15:18">
      <c r="O17" s="312"/>
      <c r="P17" s="308" t="s">
        <v>687</v>
      </c>
      <c r="Q17" s="309" t="s">
        <v>712</v>
      </c>
      <c r="R17" s="311" t="s">
        <v>737</v>
      </c>
    </row>
    <row r="18" spans="15:18">
      <c r="O18" s="312"/>
      <c r="P18" s="308" t="s">
        <v>688</v>
      </c>
      <c r="Q18" s="309" t="s">
        <v>713</v>
      </c>
      <c r="R18" s="311" t="s">
        <v>738</v>
      </c>
    </row>
    <row r="19" spans="15:18">
      <c r="O19" s="312" t="s">
        <v>621</v>
      </c>
      <c r="P19" s="308" t="s">
        <v>640</v>
      </c>
      <c r="Q19" s="309" t="s">
        <v>714</v>
      </c>
      <c r="R19" s="311" t="s">
        <v>739</v>
      </c>
    </row>
    <row r="20" spans="15:18">
      <c r="O20" s="312" t="s">
        <v>620</v>
      </c>
      <c r="P20" s="308" t="s">
        <v>640</v>
      </c>
      <c r="Q20" s="309" t="s">
        <v>715</v>
      </c>
      <c r="R20" s="311" t="s">
        <v>740</v>
      </c>
    </row>
    <row r="21" spans="15:18">
      <c r="O21" s="307"/>
      <c r="P21" s="308" t="s">
        <v>628</v>
      </c>
      <c r="Q21" s="309" t="s">
        <v>716</v>
      </c>
      <c r="R21" s="310"/>
    </row>
    <row r="22" spans="15:18">
      <c r="O22" s="307"/>
      <c r="P22" s="308" t="s">
        <v>591</v>
      </c>
      <c r="Q22" s="314" t="str">
        <f>Q6</f>
        <v>Volume de chamadas</v>
      </c>
      <c r="R22" s="310"/>
    </row>
    <row r="23" spans="15:18">
      <c r="O23" s="307"/>
      <c r="P23" s="308" t="s">
        <v>679</v>
      </c>
      <c r="Q23" s="309" t="s">
        <v>743</v>
      </c>
      <c r="R23" s="311" t="s">
        <v>742</v>
      </c>
    </row>
    <row r="24" spans="15:18">
      <c r="O24" s="307"/>
      <c r="P24" s="308" t="s">
        <v>680</v>
      </c>
      <c r="Q24" s="309" t="s">
        <v>717</v>
      </c>
      <c r="R24" s="311" t="s">
        <v>741</v>
      </c>
    </row>
    <row r="25" spans="15:18">
      <c r="O25" s="307"/>
      <c r="P25" s="308" t="s">
        <v>685</v>
      </c>
      <c r="Q25" s="309" t="s">
        <v>718</v>
      </c>
      <c r="R25" s="311" t="s">
        <v>742</v>
      </c>
    </row>
    <row r="26" spans="15:18">
      <c r="O26" s="307"/>
      <c r="P26" s="308" t="s">
        <v>686</v>
      </c>
      <c r="Q26" s="309" t="s">
        <v>719</v>
      </c>
      <c r="R26" s="311" t="s">
        <v>744</v>
      </c>
    </row>
    <row r="27" spans="15:18">
      <c r="O27" s="307"/>
      <c r="P27" s="315" t="s">
        <v>658</v>
      </c>
      <c r="Q27" s="314" t="s">
        <v>709</v>
      </c>
      <c r="R27" s="310"/>
    </row>
    <row r="28" spans="15:18">
      <c r="O28" s="307"/>
      <c r="P28" s="308" t="s">
        <v>599</v>
      </c>
      <c r="Q28" s="309" t="s">
        <v>720</v>
      </c>
      <c r="R28" s="311" t="s">
        <v>751</v>
      </c>
    </row>
    <row r="29" spans="15:18">
      <c r="O29" s="307"/>
      <c r="P29" s="308" t="s">
        <v>670</v>
      </c>
      <c r="Q29" s="309" t="s">
        <v>721</v>
      </c>
      <c r="R29" s="311" t="s">
        <v>752</v>
      </c>
    </row>
    <row r="30" spans="15:18">
      <c r="O30" s="307"/>
      <c r="P30" s="308" t="s">
        <v>671</v>
      </c>
      <c r="Q30" s="309" t="s">
        <v>722</v>
      </c>
      <c r="R30" s="311" t="s">
        <v>753</v>
      </c>
    </row>
    <row r="31" spans="15:18">
      <c r="O31" s="307"/>
      <c r="P31" s="308" t="s">
        <v>672</v>
      </c>
      <c r="Q31" s="309" t="s">
        <v>723</v>
      </c>
      <c r="R31" s="311" t="s">
        <v>754</v>
      </c>
    </row>
    <row r="32" spans="15:18">
      <c r="O32" s="307"/>
      <c r="P32" s="308" t="s">
        <v>673</v>
      </c>
      <c r="Q32" s="309" t="s">
        <v>724</v>
      </c>
      <c r="R32" s="311" t="s">
        <v>755</v>
      </c>
    </row>
    <row r="33" spans="15:18">
      <c r="O33" s="307"/>
      <c r="P33" s="308" t="s">
        <v>674</v>
      </c>
      <c r="Q33" s="309" t="s">
        <v>725</v>
      </c>
      <c r="R33" s="311" t="s">
        <v>756</v>
      </c>
    </row>
    <row r="34" spans="15:18">
      <c r="O34" s="307"/>
      <c r="P34" s="308" t="s">
        <v>676</v>
      </c>
      <c r="Q34" s="309" t="s">
        <v>726</v>
      </c>
      <c r="R34" s="311" t="s">
        <v>757</v>
      </c>
    </row>
    <row r="35" spans="15:18">
      <c r="O35" s="307"/>
      <c r="P35" s="308" t="s">
        <v>675</v>
      </c>
      <c r="Q35" s="309" t="s">
        <v>727</v>
      </c>
      <c r="R35" s="311" t="s">
        <v>758</v>
      </c>
    </row>
    <row r="36" spans="15:18">
      <c r="O36" s="307"/>
      <c r="P36" s="308" t="s">
        <v>652</v>
      </c>
      <c r="Q36" s="309" t="s">
        <v>728</v>
      </c>
      <c r="R36" s="311" t="s">
        <v>759</v>
      </c>
    </row>
    <row r="37" spans="15:18">
      <c r="O37" s="307"/>
      <c r="P37" s="308" t="s">
        <v>669</v>
      </c>
      <c r="Q37" s="309" t="s">
        <v>729</v>
      </c>
      <c r="R37" s="311" t="s">
        <v>760</v>
      </c>
    </row>
    <row r="38" spans="15:18">
      <c r="O38" s="307"/>
      <c r="P38" s="308" t="s">
        <v>642</v>
      </c>
      <c r="Q38" s="309" t="s">
        <v>748</v>
      </c>
      <c r="R38" s="310"/>
    </row>
    <row r="39" spans="15:18">
      <c r="O39" s="307"/>
      <c r="P39" s="308" t="s">
        <v>643</v>
      </c>
      <c r="Q39" s="309" t="s">
        <v>747</v>
      </c>
      <c r="R39" s="310"/>
    </row>
    <row r="40" spans="15:18">
      <c r="O40" s="307"/>
      <c r="P40" s="308" t="s">
        <v>644</v>
      </c>
      <c r="Q40" s="309" t="s">
        <v>749</v>
      </c>
      <c r="R40" s="310"/>
    </row>
    <row r="41" spans="15:18">
      <c r="O41" s="307"/>
      <c r="P41" s="308" t="s">
        <v>645</v>
      </c>
      <c r="Q41" s="309" t="s">
        <v>750</v>
      </c>
      <c r="R41" s="310"/>
    </row>
    <row r="42" spans="15:18">
      <c r="O42" s="307"/>
      <c r="P42" s="308" t="s">
        <v>647</v>
      </c>
      <c r="Q42" s="309" t="str">
        <f>Q19</f>
        <v>Taxa de produtividade do agente teorica</v>
      </c>
      <c r="R42" s="311" t="s">
        <v>739</v>
      </c>
    </row>
    <row r="43" spans="15:18">
      <c r="O43" s="316"/>
      <c r="P43" s="317" t="s">
        <v>646</v>
      </c>
      <c r="Q43" s="318" t="str">
        <f>Q20</f>
        <v>Taxa de produtividade do agente real</v>
      </c>
      <c r="R43" s="319" t="s">
        <v>740</v>
      </c>
    </row>
    <row r="44" spans="15:18">
      <c r="P44" s="361" t="s">
        <v>654</v>
      </c>
      <c r="Q44" s="177" t="s">
        <v>768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LOSSÁRIO_OFF">
                <anchor moveWithCells="1">
                  <from>
                    <xdr:col>18</xdr:col>
                    <xdr:colOff>76200</xdr:colOff>
                    <xdr:row>0</xdr:row>
                    <xdr:rowOff>38100</xdr:rowOff>
                  </from>
                  <to>
                    <xdr:col>19</xdr:col>
                    <xdr:colOff>161925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>
    <tabColor rgb="FF002060"/>
  </sheetPr>
  <dimension ref="A1:AE55"/>
  <sheetViews>
    <sheetView showGridLines="0" showRowColHeaders="0" zoomScale="90" zoomScaleNormal="90" workbookViewId="0">
      <selection activeCell="C5" sqref="C5"/>
    </sheetView>
  </sheetViews>
  <sheetFormatPr defaultRowHeight="15"/>
  <cols>
    <col min="1" max="1" width="1.5" customWidth="1"/>
    <col min="2" max="2" width="17.375" customWidth="1"/>
    <col min="3" max="4" width="14.125" customWidth="1"/>
    <col min="5" max="14" width="14.625" customWidth="1"/>
    <col min="15" max="31" width="12.625" customWidth="1"/>
  </cols>
  <sheetData>
    <row r="1" spans="1:31">
      <c r="B1" s="530" t="s">
        <v>780</v>
      </c>
      <c r="C1" s="529" t="s">
        <v>843</v>
      </c>
      <c r="D1" s="436" t="s">
        <v>845</v>
      </c>
      <c r="E1" s="436"/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6"/>
      <c r="Q1" s="436"/>
      <c r="R1" s="436"/>
      <c r="S1" s="436"/>
      <c r="T1" s="436"/>
      <c r="U1" s="436"/>
      <c r="V1" s="436"/>
      <c r="W1" s="436"/>
      <c r="X1" s="436"/>
      <c r="Y1" s="436"/>
      <c r="Z1" s="436"/>
      <c r="AA1" s="436"/>
      <c r="AB1" s="436"/>
      <c r="AC1" s="436"/>
      <c r="AD1" s="436"/>
      <c r="AE1" s="436"/>
    </row>
    <row r="2" spans="1:31" ht="10.5" customHeight="1">
      <c r="B2" s="399" t="s">
        <v>606</v>
      </c>
      <c r="C2" s="368">
        <v>23728.019400000005</v>
      </c>
      <c r="D2" s="368">
        <v>27245.999999999996</v>
      </c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X2" s="368"/>
      <c r="Y2" s="368"/>
      <c r="Z2" s="368"/>
      <c r="AA2" s="368"/>
      <c r="AB2" s="368"/>
      <c r="AC2" s="368"/>
      <c r="AD2" s="368"/>
      <c r="AE2" s="368"/>
    </row>
    <row r="3" spans="1:31" ht="10.5" customHeight="1">
      <c r="B3" s="399" t="s">
        <v>590</v>
      </c>
      <c r="C3" s="368">
        <v>210</v>
      </c>
      <c r="D3" s="368">
        <v>203.78986609093863</v>
      </c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</row>
    <row r="4" spans="1:31" ht="10.5" customHeight="1">
      <c r="B4" s="399" t="s">
        <v>627</v>
      </c>
      <c r="C4" s="368">
        <v>83048.067899999995</v>
      </c>
      <c r="D4" s="368">
        <v>92540.978191895178</v>
      </c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8"/>
      <c r="W4" s="368"/>
      <c r="X4" s="368"/>
      <c r="Y4" s="368"/>
      <c r="Z4" s="368"/>
      <c r="AA4" s="368"/>
      <c r="AB4" s="368"/>
      <c r="AC4" s="368"/>
      <c r="AD4" s="368"/>
      <c r="AE4" s="368"/>
    </row>
    <row r="5" spans="1:31" ht="10.5" customHeight="1">
      <c r="B5" s="399" t="s">
        <v>689</v>
      </c>
      <c r="C5" s="368">
        <v>14.691943127962086</v>
      </c>
      <c r="D5" s="368">
        <v>16.113744075829384</v>
      </c>
      <c r="E5" s="368"/>
      <c r="F5" s="368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68"/>
      <c r="S5" s="368"/>
      <c r="T5" s="368"/>
      <c r="U5" s="368"/>
      <c r="V5" s="368"/>
      <c r="W5" s="368"/>
      <c r="X5" s="368"/>
      <c r="Y5" s="368"/>
      <c r="Z5" s="368"/>
      <c r="AA5" s="368"/>
      <c r="AB5" s="368"/>
      <c r="AC5" s="368"/>
      <c r="AD5" s="368"/>
      <c r="AE5" s="368"/>
    </row>
    <row r="6" spans="1:31" ht="10.5" customHeight="1">
      <c r="B6" s="399" t="s">
        <v>690</v>
      </c>
      <c r="C6" s="368">
        <v>17.456556082148499</v>
      </c>
      <c r="D6" s="368">
        <v>18.957345971563981</v>
      </c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8"/>
      <c r="R6" s="368"/>
      <c r="S6" s="368"/>
      <c r="T6" s="368"/>
      <c r="U6" s="368"/>
      <c r="V6" s="368"/>
      <c r="W6" s="368"/>
      <c r="X6" s="368"/>
      <c r="Y6" s="368"/>
      <c r="Z6" s="368"/>
      <c r="AA6" s="368"/>
      <c r="AB6" s="368"/>
      <c r="AC6" s="368"/>
      <c r="AD6" s="368"/>
      <c r="AE6" s="368"/>
    </row>
    <row r="7" spans="1:31" ht="10.5" customHeight="1">
      <c r="B7" s="399" t="s">
        <v>691</v>
      </c>
      <c r="C7" s="368">
        <v>17.44736842105263</v>
      </c>
      <c r="D7" s="368">
        <v>19.736842105263158</v>
      </c>
      <c r="E7" s="368"/>
      <c r="F7" s="368"/>
      <c r="G7" s="368"/>
      <c r="H7" s="368"/>
      <c r="I7" s="368"/>
      <c r="J7" s="368"/>
      <c r="K7" s="368"/>
      <c r="L7" s="368"/>
      <c r="M7" s="368"/>
      <c r="N7" s="368"/>
      <c r="O7" s="368"/>
      <c r="P7" s="368"/>
      <c r="Q7" s="368"/>
      <c r="R7" s="368"/>
      <c r="S7" s="368"/>
      <c r="T7" s="368"/>
      <c r="U7" s="368"/>
      <c r="V7" s="368"/>
      <c r="W7" s="368"/>
      <c r="X7" s="368"/>
      <c r="Y7" s="368"/>
      <c r="Z7" s="368"/>
      <c r="AA7" s="368"/>
      <c r="AB7" s="368"/>
      <c r="AC7" s="368"/>
      <c r="AD7" s="368"/>
      <c r="AE7" s="368"/>
    </row>
    <row r="8" spans="1:31" ht="10.5" customHeight="1">
      <c r="B8" s="399" t="s">
        <v>692</v>
      </c>
      <c r="C8" s="403">
        <v>17</v>
      </c>
      <c r="D8" s="403">
        <v>18</v>
      </c>
      <c r="E8" s="403"/>
      <c r="F8" s="403"/>
      <c r="G8" s="403"/>
      <c r="H8" s="403"/>
      <c r="I8" s="403"/>
      <c r="J8" s="403"/>
      <c r="K8" s="403"/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  <c r="Z8" s="403"/>
      <c r="AA8" s="403"/>
      <c r="AB8" s="403"/>
      <c r="AC8" s="403"/>
      <c r="AD8" s="403"/>
      <c r="AE8" s="403"/>
    </row>
    <row r="9" spans="1:31" ht="10.5" customHeight="1">
      <c r="B9" s="399" t="s">
        <v>682</v>
      </c>
      <c r="C9" s="403">
        <v>-0.44736842105263008</v>
      </c>
      <c r="D9" s="403">
        <v>-1.7368421052631575</v>
      </c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3"/>
      <c r="W9" s="403"/>
      <c r="X9" s="403"/>
      <c r="Y9" s="403"/>
      <c r="Z9" s="403"/>
      <c r="AA9" s="403"/>
      <c r="AB9" s="403"/>
      <c r="AC9" s="403"/>
      <c r="AD9" s="403"/>
      <c r="AE9" s="403"/>
    </row>
    <row r="10" spans="1:31" ht="10.5" customHeight="1">
      <c r="B10" s="399" t="s">
        <v>693</v>
      </c>
      <c r="C10" s="368">
        <v>0</v>
      </c>
      <c r="D10" s="368">
        <v>0</v>
      </c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</row>
    <row r="11" spans="1:31" ht="10.5" customHeight="1">
      <c r="B11" s="438" t="s">
        <v>593</v>
      </c>
      <c r="C11" s="439">
        <v>0.73612009959864722</v>
      </c>
      <c r="D11" s="439">
        <v>0.73057438586056611</v>
      </c>
      <c r="E11" s="439"/>
      <c r="F11" s="439"/>
      <c r="G11" s="439"/>
      <c r="H11" s="439"/>
      <c r="I11" s="439"/>
      <c r="J11" s="439"/>
      <c r="K11" s="439"/>
      <c r="L11" s="439"/>
      <c r="M11" s="439"/>
      <c r="N11" s="439"/>
      <c r="O11" s="439"/>
      <c r="P11" s="439"/>
      <c r="Q11" s="439"/>
      <c r="R11" s="439"/>
      <c r="S11" s="439"/>
      <c r="T11" s="439"/>
      <c r="U11" s="439"/>
      <c r="V11" s="439"/>
      <c r="W11" s="439"/>
      <c r="X11" s="439"/>
      <c r="Y11" s="439"/>
      <c r="Z11" s="439"/>
      <c r="AA11" s="439"/>
      <c r="AB11" s="439"/>
      <c r="AC11" s="439"/>
      <c r="AD11" s="439"/>
      <c r="AE11" s="439"/>
    </row>
    <row r="12" spans="1:31" ht="10.5" customHeight="1">
      <c r="B12" s="438" t="s">
        <v>657</v>
      </c>
      <c r="C12" s="439">
        <v>0.73612009959864722</v>
      </c>
      <c r="D12" s="439">
        <v>0.73057438586056611</v>
      </c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439"/>
      <c r="P12" s="439"/>
      <c r="Q12" s="439"/>
      <c r="R12" s="439"/>
      <c r="S12" s="439"/>
      <c r="T12" s="439"/>
      <c r="U12" s="439"/>
      <c r="V12" s="439"/>
      <c r="W12" s="439"/>
      <c r="X12" s="439"/>
      <c r="Y12" s="439"/>
      <c r="Z12" s="439"/>
      <c r="AA12" s="439"/>
      <c r="AB12" s="439"/>
      <c r="AC12" s="439"/>
      <c r="AD12" s="439"/>
      <c r="AE12" s="439"/>
    </row>
    <row r="13" spans="1:31" ht="10.5" customHeight="1">
      <c r="A13" s="555"/>
      <c r="B13" s="399" t="s">
        <v>687</v>
      </c>
      <c r="C13" s="368">
        <v>9</v>
      </c>
      <c r="D13" s="368">
        <v>9</v>
      </c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  <c r="P13" s="368"/>
      <c r="Q13" s="368"/>
      <c r="R13" s="368"/>
      <c r="S13" s="368"/>
      <c r="T13" s="368"/>
      <c r="U13" s="368"/>
      <c r="V13" s="368"/>
      <c r="W13" s="368"/>
      <c r="X13" s="368"/>
      <c r="Y13" s="368"/>
      <c r="Z13" s="368"/>
      <c r="AA13" s="368"/>
      <c r="AB13" s="368"/>
      <c r="AC13" s="368"/>
      <c r="AD13" s="368"/>
      <c r="AE13" s="368"/>
    </row>
    <row r="14" spans="1:31" ht="10.5" customHeight="1">
      <c r="A14" s="555"/>
      <c r="B14" s="399" t="s">
        <v>688</v>
      </c>
      <c r="C14" s="368">
        <v>9</v>
      </c>
      <c r="D14" s="368">
        <v>9</v>
      </c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  <c r="P14" s="368"/>
      <c r="Q14" s="368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368"/>
      <c r="AC14" s="368"/>
      <c r="AD14" s="368"/>
      <c r="AE14" s="368"/>
    </row>
    <row r="15" spans="1:31" ht="10.5" customHeight="1">
      <c r="A15" s="555"/>
      <c r="B15" s="399" t="s">
        <v>770</v>
      </c>
      <c r="C15" s="440">
        <v>0.54756152549682613</v>
      </c>
      <c r="D15" s="440">
        <v>0.56064861645088304</v>
      </c>
      <c r="E15" s="440"/>
      <c r="F15" s="440"/>
      <c r="G15" s="440"/>
      <c r="H15" s="440"/>
      <c r="I15" s="440"/>
      <c r="J15" s="440"/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0"/>
      <c r="X15" s="440"/>
      <c r="Y15" s="440"/>
      <c r="Z15" s="440"/>
      <c r="AA15" s="440"/>
      <c r="AB15" s="440"/>
      <c r="AC15" s="440"/>
      <c r="AD15" s="440"/>
      <c r="AE15" s="440"/>
    </row>
    <row r="16" spans="1:31" ht="10.5" customHeight="1">
      <c r="A16" s="555"/>
      <c r="B16" s="438" t="s">
        <v>771</v>
      </c>
      <c r="C16" s="439">
        <v>0.53346486875073063</v>
      </c>
      <c r="D16" s="439">
        <v>0.5634901884610688</v>
      </c>
      <c r="E16" s="439"/>
      <c r="F16" s="439"/>
      <c r="G16" s="439"/>
      <c r="H16" s="439"/>
      <c r="I16" s="439"/>
      <c r="J16" s="439"/>
      <c r="K16" s="439"/>
      <c r="L16" s="439"/>
      <c r="M16" s="439"/>
      <c r="N16" s="439"/>
      <c r="O16" s="439"/>
      <c r="P16" s="439"/>
      <c r="Q16" s="439"/>
      <c r="R16" s="439"/>
      <c r="S16" s="439"/>
      <c r="T16" s="439"/>
      <c r="U16" s="439"/>
      <c r="V16" s="439"/>
      <c r="W16" s="439"/>
      <c r="X16" s="439"/>
      <c r="Y16" s="439"/>
      <c r="Z16" s="439"/>
      <c r="AA16" s="439"/>
      <c r="AB16" s="439"/>
      <c r="AC16" s="439"/>
      <c r="AD16" s="439"/>
      <c r="AE16" s="439"/>
    </row>
    <row r="17" spans="1:31" ht="10.5" customHeight="1">
      <c r="A17" s="555"/>
      <c r="B17" s="399" t="s">
        <v>616</v>
      </c>
      <c r="C17" s="369">
        <v>0</v>
      </c>
      <c r="D17" s="369">
        <v>0</v>
      </c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  <c r="Q17" s="369"/>
      <c r="R17" s="369"/>
      <c r="S17" s="369"/>
      <c r="T17" s="369"/>
      <c r="U17" s="369"/>
      <c r="V17" s="369"/>
      <c r="W17" s="369"/>
      <c r="X17" s="369"/>
      <c r="Y17" s="369"/>
      <c r="Z17" s="369"/>
      <c r="AA17" s="369"/>
      <c r="AB17" s="369"/>
      <c r="AC17" s="369"/>
      <c r="AD17" s="369"/>
      <c r="AE17" s="369"/>
    </row>
    <row r="18" spans="1:31" ht="10.5" customHeight="1">
      <c r="A18" s="555"/>
      <c r="B18" s="399" t="s">
        <v>602</v>
      </c>
      <c r="C18" s="369">
        <v>0</v>
      </c>
      <c r="D18" s="369">
        <v>0</v>
      </c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  <c r="Q18" s="369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69"/>
      <c r="AD18" s="369"/>
      <c r="AE18" s="369"/>
    </row>
    <row r="19" spans="1:31" ht="10.5" customHeight="1">
      <c r="A19" s="555"/>
      <c r="B19" s="399" t="s">
        <v>594</v>
      </c>
      <c r="C19" s="369">
        <v>0</v>
      </c>
      <c r="D19" s="369">
        <v>0</v>
      </c>
      <c r="E19" s="369"/>
      <c r="F19" s="369"/>
      <c r="G19" s="369"/>
      <c r="H19" s="369"/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69"/>
      <c r="V19" s="369"/>
      <c r="W19" s="369"/>
      <c r="X19" s="369"/>
      <c r="Y19" s="369"/>
      <c r="Z19" s="369"/>
      <c r="AA19" s="369"/>
      <c r="AB19" s="369"/>
      <c r="AC19" s="369"/>
      <c r="AD19" s="369"/>
      <c r="AE19" s="369"/>
    </row>
    <row r="20" spans="1:31" ht="10.5" customHeight="1">
      <c r="A20" s="555"/>
      <c r="B20" s="399" t="s">
        <v>595</v>
      </c>
      <c r="C20" s="369">
        <v>0</v>
      </c>
      <c r="D20" s="369">
        <v>0</v>
      </c>
      <c r="E20" s="369"/>
      <c r="F20" s="369"/>
      <c r="G20" s="369"/>
      <c r="H20" s="369"/>
      <c r="I20" s="369"/>
      <c r="J20" s="369"/>
      <c r="K20" s="369"/>
      <c r="L20" s="369"/>
      <c r="M20" s="369"/>
      <c r="N20" s="369"/>
      <c r="O20" s="369"/>
      <c r="P20" s="369"/>
      <c r="Q20" s="369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</row>
    <row r="21" spans="1:31" ht="10.5" customHeight="1">
      <c r="A21" s="555"/>
      <c r="B21" s="399" t="s">
        <v>615</v>
      </c>
      <c r="C21" s="369">
        <v>0.10526315789473682</v>
      </c>
      <c r="D21" s="369">
        <v>0.10526315789473682</v>
      </c>
      <c r="E21" s="369"/>
      <c r="F21" s="369"/>
      <c r="G21" s="369"/>
      <c r="H21" s="369"/>
      <c r="I21" s="369"/>
      <c r="J21" s="369"/>
      <c r="K21" s="369"/>
      <c r="L21" s="369"/>
      <c r="M21" s="369"/>
      <c r="N21" s="369"/>
      <c r="O21" s="369"/>
      <c r="P21" s="369"/>
      <c r="Q21" s="369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69"/>
      <c r="AC21" s="369"/>
      <c r="AD21" s="369"/>
      <c r="AE21" s="369"/>
    </row>
    <row r="22" spans="1:31" ht="10.5" customHeight="1">
      <c r="A22" s="555"/>
      <c r="B22" s="399" t="s">
        <v>596</v>
      </c>
      <c r="C22" s="369">
        <v>0.02</v>
      </c>
      <c r="D22" s="369">
        <v>0.02</v>
      </c>
      <c r="E22" s="369"/>
      <c r="F22" s="369"/>
      <c r="G22" s="369"/>
      <c r="H22" s="369"/>
      <c r="I22" s="369"/>
      <c r="J22" s="369"/>
      <c r="K22" s="369"/>
      <c r="L22" s="369"/>
      <c r="M22" s="369"/>
      <c r="N22" s="369"/>
      <c r="O22" s="369"/>
      <c r="P22" s="369"/>
      <c r="Q22" s="369"/>
      <c r="R22" s="369"/>
      <c r="S22" s="369"/>
      <c r="T22" s="369"/>
      <c r="U22" s="369"/>
      <c r="V22" s="369"/>
      <c r="W22" s="369"/>
      <c r="X22" s="369"/>
      <c r="Y22" s="369"/>
      <c r="Z22" s="369"/>
      <c r="AA22" s="369"/>
      <c r="AB22" s="369"/>
      <c r="AC22" s="369"/>
      <c r="AD22" s="369"/>
      <c r="AE22" s="369"/>
    </row>
    <row r="23" spans="1:31" ht="10.5" customHeight="1">
      <c r="A23" s="555"/>
      <c r="B23" s="399" t="s">
        <v>597</v>
      </c>
      <c r="C23" s="369">
        <v>0</v>
      </c>
      <c r="D23" s="369">
        <v>0</v>
      </c>
      <c r="E23" s="369"/>
      <c r="F23" s="369"/>
      <c r="G23" s="369"/>
      <c r="H23" s="369"/>
      <c r="I23" s="369"/>
      <c r="J23" s="369"/>
      <c r="K23" s="369"/>
      <c r="L23" s="369"/>
      <c r="M23" s="369"/>
      <c r="N23" s="369"/>
      <c r="O23" s="369"/>
      <c r="P23" s="369"/>
      <c r="Q23" s="369"/>
      <c r="R23" s="369"/>
      <c r="S23" s="369"/>
      <c r="T23" s="369"/>
      <c r="U23" s="369"/>
      <c r="V23" s="369"/>
      <c r="W23" s="369"/>
      <c r="X23" s="369"/>
      <c r="Y23" s="369"/>
      <c r="Z23" s="369"/>
      <c r="AA23" s="369"/>
      <c r="AB23" s="369"/>
      <c r="AC23" s="369"/>
      <c r="AD23" s="369"/>
      <c r="AE23" s="369"/>
    </row>
    <row r="24" spans="1:31" ht="10.5" customHeight="1">
      <c r="A24" s="555"/>
      <c r="B24" s="399" t="s">
        <v>598</v>
      </c>
      <c r="C24" s="369">
        <v>0.12526315789473683</v>
      </c>
      <c r="D24" s="369">
        <v>0.12526315789473683</v>
      </c>
      <c r="E24" s="369"/>
      <c r="F24" s="369"/>
      <c r="G24" s="369"/>
      <c r="H24" s="369"/>
      <c r="I24" s="369"/>
      <c r="J24" s="369"/>
      <c r="K24" s="369"/>
      <c r="L24" s="369"/>
      <c r="M24" s="369"/>
      <c r="N24" s="369"/>
      <c r="O24" s="369"/>
      <c r="P24" s="369"/>
      <c r="Q24" s="369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</row>
    <row r="25" spans="1:31" ht="10.5" customHeight="1">
      <c r="A25" s="555"/>
      <c r="B25" s="399" t="s">
        <v>766</v>
      </c>
      <c r="C25" s="369">
        <v>7.4303405572755429E-2</v>
      </c>
      <c r="D25" s="369">
        <v>7.0175438596491238E-2</v>
      </c>
      <c r="E25" s="369"/>
      <c r="F25" s="369"/>
      <c r="G25" s="369"/>
      <c r="H25" s="369"/>
      <c r="I25" s="369"/>
      <c r="J25" s="369"/>
      <c r="K25" s="369"/>
      <c r="L25" s="369"/>
      <c r="M25" s="369"/>
      <c r="N25" s="369"/>
      <c r="O25" s="369"/>
      <c r="P25" s="369"/>
      <c r="Q25" s="369"/>
      <c r="R25" s="369"/>
      <c r="S25" s="369"/>
      <c r="T25" s="369"/>
      <c r="U25" s="369"/>
      <c r="V25" s="369"/>
      <c r="W25" s="369"/>
      <c r="X25" s="369"/>
      <c r="Y25" s="369"/>
      <c r="Z25" s="369"/>
      <c r="AA25" s="369"/>
      <c r="AB25" s="369"/>
      <c r="AC25" s="369"/>
      <c r="AD25" s="369"/>
      <c r="AE25" s="369"/>
    </row>
    <row r="26" spans="1:31" ht="6" customHeight="1">
      <c r="A26" s="555"/>
      <c r="B26" s="425"/>
      <c r="C26" s="426"/>
      <c r="D26" s="426"/>
      <c r="E26" s="426"/>
      <c r="F26" s="426"/>
      <c r="G26" s="426"/>
      <c r="H26" s="426"/>
      <c r="I26" s="426"/>
      <c r="J26" s="426"/>
      <c r="K26" s="426"/>
      <c r="L26" s="426"/>
      <c r="M26" s="426"/>
      <c r="N26" s="426"/>
      <c r="O26" s="426"/>
      <c r="P26" s="426"/>
      <c r="Q26" s="426"/>
      <c r="R26" s="426"/>
      <c r="S26" s="426"/>
      <c r="T26" s="426"/>
      <c r="U26" s="426"/>
      <c r="V26" s="426"/>
      <c r="W26" s="426"/>
      <c r="X26" s="426"/>
      <c r="Y26" s="426"/>
      <c r="Z26" s="426"/>
      <c r="AA26" s="426"/>
      <c r="AB26" s="426"/>
      <c r="AC26" s="426"/>
      <c r="AD26" s="426"/>
      <c r="AE26" s="426"/>
    </row>
    <row r="27" spans="1:31" ht="10.5" customHeight="1">
      <c r="A27" s="555"/>
      <c r="B27" s="399" t="s">
        <v>638</v>
      </c>
      <c r="C27" s="369">
        <v>4.3128384233615744E-2</v>
      </c>
      <c r="D27" s="369">
        <v>4.3782248555063054E-2</v>
      </c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69"/>
      <c r="R27" s="369"/>
      <c r="S27" s="369"/>
      <c r="T27" s="369"/>
      <c r="U27" s="369"/>
      <c r="V27" s="369"/>
      <c r="W27" s="369"/>
      <c r="X27" s="369"/>
      <c r="Y27" s="369"/>
      <c r="Z27" s="369"/>
      <c r="AA27" s="369"/>
      <c r="AB27" s="369"/>
      <c r="AC27" s="369"/>
      <c r="AD27" s="369"/>
      <c r="AE27" s="369"/>
    </row>
    <row r="28" spans="1:31" ht="10.5" customHeight="1">
      <c r="A28" s="555"/>
      <c r="B28" s="399" t="s">
        <v>778</v>
      </c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</row>
    <row r="29" spans="1:31" ht="10.5" customHeight="1">
      <c r="A29" s="555"/>
      <c r="B29" s="399" t="s">
        <v>777</v>
      </c>
      <c r="C29" s="403">
        <v>8.0526315789473681</v>
      </c>
      <c r="D29" s="403">
        <v>8.0526315789473681</v>
      </c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</row>
    <row r="30" spans="1:31" ht="10.5" customHeight="1">
      <c r="A30" s="555"/>
      <c r="B30" s="399" t="s">
        <v>617</v>
      </c>
      <c r="C30" s="437">
        <v>1.8888888888888888</v>
      </c>
      <c r="D30" s="437">
        <v>2</v>
      </c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437"/>
      <c r="S30" s="437"/>
      <c r="T30" s="437"/>
      <c r="U30" s="437"/>
      <c r="V30" s="437"/>
      <c r="W30" s="437"/>
      <c r="X30" s="437"/>
      <c r="Y30" s="437"/>
      <c r="Z30" s="437"/>
      <c r="AA30" s="437"/>
      <c r="AB30" s="437"/>
      <c r="AC30" s="437"/>
      <c r="AD30" s="437"/>
      <c r="AE30" s="437"/>
    </row>
    <row r="31" spans="1:31" ht="10.5" customHeight="1">
      <c r="A31" s="555"/>
      <c r="B31" s="399" t="s">
        <v>772</v>
      </c>
      <c r="C31" s="368">
        <v>1395.7658470588237</v>
      </c>
      <c r="D31" s="368">
        <v>1513.6666666666665</v>
      </c>
      <c r="E31" s="368"/>
      <c r="F31" s="368"/>
      <c r="G31" s="368"/>
      <c r="H31" s="368"/>
      <c r="I31" s="368"/>
      <c r="J31" s="368"/>
      <c r="K31" s="368"/>
      <c r="L31" s="368"/>
      <c r="M31" s="368"/>
      <c r="N31" s="368"/>
      <c r="O31" s="368"/>
      <c r="P31" s="368"/>
      <c r="Q31" s="368"/>
      <c r="R31" s="368"/>
      <c r="S31" s="368"/>
      <c r="T31" s="368"/>
      <c r="U31" s="368"/>
      <c r="V31" s="368"/>
      <c r="W31" s="368"/>
      <c r="X31" s="368"/>
      <c r="Y31" s="368"/>
      <c r="Z31" s="368"/>
      <c r="AA31" s="368"/>
      <c r="AB31" s="368"/>
      <c r="AC31" s="368"/>
      <c r="AD31" s="368"/>
      <c r="AE31" s="368"/>
    </row>
    <row r="32" spans="1:31" ht="10.5" customHeight="1">
      <c r="A32" s="555"/>
      <c r="B32" s="399" t="s">
        <v>773</v>
      </c>
      <c r="C32" s="368">
        <v>81.419674411764703</v>
      </c>
      <c r="D32" s="368">
        <v>85.686090918421471</v>
      </c>
      <c r="E32" s="368"/>
      <c r="F32" s="368"/>
      <c r="G32" s="368"/>
      <c r="H32" s="368"/>
      <c r="I32" s="368"/>
      <c r="J32" s="368"/>
      <c r="K32" s="368"/>
      <c r="L32" s="368"/>
      <c r="M32" s="368"/>
      <c r="N32" s="368"/>
      <c r="O32" s="368"/>
      <c r="P32" s="368"/>
      <c r="Q32" s="368"/>
      <c r="R32" s="368"/>
      <c r="S32" s="368"/>
      <c r="T32" s="368"/>
      <c r="U32" s="368"/>
      <c r="V32" s="368"/>
      <c r="W32" s="368"/>
      <c r="X32" s="368"/>
      <c r="Y32" s="368"/>
      <c r="Z32" s="368"/>
      <c r="AA32" s="368"/>
      <c r="AB32" s="368"/>
      <c r="AC32" s="368"/>
      <c r="AD32" s="368"/>
      <c r="AE32" s="368"/>
    </row>
    <row r="33" spans="1:31" ht="10.5" customHeight="1">
      <c r="A33" s="555"/>
      <c r="B33" s="399" t="s">
        <v>774</v>
      </c>
      <c r="C33" s="370">
        <v>0.97435897435897445</v>
      </c>
      <c r="D33" s="370">
        <v>0.91200000000000003</v>
      </c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</row>
    <row r="34" spans="1:31" ht="10.5" customHeight="1">
      <c r="A34" s="555"/>
      <c r="B34" s="399" t="s">
        <v>775</v>
      </c>
      <c r="C34" s="368">
        <v>0</v>
      </c>
      <c r="D34" s="368">
        <v>0</v>
      </c>
      <c r="E34" s="368"/>
      <c r="F34" s="368"/>
      <c r="G34" s="368"/>
      <c r="H34" s="368"/>
      <c r="I34" s="368"/>
      <c r="J34" s="368"/>
      <c r="K34" s="368"/>
      <c r="L34" s="368"/>
      <c r="M34" s="368"/>
      <c r="N34" s="368"/>
      <c r="O34" s="368"/>
      <c r="P34" s="368"/>
      <c r="Q34" s="368"/>
      <c r="R34" s="368"/>
      <c r="S34" s="368"/>
      <c r="T34" s="368"/>
      <c r="U34" s="368"/>
      <c r="V34" s="368"/>
      <c r="W34" s="368"/>
      <c r="X34" s="368"/>
      <c r="Y34" s="368"/>
      <c r="Z34" s="368"/>
      <c r="AA34" s="368"/>
      <c r="AB34" s="368"/>
      <c r="AC34" s="368"/>
      <c r="AD34" s="368"/>
      <c r="AE34" s="368"/>
    </row>
    <row r="35" spans="1:31" ht="10.5" customHeight="1">
      <c r="A35" s="555"/>
      <c r="B35" s="399" t="s">
        <v>779</v>
      </c>
      <c r="C35" s="368">
        <v>0</v>
      </c>
      <c r="D35" s="368">
        <v>0</v>
      </c>
      <c r="E35" s="368"/>
      <c r="F35" s="368"/>
      <c r="G35" s="368"/>
      <c r="H35" s="368"/>
      <c r="I35" s="368"/>
      <c r="J35" s="368"/>
      <c r="K35" s="368"/>
      <c r="L35" s="368"/>
      <c r="M35" s="368"/>
      <c r="N35" s="368"/>
      <c r="O35" s="368"/>
      <c r="P35" s="368"/>
      <c r="Q35" s="368"/>
      <c r="R35" s="368"/>
      <c r="S35" s="368"/>
      <c r="T35" s="368"/>
      <c r="U35" s="368"/>
      <c r="V35" s="368"/>
      <c r="W35" s="368"/>
      <c r="X35" s="368"/>
      <c r="Y35" s="368"/>
      <c r="Z35" s="368"/>
      <c r="AA35" s="368"/>
      <c r="AB35" s="368"/>
      <c r="AC35" s="368"/>
      <c r="AD35" s="368"/>
      <c r="AE35" s="368"/>
    </row>
    <row r="36" spans="1:31" ht="10.5" customHeight="1">
      <c r="A36" s="555"/>
      <c r="B36" s="399" t="s">
        <v>775</v>
      </c>
      <c r="C36" s="368">
        <v>17</v>
      </c>
      <c r="D36" s="368">
        <v>18</v>
      </c>
      <c r="E36" s="368"/>
      <c r="F36" s="368"/>
      <c r="G36" s="368"/>
      <c r="H36" s="368"/>
      <c r="I36" s="368"/>
      <c r="J36" s="368"/>
      <c r="K36" s="368"/>
      <c r="L36" s="368"/>
      <c r="M36" s="368"/>
      <c r="N36" s="368"/>
      <c r="O36" s="368"/>
      <c r="P36" s="368"/>
      <c r="Q36" s="368"/>
      <c r="R36" s="368"/>
      <c r="S36" s="368"/>
      <c r="T36" s="368"/>
      <c r="U36" s="368"/>
      <c r="V36" s="368"/>
      <c r="W36" s="368"/>
      <c r="X36" s="368"/>
      <c r="Y36" s="368"/>
      <c r="Z36" s="368"/>
      <c r="AA36" s="368"/>
      <c r="AB36" s="368"/>
      <c r="AC36" s="368"/>
      <c r="AD36" s="368"/>
      <c r="AE36" s="368"/>
    </row>
    <row r="37" spans="1:31" ht="10.5" customHeight="1">
      <c r="A37" s="555"/>
      <c r="B37" s="400" t="s">
        <v>776</v>
      </c>
      <c r="C37" s="371">
        <v>0</v>
      </c>
      <c r="D37" s="371">
        <v>0</v>
      </c>
      <c r="E37" s="371"/>
      <c r="F37" s="371"/>
      <c r="G37" s="371"/>
      <c r="H37" s="371"/>
      <c r="I37" s="371"/>
      <c r="J37" s="371"/>
      <c r="K37" s="371"/>
      <c r="L37" s="371"/>
      <c r="M37" s="371"/>
      <c r="N37" s="371"/>
      <c r="O37" s="371"/>
      <c r="P37" s="371"/>
      <c r="Q37" s="371"/>
      <c r="R37" s="371"/>
      <c r="S37" s="371"/>
      <c r="T37" s="371"/>
      <c r="U37" s="371"/>
      <c r="V37" s="371"/>
      <c r="W37" s="371"/>
      <c r="X37" s="371"/>
      <c r="Y37" s="371"/>
      <c r="Z37" s="371"/>
      <c r="AA37" s="371"/>
      <c r="AB37" s="371"/>
      <c r="AC37" s="371"/>
      <c r="AD37" s="371"/>
      <c r="AE37" s="371"/>
    </row>
    <row r="38" spans="1:31">
      <c r="A38" s="555"/>
    </row>
    <row r="39" spans="1:31">
      <c r="A39" s="555"/>
    </row>
    <row r="40" spans="1:31">
      <c r="A40" s="555"/>
    </row>
    <row r="41" spans="1:31">
      <c r="A41" s="555"/>
    </row>
    <row r="42" spans="1:31">
      <c r="A42" s="555"/>
    </row>
    <row r="43" spans="1:31">
      <c r="A43" s="555"/>
    </row>
    <row r="44" spans="1:31">
      <c r="A44" s="555"/>
    </row>
    <row r="45" spans="1:31">
      <c r="A45" s="555"/>
    </row>
    <row r="46" spans="1:31">
      <c r="A46" s="555"/>
    </row>
    <row r="47" spans="1:31">
      <c r="A47" s="555"/>
    </row>
    <row r="48" spans="1:31">
      <c r="A48" s="555"/>
    </row>
    <row r="49" spans="1:1">
      <c r="A49" s="555"/>
    </row>
    <row r="50" spans="1:1">
      <c r="A50" s="555"/>
    </row>
    <row r="51" spans="1:1">
      <c r="A51" s="555"/>
    </row>
    <row r="52" spans="1:1">
      <c r="A52" s="555"/>
    </row>
    <row r="53" spans="1:1">
      <c r="A53" s="555"/>
    </row>
    <row r="54" spans="1:1">
      <c r="A54" s="555"/>
    </row>
    <row r="55" spans="1:1">
      <c r="A55" s="555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3">
    <tabColor theme="5" tint="0.59999389629810485"/>
  </sheetPr>
  <dimension ref="B7:D260"/>
  <sheetViews>
    <sheetView showGridLines="0" showRowColHeaders="0" workbookViewId="0">
      <pane ySplit="8" topLeftCell="A9" activePane="bottomLeft" state="frozen"/>
      <selection activeCell="E8" sqref="E8"/>
      <selection pane="bottomLeft" activeCell="A9" sqref="A9"/>
    </sheetView>
  </sheetViews>
  <sheetFormatPr defaultRowHeight="13.5"/>
  <cols>
    <col min="1" max="1" width="9" style="534"/>
    <col min="2" max="3" width="13.125" style="541" customWidth="1"/>
    <col min="4" max="4" width="13.125" style="542" customWidth="1"/>
    <col min="5" max="16384" width="9" style="534"/>
  </cols>
  <sheetData>
    <row r="7" spans="2:4">
      <c r="B7" s="535"/>
      <c r="C7" s="535"/>
      <c r="D7" s="536"/>
    </row>
    <row r="8" spans="2:4">
      <c r="B8" s="537" t="s">
        <v>821</v>
      </c>
      <c r="C8" s="537" t="s">
        <v>823</v>
      </c>
      <c r="D8" s="538" t="s">
        <v>822</v>
      </c>
    </row>
    <row r="9" spans="2:4">
      <c r="B9" s="539">
        <v>0.29166666666666669</v>
      </c>
      <c r="C9" s="539">
        <v>0.2638888888888889</v>
      </c>
      <c r="D9" s="540" t="s">
        <v>824</v>
      </c>
    </row>
    <row r="10" spans="2:4">
      <c r="B10" s="539">
        <v>0.29166666666666669</v>
      </c>
      <c r="C10" s="539">
        <v>0.2638888888888889</v>
      </c>
      <c r="D10" s="540" t="s">
        <v>824</v>
      </c>
    </row>
    <row r="11" spans="2:4">
      <c r="B11" s="539">
        <v>0.29166666666666669</v>
      </c>
      <c r="C11" s="539">
        <v>0.2638888888888889</v>
      </c>
      <c r="D11" s="540" t="s">
        <v>824</v>
      </c>
    </row>
    <row r="12" spans="2:4">
      <c r="B12" s="539">
        <v>0.29166666666666669</v>
      </c>
      <c r="C12" s="539">
        <v>0.2638888888888889</v>
      </c>
      <c r="D12" s="540" t="s">
        <v>824</v>
      </c>
    </row>
    <row r="13" spans="2:4">
      <c r="B13" s="539">
        <v>0.33333333333333331</v>
      </c>
      <c r="C13" s="539">
        <v>0.2638888888888889</v>
      </c>
      <c r="D13" s="540" t="s">
        <v>824</v>
      </c>
    </row>
    <row r="14" spans="2:4">
      <c r="B14" s="539">
        <v>0.33333333333333331</v>
      </c>
      <c r="C14" s="539">
        <v>0.2638888888888889</v>
      </c>
      <c r="D14" s="540" t="s">
        <v>824</v>
      </c>
    </row>
    <row r="15" spans="2:4">
      <c r="B15" s="539">
        <v>0.33333333333333331</v>
      </c>
      <c r="C15" s="539">
        <v>0.2638888888888889</v>
      </c>
      <c r="D15" s="540" t="s">
        <v>824</v>
      </c>
    </row>
    <row r="16" spans="2:4">
      <c r="B16" s="539">
        <v>0.33333333333333331</v>
      </c>
      <c r="C16" s="539">
        <v>0.2638888888888889</v>
      </c>
      <c r="D16" s="540" t="s">
        <v>824</v>
      </c>
    </row>
    <row r="17" spans="2:4">
      <c r="B17" s="539">
        <v>0.33333333333333331</v>
      </c>
      <c r="C17" s="539">
        <v>0.2638888888888889</v>
      </c>
      <c r="D17" s="540" t="s">
        <v>824</v>
      </c>
    </row>
    <row r="18" spans="2:4">
      <c r="B18" s="539">
        <v>0.35416666666666669</v>
      </c>
      <c r="C18" s="539">
        <v>0.3</v>
      </c>
      <c r="D18" s="540" t="s">
        <v>838</v>
      </c>
    </row>
    <row r="19" spans="2:4">
      <c r="B19" s="539">
        <v>0.35416666666666669</v>
      </c>
      <c r="C19" s="539">
        <v>0.3</v>
      </c>
      <c r="D19" s="540" t="s">
        <v>838</v>
      </c>
    </row>
    <row r="20" spans="2:4">
      <c r="B20" s="539">
        <v>0.35416666666666669</v>
      </c>
      <c r="C20" s="539">
        <v>0.3</v>
      </c>
      <c r="D20" s="540" t="s">
        <v>838</v>
      </c>
    </row>
    <row r="21" spans="2:4">
      <c r="B21" s="539">
        <v>0.35416666666666669</v>
      </c>
      <c r="C21" s="539">
        <v>0.3</v>
      </c>
      <c r="D21" s="540" t="s">
        <v>838</v>
      </c>
    </row>
    <row r="22" spans="2:4">
      <c r="B22" s="539">
        <v>0.39583333333333331</v>
      </c>
      <c r="C22" s="539">
        <v>0.2638888888888889</v>
      </c>
      <c r="D22" s="540" t="s">
        <v>824</v>
      </c>
    </row>
    <row r="23" spans="2:4">
      <c r="B23" s="539">
        <v>0.39583333333333331</v>
      </c>
      <c r="C23" s="539">
        <v>0.2638888888888889</v>
      </c>
      <c r="D23" s="540" t="s">
        <v>824</v>
      </c>
    </row>
    <row r="24" spans="2:4">
      <c r="B24" s="539">
        <v>0.39583333333333331</v>
      </c>
      <c r="C24" s="539">
        <v>0.2638888888888889</v>
      </c>
      <c r="D24" s="540" t="s">
        <v>824</v>
      </c>
    </row>
    <row r="25" spans="2:4">
      <c r="B25" s="539">
        <v>0.55555555555555558</v>
      </c>
      <c r="C25" s="539">
        <v>0.3</v>
      </c>
      <c r="D25" s="540" t="s">
        <v>838</v>
      </c>
    </row>
    <row r="26" spans="2:4">
      <c r="B26" s="539">
        <v>0.55555555555555558</v>
      </c>
      <c r="C26" s="539">
        <v>0.3</v>
      </c>
      <c r="D26" s="540" t="s">
        <v>838</v>
      </c>
    </row>
    <row r="27" spans="2:4">
      <c r="B27" s="539">
        <v>0.55555555555555558</v>
      </c>
      <c r="C27" s="539">
        <v>0.3</v>
      </c>
      <c r="D27" s="540" t="s">
        <v>838</v>
      </c>
    </row>
    <row r="28" spans="2:4">
      <c r="B28" s="539">
        <v>0.58333333333333337</v>
      </c>
      <c r="C28" s="539">
        <v>0.2638888888888889</v>
      </c>
      <c r="D28" s="540" t="s">
        <v>824</v>
      </c>
    </row>
    <row r="29" spans="2:4">
      <c r="B29" s="539">
        <v>0.58333333333333337</v>
      </c>
      <c r="C29" s="539">
        <v>0.2638888888888889</v>
      </c>
      <c r="D29" s="540" t="s">
        <v>824</v>
      </c>
    </row>
    <row r="30" spans="2:4">
      <c r="B30" s="539">
        <v>0.58333333333333337</v>
      </c>
      <c r="C30" s="539">
        <v>0.2638888888888889</v>
      </c>
      <c r="D30" s="540" t="s">
        <v>824</v>
      </c>
    </row>
    <row r="31" spans="2:4">
      <c r="B31" s="539">
        <v>0.58333333333333337</v>
      </c>
      <c r="C31" s="539">
        <v>0.2638888888888889</v>
      </c>
      <c r="D31" s="540" t="s">
        <v>824</v>
      </c>
    </row>
    <row r="32" spans="2:4">
      <c r="B32" s="539">
        <v>0.58333333333333337</v>
      </c>
      <c r="C32" s="539">
        <v>0.2638888888888889</v>
      </c>
      <c r="D32" s="540" t="s">
        <v>824</v>
      </c>
    </row>
    <row r="33" spans="2:4">
      <c r="B33" s="539">
        <v>0.58333333333333337</v>
      </c>
      <c r="C33" s="539">
        <v>0.2638888888888889</v>
      </c>
      <c r="D33" s="540" t="s">
        <v>824</v>
      </c>
    </row>
    <row r="34" spans="2:4">
      <c r="B34" s="539">
        <v>0.58333333333333337</v>
      </c>
      <c r="C34" s="539">
        <v>0.2638888888888889</v>
      </c>
      <c r="D34" s="540" t="s">
        <v>824</v>
      </c>
    </row>
    <row r="35" spans="2:4">
      <c r="B35" s="539">
        <v>0.58333333333333337</v>
      </c>
      <c r="C35" s="539">
        <v>0.2638888888888889</v>
      </c>
      <c r="D35" s="540" t="s">
        <v>824</v>
      </c>
    </row>
    <row r="36" spans="2:4">
      <c r="B36" s="539">
        <v>0.60416666666666663</v>
      </c>
      <c r="C36" s="539">
        <v>0.2638888888888889</v>
      </c>
      <c r="D36" s="540" t="s">
        <v>824</v>
      </c>
    </row>
    <row r="37" spans="2:4">
      <c r="B37" s="539">
        <v>0.60416666666666663</v>
      </c>
      <c r="C37" s="539">
        <v>0.2638888888888889</v>
      </c>
      <c r="D37" s="540" t="s">
        <v>824</v>
      </c>
    </row>
    <row r="38" spans="2:4">
      <c r="B38" s="539">
        <v>0.61111111111111105</v>
      </c>
      <c r="C38" s="539">
        <v>0.2638888888888889</v>
      </c>
      <c r="D38" s="540" t="s">
        <v>824</v>
      </c>
    </row>
    <row r="39" spans="2:4">
      <c r="B39" s="539">
        <v>0.61111111111111105</v>
      </c>
      <c r="C39" s="539">
        <v>0.2638888888888889</v>
      </c>
      <c r="D39" s="540" t="s">
        <v>824</v>
      </c>
    </row>
    <row r="40" spans="2:4">
      <c r="B40" s="539">
        <v>0.61111111111111105</v>
      </c>
      <c r="C40" s="539">
        <v>0.2638888888888889</v>
      </c>
      <c r="D40" s="540" t="s">
        <v>824</v>
      </c>
    </row>
    <row r="41" spans="2:4">
      <c r="B41" s="539">
        <v>0.61111111111111105</v>
      </c>
      <c r="C41" s="539">
        <v>0.2638888888888889</v>
      </c>
      <c r="D41" s="540" t="s">
        <v>824</v>
      </c>
    </row>
    <row r="42" spans="2:4">
      <c r="B42" s="539"/>
      <c r="C42" s="539"/>
      <c r="D42" s="540"/>
    </row>
    <row r="43" spans="2:4">
      <c r="B43" s="539"/>
      <c r="C43" s="539"/>
      <c r="D43" s="540"/>
    </row>
    <row r="44" spans="2:4">
      <c r="B44" s="539"/>
      <c r="C44" s="539"/>
      <c r="D44" s="540"/>
    </row>
    <row r="45" spans="2:4">
      <c r="B45" s="539"/>
      <c r="C45" s="539"/>
      <c r="D45" s="540"/>
    </row>
    <row r="46" spans="2:4">
      <c r="B46" s="539"/>
      <c r="C46" s="539"/>
      <c r="D46" s="540"/>
    </row>
    <row r="47" spans="2:4">
      <c r="B47" s="539"/>
      <c r="C47" s="539"/>
      <c r="D47" s="540"/>
    </row>
    <row r="48" spans="2:4">
      <c r="B48" s="539"/>
      <c r="C48" s="539"/>
      <c r="D48" s="540"/>
    </row>
    <row r="49" spans="2:4">
      <c r="B49" s="539"/>
      <c r="C49" s="539"/>
      <c r="D49" s="540"/>
    </row>
    <row r="50" spans="2:4">
      <c r="B50" s="539"/>
      <c r="C50" s="539"/>
      <c r="D50" s="540"/>
    </row>
    <row r="51" spans="2:4">
      <c r="B51" s="539"/>
      <c r="C51" s="539"/>
      <c r="D51" s="540"/>
    </row>
    <row r="52" spans="2:4">
      <c r="B52" s="539"/>
      <c r="C52" s="539"/>
      <c r="D52" s="540"/>
    </row>
    <row r="53" spans="2:4">
      <c r="B53" s="539"/>
      <c r="C53" s="539"/>
      <c r="D53" s="540"/>
    </row>
    <row r="54" spans="2:4">
      <c r="B54" s="539"/>
      <c r="C54" s="539"/>
      <c r="D54" s="540"/>
    </row>
    <row r="55" spans="2:4">
      <c r="B55" s="539"/>
      <c r="C55" s="539"/>
      <c r="D55" s="540"/>
    </row>
    <row r="56" spans="2:4">
      <c r="B56" s="539"/>
      <c r="C56" s="539"/>
      <c r="D56" s="540"/>
    </row>
    <row r="57" spans="2:4">
      <c r="B57" s="539"/>
      <c r="C57" s="539"/>
      <c r="D57" s="540"/>
    </row>
    <row r="58" spans="2:4">
      <c r="B58" s="539"/>
      <c r="C58" s="539"/>
      <c r="D58" s="540"/>
    </row>
    <row r="59" spans="2:4">
      <c r="B59" s="539"/>
      <c r="C59" s="539"/>
      <c r="D59" s="540"/>
    </row>
    <row r="60" spans="2:4">
      <c r="B60" s="539"/>
      <c r="C60" s="539"/>
      <c r="D60" s="540"/>
    </row>
    <row r="61" spans="2:4">
      <c r="B61" s="539"/>
      <c r="C61" s="539"/>
      <c r="D61" s="540"/>
    </row>
    <row r="62" spans="2:4">
      <c r="B62" s="539"/>
      <c r="C62" s="539"/>
      <c r="D62" s="540"/>
    </row>
    <row r="63" spans="2:4">
      <c r="B63" s="539"/>
      <c r="C63" s="539"/>
      <c r="D63" s="540"/>
    </row>
    <row r="64" spans="2:4">
      <c r="B64" s="539"/>
      <c r="C64" s="539"/>
      <c r="D64" s="540"/>
    </row>
    <row r="65" spans="2:4">
      <c r="B65" s="539"/>
      <c r="C65" s="539"/>
      <c r="D65" s="540"/>
    </row>
    <row r="66" spans="2:4">
      <c r="B66" s="539"/>
      <c r="C66" s="539"/>
      <c r="D66" s="540"/>
    </row>
    <row r="67" spans="2:4">
      <c r="B67" s="539"/>
      <c r="C67" s="539"/>
      <c r="D67" s="540"/>
    </row>
    <row r="68" spans="2:4">
      <c r="B68" s="539"/>
      <c r="C68" s="539"/>
      <c r="D68" s="540"/>
    </row>
    <row r="69" spans="2:4">
      <c r="B69" s="539"/>
      <c r="C69" s="539"/>
      <c r="D69" s="540"/>
    </row>
    <row r="70" spans="2:4">
      <c r="B70" s="539"/>
      <c r="C70" s="539"/>
      <c r="D70" s="540"/>
    </row>
    <row r="71" spans="2:4">
      <c r="B71" s="539"/>
      <c r="C71" s="539"/>
      <c r="D71" s="540"/>
    </row>
    <row r="72" spans="2:4">
      <c r="B72" s="539"/>
      <c r="C72" s="539"/>
      <c r="D72" s="540"/>
    </row>
    <row r="73" spans="2:4">
      <c r="B73" s="539"/>
      <c r="C73" s="539"/>
      <c r="D73" s="540"/>
    </row>
    <row r="74" spans="2:4">
      <c r="B74" s="539"/>
      <c r="C74" s="539"/>
      <c r="D74" s="540"/>
    </row>
    <row r="75" spans="2:4">
      <c r="B75" s="539"/>
      <c r="C75" s="539"/>
      <c r="D75" s="540"/>
    </row>
    <row r="76" spans="2:4">
      <c r="B76" s="539"/>
      <c r="C76" s="539"/>
      <c r="D76" s="540"/>
    </row>
    <row r="77" spans="2:4">
      <c r="B77" s="539"/>
      <c r="C77" s="539"/>
      <c r="D77" s="540"/>
    </row>
    <row r="78" spans="2:4">
      <c r="B78" s="539"/>
      <c r="C78" s="539"/>
      <c r="D78" s="540"/>
    </row>
    <row r="79" spans="2:4">
      <c r="B79" s="539"/>
      <c r="C79" s="539"/>
      <c r="D79" s="540"/>
    </row>
    <row r="80" spans="2:4">
      <c r="B80" s="539"/>
      <c r="C80" s="539"/>
      <c r="D80" s="540"/>
    </row>
    <row r="81" spans="2:4">
      <c r="B81" s="539"/>
      <c r="C81" s="539"/>
      <c r="D81" s="540"/>
    </row>
    <row r="82" spans="2:4">
      <c r="B82" s="539"/>
      <c r="C82" s="539"/>
      <c r="D82" s="540"/>
    </row>
    <row r="83" spans="2:4">
      <c r="B83" s="539"/>
      <c r="C83" s="539"/>
      <c r="D83" s="540"/>
    </row>
    <row r="84" spans="2:4">
      <c r="B84" s="539"/>
      <c r="C84" s="539"/>
      <c r="D84" s="540"/>
    </row>
    <row r="85" spans="2:4">
      <c r="B85" s="539"/>
      <c r="C85" s="539"/>
      <c r="D85" s="540"/>
    </row>
    <row r="86" spans="2:4">
      <c r="B86" s="539"/>
      <c r="C86" s="539"/>
      <c r="D86" s="540"/>
    </row>
    <row r="87" spans="2:4">
      <c r="B87" s="539"/>
      <c r="C87" s="539"/>
      <c r="D87" s="540"/>
    </row>
    <row r="88" spans="2:4">
      <c r="B88" s="539"/>
      <c r="C88" s="539"/>
      <c r="D88" s="540"/>
    </row>
    <row r="89" spans="2:4">
      <c r="B89" s="539"/>
      <c r="C89" s="539"/>
      <c r="D89" s="540"/>
    </row>
    <row r="90" spans="2:4">
      <c r="B90" s="539"/>
      <c r="C90" s="539"/>
      <c r="D90" s="540"/>
    </row>
    <row r="91" spans="2:4">
      <c r="B91" s="539"/>
      <c r="C91" s="539"/>
      <c r="D91" s="540"/>
    </row>
    <row r="92" spans="2:4">
      <c r="B92" s="539"/>
      <c r="C92" s="539"/>
      <c r="D92" s="540"/>
    </row>
    <row r="93" spans="2:4">
      <c r="B93" s="539"/>
      <c r="C93" s="539"/>
      <c r="D93" s="540"/>
    </row>
    <row r="94" spans="2:4">
      <c r="B94" s="539"/>
      <c r="C94" s="539"/>
      <c r="D94" s="540"/>
    </row>
    <row r="95" spans="2:4">
      <c r="B95" s="539"/>
      <c r="C95" s="539"/>
      <c r="D95" s="540"/>
    </row>
    <row r="96" spans="2:4">
      <c r="B96" s="539"/>
      <c r="C96" s="539"/>
      <c r="D96" s="540"/>
    </row>
    <row r="97" spans="2:4">
      <c r="B97" s="539"/>
      <c r="C97" s="539"/>
      <c r="D97" s="540"/>
    </row>
    <row r="98" spans="2:4">
      <c r="B98" s="539"/>
      <c r="C98" s="539"/>
      <c r="D98" s="540"/>
    </row>
    <row r="99" spans="2:4">
      <c r="B99" s="539"/>
      <c r="C99" s="539"/>
      <c r="D99" s="540"/>
    </row>
    <row r="100" spans="2:4">
      <c r="B100" s="539"/>
      <c r="C100" s="539"/>
      <c r="D100" s="540"/>
    </row>
    <row r="101" spans="2:4">
      <c r="B101" s="539"/>
      <c r="C101" s="539"/>
      <c r="D101" s="540"/>
    </row>
    <row r="102" spans="2:4">
      <c r="B102" s="539"/>
      <c r="C102" s="539"/>
      <c r="D102" s="540"/>
    </row>
    <row r="103" spans="2:4">
      <c r="B103" s="539"/>
      <c r="C103" s="539"/>
      <c r="D103" s="540"/>
    </row>
    <row r="104" spans="2:4">
      <c r="B104" s="539"/>
      <c r="C104" s="539"/>
      <c r="D104" s="540"/>
    </row>
    <row r="105" spans="2:4">
      <c r="B105" s="539"/>
      <c r="C105" s="539"/>
      <c r="D105" s="540"/>
    </row>
    <row r="106" spans="2:4">
      <c r="B106" s="539"/>
      <c r="C106" s="539"/>
      <c r="D106" s="540"/>
    </row>
    <row r="107" spans="2:4">
      <c r="B107" s="539"/>
      <c r="C107" s="539"/>
      <c r="D107" s="540"/>
    </row>
    <row r="108" spans="2:4">
      <c r="B108" s="539"/>
      <c r="C108" s="539"/>
      <c r="D108" s="540"/>
    </row>
    <row r="109" spans="2:4">
      <c r="B109" s="539"/>
      <c r="C109" s="539"/>
      <c r="D109" s="540"/>
    </row>
    <row r="110" spans="2:4">
      <c r="B110" s="539"/>
      <c r="C110" s="539"/>
      <c r="D110" s="540"/>
    </row>
    <row r="111" spans="2:4">
      <c r="B111" s="539"/>
      <c r="C111" s="539"/>
      <c r="D111" s="540"/>
    </row>
    <row r="112" spans="2:4">
      <c r="B112" s="539"/>
      <c r="C112" s="539"/>
      <c r="D112" s="540"/>
    </row>
    <row r="113" spans="2:4">
      <c r="B113" s="539"/>
      <c r="C113" s="539"/>
      <c r="D113" s="540"/>
    </row>
    <row r="114" spans="2:4">
      <c r="B114" s="539"/>
      <c r="C114" s="539"/>
      <c r="D114" s="540"/>
    </row>
    <row r="115" spans="2:4">
      <c r="B115" s="539"/>
      <c r="C115" s="539"/>
      <c r="D115" s="540"/>
    </row>
    <row r="116" spans="2:4">
      <c r="B116" s="539"/>
      <c r="C116" s="539"/>
      <c r="D116" s="540"/>
    </row>
    <row r="117" spans="2:4">
      <c r="B117" s="539"/>
      <c r="C117" s="539"/>
      <c r="D117" s="540"/>
    </row>
    <row r="118" spans="2:4">
      <c r="B118" s="539"/>
      <c r="C118" s="539"/>
      <c r="D118" s="540"/>
    </row>
    <row r="119" spans="2:4">
      <c r="B119" s="539"/>
      <c r="C119" s="539"/>
      <c r="D119" s="540"/>
    </row>
    <row r="120" spans="2:4">
      <c r="B120" s="539"/>
      <c r="C120" s="539"/>
      <c r="D120" s="540"/>
    </row>
    <row r="121" spans="2:4">
      <c r="B121" s="539"/>
      <c r="C121" s="539"/>
      <c r="D121" s="540"/>
    </row>
    <row r="122" spans="2:4">
      <c r="B122" s="539"/>
      <c r="C122" s="539"/>
      <c r="D122" s="540"/>
    </row>
    <row r="123" spans="2:4">
      <c r="B123" s="539"/>
      <c r="C123" s="539"/>
      <c r="D123" s="540"/>
    </row>
    <row r="124" spans="2:4">
      <c r="B124" s="539"/>
      <c r="C124" s="539"/>
      <c r="D124" s="540"/>
    </row>
    <row r="125" spans="2:4">
      <c r="B125" s="539"/>
      <c r="C125" s="539"/>
      <c r="D125" s="540"/>
    </row>
    <row r="126" spans="2:4">
      <c r="B126" s="539"/>
      <c r="C126" s="539"/>
      <c r="D126" s="540"/>
    </row>
    <row r="127" spans="2:4">
      <c r="B127" s="539"/>
      <c r="C127" s="539"/>
      <c r="D127" s="540"/>
    </row>
    <row r="128" spans="2:4">
      <c r="B128" s="539"/>
      <c r="C128" s="539"/>
      <c r="D128" s="540"/>
    </row>
    <row r="129" spans="2:4">
      <c r="B129" s="539"/>
      <c r="C129" s="539"/>
      <c r="D129" s="540"/>
    </row>
    <row r="130" spans="2:4">
      <c r="B130" s="539"/>
      <c r="C130" s="539"/>
      <c r="D130" s="540"/>
    </row>
    <row r="131" spans="2:4">
      <c r="B131" s="539"/>
      <c r="C131" s="539"/>
      <c r="D131" s="540"/>
    </row>
    <row r="132" spans="2:4">
      <c r="B132" s="539"/>
      <c r="C132" s="539"/>
      <c r="D132" s="540"/>
    </row>
    <row r="133" spans="2:4">
      <c r="B133" s="539"/>
      <c r="C133" s="539"/>
      <c r="D133" s="540"/>
    </row>
    <row r="134" spans="2:4">
      <c r="B134" s="539"/>
      <c r="C134" s="539"/>
      <c r="D134" s="540"/>
    </row>
    <row r="135" spans="2:4">
      <c r="B135" s="539"/>
      <c r="C135" s="539"/>
      <c r="D135" s="540"/>
    </row>
    <row r="136" spans="2:4">
      <c r="B136" s="539"/>
      <c r="C136" s="539"/>
      <c r="D136" s="540"/>
    </row>
    <row r="137" spans="2:4">
      <c r="B137" s="539"/>
      <c r="C137" s="539"/>
      <c r="D137" s="540"/>
    </row>
    <row r="138" spans="2:4">
      <c r="B138" s="539"/>
      <c r="C138" s="539"/>
      <c r="D138" s="540"/>
    </row>
    <row r="139" spans="2:4">
      <c r="B139" s="539"/>
      <c r="C139" s="539"/>
      <c r="D139" s="540"/>
    </row>
    <row r="140" spans="2:4">
      <c r="B140" s="539"/>
      <c r="C140" s="539"/>
      <c r="D140" s="540"/>
    </row>
    <row r="141" spans="2:4">
      <c r="B141" s="539"/>
      <c r="C141" s="539"/>
      <c r="D141" s="540"/>
    </row>
    <row r="142" spans="2:4">
      <c r="B142" s="539"/>
      <c r="C142" s="539"/>
      <c r="D142" s="540"/>
    </row>
    <row r="143" spans="2:4">
      <c r="B143" s="539"/>
      <c r="C143" s="539"/>
      <c r="D143" s="540"/>
    </row>
    <row r="144" spans="2:4">
      <c r="B144" s="539"/>
      <c r="C144" s="539"/>
      <c r="D144" s="540"/>
    </row>
    <row r="145" spans="2:4">
      <c r="B145" s="539"/>
      <c r="C145" s="539"/>
      <c r="D145" s="540"/>
    </row>
    <row r="146" spans="2:4">
      <c r="B146" s="539"/>
      <c r="C146" s="539"/>
      <c r="D146" s="540"/>
    </row>
    <row r="147" spans="2:4">
      <c r="B147" s="539"/>
      <c r="C147" s="539"/>
      <c r="D147" s="540"/>
    </row>
    <row r="148" spans="2:4">
      <c r="B148" s="539"/>
      <c r="C148" s="539"/>
      <c r="D148" s="540"/>
    </row>
    <row r="149" spans="2:4">
      <c r="B149" s="539"/>
      <c r="C149" s="539"/>
      <c r="D149" s="540"/>
    </row>
    <row r="150" spans="2:4">
      <c r="B150" s="539"/>
      <c r="C150" s="539"/>
      <c r="D150" s="540"/>
    </row>
    <row r="151" spans="2:4">
      <c r="B151" s="539"/>
      <c r="C151" s="539"/>
      <c r="D151" s="540"/>
    </row>
    <row r="152" spans="2:4">
      <c r="B152" s="539"/>
      <c r="C152" s="539"/>
      <c r="D152" s="540"/>
    </row>
    <row r="153" spans="2:4">
      <c r="B153" s="539"/>
      <c r="C153" s="539"/>
      <c r="D153" s="540"/>
    </row>
    <row r="154" spans="2:4">
      <c r="B154" s="539"/>
      <c r="C154" s="539"/>
      <c r="D154" s="540"/>
    </row>
    <row r="155" spans="2:4">
      <c r="B155" s="539"/>
      <c r="C155" s="539"/>
      <c r="D155" s="540"/>
    </row>
    <row r="156" spans="2:4">
      <c r="B156" s="539"/>
      <c r="C156" s="539"/>
      <c r="D156" s="540"/>
    </row>
    <row r="157" spans="2:4">
      <c r="B157" s="539"/>
      <c r="C157" s="539"/>
      <c r="D157" s="540"/>
    </row>
    <row r="158" spans="2:4">
      <c r="B158" s="539"/>
      <c r="C158" s="539"/>
      <c r="D158" s="540"/>
    </row>
    <row r="159" spans="2:4">
      <c r="B159" s="539"/>
      <c r="C159" s="539"/>
      <c r="D159" s="540"/>
    </row>
    <row r="160" spans="2:4">
      <c r="B160" s="539"/>
      <c r="C160" s="539"/>
      <c r="D160" s="540"/>
    </row>
    <row r="161" spans="2:4">
      <c r="B161" s="539"/>
      <c r="C161" s="539"/>
      <c r="D161" s="540"/>
    </row>
    <row r="162" spans="2:4">
      <c r="B162" s="539"/>
      <c r="C162" s="539"/>
      <c r="D162" s="540"/>
    </row>
    <row r="163" spans="2:4">
      <c r="B163" s="539"/>
      <c r="C163" s="539"/>
      <c r="D163" s="540"/>
    </row>
    <row r="164" spans="2:4">
      <c r="B164" s="539"/>
      <c r="C164" s="539"/>
      <c r="D164" s="540"/>
    </row>
    <row r="165" spans="2:4">
      <c r="B165" s="539"/>
      <c r="C165" s="539"/>
      <c r="D165" s="540"/>
    </row>
    <row r="166" spans="2:4">
      <c r="B166" s="539"/>
      <c r="C166" s="539"/>
      <c r="D166" s="540"/>
    </row>
    <row r="167" spans="2:4">
      <c r="B167" s="539"/>
      <c r="C167" s="539"/>
      <c r="D167" s="540"/>
    </row>
    <row r="168" spans="2:4">
      <c r="B168" s="539"/>
      <c r="C168" s="539"/>
      <c r="D168" s="540"/>
    </row>
    <row r="169" spans="2:4">
      <c r="B169" s="539"/>
      <c r="C169" s="539"/>
      <c r="D169" s="540"/>
    </row>
    <row r="170" spans="2:4">
      <c r="B170" s="539"/>
      <c r="C170" s="539"/>
      <c r="D170" s="540"/>
    </row>
    <row r="171" spans="2:4">
      <c r="B171" s="539"/>
      <c r="C171" s="539"/>
      <c r="D171" s="540"/>
    </row>
    <row r="172" spans="2:4">
      <c r="B172" s="539"/>
      <c r="C172" s="539"/>
      <c r="D172" s="540"/>
    </row>
    <row r="173" spans="2:4">
      <c r="B173" s="539"/>
      <c r="C173" s="539"/>
      <c r="D173" s="540"/>
    </row>
    <row r="174" spans="2:4">
      <c r="B174" s="539"/>
      <c r="C174" s="539"/>
      <c r="D174" s="540"/>
    </row>
    <row r="175" spans="2:4">
      <c r="B175" s="539"/>
      <c r="C175" s="539"/>
      <c r="D175" s="540"/>
    </row>
    <row r="176" spans="2:4">
      <c r="B176" s="539"/>
      <c r="C176" s="539"/>
      <c r="D176" s="540"/>
    </row>
    <row r="177" spans="2:4">
      <c r="B177" s="539"/>
      <c r="C177" s="539"/>
      <c r="D177" s="540"/>
    </row>
    <row r="178" spans="2:4">
      <c r="B178" s="539"/>
      <c r="C178" s="539"/>
      <c r="D178" s="540"/>
    </row>
    <row r="179" spans="2:4">
      <c r="B179" s="539"/>
      <c r="C179" s="539"/>
      <c r="D179" s="540"/>
    </row>
    <row r="180" spans="2:4">
      <c r="B180" s="539"/>
      <c r="C180" s="539"/>
      <c r="D180" s="540"/>
    </row>
    <row r="181" spans="2:4">
      <c r="B181" s="539"/>
      <c r="C181" s="539"/>
      <c r="D181" s="540"/>
    </row>
    <row r="182" spans="2:4">
      <c r="B182" s="539"/>
      <c r="C182" s="539"/>
      <c r="D182" s="540"/>
    </row>
    <row r="183" spans="2:4">
      <c r="B183" s="539"/>
      <c r="C183" s="539"/>
      <c r="D183" s="540"/>
    </row>
    <row r="184" spans="2:4">
      <c r="B184" s="539"/>
      <c r="C184" s="539"/>
      <c r="D184" s="540"/>
    </row>
    <row r="185" spans="2:4">
      <c r="B185" s="539"/>
      <c r="C185" s="539"/>
      <c r="D185" s="540"/>
    </row>
    <row r="186" spans="2:4">
      <c r="B186" s="539"/>
      <c r="C186" s="539"/>
      <c r="D186" s="540"/>
    </row>
    <row r="187" spans="2:4">
      <c r="B187" s="539"/>
      <c r="C187" s="539"/>
      <c r="D187" s="540"/>
    </row>
    <row r="188" spans="2:4">
      <c r="B188" s="539"/>
      <c r="C188" s="539"/>
      <c r="D188" s="540"/>
    </row>
    <row r="189" spans="2:4">
      <c r="B189" s="539"/>
      <c r="C189" s="539"/>
      <c r="D189" s="540"/>
    </row>
    <row r="190" spans="2:4">
      <c r="B190" s="539"/>
      <c r="C190" s="539"/>
      <c r="D190" s="540"/>
    </row>
    <row r="191" spans="2:4">
      <c r="B191" s="539"/>
      <c r="C191" s="539"/>
      <c r="D191" s="540"/>
    </row>
    <row r="192" spans="2:4">
      <c r="B192" s="539"/>
      <c r="C192" s="539"/>
      <c r="D192" s="540"/>
    </row>
    <row r="193" spans="2:4">
      <c r="B193" s="539"/>
      <c r="C193" s="539"/>
      <c r="D193" s="540"/>
    </row>
    <row r="194" spans="2:4">
      <c r="B194" s="539"/>
      <c r="C194" s="539"/>
      <c r="D194" s="540"/>
    </row>
    <row r="195" spans="2:4">
      <c r="B195" s="539"/>
      <c r="C195" s="539"/>
      <c r="D195" s="540"/>
    </row>
    <row r="196" spans="2:4">
      <c r="B196" s="539"/>
      <c r="C196" s="539"/>
      <c r="D196" s="540"/>
    </row>
    <row r="197" spans="2:4">
      <c r="B197" s="539"/>
      <c r="C197" s="539"/>
      <c r="D197" s="540"/>
    </row>
    <row r="198" spans="2:4">
      <c r="B198" s="539"/>
      <c r="C198" s="539"/>
      <c r="D198" s="540"/>
    </row>
    <row r="199" spans="2:4">
      <c r="B199" s="539"/>
      <c r="C199" s="539"/>
      <c r="D199" s="540"/>
    </row>
    <row r="200" spans="2:4">
      <c r="B200" s="539"/>
      <c r="C200" s="539"/>
      <c r="D200" s="540"/>
    </row>
    <row r="201" spans="2:4">
      <c r="B201" s="539"/>
      <c r="C201" s="539"/>
      <c r="D201" s="540"/>
    </row>
    <row r="202" spans="2:4">
      <c r="B202" s="539"/>
      <c r="C202" s="539"/>
      <c r="D202" s="540"/>
    </row>
    <row r="203" spans="2:4">
      <c r="B203" s="539"/>
      <c r="C203" s="539"/>
      <c r="D203" s="540"/>
    </row>
    <row r="204" spans="2:4">
      <c r="B204" s="539"/>
      <c r="C204" s="539"/>
      <c r="D204" s="540"/>
    </row>
    <row r="205" spans="2:4">
      <c r="B205" s="539"/>
      <c r="C205" s="539"/>
      <c r="D205" s="540"/>
    </row>
    <row r="206" spans="2:4">
      <c r="B206" s="539"/>
      <c r="C206" s="539"/>
      <c r="D206" s="540"/>
    </row>
    <row r="207" spans="2:4">
      <c r="B207" s="539"/>
      <c r="C207" s="539"/>
      <c r="D207" s="540"/>
    </row>
    <row r="208" spans="2:4">
      <c r="B208" s="539"/>
      <c r="C208" s="539"/>
      <c r="D208" s="540"/>
    </row>
    <row r="209" spans="2:4">
      <c r="B209" s="539"/>
      <c r="C209" s="539"/>
      <c r="D209" s="540"/>
    </row>
    <row r="210" spans="2:4">
      <c r="B210" s="539"/>
      <c r="C210" s="539"/>
      <c r="D210" s="540"/>
    </row>
    <row r="211" spans="2:4">
      <c r="B211" s="539"/>
      <c r="C211" s="539"/>
      <c r="D211" s="540"/>
    </row>
    <row r="212" spans="2:4">
      <c r="B212" s="539"/>
      <c r="C212" s="539"/>
      <c r="D212" s="540"/>
    </row>
    <row r="213" spans="2:4">
      <c r="B213" s="539"/>
      <c r="C213" s="539"/>
      <c r="D213" s="540"/>
    </row>
    <row r="214" spans="2:4">
      <c r="B214" s="539"/>
      <c r="C214" s="539"/>
      <c r="D214" s="540"/>
    </row>
    <row r="215" spans="2:4">
      <c r="B215" s="539"/>
      <c r="C215" s="539"/>
      <c r="D215" s="540"/>
    </row>
    <row r="216" spans="2:4">
      <c r="B216" s="539"/>
      <c r="C216" s="539"/>
      <c r="D216" s="540"/>
    </row>
    <row r="217" spans="2:4">
      <c r="B217" s="539"/>
      <c r="C217" s="539"/>
      <c r="D217" s="540"/>
    </row>
    <row r="218" spans="2:4">
      <c r="B218" s="539"/>
      <c r="C218" s="539"/>
      <c r="D218" s="540"/>
    </row>
    <row r="219" spans="2:4">
      <c r="B219" s="539"/>
      <c r="C219" s="539"/>
      <c r="D219" s="540"/>
    </row>
    <row r="220" spans="2:4">
      <c r="B220" s="539"/>
      <c r="C220" s="539"/>
      <c r="D220" s="540"/>
    </row>
    <row r="221" spans="2:4">
      <c r="B221" s="539"/>
      <c r="C221" s="539"/>
      <c r="D221" s="540"/>
    </row>
    <row r="222" spans="2:4">
      <c r="B222" s="539"/>
      <c r="C222" s="539"/>
      <c r="D222" s="540"/>
    </row>
    <row r="223" spans="2:4">
      <c r="B223" s="539"/>
      <c r="C223" s="539"/>
      <c r="D223" s="540"/>
    </row>
    <row r="224" spans="2:4">
      <c r="B224" s="539"/>
      <c r="C224" s="539"/>
      <c r="D224" s="540"/>
    </row>
    <row r="225" spans="2:4">
      <c r="B225" s="539"/>
      <c r="C225" s="539"/>
      <c r="D225" s="540"/>
    </row>
    <row r="226" spans="2:4">
      <c r="B226" s="539"/>
      <c r="C226" s="539"/>
      <c r="D226" s="540"/>
    </row>
    <row r="227" spans="2:4">
      <c r="B227" s="539"/>
      <c r="C227" s="539"/>
      <c r="D227" s="540"/>
    </row>
    <row r="228" spans="2:4">
      <c r="B228" s="539"/>
      <c r="C228" s="539"/>
      <c r="D228" s="540"/>
    </row>
    <row r="229" spans="2:4">
      <c r="B229" s="539"/>
      <c r="C229" s="539"/>
      <c r="D229" s="540"/>
    </row>
    <row r="230" spans="2:4">
      <c r="B230" s="539"/>
      <c r="C230" s="539"/>
      <c r="D230" s="540"/>
    </row>
    <row r="231" spans="2:4">
      <c r="B231" s="539"/>
      <c r="C231" s="539"/>
      <c r="D231" s="540"/>
    </row>
    <row r="232" spans="2:4">
      <c r="B232" s="539"/>
      <c r="C232" s="539"/>
      <c r="D232" s="540"/>
    </row>
    <row r="233" spans="2:4">
      <c r="B233" s="539"/>
      <c r="C233" s="539"/>
      <c r="D233" s="540"/>
    </row>
    <row r="234" spans="2:4">
      <c r="B234" s="539"/>
      <c r="C234" s="539"/>
      <c r="D234" s="540"/>
    </row>
    <row r="235" spans="2:4">
      <c r="B235" s="539"/>
      <c r="C235" s="539"/>
      <c r="D235" s="540"/>
    </row>
    <row r="236" spans="2:4">
      <c r="B236" s="539"/>
      <c r="C236" s="539"/>
      <c r="D236" s="540"/>
    </row>
    <row r="237" spans="2:4">
      <c r="B237" s="539"/>
      <c r="C237" s="539"/>
      <c r="D237" s="540"/>
    </row>
    <row r="238" spans="2:4">
      <c r="B238" s="539"/>
      <c r="C238" s="539"/>
      <c r="D238" s="540"/>
    </row>
    <row r="239" spans="2:4">
      <c r="B239" s="539"/>
      <c r="C239" s="539"/>
      <c r="D239" s="540"/>
    </row>
    <row r="240" spans="2:4">
      <c r="B240" s="539"/>
      <c r="C240" s="539"/>
      <c r="D240" s="540"/>
    </row>
    <row r="241" spans="2:4">
      <c r="B241" s="539"/>
      <c r="C241" s="539"/>
      <c r="D241" s="540"/>
    </row>
    <row r="242" spans="2:4">
      <c r="B242" s="539"/>
      <c r="C242" s="539"/>
      <c r="D242" s="540"/>
    </row>
    <row r="243" spans="2:4">
      <c r="B243" s="539"/>
      <c r="C243" s="539"/>
      <c r="D243" s="540"/>
    </row>
    <row r="244" spans="2:4">
      <c r="B244" s="539"/>
      <c r="C244" s="539"/>
      <c r="D244" s="540"/>
    </row>
    <row r="245" spans="2:4">
      <c r="B245" s="539"/>
      <c r="C245" s="539"/>
      <c r="D245" s="540"/>
    </row>
    <row r="246" spans="2:4">
      <c r="B246" s="539"/>
      <c r="C246" s="539"/>
      <c r="D246" s="540"/>
    </row>
    <row r="247" spans="2:4">
      <c r="B247" s="539"/>
      <c r="C247" s="539"/>
      <c r="D247" s="540"/>
    </row>
    <row r="248" spans="2:4">
      <c r="B248" s="539"/>
      <c r="C248" s="539"/>
      <c r="D248" s="540"/>
    </row>
    <row r="249" spans="2:4">
      <c r="B249" s="539"/>
      <c r="C249" s="539"/>
      <c r="D249" s="540"/>
    </row>
    <row r="250" spans="2:4">
      <c r="B250" s="539"/>
      <c r="C250" s="539"/>
      <c r="D250" s="540"/>
    </row>
    <row r="251" spans="2:4">
      <c r="B251" s="539"/>
      <c r="C251" s="539"/>
      <c r="D251" s="540"/>
    </row>
    <row r="252" spans="2:4">
      <c r="B252" s="539"/>
      <c r="C252" s="539"/>
      <c r="D252" s="540"/>
    </row>
    <row r="253" spans="2:4">
      <c r="B253" s="539"/>
      <c r="C253" s="539"/>
      <c r="D253" s="540"/>
    </row>
    <row r="254" spans="2:4">
      <c r="B254" s="539"/>
      <c r="C254" s="539"/>
      <c r="D254" s="540"/>
    </row>
    <row r="255" spans="2:4">
      <c r="B255" s="539"/>
      <c r="C255" s="539"/>
      <c r="D255" s="540"/>
    </row>
    <row r="256" spans="2:4">
      <c r="B256" s="539"/>
      <c r="C256" s="539"/>
      <c r="D256" s="540"/>
    </row>
    <row r="257" spans="2:4">
      <c r="B257" s="539"/>
      <c r="C257" s="539"/>
      <c r="D257" s="540"/>
    </row>
    <row r="258" spans="2:4">
      <c r="B258" s="539"/>
      <c r="C258" s="539"/>
      <c r="D258" s="540"/>
    </row>
    <row r="259" spans="2:4">
      <c r="B259" s="539"/>
      <c r="C259" s="539"/>
      <c r="D259" s="540"/>
    </row>
    <row r="260" spans="2:4">
      <c r="B260" s="539"/>
      <c r="C260" s="539"/>
      <c r="D260" s="540"/>
    </row>
  </sheetData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>
    <tabColor rgb="FFFF0000"/>
  </sheetPr>
  <dimension ref="A1"/>
  <sheetViews>
    <sheetView showGridLines="0" zoomScale="50" zoomScaleNormal="50" workbookViewId="0">
      <selection activeCell="AI20" sqref="AI20"/>
    </sheetView>
  </sheetViews>
  <sheetFormatPr defaultRowHeight="15"/>
  <cols>
    <col min="5" max="6" width="6.25" customWidth="1"/>
    <col min="11" max="12" width="4.875" customWidth="1"/>
    <col min="17" max="18" width="6.5" customWidth="1"/>
    <col min="23" max="24" width="6.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>
    <tabColor theme="3"/>
  </sheetPr>
  <dimension ref="A1:I516"/>
  <sheetViews>
    <sheetView showGridLines="0" zoomScale="85" zoomScaleNormal="85" workbookViewId="0">
      <selection activeCell="E1" sqref="E1:H11"/>
    </sheetView>
  </sheetViews>
  <sheetFormatPr defaultRowHeight="14.25" customHeight="1" outlineLevelCol="1"/>
  <cols>
    <col min="1" max="1" width="18.125" style="328" customWidth="1" outlineLevel="1"/>
    <col min="2" max="2" width="9.375" style="328" customWidth="1" outlineLevel="1"/>
    <col min="3" max="3" width="11.625" style="328" customWidth="1" outlineLevel="1"/>
    <col min="4" max="4" width="2.625" customWidth="1"/>
    <col min="5" max="5" width="9.375" style="328" customWidth="1" outlineLevel="1"/>
    <col min="6" max="7" width="0" hidden="1" customWidth="1"/>
    <col min="10" max="10" width="3.75" customWidth="1"/>
  </cols>
  <sheetData>
    <row r="1" spans="1:9" ht="14.25" customHeight="1">
      <c r="A1" s="558" t="s">
        <v>765</v>
      </c>
      <c r="B1" s="445" t="s">
        <v>628</v>
      </c>
      <c r="C1" s="446">
        <f>COUNTA(HE!B:B)+1</f>
        <v>2</v>
      </c>
      <c r="E1" s="445" t="s">
        <v>628</v>
      </c>
      <c r="F1" s="454" t="s">
        <v>612</v>
      </c>
      <c r="G1" s="455" t="s">
        <v>613</v>
      </c>
      <c r="H1" s="456" t="s">
        <v>610</v>
      </c>
      <c r="I1" s="457" t="s">
        <v>611</v>
      </c>
    </row>
    <row r="2" spans="1:9" ht="14.25" customHeight="1">
      <c r="A2" s="559" t="s">
        <v>827</v>
      </c>
      <c r="B2" s="448">
        <v>0</v>
      </c>
      <c r="C2" s="453" t="s">
        <v>610</v>
      </c>
      <c r="D2" s="360"/>
      <c r="E2" s="448">
        <v>0</v>
      </c>
      <c r="F2" s="122"/>
      <c r="G2" s="122"/>
      <c r="H2" s="122">
        <v>17</v>
      </c>
      <c r="I2" s="122"/>
    </row>
    <row r="3" spans="1:9" ht="14.25" customHeight="1">
      <c r="A3" s="560" t="s">
        <v>828</v>
      </c>
      <c r="B3" s="448">
        <v>0</v>
      </c>
      <c r="C3" s="451" t="s">
        <v>610</v>
      </c>
      <c r="E3" s="448">
        <v>0.26388888888888901</v>
      </c>
      <c r="F3" s="122"/>
      <c r="G3" s="122"/>
      <c r="H3" s="122">
        <v>19</v>
      </c>
      <c r="I3" s="122"/>
    </row>
    <row r="4" spans="1:9" ht="14.25" customHeight="1">
      <c r="A4" s="560" t="s">
        <v>829</v>
      </c>
      <c r="B4" s="448">
        <v>0</v>
      </c>
      <c r="C4" s="451" t="s">
        <v>610</v>
      </c>
      <c r="E4" s="448">
        <v>0.29166666666666702</v>
      </c>
      <c r="F4" s="122"/>
      <c r="G4" s="122"/>
      <c r="H4" s="122">
        <v>33</v>
      </c>
      <c r="I4" s="122"/>
    </row>
    <row r="5" spans="1:9" ht="14.25" customHeight="1">
      <c r="A5" s="560" t="s">
        <v>830</v>
      </c>
      <c r="B5" s="448">
        <v>0</v>
      </c>
      <c r="C5" s="451" t="s">
        <v>610</v>
      </c>
      <c r="E5" s="448">
        <v>0.33333333333333298</v>
      </c>
      <c r="F5" s="122"/>
      <c r="G5" s="122"/>
      <c r="H5" s="122">
        <v>92</v>
      </c>
      <c r="I5" s="122"/>
    </row>
    <row r="6" spans="1:9" ht="14.25" customHeight="1">
      <c r="A6" s="560" t="s">
        <v>831</v>
      </c>
      <c r="B6" s="448">
        <v>0</v>
      </c>
      <c r="C6" s="451" t="s">
        <v>610</v>
      </c>
      <c r="E6" s="448">
        <v>0.375</v>
      </c>
      <c r="F6" s="122"/>
      <c r="G6" s="122"/>
      <c r="H6" s="122">
        <v>60</v>
      </c>
      <c r="I6" s="122"/>
    </row>
    <row r="7" spans="1:9" ht="14.25" customHeight="1">
      <c r="A7" s="560" t="s">
        <v>832</v>
      </c>
      <c r="B7" s="448">
        <v>0</v>
      </c>
      <c r="C7" s="451" t="s">
        <v>610</v>
      </c>
      <c r="E7" s="448">
        <v>0.41666666666666702</v>
      </c>
      <c r="F7" s="122"/>
      <c r="G7" s="122"/>
      <c r="H7" s="122">
        <v>84</v>
      </c>
      <c r="I7" s="122"/>
    </row>
    <row r="8" spans="1:9" ht="14.25" customHeight="1">
      <c r="A8" s="560" t="s">
        <v>833</v>
      </c>
      <c r="B8" s="448">
        <v>0</v>
      </c>
      <c r="C8" s="451" t="s">
        <v>610</v>
      </c>
      <c r="E8" s="448">
        <v>0.59722222222222199</v>
      </c>
      <c r="F8" s="122"/>
      <c r="G8" s="122"/>
      <c r="H8" s="122">
        <v>88</v>
      </c>
      <c r="I8" s="122"/>
    </row>
    <row r="9" spans="1:9" ht="14.25" customHeight="1">
      <c r="A9" s="560" t="s">
        <v>834</v>
      </c>
      <c r="B9" s="448">
        <v>0</v>
      </c>
      <c r="C9" s="451" t="s">
        <v>610</v>
      </c>
      <c r="E9" s="448">
        <v>0.63888888888888895</v>
      </c>
      <c r="F9" s="122"/>
      <c r="G9" s="122"/>
      <c r="H9" s="122">
        <v>70</v>
      </c>
      <c r="I9" s="122"/>
    </row>
    <row r="10" spans="1:9" ht="14.25" customHeight="1">
      <c r="A10" s="560" t="s">
        <v>835</v>
      </c>
      <c r="B10" s="448">
        <v>0</v>
      </c>
      <c r="C10" s="451" t="s">
        <v>610</v>
      </c>
      <c r="E10" s="448">
        <v>0.68055555555555503</v>
      </c>
      <c r="F10" s="122"/>
      <c r="G10" s="122"/>
      <c r="H10" s="122">
        <v>17</v>
      </c>
      <c r="I10" s="122"/>
    </row>
    <row r="11" spans="1:9" ht="14.25" customHeight="1">
      <c r="A11" s="560" t="s">
        <v>836</v>
      </c>
      <c r="B11" s="448">
        <v>0</v>
      </c>
      <c r="C11" s="451" t="s">
        <v>610</v>
      </c>
      <c r="E11" s="448">
        <v>0.73611111111111105</v>
      </c>
      <c r="F11" s="122"/>
      <c r="G11" s="122"/>
      <c r="H11" s="122">
        <v>17</v>
      </c>
      <c r="I11" s="122"/>
    </row>
    <row r="12" spans="1:9" ht="14.25" customHeight="1">
      <c r="A12" s="560" t="s">
        <v>837</v>
      </c>
      <c r="B12" s="448">
        <v>0</v>
      </c>
      <c r="C12" s="451" t="s">
        <v>610</v>
      </c>
      <c r="E12" s="448"/>
      <c r="F12" s="122"/>
      <c r="G12" s="122"/>
      <c r="H12" s="122"/>
      <c r="I12" s="122"/>
    </row>
    <row r="13" spans="1:9" ht="14.25" customHeight="1">
      <c r="A13" s="560" t="s">
        <v>846</v>
      </c>
      <c r="B13" s="448">
        <v>0</v>
      </c>
      <c r="C13" s="451" t="s">
        <v>610</v>
      </c>
      <c r="E13"/>
      <c r="F13" s="122"/>
      <c r="G13" s="122"/>
      <c r="H13" s="122"/>
      <c r="I13" s="122"/>
    </row>
    <row r="14" spans="1:9" ht="14.25" customHeight="1">
      <c r="A14" s="560" t="s">
        <v>847</v>
      </c>
      <c r="B14" s="448">
        <v>0</v>
      </c>
      <c r="C14" s="451" t="s">
        <v>610</v>
      </c>
      <c r="E14"/>
      <c r="F14" s="122"/>
      <c r="G14" s="122"/>
      <c r="H14" s="122"/>
      <c r="I14" s="122"/>
    </row>
    <row r="15" spans="1:9" ht="14.25" customHeight="1">
      <c r="A15" s="560" t="s">
        <v>848</v>
      </c>
      <c r="B15" s="448">
        <v>0</v>
      </c>
      <c r="C15" s="451" t="s">
        <v>610</v>
      </c>
      <c r="E15"/>
      <c r="F15" s="122"/>
      <c r="G15" s="122"/>
      <c r="H15" s="122"/>
      <c r="I15" s="122"/>
    </row>
    <row r="16" spans="1:9" ht="14.25" customHeight="1">
      <c r="A16" s="560" t="s">
        <v>849</v>
      </c>
      <c r="B16" s="448">
        <v>0</v>
      </c>
      <c r="C16" s="451" t="s">
        <v>610</v>
      </c>
      <c r="E16"/>
      <c r="F16" s="122"/>
      <c r="G16" s="122"/>
      <c r="H16" s="122"/>
      <c r="I16" s="122"/>
    </row>
    <row r="17" spans="1:5" ht="14.25" customHeight="1">
      <c r="A17" s="560" t="s">
        <v>894</v>
      </c>
      <c r="B17" s="448">
        <v>0</v>
      </c>
      <c r="C17" s="451" t="s">
        <v>610</v>
      </c>
      <c r="E17"/>
    </row>
    <row r="18" spans="1:5" ht="14.25" customHeight="1">
      <c r="A18" s="560" t="s">
        <v>895</v>
      </c>
      <c r="B18" s="448">
        <v>0</v>
      </c>
      <c r="C18" s="451" t="s">
        <v>610</v>
      </c>
      <c r="E18"/>
    </row>
    <row r="19" spans="1:5" ht="14.25" customHeight="1">
      <c r="A19" s="560" t="s">
        <v>896</v>
      </c>
      <c r="B19" s="448">
        <v>0.26388888888888901</v>
      </c>
      <c r="C19" s="451" t="s">
        <v>610</v>
      </c>
      <c r="E19"/>
    </row>
    <row r="20" spans="1:5" ht="14.25" customHeight="1">
      <c r="A20" s="560" t="s">
        <v>897</v>
      </c>
      <c r="B20" s="448">
        <v>0.26388888888888901</v>
      </c>
      <c r="C20" s="451" t="s">
        <v>610</v>
      </c>
      <c r="E20"/>
    </row>
    <row r="21" spans="1:5" ht="14.25" customHeight="1">
      <c r="A21" s="560" t="s">
        <v>898</v>
      </c>
      <c r="B21" s="448">
        <v>0.26388888888888901</v>
      </c>
      <c r="C21" s="451" t="s">
        <v>610</v>
      </c>
      <c r="E21"/>
    </row>
    <row r="22" spans="1:5" ht="14.25" customHeight="1">
      <c r="A22" s="560" t="s">
        <v>899</v>
      </c>
      <c r="B22" s="448">
        <v>0.26388888888888901</v>
      </c>
      <c r="C22" s="451" t="s">
        <v>610</v>
      </c>
      <c r="E22"/>
    </row>
    <row r="23" spans="1:5" ht="14.25" customHeight="1">
      <c r="A23" s="560" t="s">
        <v>900</v>
      </c>
      <c r="B23" s="448">
        <v>0.26388888888888901</v>
      </c>
      <c r="C23" s="451" t="s">
        <v>610</v>
      </c>
      <c r="E23"/>
    </row>
    <row r="24" spans="1:5" ht="14.25" customHeight="1">
      <c r="A24" s="560" t="s">
        <v>901</v>
      </c>
      <c r="B24" s="448">
        <v>0.26388888888888901</v>
      </c>
      <c r="C24" s="451" t="s">
        <v>610</v>
      </c>
      <c r="E24"/>
    </row>
    <row r="25" spans="1:5" ht="14.25" customHeight="1">
      <c r="A25" s="560" t="s">
        <v>902</v>
      </c>
      <c r="B25" s="448">
        <v>0.26388888888888901</v>
      </c>
      <c r="C25" s="451" t="s">
        <v>610</v>
      </c>
      <c r="E25"/>
    </row>
    <row r="26" spans="1:5" ht="14.25" customHeight="1">
      <c r="A26" s="447" t="s">
        <v>903</v>
      </c>
      <c r="B26" s="448">
        <v>0.26388888888888901</v>
      </c>
      <c r="C26" s="451" t="s">
        <v>610</v>
      </c>
      <c r="E26"/>
    </row>
    <row r="27" spans="1:5" ht="14.25" customHeight="1">
      <c r="A27" s="447" t="s">
        <v>904</v>
      </c>
      <c r="B27" s="448">
        <v>0.26388888888888901</v>
      </c>
      <c r="C27" s="451" t="s">
        <v>610</v>
      </c>
      <c r="E27"/>
    </row>
    <row r="28" spans="1:5" ht="14.25" customHeight="1">
      <c r="A28" s="447" t="s">
        <v>905</v>
      </c>
      <c r="B28" s="448">
        <v>0.26388888888888901</v>
      </c>
      <c r="C28" s="451" t="s">
        <v>610</v>
      </c>
      <c r="E28"/>
    </row>
    <row r="29" spans="1:5" ht="14.25" customHeight="1">
      <c r="A29" s="447" t="s">
        <v>906</v>
      </c>
      <c r="B29" s="448">
        <v>0.26388888888888901</v>
      </c>
      <c r="C29" s="451" t="s">
        <v>610</v>
      </c>
      <c r="E29"/>
    </row>
    <row r="30" spans="1:5" ht="14.25" customHeight="1">
      <c r="A30" s="447" t="s">
        <v>907</v>
      </c>
      <c r="B30" s="448">
        <v>0.26388888888888901</v>
      </c>
      <c r="C30" s="451" t="s">
        <v>610</v>
      </c>
      <c r="E30"/>
    </row>
    <row r="31" spans="1:5" ht="14.25" customHeight="1">
      <c r="A31" s="447" t="s">
        <v>908</v>
      </c>
      <c r="B31" s="448">
        <v>0.26388888888888901</v>
      </c>
      <c r="C31" s="451" t="s">
        <v>610</v>
      </c>
      <c r="E31"/>
    </row>
    <row r="32" spans="1:5" ht="14.25" customHeight="1">
      <c r="A32" s="447" t="s">
        <v>909</v>
      </c>
      <c r="B32" s="448">
        <v>0.26388888888888901</v>
      </c>
      <c r="C32" s="451" t="s">
        <v>610</v>
      </c>
      <c r="E32"/>
    </row>
    <row r="33" spans="1:5" ht="14.25" customHeight="1">
      <c r="A33" s="447" t="s">
        <v>910</v>
      </c>
      <c r="B33" s="448">
        <v>0.26388888888888901</v>
      </c>
      <c r="C33" s="451" t="s">
        <v>610</v>
      </c>
      <c r="E33"/>
    </row>
    <row r="34" spans="1:5" ht="14.25" customHeight="1">
      <c r="A34" s="447" t="s">
        <v>911</v>
      </c>
      <c r="B34" s="448">
        <v>0.26388888888888901</v>
      </c>
      <c r="C34" s="451" t="s">
        <v>610</v>
      </c>
      <c r="E34"/>
    </row>
    <row r="35" spans="1:5" ht="14.25" customHeight="1">
      <c r="A35" s="447" t="s">
        <v>912</v>
      </c>
      <c r="B35" s="448">
        <v>0.26388888888888901</v>
      </c>
      <c r="C35" s="451" t="s">
        <v>610</v>
      </c>
      <c r="E35"/>
    </row>
    <row r="36" spans="1:5" ht="14.25" customHeight="1">
      <c r="A36" s="447" t="s">
        <v>913</v>
      </c>
      <c r="B36" s="448">
        <v>0.26388888888888901</v>
      </c>
      <c r="C36" s="451" t="s">
        <v>610</v>
      </c>
      <c r="E36"/>
    </row>
    <row r="37" spans="1:5" ht="14.25" customHeight="1">
      <c r="A37" s="447" t="s">
        <v>914</v>
      </c>
      <c r="B37" s="448">
        <v>0.26388888888888901</v>
      </c>
      <c r="C37" s="451" t="s">
        <v>610</v>
      </c>
      <c r="E37"/>
    </row>
    <row r="38" spans="1:5" ht="14.25" customHeight="1">
      <c r="A38" s="447" t="s">
        <v>915</v>
      </c>
      <c r="B38" s="448">
        <v>0.29166666666666702</v>
      </c>
      <c r="C38" s="451" t="s">
        <v>610</v>
      </c>
      <c r="E38"/>
    </row>
    <row r="39" spans="1:5" ht="14.25" customHeight="1">
      <c r="A39" s="447" t="s">
        <v>916</v>
      </c>
      <c r="B39" s="448">
        <v>0.29166666666666702</v>
      </c>
      <c r="C39" s="451" t="s">
        <v>610</v>
      </c>
      <c r="E39"/>
    </row>
    <row r="40" spans="1:5" ht="14.25" customHeight="1">
      <c r="A40" s="447" t="s">
        <v>917</v>
      </c>
      <c r="B40" s="448">
        <v>0.29166666666666702</v>
      </c>
      <c r="C40" s="451" t="s">
        <v>610</v>
      </c>
      <c r="E40"/>
    </row>
    <row r="41" spans="1:5" ht="14.25" customHeight="1">
      <c r="A41" s="447" t="s">
        <v>918</v>
      </c>
      <c r="B41" s="448">
        <v>0.29166666666666702</v>
      </c>
      <c r="C41" s="451" t="s">
        <v>610</v>
      </c>
      <c r="E41"/>
    </row>
    <row r="42" spans="1:5" ht="14.25" customHeight="1">
      <c r="A42" s="447" t="s">
        <v>919</v>
      </c>
      <c r="B42" s="448">
        <v>0.29166666666666702</v>
      </c>
      <c r="C42" s="451" t="s">
        <v>610</v>
      </c>
      <c r="E42"/>
    </row>
    <row r="43" spans="1:5" ht="14.25" customHeight="1">
      <c r="A43" s="447" t="s">
        <v>920</v>
      </c>
      <c r="B43" s="448">
        <v>0.29166666666666702</v>
      </c>
      <c r="C43" s="451" t="s">
        <v>610</v>
      </c>
      <c r="E43"/>
    </row>
    <row r="44" spans="1:5" ht="14.25" customHeight="1">
      <c r="A44" s="447" t="s">
        <v>921</v>
      </c>
      <c r="B44" s="448">
        <v>0.29166666666666702</v>
      </c>
      <c r="C44" s="451" t="s">
        <v>610</v>
      </c>
      <c r="E44"/>
    </row>
    <row r="45" spans="1:5" ht="14.25" customHeight="1">
      <c r="A45" s="447" t="s">
        <v>922</v>
      </c>
      <c r="B45" s="448">
        <v>0.29166666666666702</v>
      </c>
      <c r="C45" s="451" t="s">
        <v>610</v>
      </c>
      <c r="E45"/>
    </row>
    <row r="46" spans="1:5" ht="14.25" customHeight="1">
      <c r="A46" s="447" t="s">
        <v>923</v>
      </c>
      <c r="B46" s="448">
        <v>0.29166666666666702</v>
      </c>
      <c r="C46" s="451" t="s">
        <v>610</v>
      </c>
      <c r="E46"/>
    </row>
    <row r="47" spans="1:5" ht="14.25" customHeight="1">
      <c r="A47" s="447" t="s">
        <v>924</v>
      </c>
      <c r="B47" s="448">
        <v>0.29166666666666702</v>
      </c>
      <c r="C47" s="451" t="s">
        <v>610</v>
      </c>
      <c r="E47"/>
    </row>
    <row r="48" spans="1:5" ht="14.25" customHeight="1">
      <c r="A48" s="447" t="s">
        <v>925</v>
      </c>
      <c r="B48" s="448">
        <v>0.29166666666666702</v>
      </c>
      <c r="C48" s="451" t="s">
        <v>610</v>
      </c>
      <c r="E48"/>
    </row>
    <row r="49" spans="1:5" ht="14.25" customHeight="1">
      <c r="A49" s="447" t="s">
        <v>926</v>
      </c>
      <c r="B49" s="448">
        <v>0.29166666666666702</v>
      </c>
      <c r="C49" s="451" t="s">
        <v>610</v>
      </c>
      <c r="E49"/>
    </row>
    <row r="50" spans="1:5" ht="14.25" customHeight="1">
      <c r="A50" s="447" t="s">
        <v>927</v>
      </c>
      <c r="B50" s="448">
        <v>0.29166666666666702</v>
      </c>
      <c r="C50" s="451" t="s">
        <v>610</v>
      </c>
      <c r="E50"/>
    </row>
    <row r="51" spans="1:5" ht="14.25" customHeight="1">
      <c r="A51" s="447" t="s">
        <v>928</v>
      </c>
      <c r="B51" s="448">
        <v>0.29166666666666702</v>
      </c>
      <c r="C51" s="451" t="s">
        <v>610</v>
      </c>
      <c r="E51"/>
    </row>
    <row r="52" spans="1:5" ht="14.25" customHeight="1">
      <c r="A52" s="447" t="s">
        <v>929</v>
      </c>
      <c r="B52" s="448">
        <v>0.29166666666666702</v>
      </c>
      <c r="C52" s="451" t="s">
        <v>610</v>
      </c>
      <c r="E52"/>
    </row>
    <row r="53" spans="1:5" ht="14.25" customHeight="1">
      <c r="A53" s="447" t="s">
        <v>930</v>
      </c>
      <c r="B53" s="448">
        <v>0.29166666666666702</v>
      </c>
      <c r="C53" s="451" t="s">
        <v>610</v>
      </c>
      <c r="E53"/>
    </row>
    <row r="54" spans="1:5" ht="14.25" customHeight="1">
      <c r="A54" s="447" t="s">
        <v>931</v>
      </c>
      <c r="B54" s="448">
        <v>0.29166666666666702</v>
      </c>
      <c r="C54" s="451" t="s">
        <v>610</v>
      </c>
      <c r="E54"/>
    </row>
    <row r="55" spans="1:5" ht="14.25" customHeight="1">
      <c r="A55" s="447" t="s">
        <v>932</v>
      </c>
      <c r="B55" s="448">
        <v>0.29166666666666702</v>
      </c>
      <c r="C55" s="451" t="s">
        <v>610</v>
      </c>
      <c r="E55"/>
    </row>
    <row r="56" spans="1:5" ht="14.25" customHeight="1">
      <c r="A56" s="447" t="s">
        <v>933</v>
      </c>
      <c r="B56" s="448">
        <v>0.29166666666666702</v>
      </c>
      <c r="C56" s="451" t="s">
        <v>610</v>
      </c>
      <c r="E56"/>
    </row>
    <row r="57" spans="1:5" ht="14.25" customHeight="1">
      <c r="A57" s="447" t="s">
        <v>934</v>
      </c>
      <c r="B57" s="448">
        <v>0.29166666666666702</v>
      </c>
      <c r="C57" s="451" t="s">
        <v>610</v>
      </c>
      <c r="E57"/>
    </row>
    <row r="58" spans="1:5" ht="14.25" customHeight="1">
      <c r="A58" s="447" t="s">
        <v>935</v>
      </c>
      <c r="B58" s="448">
        <v>0.29166666666666702</v>
      </c>
      <c r="C58" s="451" t="s">
        <v>610</v>
      </c>
      <c r="E58"/>
    </row>
    <row r="59" spans="1:5" ht="14.25" customHeight="1">
      <c r="A59" s="447" t="s">
        <v>936</v>
      </c>
      <c r="B59" s="448">
        <v>0.29166666666666702</v>
      </c>
      <c r="C59" s="451" t="s">
        <v>610</v>
      </c>
      <c r="E59"/>
    </row>
    <row r="60" spans="1:5" ht="14.25" customHeight="1">
      <c r="A60" s="447" t="s">
        <v>937</v>
      </c>
      <c r="B60" s="448">
        <v>0.29166666666666702</v>
      </c>
      <c r="C60" s="451" t="s">
        <v>610</v>
      </c>
      <c r="E60"/>
    </row>
    <row r="61" spans="1:5" ht="14.25" customHeight="1">
      <c r="A61" s="447" t="s">
        <v>938</v>
      </c>
      <c r="B61" s="448">
        <v>0.29166666666666702</v>
      </c>
      <c r="C61" s="451" t="s">
        <v>610</v>
      </c>
      <c r="E61"/>
    </row>
    <row r="62" spans="1:5" ht="14.25" customHeight="1">
      <c r="A62" s="447" t="s">
        <v>939</v>
      </c>
      <c r="B62" s="448">
        <v>0.29166666666666702</v>
      </c>
      <c r="C62" s="451" t="s">
        <v>610</v>
      </c>
      <c r="E62"/>
    </row>
    <row r="63" spans="1:5" ht="14.25" customHeight="1">
      <c r="A63" s="447" t="s">
        <v>940</v>
      </c>
      <c r="B63" s="448">
        <v>0.29166666666666702</v>
      </c>
      <c r="C63" s="451" t="s">
        <v>610</v>
      </c>
      <c r="E63"/>
    </row>
    <row r="64" spans="1:5" ht="14.25" customHeight="1">
      <c r="A64" s="447" t="s">
        <v>941</v>
      </c>
      <c r="B64" s="448">
        <v>0.29166666666666702</v>
      </c>
      <c r="C64" s="451" t="s">
        <v>610</v>
      </c>
      <c r="E64"/>
    </row>
    <row r="65" spans="1:5" ht="14.25" customHeight="1">
      <c r="A65" s="447" t="s">
        <v>942</v>
      </c>
      <c r="B65" s="448">
        <v>0.29166666666666702</v>
      </c>
      <c r="C65" s="451" t="s">
        <v>610</v>
      </c>
      <c r="E65"/>
    </row>
    <row r="66" spans="1:5" ht="14.25" customHeight="1">
      <c r="A66" s="447" t="s">
        <v>943</v>
      </c>
      <c r="B66" s="448">
        <v>0.29166666666666702</v>
      </c>
      <c r="C66" s="451" t="s">
        <v>610</v>
      </c>
      <c r="E66"/>
    </row>
    <row r="67" spans="1:5" ht="14.25" customHeight="1">
      <c r="A67" s="447" t="s">
        <v>944</v>
      </c>
      <c r="B67" s="448">
        <v>0.29166666666666702</v>
      </c>
      <c r="C67" s="451" t="s">
        <v>610</v>
      </c>
      <c r="E67"/>
    </row>
    <row r="68" spans="1:5" ht="14.25" customHeight="1">
      <c r="A68" s="447" t="s">
        <v>945</v>
      </c>
      <c r="B68" s="448">
        <v>0.29166666666666702</v>
      </c>
      <c r="C68" s="451" t="s">
        <v>610</v>
      </c>
      <c r="E68"/>
    </row>
    <row r="69" spans="1:5" ht="14.25" customHeight="1">
      <c r="A69" s="447" t="s">
        <v>946</v>
      </c>
      <c r="B69" s="448">
        <v>0.29166666666666702</v>
      </c>
      <c r="C69" s="451" t="s">
        <v>610</v>
      </c>
      <c r="E69"/>
    </row>
    <row r="70" spans="1:5" ht="14.25" customHeight="1">
      <c r="A70" s="447" t="s">
        <v>947</v>
      </c>
      <c r="B70" s="448">
        <v>0.29166666666666702</v>
      </c>
      <c r="C70" s="451" t="s">
        <v>610</v>
      </c>
      <c r="E70"/>
    </row>
    <row r="71" spans="1:5" ht="14.25" customHeight="1">
      <c r="A71" s="447" t="s">
        <v>948</v>
      </c>
      <c r="B71" s="448">
        <v>0.33333333333333298</v>
      </c>
      <c r="C71" s="451" t="s">
        <v>610</v>
      </c>
      <c r="E71"/>
    </row>
    <row r="72" spans="1:5" ht="14.25" customHeight="1">
      <c r="A72" s="447" t="s">
        <v>949</v>
      </c>
      <c r="B72" s="448">
        <v>0.33333333333333298</v>
      </c>
      <c r="C72" s="451" t="s">
        <v>610</v>
      </c>
      <c r="E72"/>
    </row>
    <row r="73" spans="1:5" ht="14.25" customHeight="1">
      <c r="A73" s="447" t="s">
        <v>950</v>
      </c>
      <c r="B73" s="448">
        <v>0.33333333333333298</v>
      </c>
      <c r="C73" s="451" t="s">
        <v>610</v>
      </c>
      <c r="E73"/>
    </row>
    <row r="74" spans="1:5" ht="14.25" customHeight="1">
      <c r="A74" s="447" t="s">
        <v>951</v>
      </c>
      <c r="B74" s="448">
        <v>0.33333333333333298</v>
      </c>
      <c r="C74" s="451" t="s">
        <v>610</v>
      </c>
      <c r="E74"/>
    </row>
    <row r="75" spans="1:5" ht="14.25" customHeight="1">
      <c r="A75" s="447" t="s">
        <v>952</v>
      </c>
      <c r="B75" s="448">
        <v>0.33333333333333298</v>
      </c>
      <c r="C75" s="451" t="s">
        <v>610</v>
      </c>
      <c r="E75"/>
    </row>
    <row r="76" spans="1:5" ht="14.25" customHeight="1">
      <c r="A76" s="447" t="s">
        <v>953</v>
      </c>
      <c r="B76" s="448">
        <v>0.33333333333333298</v>
      </c>
      <c r="C76" s="451" t="s">
        <v>610</v>
      </c>
      <c r="E76"/>
    </row>
    <row r="77" spans="1:5" ht="14.25" customHeight="1">
      <c r="A77" s="447" t="s">
        <v>954</v>
      </c>
      <c r="B77" s="448">
        <v>0.33333333333333298</v>
      </c>
      <c r="C77" s="451" t="s">
        <v>610</v>
      </c>
      <c r="E77"/>
    </row>
    <row r="78" spans="1:5" ht="14.25" customHeight="1">
      <c r="A78" s="447" t="s">
        <v>955</v>
      </c>
      <c r="B78" s="448">
        <v>0.33333333333333298</v>
      </c>
      <c r="C78" s="451" t="s">
        <v>610</v>
      </c>
      <c r="E78"/>
    </row>
    <row r="79" spans="1:5" ht="14.25" customHeight="1">
      <c r="A79" s="447" t="s">
        <v>956</v>
      </c>
      <c r="B79" s="448">
        <v>0.33333333333333298</v>
      </c>
      <c r="C79" s="451" t="s">
        <v>610</v>
      </c>
      <c r="E79"/>
    </row>
    <row r="80" spans="1:5" ht="14.25" customHeight="1">
      <c r="A80" s="447" t="s">
        <v>957</v>
      </c>
      <c r="B80" s="448">
        <v>0.33333333333333298</v>
      </c>
      <c r="C80" s="451" t="s">
        <v>610</v>
      </c>
      <c r="E80"/>
    </row>
    <row r="81" spans="1:5" ht="14.25" customHeight="1">
      <c r="A81" s="447" t="s">
        <v>958</v>
      </c>
      <c r="B81" s="448">
        <v>0.33333333333333298</v>
      </c>
      <c r="C81" s="451" t="s">
        <v>610</v>
      </c>
      <c r="E81"/>
    </row>
    <row r="82" spans="1:5" ht="14.25" customHeight="1">
      <c r="A82" s="447" t="s">
        <v>959</v>
      </c>
      <c r="B82" s="448">
        <v>0.33333333333333298</v>
      </c>
      <c r="C82" s="451" t="s">
        <v>610</v>
      </c>
      <c r="E82"/>
    </row>
    <row r="83" spans="1:5" ht="14.25" customHeight="1">
      <c r="A83" s="447" t="s">
        <v>960</v>
      </c>
      <c r="B83" s="448">
        <v>0.33333333333333298</v>
      </c>
      <c r="C83" s="451" t="s">
        <v>610</v>
      </c>
      <c r="E83"/>
    </row>
    <row r="84" spans="1:5" ht="14.25" customHeight="1">
      <c r="A84" s="447" t="s">
        <v>961</v>
      </c>
      <c r="B84" s="448">
        <v>0.33333333333333298</v>
      </c>
      <c r="C84" s="451" t="s">
        <v>610</v>
      </c>
      <c r="E84"/>
    </row>
    <row r="85" spans="1:5" ht="14.25" customHeight="1">
      <c r="A85" s="447" t="s">
        <v>962</v>
      </c>
      <c r="B85" s="448">
        <v>0.33333333333333298</v>
      </c>
      <c r="C85" s="451" t="s">
        <v>610</v>
      </c>
      <c r="E85"/>
    </row>
    <row r="86" spans="1:5" ht="14.25" customHeight="1">
      <c r="A86" s="447" t="s">
        <v>963</v>
      </c>
      <c r="B86" s="448">
        <v>0.33333333333333298</v>
      </c>
      <c r="C86" s="451" t="s">
        <v>610</v>
      </c>
      <c r="E86"/>
    </row>
    <row r="87" spans="1:5" ht="14.25" customHeight="1">
      <c r="A87" s="447" t="s">
        <v>964</v>
      </c>
      <c r="B87" s="448">
        <v>0.33333333333333298</v>
      </c>
      <c r="C87" s="451" t="s">
        <v>610</v>
      </c>
      <c r="E87"/>
    </row>
    <row r="88" spans="1:5" ht="14.25" customHeight="1">
      <c r="A88" s="447" t="s">
        <v>965</v>
      </c>
      <c r="B88" s="448">
        <v>0.33333333333333298</v>
      </c>
      <c r="C88" s="451" t="s">
        <v>610</v>
      </c>
      <c r="E88"/>
    </row>
    <row r="89" spans="1:5" ht="14.25" customHeight="1">
      <c r="A89" s="447" t="s">
        <v>966</v>
      </c>
      <c r="B89" s="448">
        <v>0.33333333333333298</v>
      </c>
      <c r="C89" s="451" t="s">
        <v>610</v>
      </c>
      <c r="E89"/>
    </row>
    <row r="90" spans="1:5" ht="14.25" customHeight="1">
      <c r="A90" s="447" t="s">
        <v>967</v>
      </c>
      <c r="B90" s="448">
        <v>0.33333333333333298</v>
      </c>
      <c r="C90" s="451" t="s">
        <v>610</v>
      </c>
      <c r="E90"/>
    </row>
    <row r="91" spans="1:5" ht="14.25" customHeight="1">
      <c r="A91" s="447" t="s">
        <v>968</v>
      </c>
      <c r="B91" s="448">
        <v>0.33333333333333298</v>
      </c>
      <c r="C91" s="451" t="s">
        <v>610</v>
      </c>
      <c r="E91"/>
    </row>
    <row r="92" spans="1:5" ht="14.25" customHeight="1">
      <c r="A92" s="447" t="s">
        <v>969</v>
      </c>
      <c r="B92" s="448">
        <v>0.33333333333333298</v>
      </c>
      <c r="C92" s="451" t="s">
        <v>610</v>
      </c>
      <c r="E92"/>
    </row>
    <row r="93" spans="1:5" ht="14.25" customHeight="1">
      <c r="A93" s="447" t="s">
        <v>970</v>
      </c>
      <c r="B93" s="448">
        <v>0.33333333333333298</v>
      </c>
      <c r="C93" s="451" t="s">
        <v>610</v>
      </c>
      <c r="E93"/>
    </row>
    <row r="94" spans="1:5" ht="14.25" customHeight="1">
      <c r="A94" s="447" t="s">
        <v>971</v>
      </c>
      <c r="B94" s="448">
        <v>0.33333333333333298</v>
      </c>
      <c r="C94" s="451" t="s">
        <v>610</v>
      </c>
      <c r="E94"/>
    </row>
    <row r="95" spans="1:5" ht="14.25" customHeight="1">
      <c r="A95" s="447" t="s">
        <v>972</v>
      </c>
      <c r="B95" s="448">
        <v>0.33333333333333298</v>
      </c>
      <c r="C95" s="451" t="s">
        <v>610</v>
      </c>
      <c r="E95"/>
    </row>
    <row r="96" spans="1:5" ht="14.25" customHeight="1">
      <c r="A96" s="447" t="s">
        <v>973</v>
      </c>
      <c r="B96" s="448">
        <v>0.33333333333333298</v>
      </c>
      <c r="C96" s="451" t="s">
        <v>610</v>
      </c>
      <c r="E96"/>
    </row>
    <row r="97" spans="1:5" ht="14.25" customHeight="1">
      <c r="A97" s="447" t="s">
        <v>974</v>
      </c>
      <c r="B97" s="448">
        <v>0.33333333333333298</v>
      </c>
      <c r="C97" s="451" t="s">
        <v>610</v>
      </c>
      <c r="E97"/>
    </row>
    <row r="98" spans="1:5" ht="14.25" customHeight="1">
      <c r="A98" s="447" t="s">
        <v>975</v>
      </c>
      <c r="B98" s="448">
        <v>0.33333333333333298</v>
      </c>
      <c r="C98" s="451" t="s">
        <v>610</v>
      </c>
      <c r="E98"/>
    </row>
    <row r="99" spans="1:5" ht="14.25" customHeight="1">
      <c r="A99" s="447" t="s">
        <v>976</v>
      </c>
      <c r="B99" s="448">
        <v>0.33333333333333298</v>
      </c>
      <c r="C99" s="451" t="s">
        <v>610</v>
      </c>
      <c r="E99"/>
    </row>
    <row r="100" spans="1:5" ht="14.25" customHeight="1">
      <c r="A100" s="447" t="s">
        <v>977</v>
      </c>
      <c r="B100" s="448">
        <v>0.33333333333333298</v>
      </c>
      <c r="C100" s="451" t="s">
        <v>610</v>
      </c>
      <c r="E100"/>
    </row>
    <row r="101" spans="1:5" ht="14.25" customHeight="1">
      <c r="A101" s="447" t="s">
        <v>978</v>
      </c>
      <c r="B101" s="448">
        <v>0.33333333333333298</v>
      </c>
      <c r="C101" s="451" t="s">
        <v>610</v>
      </c>
      <c r="E101"/>
    </row>
    <row r="102" spans="1:5" ht="14.25" customHeight="1">
      <c r="A102" s="447" t="s">
        <v>979</v>
      </c>
      <c r="B102" s="448">
        <v>0.33333333333333298</v>
      </c>
      <c r="C102" s="451" t="s">
        <v>610</v>
      </c>
      <c r="E102"/>
    </row>
    <row r="103" spans="1:5" ht="14.25" customHeight="1">
      <c r="A103" s="447" t="s">
        <v>980</v>
      </c>
      <c r="B103" s="448">
        <v>0.33333333333333298</v>
      </c>
      <c r="C103" s="451" t="s">
        <v>610</v>
      </c>
      <c r="E103"/>
    </row>
    <row r="104" spans="1:5" ht="14.25" customHeight="1">
      <c r="A104" s="447" t="s">
        <v>981</v>
      </c>
      <c r="B104" s="448">
        <v>0.33333333333333298</v>
      </c>
      <c r="C104" s="451" t="s">
        <v>610</v>
      </c>
      <c r="E104"/>
    </row>
    <row r="105" spans="1:5" ht="14.25" customHeight="1">
      <c r="A105" s="447" t="s">
        <v>982</v>
      </c>
      <c r="B105" s="448">
        <v>0.33333333333333298</v>
      </c>
      <c r="C105" s="451" t="s">
        <v>610</v>
      </c>
      <c r="E105"/>
    </row>
    <row r="106" spans="1:5" ht="14.25" customHeight="1">
      <c r="A106" s="447" t="s">
        <v>983</v>
      </c>
      <c r="B106" s="448">
        <v>0.33333333333333298</v>
      </c>
      <c r="C106" s="451" t="s">
        <v>610</v>
      </c>
      <c r="E106"/>
    </row>
    <row r="107" spans="1:5" ht="14.25" customHeight="1">
      <c r="A107" s="447" t="s">
        <v>984</v>
      </c>
      <c r="B107" s="448">
        <v>0.33333333333333298</v>
      </c>
      <c r="C107" s="451" t="s">
        <v>610</v>
      </c>
      <c r="E107"/>
    </row>
    <row r="108" spans="1:5" ht="14.25" customHeight="1">
      <c r="A108" s="447" t="s">
        <v>985</v>
      </c>
      <c r="B108" s="448">
        <v>0.33333333333333298</v>
      </c>
      <c r="C108" s="451" t="s">
        <v>610</v>
      </c>
      <c r="E108"/>
    </row>
    <row r="109" spans="1:5" ht="14.25" customHeight="1">
      <c r="A109" s="447" t="s">
        <v>986</v>
      </c>
      <c r="B109" s="448">
        <v>0.33333333333333298</v>
      </c>
      <c r="C109" s="451" t="s">
        <v>610</v>
      </c>
      <c r="E109"/>
    </row>
    <row r="110" spans="1:5" ht="14.25" customHeight="1">
      <c r="A110" s="447" t="s">
        <v>987</v>
      </c>
      <c r="B110" s="448">
        <v>0.33333333333333298</v>
      </c>
      <c r="C110" s="451" t="s">
        <v>610</v>
      </c>
      <c r="E110"/>
    </row>
    <row r="111" spans="1:5" ht="14.25" customHeight="1">
      <c r="A111" s="447" t="s">
        <v>988</v>
      </c>
      <c r="B111" s="448">
        <v>0.33333333333333298</v>
      </c>
      <c r="C111" s="451" t="s">
        <v>610</v>
      </c>
      <c r="E111"/>
    </row>
    <row r="112" spans="1:5" ht="14.25" customHeight="1">
      <c r="A112" s="447" t="s">
        <v>989</v>
      </c>
      <c r="B112" s="448">
        <v>0.33333333333333298</v>
      </c>
      <c r="C112" s="451" t="s">
        <v>610</v>
      </c>
      <c r="E112"/>
    </row>
    <row r="113" spans="1:5" ht="14.25" customHeight="1">
      <c r="A113" s="447" t="s">
        <v>990</v>
      </c>
      <c r="B113" s="448">
        <v>0.33333333333333298</v>
      </c>
      <c r="C113" s="451" t="s">
        <v>610</v>
      </c>
      <c r="E113"/>
    </row>
    <row r="114" spans="1:5" ht="14.25" customHeight="1">
      <c r="A114" s="447" t="s">
        <v>991</v>
      </c>
      <c r="B114" s="448">
        <v>0.33333333333333298</v>
      </c>
      <c r="C114" s="451" t="s">
        <v>610</v>
      </c>
      <c r="E114"/>
    </row>
    <row r="115" spans="1:5" ht="14.25" customHeight="1">
      <c r="A115" s="447" t="s">
        <v>992</v>
      </c>
      <c r="B115" s="448">
        <v>0.33333333333333298</v>
      </c>
      <c r="C115" s="451" t="s">
        <v>610</v>
      </c>
      <c r="E115"/>
    </row>
    <row r="116" spans="1:5" ht="14.25" customHeight="1">
      <c r="A116" s="447" t="s">
        <v>993</v>
      </c>
      <c r="B116" s="448">
        <v>0.33333333333333298</v>
      </c>
      <c r="C116" s="451" t="s">
        <v>610</v>
      </c>
      <c r="E116"/>
    </row>
    <row r="117" spans="1:5" ht="14.25" customHeight="1">
      <c r="A117" s="447" t="s">
        <v>994</v>
      </c>
      <c r="B117" s="448">
        <v>0.33333333333333298</v>
      </c>
      <c r="C117" s="451" t="s">
        <v>610</v>
      </c>
      <c r="E117"/>
    </row>
    <row r="118" spans="1:5" ht="14.25" customHeight="1">
      <c r="A118" s="447" t="s">
        <v>995</v>
      </c>
      <c r="B118" s="448">
        <v>0.33333333333333298</v>
      </c>
      <c r="C118" s="451" t="s">
        <v>610</v>
      </c>
      <c r="E118"/>
    </row>
    <row r="119" spans="1:5" ht="14.25" customHeight="1">
      <c r="A119" s="447" t="s">
        <v>996</v>
      </c>
      <c r="B119" s="448">
        <v>0.33333333333333298</v>
      </c>
      <c r="C119" s="451" t="s">
        <v>610</v>
      </c>
      <c r="E119"/>
    </row>
    <row r="120" spans="1:5" ht="14.25" customHeight="1">
      <c r="A120" s="447" t="s">
        <v>997</v>
      </c>
      <c r="B120" s="448">
        <v>0.33333333333333298</v>
      </c>
      <c r="C120" s="451" t="s">
        <v>610</v>
      </c>
      <c r="E120"/>
    </row>
    <row r="121" spans="1:5" ht="14.25" customHeight="1">
      <c r="A121" s="447" t="s">
        <v>998</v>
      </c>
      <c r="B121" s="448">
        <v>0.33333333333333298</v>
      </c>
      <c r="C121" s="451" t="s">
        <v>610</v>
      </c>
      <c r="E121"/>
    </row>
    <row r="122" spans="1:5" ht="14.25" customHeight="1">
      <c r="A122" s="447" t="s">
        <v>999</v>
      </c>
      <c r="B122" s="448">
        <v>0.33333333333333298</v>
      </c>
      <c r="C122" s="451" t="s">
        <v>610</v>
      </c>
      <c r="E122"/>
    </row>
    <row r="123" spans="1:5" ht="14.25" customHeight="1">
      <c r="A123" s="447" t="s">
        <v>1000</v>
      </c>
      <c r="B123" s="448">
        <v>0.33333333333333298</v>
      </c>
      <c r="C123" s="451" t="s">
        <v>610</v>
      </c>
      <c r="E123"/>
    </row>
    <row r="124" spans="1:5" ht="14.25" customHeight="1">
      <c r="A124" s="447" t="s">
        <v>1001</v>
      </c>
      <c r="B124" s="448">
        <v>0.33333333333333298</v>
      </c>
      <c r="C124" s="451" t="s">
        <v>610</v>
      </c>
      <c r="E124"/>
    </row>
    <row r="125" spans="1:5" ht="14.25" customHeight="1">
      <c r="A125" s="447" t="s">
        <v>1002</v>
      </c>
      <c r="B125" s="448">
        <v>0.33333333333333298</v>
      </c>
      <c r="C125" s="451" t="s">
        <v>610</v>
      </c>
      <c r="E125"/>
    </row>
    <row r="126" spans="1:5" ht="14.25" customHeight="1">
      <c r="A126" s="447" t="s">
        <v>1003</v>
      </c>
      <c r="B126" s="448">
        <v>0.33333333333333298</v>
      </c>
      <c r="C126" s="451" t="s">
        <v>610</v>
      </c>
      <c r="E126"/>
    </row>
    <row r="127" spans="1:5" ht="14.25" customHeight="1">
      <c r="A127" s="447" t="s">
        <v>1004</v>
      </c>
      <c r="B127" s="448">
        <v>0.33333333333333298</v>
      </c>
      <c r="C127" s="451" t="s">
        <v>610</v>
      </c>
      <c r="E127"/>
    </row>
    <row r="128" spans="1:5" ht="14.25" customHeight="1">
      <c r="A128" s="447" t="s">
        <v>1005</v>
      </c>
      <c r="B128" s="448">
        <v>0.33333333333333298</v>
      </c>
      <c r="C128" s="451" t="s">
        <v>610</v>
      </c>
      <c r="E128"/>
    </row>
    <row r="129" spans="1:5" ht="14.25" customHeight="1">
      <c r="A129" s="447" t="s">
        <v>1006</v>
      </c>
      <c r="B129" s="448">
        <v>0.33333333333333298</v>
      </c>
      <c r="C129" s="451" t="s">
        <v>610</v>
      </c>
      <c r="E129"/>
    </row>
    <row r="130" spans="1:5" ht="14.25" customHeight="1">
      <c r="A130" s="447" t="s">
        <v>1007</v>
      </c>
      <c r="B130" s="448">
        <v>0.33333333333333298</v>
      </c>
      <c r="C130" s="451" t="s">
        <v>610</v>
      </c>
      <c r="E130"/>
    </row>
    <row r="131" spans="1:5" ht="14.25" customHeight="1">
      <c r="A131" s="447" t="s">
        <v>1008</v>
      </c>
      <c r="B131" s="448">
        <v>0.33333333333333298</v>
      </c>
      <c r="C131" s="451" t="s">
        <v>610</v>
      </c>
      <c r="E131"/>
    </row>
    <row r="132" spans="1:5" ht="14.25" customHeight="1">
      <c r="A132" s="447" t="s">
        <v>1009</v>
      </c>
      <c r="B132" s="448">
        <v>0.33333333333333298</v>
      </c>
      <c r="C132" s="451" t="s">
        <v>610</v>
      </c>
      <c r="E132"/>
    </row>
    <row r="133" spans="1:5" ht="14.25" customHeight="1">
      <c r="A133" s="447" t="s">
        <v>1010</v>
      </c>
      <c r="B133" s="448">
        <v>0.33333333333333298</v>
      </c>
      <c r="C133" s="451" t="s">
        <v>610</v>
      </c>
      <c r="E133"/>
    </row>
    <row r="134" spans="1:5" ht="14.25" customHeight="1">
      <c r="A134" s="447" t="s">
        <v>1011</v>
      </c>
      <c r="B134" s="448">
        <v>0.33333333333333298</v>
      </c>
      <c r="C134" s="451" t="s">
        <v>610</v>
      </c>
      <c r="E134"/>
    </row>
    <row r="135" spans="1:5" ht="14.25" customHeight="1">
      <c r="A135" s="447" t="s">
        <v>1012</v>
      </c>
      <c r="B135" s="448">
        <v>0.33333333333333298</v>
      </c>
      <c r="C135" s="451" t="s">
        <v>610</v>
      </c>
      <c r="E135"/>
    </row>
    <row r="136" spans="1:5" ht="14.25" customHeight="1">
      <c r="A136" s="447" t="s">
        <v>1013</v>
      </c>
      <c r="B136" s="448">
        <v>0.33333333333333298</v>
      </c>
      <c r="C136" s="451" t="s">
        <v>610</v>
      </c>
      <c r="E136"/>
    </row>
    <row r="137" spans="1:5" ht="14.25" customHeight="1">
      <c r="A137" s="447" t="s">
        <v>1014</v>
      </c>
      <c r="B137" s="448">
        <v>0.33333333333333298</v>
      </c>
      <c r="C137" s="451" t="s">
        <v>610</v>
      </c>
      <c r="E137"/>
    </row>
    <row r="138" spans="1:5" ht="14.25" customHeight="1">
      <c r="A138" s="447" t="s">
        <v>1015</v>
      </c>
      <c r="B138" s="448">
        <v>0.33333333333333298</v>
      </c>
      <c r="C138" s="451" t="s">
        <v>610</v>
      </c>
      <c r="E138"/>
    </row>
    <row r="139" spans="1:5" ht="14.25" customHeight="1">
      <c r="A139" s="447" t="s">
        <v>1016</v>
      </c>
      <c r="B139" s="448">
        <v>0.33333333333333298</v>
      </c>
      <c r="C139" s="451" t="s">
        <v>610</v>
      </c>
      <c r="E139"/>
    </row>
    <row r="140" spans="1:5" ht="14.25" customHeight="1">
      <c r="A140" s="447" t="s">
        <v>1017</v>
      </c>
      <c r="B140" s="448">
        <v>0.33333333333333298</v>
      </c>
      <c r="C140" s="451" t="s">
        <v>610</v>
      </c>
      <c r="E140"/>
    </row>
    <row r="141" spans="1:5" ht="14.25" customHeight="1">
      <c r="A141" s="447" t="s">
        <v>1018</v>
      </c>
      <c r="B141" s="448">
        <v>0.33333333333333298</v>
      </c>
      <c r="C141" s="451" t="s">
        <v>610</v>
      </c>
      <c r="E141"/>
    </row>
    <row r="142" spans="1:5" ht="14.25" customHeight="1">
      <c r="A142" s="447" t="s">
        <v>1019</v>
      </c>
      <c r="B142" s="448">
        <v>0.33333333333333298</v>
      </c>
      <c r="C142" s="451" t="s">
        <v>610</v>
      </c>
      <c r="E142"/>
    </row>
    <row r="143" spans="1:5" ht="14.25" customHeight="1">
      <c r="A143" s="447" t="s">
        <v>1020</v>
      </c>
      <c r="B143" s="448">
        <v>0.33333333333333298</v>
      </c>
      <c r="C143" s="451" t="s">
        <v>610</v>
      </c>
      <c r="E143"/>
    </row>
    <row r="144" spans="1:5" ht="14.25" customHeight="1">
      <c r="A144" s="447" t="s">
        <v>1021</v>
      </c>
      <c r="B144" s="448">
        <v>0.33333333333333298</v>
      </c>
      <c r="C144" s="451" t="s">
        <v>610</v>
      </c>
      <c r="E144"/>
    </row>
    <row r="145" spans="1:5" ht="14.25" customHeight="1">
      <c r="A145" s="447" t="s">
        <v>1022</v>
      </c>
      <c r="B145" s="448">
        <v>0.33333333333333298</v>
      </c>
      <c r="C145" s="451" t="s">
        <v>610</v>
      </c>
      <c r="E145"/>
    </row>
    <row r="146" spans="1:5" ht="14.25" customHeight="1">
      <c r="A146" s="447" t="s">
        <v>1023</v>
      </c>
      <c r="B146" s="448">
        <v>0.33333333333333298</v>
      </c>
      <c r="C146" s="451" t="s">
        <v>610</v>
      </c>
      <c r="E146"/>
    </row>
    <row r="147" spans="1:5" ht="14.25" customHeight="1">
      <c r="A147" s="447" t="s">
        <v>1024</v>
      </c>
      <c r="B147" s="448">
        <v>0.33333333333333298</v>
      </c>
      <c r="C147" s="451" t="s">
        <v>610</v>
      </c>
      <c r="E147"/>
    </row>
    <row r="148" spans="1:5" ht="14.25" customHeight="1">
      <c r="A148" s="447" t="s">
        <v>1025</v>
      </c>
      <c r="B148" s="448">
        <v>0.33333333333333298</v>
      </c>
      <c r="C148" s="451" t="s">
        <v>610</v>
      </c>
      <c r="E148"/>
    </row>
    <row r="149" spans="1:5" ht="14.25" customHeight="1">
      <c r="A149" s="447" t="s">
        <v>1026</v>
      </c>
      <c r="B149" s="448">
        <v>0.33333333333333298</v>
      </c>
      <c r="C149" s="451" t="s">
        <v>610</v>
      </c>
      <c r="E149"/>
    </row>
    <row r="150" spans="1:5" ht="14.25" customHeight="1">
      <c r="A150" s="447" t="s">
        <v>1027</v>
      </c>
      <c r="B150" s="448">
        <v>0.33333333333333298</v>
      </c>
      <c r="C150" s="451" t="s">
        <v>610</v>
      </c>
      <c r="E150"/>
    </row>
    <row r="151" spans="1:5" ht="14.25" customHeight="1">
      <c r="A151" s="447" t="s">
        <v>1028</v>
      </c>
      <c r="B151" s="448">
        <v>0.33333333333333298</v>
      </c>
      <c r="C151" s="451" t="s">
        <v>610</v>
      </c>
      <c r="E151"/>
    </row>
    <row r="152" spans="1:5" ht="14.25" customHeight="1">
      <c r="A152" s="447" t="s">
        <v>1029</v>
      </c>
      <c r="B152" s="448">
        <v>0.33333333333333298</v>
      </c>
      <c r="C152" s="451" t="s">
        <v>610</v>
      </c>
      <c r="E152"/>
    </row>
    <row r="153" spans="1:5" ht="14.25" customHeight="1">
      <c r="A153" s="447" t="s">
        <v>1030</v>
      </c>
      <c r="B153" s="448">
        <v>0.33333333333333298</v>
      </c>
      <c r="C153" s="451" t="s">
        <v>610</v>
      </c>
      <c r="E153"/>
    </row>
    <row r="154" spans="1:5" ht="14.25" customHeight="1">
      <c r="A154" s="447" t="s">
        <v>1031</v>
      </c>
      <c r="B154" s="448">
        <v>0.33333333333333298</v>
      </c>
      <c r="C154" s="451" t="s">
        <v>610</v>
      </c>
      <c r="E154"/>
    </row>
    <row r="155" spans="1:5" ht="14.25" customHeight="1">
      <c r="A155" s="447" t="s">
        <v>1032</v>
      </c>
      <c r="B155" s="448">
        <v>0.33333333333333298</v>
      </c>
      <c r="C155" s="451" t="s">
        <v>610</v>
      </c>
      <c r="E155"/>
    </row>
    <row r="156" spans="1:5" ht="14.25" customHeight="1">
      <c r="A156" s="447" t="s">
        <v>1033</v>
      </c>
      <c r="B156" s="448">
        <v>0.33333333333333298</v>
      </c>
      <c r="C156" s="451" t="s">
        <v>610</v>
      </c>
      <c r="E156"/>
    </row>
    <row r="157" spans="1:5" ht="14.25" customHeight="1">
      <c r="A157" s="447" t="s">
        <v>1034</v>
      </c>
      <c r="B157" s="448">
        <v>0.33333333333333298</v>
      </c>
      <c r="C157" s="451" t="s">
        <v>610</v>
      </c>
      <c r="E157"/>
    </row>
    <row r="158" spans="1:5" ht="14.25" customHeight="1">
      <c r="A158" s="447" t="s">
        <v>1035</v>
      </c>
      <c r="B158" s="448">
        <v>0.33333333333333298</v>
      </c>
      <c r="C158" s="451" t="s">
        <v>610</v>
      </c>
      <c r="E158"/>
    </row>
    <row r="159" spans="1:5" ht="14.25" customHeight="1">
      <c r="A159" s="447" t="s">
        <v>1036</v>
      </c>
      <c r="B159" s="448">
        <v>0.33333333333333298</v>
      </c>
      <c r="C159" s="451" t="s">
        <v>610</v>
      </c>
      <c r="E159"/>
    </row>
    <row r="160" spans="1:5" ht="14.25" customHeight="1">
      <c r="A160" s="447" t="s">
        <v>1037</v>
      </c>
      <c r="B160" s="448">
        <v>0.33333333333333298</v>
      </c>
      <c r="C160" s="451" t="s">
        <v>610</v>
      </c>
      <c r="E160"/>
    </row>
    <row r="161" spans="1:5" ht="14.25" customHeight="1">
      <c r="A161" s="447" t="s">
        <v>1038</v>
      </c>
      <c r="B161" s="448">
        <v>0.33333333333333298</v>
      </c>
      <c r="C161" s="451" t="s">
        <v>610</v>
      </c>
      <c r="E161"/>
    </row>
    <row r="162" spans="1:5" ht="14.25" customHeight="1">
      <c r="A162" s="447" t="s">
        <v>1039</v>
      </c>
      <c r="B162" s="448">
        <v>0.33333333333333298</v>
      </c>
      <c r="C162" s="451" t="s">
        <v>610</v>
      </c>
      <c r="E162"/>
    </row>
    <row r="163" spans="1:5" ht="14.25" customHeight="1">
      <c r="A163" s="447" t="s">
        <v>1040</v>
      </c>
      <c r="B163" s="448">
        <v>0.375</v>
      </c>
      <c r="C163" s="451" t="s">
        <v>610</v>
      </c>
      <c r="E163"/>
    </row>
    <row r="164" spans="1:5" ht="14.25" customHeight="1">
      <c r="A164" s="447" t="s">
        <v>1041</v>
      </c>
      <c r="B164" s="448">
        <v>0.375</v>
      </c>
      <c r="C164" s="451" t="s">
        <v>610</v>
      </c>
      <c r="E164"/>
    </row>
    <row r="165" spans="1:5" ht="14.25" customHeight="1">
      <c r="A165" s="447" t="s">
        <v>1042</v>
      </c>
      <c r="B165" s="448">
        <v>0.375</v>
      </c>
      <c r="C165" s="451" t="s">
        <v>610</v>
      </c>
      <c r="E165"/>
    </row>
    <row r="166" spans="1:5" ht="14.25" customHeight="1">
      <c r="A166" s="447" t="s">
        <v>1043</v>
      </c>
      <c r="B166" s="448">
        <v>0.375</v>
      </c>
      <c r="C166" s="451" t="s">
        <v>610</v>
      </c>
      <c r="E166"/>
    </row>
    <row r="167" spans="1:5" ht="14.25" customHeight="1">
      <c r="A167" s="447" t="s">
        <v>1044</v>
      </c>
      <c r="B167" s="448">
        <v>0.375</v>
      </c>
      <c r="C167" s="451" t="s">
        <v>610</v>
      </c>
      <c r="E167"/>
    </row>
    <row r="168" spans="1:5" ht="14.25" customHeight="1">
      <c r="A168" s="447" t="s">
        <v>1045</v>
      </c>
      <c r="B168" s="448">
        <v>0.375</v>
      </c>
      <c r="C168" s="451" t="s">
        <v>610</v>
      </c>
      <c r="E168"/>
    </row>
    <row r="169" spans="1:5" ht="14.25" customHeight="1">
      <c r="A169" s="447" t="s">
        <v>1046</v>
      </c>
      <c r="B169" s="448">
        <v>0.375</v>
      </c>
      <c r="C169" s="451" t="s">
        <v>610</v>
      </c>
      <c r="E169"/>
    </row>
    <row r="170" spans="1:5" ht="14.25" customHeight="1">
      <c r="A170" s="447" t="s">
        <v>1047</v>
      </c>
      <c r="B170" s="448">
        <v>0.375</v>
      </c>
      <c r="C170" s="451" t="s">
        <v>610</v>
      </c>
      <c r="E170"/>
    </row>
    <row r="171" spans="1:5" ht="14.25" customHeight="1">
      <c r="A171" s="447" t="s">
        <v>1048</v>
      </c>
      <c r="B171" s="448">
        <v>0.375</v>
      </c>
      <c r="C171" s="451" t="s">
        <v>610</v>
      </c>
      <c r="E171"/>
    </row>
    <row r="172" spans="1:5" ht="14.25" customHeight="1">
      <c r="A172" s="447" t="s">
        <v>1049</v>
      </c>
      <c r="B172" s="448">
        <v>0.375</v>
      </c>
      <c r="C172" s="451" t="s">
        <v>610</v>
      </c>
      <c r="E172"/>
    </row>
    <row r="173" spans="1:5" ht="14.25" customHeight="1">
      <c r="A173" s="447" t="s">
        <v>1050</v>
      </c>
      <c r="B173" s="448">
        <v>0.375</v>
      </c>
      <c r="C173" s="451" t="s">
        <v>610</v>
      </c>
      <c r="E173"/>
    </row>
    <row r="174" spans="1:5" ht="14.25" customHeight="1">
      <c r="A174" s="447" t="s">
        <v>1051</v>
      </c>
      <c r="B174" s="448">
        <v>0.375</v>
      </c>
      <c r="C174" s="451" t="s">
        <v>610</v>
      </c>
      <c r="E174"/>
    </row>
    <row r="175" spans="1:5" ht="14.25" customHeight="1">
      <c r="A175" s="447" t="s">
        <v>1052</v>
      </c>
      <c r="B175" s="448">
        <v>0.375</v>
      </c>
      <c r="C175" s="451" t="s">
        <v>610</v>
      </c>
      <c r="E175"/>
    </row>
    <row r="176" spans="1:5" ht="14.25" customHeight="1">
      <c r="A176" s="447" t="s">
        <v>1053</v>
      </c>
      <c r="B176" s="448">
        <v>0.375</v>
      </c>
      <c r="C176" s="451" t="s">
        <v>610</v>
      </c>
      <c r="E176"/>
    </row>
    <row r="177" spans="1:5" ht="14.25" customHeight="1">
      <c r="A177" s="447" t="s">
        <v>1054</v>
      </c>
      <c r="B177" s="448">
        <v>0.375</v>
      </c>
      <c r="C177" s="451" t="s">
        <v>610</v>
      </c>
      <c r="E177"/>
    </row>
    <row r="178" spans="1:5" ht="14.25" customHeight="1">
      <c r="A178" s="447" t="s">
        <v>1055</v>
      </c>
      <c r="B178" s="448">
        <v>0.375</v>
      </c>
      <c r="C178" s="451" t="s">
        <v>610</v>
      </c>
      <c r="E178"/>
    </row>
    <row r="179" spans="1:5" ht="14.25" customHeight="1">
      <c r="A179" s="447" t="s">
        <v>1056</v>
      </c>
      <c r="B179" s="448">
        <v>0.375</v>
      </c>
      <c r="C179" s="451" t="s">
        <v>610</v>
      </c>
      <c r="E179"/>
    </row>
    <row r="180" spans="1:5" ht="14.25" customHeight="1">
      <c r="A180" s="447" t="s">
        <v>1057</v>
      </c>
      <c r="B180" s="448">
        <v>0.375</v>
      </c>
      <c r="C180" s="451" t="s">
        <v>610</v>
      </c>
      <c r="E180"/>
    </row>
    <row r="181" spans="1:5" ht="14.25" customHeight="1">
      <c r="A181" s="447" t="s">
        <v>1058</v>
      </c>
      <c r="B181" s="448">
        <v>0.375</v>
      </c>
      <c r="C181" s="451" t="s">
        <v>610</v>
      </c>
      <c r="E181"/>
    </row>
    <row r="182" spans="1:5" ht="14.25" customHeight="1">
      <c r="A182" s="447" t="s">
        <v>1059</v>
      </c>
      <c r="B182" s="448">
        <v>0.375</v>
      </c>
      <c r="C182" s="451" t="s">
        <v>610</v>
      </c>
      <c r="E182"/>
    </row>
    <row r="183" spans="1:5" ht="14.25" customHeight="1">
      <c r="A183" s="447" t="s">
        <v>1060</v>
      </c>
      <c r="B183" s="448">
        <v>0.375</v>
      </c>
      <c r="C183" s="451" t="s">
        <v>610</v>
      </c>
      <c r="E183"/>
    </row>
    <row r="184" spans="1:5" ht="14.25" customHeight="1">
      <c r="A184" s="447" t="s">
        <v>1061</v>
      </c>
      <c r="B184" s="448">
        <v>0.375</v>
      </c>
      <c r="C184" s="451" t="s">
        <v>610</v>
      </c>
      <c r="E184"/>
    </row>
    <row r="185" spans="1:5" ht="14.25" customHeight="1">
      <c r="A185" s="447" t="s">
        <v>1062</v>
      </c>
      <c r="B185" s="448">
        <v>0.375</v>
      </c>
      <c r="C185" s="451" t="s">
        <v>610</v>
      </c>
      <c r="E185"/>
    </row>
    <row r="186" spans="1:5" ht="14.25" customHeight="1">
      <c r="A186" s="447" t="s">
        <v>1063</v>
      </c>
      <c r="B186" s="448">
        <v>0.375</v>
      </c>
      <c r="C186" s="451" t="s">
        <v>610</v>
      </c>
      <c r="E186"/>
    </row>
    <row r="187" spans="1:5" ht="14.25" customHeight="1">
      <c r="A187" s="447" t="s">
        <v>1064</v>
      </c>
      <c r="B187" s="448">
        <v>0.375</v>
      </c>
      <c r="C187" s="451" t="s">
        <v>610</v>
      </c>
      <c r="E187"/>
    </row>
    <row r="188" spans="1:5" ht="14.25" customHeight="1">
      <c r="A188" s="447" t="s">
        <v>1065</v>
      </c>
      <c r="B188" s="448">
        <v>0.375</v>
      </c>
      <c r="C188" s="451" t="s">
        <v>610</v>
      </c>
      <c r="E188"/>
    </row>
    <row r="189" spans="1:5" ht="14.25" customHeight="1">
      <c r="A189" s="447" t="s">
        <v>1066</v>
      </c>
      <c r="B189" s="448">
        <v>0.375</v>
      </c>
      <c r="C189" s="451" t="s">
        <v>610</v>
      </c>
      <c r="E189"/>
    </row>
    <row r="190" spans="1:5" ht="14.25" customHeight="1">
      <c r="A190" s="447" t="s">
        <v>1067</v>
      </c>
      <c r="B190" s="448">
        <v>0.375</v>
      </c>
      <c r="C190" s="451" t="s">
        <v>610</v>
      </c>
      <c r="E190"/>
    </row>
    <row r="191" spans="1:5" ht="14.25" customHeight="1">
      <c r="A191" s="447" t="s">
        <v>1068</v>
      </c>
      <c r="B191" s="448">
        <v>0.375</v>
      </c>
      <c r="C191" s="451" t="s">
        <v>610</v>
      </c>
      <c r="E191"/>
    </row>
    <row r="192" spans="1:5" ht="14.25" customHeight="1">
      <c r="A192" s="447" t="s">
        <v>1069</v>
      </c>
      <c r="B192" s="448">
        <v>0.375</v>
      </c>
      <c r="C192" s="451" t="s">
        <v>610</v>
      </c>
      <c r="E192"/>
    </row>
    <row r="193" spans="1:5" ht="14.25" customHeight="1">
      <c r="A193" s="447" t="s">
        <v>1070</v>
      </c>
      <c r="B193" s="448">
        <v>0.375</v>
      </c>
      <c r="C193" s="451" t="s">
        <v>610</v>
      </c>
      <c r="E193"/>
    </row>
    <row r="194" spans="1:5" ht="14.25" customHeight="1">
      <c r="A194" s="447" t="s">
        <v>1071</v>
      </c>
      <c r="B194" s="448">
        <v>0.375</v>
      </c>
      <c r="C194" s="451" t="s">
        <v>610</v>
      </c>
      <c r="E194"/>
    </row>
    <row r="195" spans="1:5" ht="14.25" customHeight="1">
      <c r="A195" s="447" t="s">
        <v>1072</v>
      </c>
      <c r="B195" s="448">
        <v>0.375</v>
      </c>
      <c r="C195" s="451" t="s">
        <v>610</v>
      </c>
      <c r="E195"/>
    </row>
    <row r="196" spans="1:5" ht="14.25" customHeight="1">
      <c r="A196" s="447" t="s">
        <v>1073</v>
      </c>
      <c r="B196" s="448">
        <v>0.375</v>
      </c>
      <c r="C196" s="451" t="s">
        <v>610</v>
      </c>
      <c r="E196"/>
    </row>
    <row r="197" spans="1:5" ht="14.25" customHeight="1">
      <c r="A197" s="447" t="s">
        <v>1074</v>
      </c>
      <c r="B197" s="448">
        <v>0.375</v>
      </c>
      <c r="C197" s="451" t="s">
        <v>610</v>
      </c>
      <c r="E197"/>
    </row>
    <row r="198" spans="1:5" ht="14.25" customHeight="1">
      <c r="A198" s="447" t="s">
        <v>1075</v>
      </c>
      <c r="B198" s="448">
        <v>0.375</v>
      </c>
      <c r="C198" s="451" t="s">
        <v>610</v>
      </c>
      <c r="E198"/>
    </row>
    <row r="199" spans="1:5" ht="14.25" customHeight="1">
      <c r="A199" s="447" t="s">
        <v>1076</v>
      </c>
      <c r="B199" s="448">
        <v>0.375</v>
      </c>
      <c r="C199" s="451" t="s">
        <v>610</v>
      </c>
      <c r="E199"/>
    </row>
    <row r="200" spans="1:5" ht="14.25" customHeight="1">
      <c r="A200" s="447" t="s">
        <v>1077</v>
      </c>
      <c r="B200" s="448">
        <v>0.375</v>
      </c>
      <c r="C200" s="451" t="s">
        <v>610</v>
      </c>
      <c r="E200"/>
    </row>
    <row r="201" spans="1:5" ht="14.25" customHeight="1">
      <c r="A201" s="447" t="s">
        <v>1078</v>
      </c>
      <c r="B201" s="448">
        <v>0.375</v>
      </c>
      <c r="C201" s="451" t="s">
        <v>610</v>
      </c>
      <c r="E201"/>
    </row>
    <row r="202" spans="1:5" ht="14.25" customHeight="1">
      <c r="A202" s="447" t="s">
        <v>1079</v>
      </c>
      <c r="B202" s="448">
        <v>0.375</v>
      </c>
      <c r="C202" s="451" t="s">
        <v>610</v>
      </c>
      <c r="E202"/>
    </row>
    <row r="203" spans="1:5" ht="14.25" customHeight="1">
      <c r="A203" s="447" t="s">
        <v>1080</v>
      </c>
      <c r="B203" s="448">
        <v>0.375</v>
      </c>
      <c r="C203" s="451" t="s">
        <v>610</v>
      </c>
      <c r="E203"/>
    </row>
    <row r="204" spans="1:5" ht="14.25" customHeight="1">
      <c r="A204" s="447" t="s">
        <v>1081</v>
      </c>
      <c r="B204" s="448">
        <v>0.375</v>
      </c>
      <c r="C204" s="451" t="s">
        <v>610</v>
      </c>
      <c r="E204"/>
    </row>
    <row r="205" spans="1:5" ht="14.25" customHeight="1">
      <c r="A205" s="447" t="s">
        <v>1082</v>
      </c>
      <c r="B205" s="448">
        <v>0.375</v>
      </c>
      <c r="C205" s="451" t="s">
        <v>610</v>
      </c>
      <c r="E205"/>
    </row>
    <row r="206" spans="1:5" ht="14.25" customHeight="1">
      <c r="A206" s="447" t="s">
        <v>1083</v>
      </c>
      <c r="B206" s="448">
        <v>0.375</v>
      </c>
      <c r="C206" s="451" t="s">
        <v>610</v>
      </c>
      <c r="E206"/>
    </row>
    <row r="207" spans="1:5" ht="14.25" customHeight="1">
      <c r="A207" s="447" t="s">
        <v>1084</v>
      </c>
      <c r="B207" s="448">
        <v>0.375</v>
      </c>
      <c r="C207" s="451" t="s">
        <v>610</v>
      </c>
      <c r="E207"/>
    </row>
    <row r="208" spans="1:5" ht="14.25" customHeight="1">
      <c r="A208" s="447" t="s">
        <v>1085</v>
      </c>
      <c r="B208" s="448">
        <v>0.375</v>
      </c>
      <c r="C208" s="451" t="s">
        <v>610</v>
      </c>
      <c r="E208"/>
    </row>
    <row r="209" spans="1:5" ht="14.25" customHeight="1">
      <c r="A209" s="447" t="s">
        <v>1086</v>
      </c>
      <c r="B209" s="448">
        <v>0.375</v>
      </c>
      <c r="C209" s="451" t="s">
        <v>610</v>
      </c>
      <c r="E209"/>
    </row>
    <row r="210" spans="1:5" ht="14.25" customHeight="1">
      <c r="A210" s="447" t="s">
        <v>1087</v>
      </c>
      <c r="B210" s="448">
        <v>0.375</v>
      </c>
      <c r="C210" s="451" t="s">
        <v>610</v>
      </c>
      <c r="E210"/>
    </row>
    <row r="211" spans="1:5" ht="14.25" customHeight="1">
      <c r="A211" s="447" t="s">
        <v>1088</v>
      </c>
      <c r="B211" s="448">
        <v>0.375</v>
      </c>
      <c r="C211" s="451" t="s">
        <v>610</v>
      </c>
      <c r="E211"/>
    </row>
    <row r="212" spans="1:5" ht="14.25" customHeight="1">
      <c r="A212" s="447" t="s">
        <v>1089</v>
      </c>
      <c r="B212" s="448">
        <v>0.375</v>
      </c>
      <c r="C212" s="451" t="s">
        <v>610</v>
      </c>
      <c r="E212"/>
    </row>
    <row r="213" spans="1:5" ht="14.25" customHeight="1">
      <c r="A213" s="447" t="s">
        <v>1090</v>
      </c>
      <c r="B213" s="448">
        <v>0.375</v>
      </c>
      <c r="C213" s="451" t="s">
        <v>610</v>
      </c>
      <c r="E213"/>
    </row>
    <row r="214" spans="1:5" ht="14.25" customHeight="1">
      <c r="A214" s="447" t="s">
        <v>1091</v>
      </c>
      <c r="B214" s="448">
        <v>0.375</v>
      </c>
      <c r="C214" s="451" t="s">
        <v>610</v>
      </c>
      <c r="E214"/>
    </row>
    <row r="215" spans="1:5" ht="14.25" customHeight="1">
      <c r="A215" s="447" t="s">
        <v>1092</v>
      </c>
      <c r="B215" s="448">
        <v>0.375</v>
      </c>
      <c r="C215" s="451" t="s">
        <v>610</v>
      </c>
      <c r="E215"/>
    </row>
    <row r="216" spans="1:5" ht="14.25" customHeight="1">
      <c r="A216" s="447" t="s">
        <v>1093</v>
      </c>
      <c r="B216" s="448">
        <v>0.375</v>
      </c>
      <c r="C216" s="451" t="s">
        <v>610</v>
      </c>
      <c r="E216"/>
    </row>
    <row r="217" spans="1:5" ht="14.25" customHeight="1">
      <c r="A217" s="447" t="s">
        <v>1094</v>
      </c>
      <c r="B217" s="448">
        <v>0.375</v>
      </c>
      <c r="C217" s="451" t="s">
        <v>610</v>
      </c>
      <c r="E217"/>
    </row>
    <row r="218" spans="1:5" ht="14.25" customHeight="1">
      <c r="A218" s="447" t="s">
        <v>1095</v>
      </c>
      <c r="B218" s="448">
        <v>0.375</v>
      </c>
      <c r="C218" s="451" t="s">
        <v>610</v>
      </c>
      <c r="E218"/>
    </row>
    <row r="219" spans="1:5" ht="14.25" customHeight="1">
      <c r="A219" s="447" t="s">
        <v>1096</v>
      </c>
      <c r="B219" s="448">
        <v>0.375</v>
      </c>
      <c r="C219" s="451" t="s">
        <v>610</v>
      </c>
      <c r="E219"/>
    </row>
    <row r="220" spans="1:5" ht="14.25" customHeight="1">
      <c r="A220" s="447" t="s">
        <v>1097</v>
      </c>
      <c r="B220" s="448">
        <v>0.375</v>
      </c>
      <c r="C220" s="451" t="s">
        <v>610</v>
      </c>
      <c r="E220"/>
    </row>
    <row r="221" spans="1:5" ht="14.25" customHeight="1">
      <c r="A221" s="447" t="s">
        <v>1098</v>
      </c>
      <c r="B221" s="448">
        <v>0.375</v>
      </c>
      <c r="C221" s="451" t="s">
        <v>610</v>
      </c>
      <c r="E221"/>
    </row>
    <row r="222" spans="1:5" ht="14.25" customHeight="1">
      <c r="A222" s="447" t="s">
        <v>1099</v>
      </c>
      <c r="B222" s="448">
        <v>0.375</v>
      </c>
      <c r="C222" s="451" t="s">
        <v>610</v>
      </c>
      <c r="E222"/>
    </row>
    <row r="223" spans="1:5" ht="14.25" customHeight="1">
      <c r="A223" s="447" t="s">
        <v>1100</v>
      </c>
      <c r="B223" s="448">
        <v>0.41666666666666702</v>
      </c>
      <c r="C223" s="451" t="s">
        <v>610</v>
      </c>
      <c r="E223"/>
    </row>
    <row r="224" spans="1:5" ht="14.25" customHeight="1">
      <c r="A224" s="447" t="s">
        <v>1101</v>
      </c>
      <c r="B224" s="448">
        <v>0.41666666666666702</v>
      </c>
      <c r="C224" s="451" t="s">
        <v>610</v>
      </c>
      <c r="E224"/>
    </row>
    <row r="225" spans="1:5" ht="14.25" customHeight="1">
      <c r="A225" s="447" t="s">
        <v>1102</v>
      </c>
      <c r="B225" s="448">
        <v>0.41666666666666702</v>
      </c>
      <c r="C225" s="451" t="s">
        <v>610</v>
      </c>
      <c r="E225"/>
    </row>
    <row r="226" spans="1:5" ht="14.25" customHeight="1">
      <c r="A226" s="447" t="s">
        <v>1103</v>
      </c>
      <c r="B226" s="448">
        <v>0.41666666666666702</v>
      </c>
      <c r="C226" s="451" t="s">
        <v>610</v>
      </c>
      <c r="E226"/>
    </row>
    <row r="227" spans="1:5" ht="14.25" customHeight="1">
      <c r="A227" s="447" t="s">
        <v>1104</v>
      </c>
      <c r="B227" s="448">
        <v>0.41666666666666702</v>
      </c>
      <c r="C227" s="451" t="s">
        <v>610</v>
      </c>
      <c r="E227"/>
    </row>
    <row r="228" spans="1:5" ht="14.25" customHeight="1">
      <c r="A228" s="447" t="s">
        <v>1105</v>
      </c>
      <c r="B228" s="448">
        <v>0.41666666666666702</v>
      </c>
      <c r="C228" s="451" t="s">
        <v>610</v>
      </c>
      <c r="E228"/>
    </row>
    <row r="229" spans="1:5" ht="14.25" customHeight="1">
      <c r="A229" s="447" t="s">
        <v>1106</v>
      </c>
      <c r="B229" s="448">
        <v>0.41666666666666702</v>
      </c>
      <c r="C229" s="451" t="s">
        <v>610</v>
      </c>
      <c r="E229"/>
    </row>
    <row r="230" spans="1:5" ht="14.25" customHeight="1">
      <c r="A230" s="447" t="s">
        <v>1107</v>
      </c>
      <c r="B230" s="448">
        <v>0.41666666666666702</v>
      </c>
      <c r="C230" s="451" t="s">
        <v>610</v>
      </c>
      <c r="E230"/>
    </row>
    <row r="231" spans="1:5" ht="14.25" customHeight="1">
      <c r="A231" s="447" t="s">
        <v>1108</v>
      </c>
      <c r="B231" s="448">
        <v>0.41666666666666702</v>
      </c>
      <c r="C231" s="451" t="s">
        <v>610</v>
      </c>
      <c r="E231"/>
    </row>
    <row r="232" spans="1:5" ht="14.25" customHeight="1">
      <c r="A232" s="447" t="s">
        <v>1109</v>
      </c>
      <c r="B232" s="448">
        <v>0.41666666666666702</v>
      </c>
      <c r="C232" s="451" t="s">
        <v>610</v>
      </c>
      <c r="E232"/>
    </row>
    <row r="233" spans="1:5" ht="14.25" customHeight="1">
      <c r="A233" s="447" t="s">
        <v>1110</v>
      </c>
      <c r="B233" s="448">
        <v>0.41666666666666702</v>
      </c>
      <c r="C233" s="451" t="s">
        <v>610</v>
      </c>
      <c r="E233"/>
    </row>
    <row r="234" spans="1:5" ht="14.25" customHeight="1">
      <c r="A234" s="447" t="s">
        <v>1111</v>
      </c>
      <c r="B234" s="448">
        <v>0.41666666666666702</v>
      </c>
      <c r="C234" s="451" t="s">
        <v>610</v>
      </c>
      <c r="E234"/>
    </row>
    <row r="235" spans="1:5" ht="14.25" customHeight="1">
      <c r="A235" s="447" t="s">
        <v>1112</v>
      </c>
      <c r="B235" s="448">
        <v>0.41666666666666702</v>
      </c>
      <c r="C235" s="451" t="s">
        <v>610</v>
      </c>
      <c r="E235"/>
    </row>
    <row r="236" spans="1:5" ht="14.25" customHeight="1">
      <c r="A236" s="447" t="s">
        <v>1113</v>
      </c>
      <c r="B236" s="448">
        <v>0.41666666666666702</v>
      </c>
      <c r="C236" s="451" t="s">
        <v>610</v>
      </c>
      <c r="E236"/>
    </row>
    <row r="237" spans="1:5" ht="14.25" customHeight="1">
      <c r="A237" s="447" t="s">
        <v>1114</v>
      </c>
      <c r="B237" s="448">
        <v>0.41666666666666702</v>
      </c>
      <c r="C237" s="451" t="s">
        <v>610</v>
      </c>
      <c r="E237"/>
    </row>
    <row r="238" spans="1:5" ht="14.25" customHeight="1">
      <c r="A238" s="447" t="s">
        <v>1115</v>
      </c>
      <c r="B238" s="448">
        <v>0.41666666666666702</v>
      </c>
      <c r="C238" s="451" t="s">
        <v>610</v>
      </c>
      <c r="E238"/>
    </row>
    <row r="239" spans="1:5" ht="14.25" customHeight="1">
      <c r="A239" s="447" t="s">
        <v>1116</v>
      </c>
      <c r="B239" s="448">
        <v>0.41666666666666702</v>
      </c>
      <c r="C239" s="451" t="s">
        <v>610</v>
      </c>
      <c r="E239"/>
    </row>
    <row r="240" spans="1:5" ht="14.25" customHeight="1">
      <c r="A240" s="447" t="s">
        <v>1117</v>
      </c>
      <c r="B240" s="448">
        <v>0.41666666666666702</v>
      </c>
      <c r="C240" s="451" t="s">
        <v>610</v>
      </c>
      <c r="E240"/>
    </row>
    <row r="241" spans="1:5" ht="14.25" customHeight="1">
      <c r="A241" s="447" t="s">
        <v>1118</v>
      </c>
      <c r="B241" s="448">
        <v>0.41666666666666702</v>
      </c>
      <c r="C241" s="451" t="s">
        <v>610</v>
      </c>
      <c r="E241"/>
    </row>
    <row r="242" spans="1:5" ht="14.25" customHeight="1">
      <c r="A242" s="447" t="s">
        <v>1119</v>
      </c>
      <c r="B242" s="448">
        <v>0.41666666666666702</v>
      </c>
      <c r="C242" s="451" t="s">
        <v>610</v>
      </c>
      <c r="E242"/>
    </row>
    <row r="243" spans="1:5" ht="14.25" customHeight="1">
      <c r="A243" s="447" t="s">
        <v>1120</v>
      </c>
      <c r="B243" s="448">
        <v>0.41666666666666702</v>
      </c>
      <c r="C243" s="451" t="s">
        <v>610</v>
      </c>
      <c r="E243"/>
    </row>
    <row r="244" spans="1:5" ht="14.25" customHeight="1">
      <c r="A244" s="447" t="s">
        <v>1121</v>
      </c>
      <c r="B244" s="448">
        <v>0.41666666666666702</v>
      </c>
      <c r="C244" s="451" t="s">
        <v>610</v>
      </c>
      <c r="E244"/>
    </row>
    <row r="245" spans="1:5" ht="14.25" customHeight="1">
      <c r="A245" s="447" t="s">
        <v>1122</v>
      </c>
      <c r="B245" s="448">
        <v>0.41666666666666702</v>
      </c>
      <c r="C245" s="451" t="s">
        <v>610</v>
      </c>
      <c r="E245"/>
    </row>
    <row r="246" spans="1:5" ht="14.25" customHeight="1">
      <c r="A246" s="447" t="s">
        <v>1123</v>
      </c>
      <c r="B246" s="448">
        <v>0.41666666666666702</v>
      </c>
      <c r="C246" s="451" t="s">
        <v>610</v>
      </c>
      <c r="E246"/>
    </row>
    <row r="247" spans="1:5" ht="14.25" customHeight="1">
      <c r="A247" s="447" t="s">
        <v>1124</v>
      </c>
      <c r="B247" s="448">
        <v>0.41666666666666702</v>
      </c>
      <c r="C247" s="451" t="s">
        <v>610</v>
      </c>
      <c r="E247"/>
    </row>
    <row r="248" spans="1:5" ht="14.25" customHeight="1">
      <c r="A248" s="447" t="s">
        <v>1125</v>
      </c>
      <c r="B248" s="448">
        <v>0.41666666666666702</v>
      </c>
      <c r="C248" s="451" t="s">
        <v>610</v>
      </c>
      <c r="E248"/>
    </row>
    <row r="249" spans="1:5" ht="14.25" customHeight="1">
      <c r="A249" s="447" t="s">
        <v>1126</v>
      </c>
      <c r="B249" s="448">
        <v>0.41666666666666702</v>
      </c>
      <c r="C249" s="451" t="s">
        <v>610</v>
      </c>
      <c r="E249"/>
    </row>
    <row r="250" spans="1:5" ht="14.25" customHeight="1">
      <c r="A250" s="447" t="s">
        <v>1127</v>
      </c>
      <c r="B250" s="448">
        <v>0.41666666666666702</v>
      </c>
      <c r="C250" s="451" t="s">
        <v>610</v>
      </c>
      <c r="E250"/>
    </row>
    <row r="251" spans="1:5" ht="14.25" customHeight="1">
      <c r="A251" s="447" t="s">
        <v>1128</v>
      </c>
      <c r="B251" s="448">
        <v>0.41666666666666702</v>
      </c>
      <c r="C251" s="451" t="s">
        <v>610</v>
      </c>
      <c r="E251"/>
    </row>
    <row r="252" spans="1:5" ht="14.25" customHeight="1">
      <c r="A252" s="447" t="s">
        <v>1129</v>
      </c>
      <c r="B252" s="448">
        <v>0.41666666666666702</v>
      </c>
      <c r="C252" s="451" t="s">
        <v>610</v>
      </c>
      <c r="E252"/>
    </row>
    <row r="253" spans="1:5" ht="14.25" customHeight="1">
      <c r="A253" s="447" t="s">
        <v>1130</v>
      </c>
      <c r="B253" s="448">
        <v>0.41666666666666702</v>
      </c>
      <c r="C253" s="451" t="s">
        <v>610</v>
      </c>
      <c r="E253"/>
    </row>
    <row r="254" spans="1:5" ht="14.25" customHeight="1">
      <c r="A254" s="447" t="s">
        <v>1131</v>
      </c>
      <c r="B254" s="448">
        <v>0.41666666666666702</v>
      </c>
      <c r="C254" s="451" t="s">
        <v>610</v>
      </c>
      <c r="E254"/>
    </row>
    <row r="255" spans="1:5" ht="14.25" customHeight="1">
      <c r="A255" s="447" t="s">
        <v>1132</v>
      </c>
      <c r="B255" s="448">
        <v>0.41666666666666702</v>
      </c>
      <c r="C255" s="451" t="s">
        <v>610</v>
      </c>
      <c r="E255"/>
    </row>
    <row r="256" spans="1:5" ht="14.25" customHeight="1">
      <c r="A256" s="447" t="s">
        <v>1133</v>
      </c>
      <c r="B256" s="448">
        <v>0.41666666666666702</v>
      </c>
      <c r="C256" s="451" t="s">
        <v>610</v>
      </c>
      <c r="E256"/>
    </row>
    <row r="257" spans="1:5" ht="14.25" customHeight="1">
      <c r="A257" s="447" t="s">
        <v>1134</v>
      </c>
      <c r="B257" s="448">
        <v>0.41666666666666702</v>
      </c>
      <c r="C257" s="451" t="s">
        <v>610</v>
      </c>
      <c r="E257"/>
    </row>
    <row r="258" spans="1:5" ht="14.25" customHeight="1">
      <c r="A258" s="447" t="s">
        <v>1135</v>
      </c>
      <c r="B258" s="448">
        <v>0.41666666666666702</v>
      </c>
      <c r="C258" s="451" t="s">
        <v>610</v>
      </c>
      <c r="E258"/>
    </row>
    <row r="259" spans="1:5" ht="14.25" customHeight="1">
      <c r="A259" s="447" t="s">
        <v>1136</v>
      </c>
      <c r="B259" s="448">
        <v>0.41666666666666702</v>
      </c>
      <c r="C259" s="451" t="s">
        <v>610</v>
      </c>
      <c r="E259"/>
    </row>
    <row r="260" spans="1:5" ht="14.25" customHeight="1">
      <c r="A260" s="447" t="s">
        <v>1137</v>
      </c>
      <c r="B260" s="448">
        <v>0.41666666666666702</v>
      </c>
      <c r="C260" s="451" t="s">
        <v>610</v>
      </c>
      <c r="E260"/>
    </row>
    <row r="261" spans="1:5" ht="14.25" customHeight="1">
      <c r="A261" s="447" t="s">
        <v>1138</v>
      </c>
      <c r="B261" s="448">
        <v>0.41666666666666702</v>
      </c>
      <c r="C261" s="451" t="s">
        <v>610</v>
      </c>
      <c r="E261"/>
    </row>
    <row r="262" spans="1:5" ht="14.25" customHeight="1">
      <c r="A262" s="447" t="s">
        <v>1139</v>
      </c>
      <c r="B262" s="448">
        <v>0.41666666666666702</v>
      </c>
      <c r="C262" s="451" t="s">
        <v>610</v>
      </c>
      <c r="E262"/>
    </row>
    <row r="263" spans="1:5" ht="14.25" customHeight="1">
      <c r="A263" s="447" t="s">
        <v>1140</v>
      </c>
      <c r="B263" s="448">
        <v>0.41666666666666702</v>
      </c>
      <c r="C263" s="451" t="s">
        <v>610</v>
      </c>
      <c r="E263"/>
    </row>
    <row r="264" spans="1:5" ht="14.25" customHeight="1">
      <c r="A264" s="447" t="s">
        <v>1141</v>
      </c>
      <c r="B264" s="448">
        <v>0.41666666666666702</v>
      </c>
      <c r="C264" s="451" t="s">
        <v>610</v>
      </c>
      <c r="E264"/>
    </row>
    <row r="265" spans="1:5" ht="14.25" customHeight="1">
      <c r="A265" s="447" t="s">
        <v>1142</v>
      </c>
      <c r="B265" s="448">
        <v>0.41666666666666702</v>
      </c>
      <c r="C265" s="451" t="s">
        <v>610</v>
      </c>
      <c r="E265"/>
    </row>
    <row r="266" spans="1:5" ht="14.25" customHeight="1">
      <c r="A266" s="447" t="s">
        <v>1143</v>
      </c>
      <c r="B266" s="448">
        <v>0.41666666666666702</v>
      </c>
      <c r="C266" s="451" t="s">
        <v>610</v>
      </c>
      <c r="E266"/>
    </row>
    <row r="267" spans="1:5" ht="14.25" customHeight="1">
      <c r="A267" s="447" t="s">
        <v>1144</v>
      </c>
      <c r="B267" s="448">
        <v>0.41666666666666702</v>
      </c>
      <c r="C267" s="451" t="s">
        <v>610</v>
      </c>
      <c r="E267"/>
    </row>
    <row r="268" spans="1:5" ht="14.25" customHeight="1">
      <c r="A268" s="447" t="s">
        <v>1145</v>
      </c>
      <c r="B268" s="448">
        <v>0.41666666666666702</v>
      </c>
      <c r="C268" s="451" t="s">
        <v>610</v>
      </c>
      <c r="E268"/>
    </row>
    <row r="269" spans="1:5" ht="14.25" customHeight="1">
      <c r="A269" s="447" t="s">
        <v>1146</v>
      </c>
      <c r="B269" s="448">
        <v>0.41666666666666702</v>
      </c>
      <c r="C269" s="451" t="s">
        <v>610</v>
      </c>
      <c r="E269"/>
    </row>
    <row r="270" spans="1:5" ht="14.25" customHeight="1">
      <c r="A270" s="447" t="s">
        <v>1147</v>
      </c>
      <c r="B270" s="448">
        <v>0.41666666666666702</v>
      </c>
      <c r="C270" s="451" t="s">
        <v>610</v>
      </c>
      <c r="E270"/>
    </row>
    <row r="271" spans="1:5" ht="14.25" customHeight="1">
      <c r="A271" s="447" t="s">
        <v>1148</v>
      </c>
      <c r="B271" s="448">
        <v>0.41666666666666702</v>
      </c>
      <c r="C271" s="451" t="s">
        <v>610</v>
      </c>
      <c r="E271"/>
    </row>
    <row r="272" spans="1:5" ht="14.25" customHeight="1">
      <c r="A272" s="447" t="s">
        <v>1149</v>
      </c>
      <c r="B272" s="448">
        <v>0.41666666666666702</v>
      </c>
      <c r="C272" s="451" t="s">
        <v>610</v>
      </c>
      <c r="E272"/>
    </row>
    <row r="273" spans="1:5" ht="14.25" customHeight="1">
      <c r="A273" s="447" t="s">
        <v>1150</v>
      </c>
      <c r="B273" s="448">
        <v>0.41666666666666702</v>
      </c>
      <c r="C273" s="451" t="s">
        <v>610</v>
      </c>
      <c r="E273"/>
    </row>
    <row r="274" spans="1:5" ht="14.25" customHeight="1">
      <c r="A274" s="447" t="s">
        <v>1151</v>
      </c>
      <c r="B274" s="448">
        <v>0.41666666666666702</v>
      </c>
      <c r="C274" s="451" t="s">
        <v>610</v>
      </c>
      <c r="E274"/>
    </row>
    <row r="275" spans="1:5" ht="14.25" customHeight="1">
      <c r="A275" s="447" t="s">
        <v>1152</v>
      </c>
      <c r="B275" s="448">
        <v>0.41666666666666702</v>
      </c>
      <c r="C275" s="451" t="s">
        <v>610</v>
      </c>
      <c r="E275"/>
    </row>
    <row r="276" spans="1:5" ht="14.25" customHeight="1">
      <c r="A276" s="447" t="s">
        <v>1153</v>
      </c>
      <c r="B276" s="448">
        <v>0.41666666666666702</v>
      </c>
      <c r="C276" s="451" t="s">
        <v>610</v>
      </c>
      <c r="E276"/>
    </row>
    <row r="277" spans="1:5" ht="14.25" customHeight="1">
      <c r="A277" s="447" t="s">
        <v>1154</v>
      </c>
      <c r="B277" s="448">
        <v>0.41666666666666702</v>
      </c>
      <c r="C277" s="451" t="s">
        <v>610</v>
      </c>
      <c r="E277"/>
    </row>
    <row r="278" spans="1:5" ht="14.25" customHeight="1">
      <c r="A278" s="447" t="s">
        <v>1155</v>
      </c>
      <c r="B278" s="448">
        <v>0.41666666666666702</v>
      </c>
      <c r="C278" s="451" t="s">
        <v>610</v>
      </c>
      <c r="E278"/>
    </row>
    <row r="279" spans="1:5" ht="14.25" customHeight="1">
      <c r="A279" s="447" t="s">
        <v>1156</v>
      </c>
      <c r="B279" s="448">
        <v>0.41666666666666702</v>
      </c>
      <c r="C279" s="451" t="s">
        <v>610</v>
      </c>
      <c r="E279"/>
    </row>
    <row r="280" spans="1:5" ht="14.25" customHeight="1">
      <c r="A280" s="447" t="s">
        <v>1157</v>
      </c>
      <c r="B280" s="448">
        <v>0.41666666666666702</v>
      </c>
      <c r="C280" s="451" t="s">
        <v>610</v>
      </c>
      <c r="E280"/>
    </row>
    <row r="281" spans="1:5" ht="14.25" customHeight="1">
      <c r="A281" s="447" t="s">
        <v>1158</v>
      </c>
      <c r="B281" s="448">
        <v>0.41666666666666702</v>
      </c>
      <c r="C281" s="451" t="s">
        <v>610</v>
      </c>
      <c r="E281"/>
    </row>
    <row r="282" spans="1:5" ht="14.25" customHeight="1">
      <c r="A282" s="447" t="s">
        <v>1159</v>
      </c>
      <c r="B282" s="448">
        <v>0.41666666666666702</v>
      </c>
      <c r="C282" s="451" t="s">
        <v>610</v>
      </c>
      <c r="E282"/>
    </row>
    <row r="283" spans="1:5" ht="14.25" customHeight="1">
      <c r="A283" s="447" t="s">
        <v>1160</v>
      </c>
      <c r="B283" s="448">
        <v>0.41666666666666702</v>
      </c>
      <c r="C283" s="451" t="s">
        <v>610</v>
      </c>
      <c r="E283"/>
    </row>
    <row r="284" spans="1:5" ht="14.25" customHeight="1">
      <c r="A284" s="447" t="s">
        <v>1161</v>
      </c>
      <c r="B284" s="448">
        <v>0.41666666666666702</v>
      </c>
      <c r="C284" s="451" t="s">
        <v>610</v>
      </c>
      <c r="E284"/>
    </row>
    <row r="285" spans="1:5" ht="14.25" customHeight="1">
      <c r="A285" s="447" t="s">
        <v>1162</v>
      </c>
      <c r="B285" s="448">
        <v>0.41666666666666702</v>
      </c>
      <c r="C285" s="451" t="s">
        <v>610</v>
      </c>
      <c r="E285"/>
    </row>
    <row r="286" spans="1:5" ht="14.25" customHeight="1">
      <c r="A286" s="447" t="s">
        <v>1163</v>
      </c>
      <c r="B286" s="448">
        <v>0.41666666666666702</v>
      </c>
      <c r="C286" s="451" t="s">
        <v>610</v>
      </c>
      <c r="E286"/>
    </row>
    <row r="287" spans="1:5" ht="14.25" customHeight="1">
      <c r="A287" s="447" t="s">
        <v>1164</v>
      </c>
      <c r="B287" s="448">
        <v>0.41666666666666702</v>
      </c>
      <c r="C287" s="451" t="s">
        <v>610</v>
      </c>
      <c r="E287"/>
    </row>
    <row r="288" spans="1:5" ht="14.25" customHeight="1">
      <c r="A288" s="447" t="s">
        <v>1165</v>
      </c>
      <c r="B288" s="448">
        <v>0.41666666666666702</v>
      </c>
      <c r="C288" s="451" t="s">
        <v>610</v>
      </c>
      <c r="E288"/>
    </row>
    <row r="289" spans="1:5" ht="14.25" customHeight="1">
      <c r="A289" s="447" t="s">
        <v>1166</v>
      </c>
      <c r="B289" s="448">
        <v>0.41666666666666702</v>
      </c>
      <c r="C289" s="451" t="s">
        <v>610</v>
      </c>
      <c r="E289"/>
    </row>
    <row r="290" spans="1:5" ht="14.25" customHeight="1">
      <c r="A290" s="447" t="s">
        <v>1167</v>
      </c>
      <c r="B290" s="448">
        <v>0.41666666666666702</v>
      </c>
      <c r="C290" s="451" t="s">
        <v>610</v>
      </c>
      <c r="E290"/>
    </row>
    <row r="291" spans="1:5" ht="14.25" customHeight="1">
      <c r="A291" s="447" t="s">
        <v>1168</v>
      </c>
      <c r="B291" s="448">
        <v>0.41666666666666702</v>
      </c>
      <c r="C291" s="451" t="s">
        <v>610</v>
      </c>
      <c r="E291"/>
    </row>
    <row r="292" spans="1:5" ht="14.25" customHeight="1">
      <c r="A292" s="447" t="s">
        <v>1169</v>
      </c>
      <c r="B292" s="448">
        <v>0.41666666666666702</v>
      </c>
      <c r="C292" s="451" t="s">
        <v>610</v>
      </c>
      <c r="E292"/>
    </row>
    <row r="293" spans="1:5" ht="14.25" customHeight="1">
      <c r="A293" s="447" t="s">
        <v>1170</v>
      </c>
      <c r="B293" s="448">
        <v>0.41666666666666702</v>
      </c>
      <c r="C293" s="451" t="s">
        <v>610</v>
      </c>
      <c r="E293"/>
    </row>
    <row r="294" spans="1:5" ht="14.25" customHeight="1">
      <c r="A294" s="447" t="s">
        <v>1171</v>
      </c>
      <c r="B294" s="448">
        <v>0.41666666666666702</v>
      </c>
      <c r="C294" s="451" t="s">
        <v>610</v>
      </c>
      <c r="E294"/>
    </row>
    <row r="295" spans="1:5" ht="14.25" customHeight="1">
      <c r="A295" s="447" t="s">
        <v>1172</v>
      </c>
      <c r="B295" s="448">
        <v>0.41666666666666702</v>
      </c>
      <c r="C295" s="451" t="s">
        <v>610</v>
      </c>
      <c r="E295"/>
    </row>
    <row r="296" spans="1:5" ht="14.25" customHeight="1">
      <c r="A296" s="447" t="s">
        <v>1173</v>
      </c>
      <c r="B296" s="448">
        <v>0.41666666666666702</v>
      </c>
      <c r="C296" s="451" t="s">
        <v>610</v>
      </c>
      <c r="E296"/>
    </row>
    <row r="297" spans="1:5" ht="14.25" customHeight="1">
      <c r="A297" s="447" t="s">
        <v>1174</v>
      </c>
      <c r="B297" s="448">
        <v>0.41666666666666702</v>
      </c>
      <c r="C297" s="451" t="s">
        <v>610</v>
      </c>
      <c r="E297"/>
    </row>
    <row r="298" spans="1:5" ht="14.25" customHeight="1">
      <c r="A298" s="447" t="s">
        <v>1175</v>
      </c>
      <c r="B298" s="448">
        <v>0.41666666666666702</v>
      </c>
      <c r="C298" s="451" t="s">
        <v>610</v>
      </c>
      <c r="E298"/>
    </row>
    <row r="299" spans="1:5" ht="14.25" customHeight="1">
      <c r="A299" s="447" t="s">
        <v>1176</v>
      </c>
      <c r="B299" s="448">
        <v>0.41666666666666702</v>
      </c>
      <c r="C299" s="451" t="s">
        <v>610</v>
      </c>
      <c r="E299"/>
    </row>
    <row r="300" spans="1:5" ht="14.25" customHeight="1">
      <c r="A300" s="447" t="s">
        <v>1177</v>
      </c>
      <c r="B300" s="448">
        <v>0.41666666666666702</v>
      </c>
      <c r="C300" s="451" t="s">
        <v>610</v>
      </c>
      <c r="E300"/>
    </row>
    <row r="301" spans="1:5" ht="14.25" customHeight="1">
      <c r="A301" s="447" t="s">
        <v>1178</v>
      </c>
      <c r="B301" s="448">
        <v>0.41666666666666702</v>
      </c>
      <c r="C301" s="451" t="s">
        <v>610</v>
      </c>
      <c r="E301"/>
    </row>
    <row r="302" spans="1:5" ht="14.25" customHeight="1">
      <c r="A302" s="447" t="s">
        <v>1179</v>
      </c>
      <c r="B302" s="448">
        <v>0.41666666666666702</v>
      </c>
      <c r="C302" s="451" t="s">
        <v>610</v>
      </c>
      <c r="E302"/>
    </row>
    <row r="303" spans="1:5" ht="14.25" customHeight="1">
      <c r="A303" s="447" t="s">
        <v>1180</v>
      </c>
      <c r="B303" s="448">
        <v>0.41666666666666702</v>
      </c>
      <c r="C303" s="451" t="s">
        <v>610</v>
      </c>
      <c r="E303"/>
    </row>
    <row r="304" spans="1:5" ht="14.25" customHeight="1">
      <c r="A304" s="447" t="s">
        <v>1181</v>
      </c>
      <c r="B304" s="448">
        <v>0.41666666666666702</v>
      </c>
      <c r="C304" s="451" t="s">
        <v>610</v>
      </c>
      <c r="E304"/>
    </row>
    <row r="305" spans="1:5" ht="14.25" customHeight="1">
      <c r="A305" s="447" t="s">
        <v>1182</v>
      </c>
      <c r="B305" s="448">
        <v>0.41666666666666702</v>
      </c>
      <c r="C305" s="451" t="s">
        <v>610</v>
      </c>
      <c r="E305"/>
    </row>
    <row r="306" spans="1:5" ht="14.25" customHeight="1">
      <c r="A306" s="447" t="s">
        <v>1183</v>
      </c>
      <c r="B306" s="448">
        <v>0.41666666666666702</v>
      </c>
      <c r="C306" s="451" t="s">
        <v>610</v>
      </c>
      <c r="E306"/>
    </row>
    <row r="307" spans="1:5" ht="14.25" customHeight="1">
      <c r="A307" s="447" t="s">
        <v>1184</v>
      </c>
      <c r="B307" s="448">
        <v>0.59722222222222199</v>
      </c>
      <c r="C307" s="451" t="s">
        <v>610</v>
      </c>
      <c r="E307"/>
    </row>
    <row r="308" spans="1:5" ht="14.25" customHeight="1">
      <c r="A308" s="447" t="s">
        <v>1185</v>
      </c>
      <c r="B308" s="448">
        <v>0.59722222222222199</v>
      </c>
      <c r="C308" s="451" t="s">
        <v>610</v>
      </c>
      <c r="E308"/>
    </row>
    <row r="309" spans="1:5" ht="14.25" customHeight="1">
      <c r="A309" s="447" t="s">
        <v>1186</v>
      </c>
      <c r="B309" s="448">
        <v>0.59722222222222199</v>
      </c>
      <c r="C309" s="451" t="s">
        <v>610</v>
      </c>
      <c r="E309"/>
    </row>
    <row r="310" spans="1:5" ht="14.25" customHeight="1">
      <c r="A310" s="447" t="s">
        <v>1187</v>
      </c>
      <c r="B310" s="448">
        <v>0.59722222222222199</v>
      </c>
      <c r="C310" s="451" t="s">
        <v>610</v>
      </c>
      <c r="E310"/>
    </row>
    <row r="311" spans="1:5" ht="14.25" customHeight="1">
      <c r="A311" s="447" t="s">
        <v>1188</v>
      </c>
      <c r="B311" s="448">
        <v>0.59722222222222199</v>
      </c>
      <c r="C311" s="451" t="s">
        <v>610</v>
      </c>
      <c r="E311"/>
    </row>
    <row r="312" spans="1:5" ht="14.25" customHeight="1">
      <c r="A312" s="447" t="s">
        <v>1189</v>
      </c>
      <c r="B312" s="448">
        <v>0.59722222222222199</v>
      </c>
      <c r="C312" s="451" t="s">
        <v>610</v>
      </c>
      <c r="E312"/>
    </row>
    <row r="313" spans="1:5" ht="14.25" customHeight="1">
      <c r="A313" s="447" t="s">
        <v>1190</v>
      </c>
      <c r="B313" s="448">
        <v>0.59722222222222199</v>
      </c>
      <c r="C313" s="451" t="s">
        <v>610</v>
      </c>
      <c r="E313"/>
    </row>
    <row r="314" spans="1:5" ht="14.25" customHeight="1">
      <c r="A314" s="447" t="s">
        <v>1191</v>
      </c>
      <c r="B314" s="448">
        <v>0.59722222222222199</v>
      </c>
      <c r="C314" s="451" t="s">
        <v>610</v>
      </c>
      <c r="E314"/>
    </row>
    <row r="315" spans="1:5" ht="14.25" customHeight="1">
      <c r="A315" s="447" t="s">
        <v>1192</v>
      </c>
      <c r="B315" s="448">
        <v>0.59722222222222199</v>
      </c>
      <c r="C315" s="451" t="s">
        <v>610</v>
      </c>
      <c r="E315"/>
    </row>
    <row r="316" spans="1:5" ht="14.25" customHeight="1">
      <c r="A316" s="447" t="s">
        <v>1193</v>
      </c>
      <c r="B316" s="448">
        <v>0.59722222222222199</v>
      </c>
      <c r="C316" s="451" t="s">
        <v>610</v>
      </c>
      <c r="E316"/>
    </row>
    <row r="317" spans="1:5" ht="14.25" customHeight="1">
      <c r="A317" s="447" t="s">
        <v>1194</v>
      </c>
      <c r="B317" s="448">
        <v>0.59722222222222199</v>
      </c>
      <c r="C317" s="451" t="s">
        <v>610</v>
      </c>
      <c r="E317"/>
    </row>
    <row r="318" spans="1:5" ht="14.25" customHeight="1">
      <c r="A318" s="447" t="s">
        <v>1195</v>
      </c>
      <c r="B318" s="448">
        <v>0.59722222222222199</v>
      </c>
      <c r="C318" s="451" t="s">
        <v>610</v>
      </c>
      <c r="E318"/>
    </row>
    <row r="319" spans="1:5" ht="14.25" customHeight="1">
      <c r="A319" s="447" t="s">
        <v>1196</v>
      </c>
      <c r="B319" s="448">
        <v>0.59722222222222199</v>
      </c>
      <c r="C319" s="451" t="s">
        <v>610</v>
      </c>
      <c r="E319"/>
    </row>
    <row r="320" spans="1:5" ht="14.25" customHeight="1">
      <c r="A320" s="447" t="s">
        <v>1197</v>
      </c>
      <c r="B320" s="448">
        <v>0.59722222222222199</v>
      </c>
      <c r="C320" s="451" t="s">
        <v>610</v>
      </c>
      <c r="E320"/>
    </row>
    <row r="321" spans="1:5" ht="14.25" customHeight="1">
      <c r="A321" s="447" t="s">
        <v>1198</v>
      </c>
      <c r="B321" s="448">
        <v>0.59722222222222199</v>
      </c>
      <c r="C321" s="451" t="s">
        <v>610</v>
      </c>
      <c r="E321"/>
    </row>
    <row r="322" spans="1:5" ht="14.25" customHeight="1">
      <c r="A322" s="447" t="s">
        <v>1199</v>
      </c>
      <c r="B322" s="448">
        <v>0.59722222222222199</v>
      </c>
      <c r="C322" s="451" t="s">
        <v>610</v>
      </c>
      <c r="E322"/>
    </row>
    <row r="323" spans="1:5" ht="14.25" customHeight="1">
      <c r="A323" s="447" t="s">
        <v>1200</v>
      </c>
      <c r="B323" s="448">
        <v>0.59722222222222199</v>
      </c>
      <c r="C323" s="451" t="s">
        <v>610</v>
      </c>
      <c r="E323"/>
    </row>
    <row r="324" spans="1:5" ht="14.25" customHeight="1">
      <c r="A324" s="447" t="s">
        <v>1201</v>
      </c>
      <c r="B324" s="448">
        <v>0.59722222222222199</v>
      </c>
      <c r="C324" s="451" t="s">
        <v>610</v>
      </c>
      <c r="E324"/>
    </row>
    <row r="325" spans="1:5" ht="14.25" customHeight="1">
      <c r="A325" s="447" t="s">
        <v>1202</v>
      </c>
      <c r="B325" s="448">
        <v>0.59722222222222199</v>
      </c>
      <c r="C325" s="451" t="s">
        <v>610</v>
      </c>
      <c r="E325"/>
    </row>
    <row r="326" spans="1:5" ht="14.25" customHeight="1">
      <c r="A326" s="447" t="s">
        <v>1203</v>
      </c>
      <c r="B326" s="448">
        <v>0.59722222222222199</v>
      </c>
      <c r="C326" s="451" t="s">
        <v>610</v>
      </c>
      <c r="E326"/>
    </row>
    <row r="327" spans="1:5" ht="14.25" customHeight="1">
      <c r="A327" s="447" t="s">
        <v>1204</v>
      </c>
      <c r="B327" s="448">
        <v>0.59722222222222199</v>
      </c>
      <c r="C327" s="451" t="s">
        <v>610</v>
      </c>
      <c r="E327"/>
    </row>
    <row r="328" spans="1:5" ht="14.25" customHeight="1">
      <c r="A328" s="447" t="s">
        <v>1205</v>
      </c>
      <c r="B328" s="448">
        <v>0.59722222222222199</v>
      </c>
      <c r="C328" s="451" t="s">
        <v>610</v>
      </c>
      <c r="E328"/>
    </row>
    <row r="329" spans="1:5" ht="14.25" customHeight="1">
      <c r="A329" s="447" t="s">
        <v>1206</v>
      </c>
      <c r="B329" s="448">
        <v>0.59722222222222199</v>
      </c>
      <c r="C329" s="451" t="s">
        <v>610</v>
      </c>
      <c r="E329"/>
    </row>
    <row r="330" spans="1:5" ht="14.25" customHeight="1">
      <c r="A330" s="447" t="s">
        <v>1207</v>
      </c>
      <c r="B330" s="448">
        <v>0.59722222222222199</v>
      </c>
      <c r="C330" s="451" t="s">
        <v>610</v>
      </c>
      <c r="E330"/>
    </row>
    <row r="331" spans="1:5" ht="14.25" customHeight="1">
      <c r="A331" s="447" t="s">
        <v>1208</v>
      </c>
      <c r="B331" s="448">
        <v>0.59722222222222199</v>
      </c>
      <c r="C331" s="451" t="s">
        <v>610</v>
      </c>
      <c r="E331"/>
    </row>
    <row r="332" spans="1:5" ht="14.25" customHeight="1">
      <c r="A332" s="447" t="s">
        <v>1209</v>
      </c>
      <c r="B332" s="448">
        <v>0.59722222222222199</v>
      </c>
      <c r="C332" s="451" t="s">
        <v>610</v>
      </c>
      <c r="E332"/>
    </row>
    <row r="333" spans="1:5" ht="14.25" customHeight="1">
      <c r="A333" s="447" t="s">
        <v>1210</v>
      </c>
      <c r="B333" s="448">
        <v>0.59722222222222199</v>
      </c>
      <c r="C333" s="451" t="s">
        <v>610</v>
      </c>
      <c r="E333"/>
    </row>
    <row r="334" spans="1:5" ht="14.25" customHeight="1">
      <c r="A334" s="447" t="s">
        <v>1211</v>
      </c>
      <c r="B334" s="448">
        <v>0.59722222222222199</v>
      </c>
      <c r="C334" s="451" t="s">
        <v>610</v>
      </c>
      <c r="E334"/>
    </row>
    <row r="335" spans="1:5" ht="14.25" customHeight="1">
      <c r="A335" s="447" t="s">
        <v>1212</v>
      </c>
      <c r="B335" s="448">
        <v>0.59722222222222199</v>
      </c>
      <c r="C335" s="451" t="s">
        <v>610</v>
      </c>
      <c r="E335"/>
    </row>
    <row r="336" spans="1:5" ht="14.25" customHeight="1">
      <c r="A336" s="447" t="s">
        <v>1213</v>
      </c>
      <c r="B336" s="448">
        <v>0.59722222222222199</v>
      </c>
      <c r="C336" s="451" t="s">
        <v>610</v>
      </c>
      <c r="E336"/>
    </row>
    <row r="337" spans="1:5" ht="14.25" customHeight="1">
      <c r="A337" s="447" t="s">
        <v>1214</v>
      </c>
      <c r="B337" s="448">
        <v>0.59722222222222199</v>
      </c>
      <c r="C337" s="451" t="s">
        <v>610</v>
      </c>
      <c r="E337"/>
    </row>
    <row r="338" spans="1:5" ht="14.25" customHeight="1">
      <c r="A338" s="447" t="s">
        <v>1215</v>
      </c>
      <c r="B338" s="448">
        <v>0.59722222222222199</v>
      </c>
      <c r="C338" s="451" t="s">
        <v>610</v>
      </c>
      <c r="E338"/>
    </row>
    <row r="339" spans="1:5" ht="14.25" customHeight="1">
      <c r="A339" s="447" t="s">
        <v>1216</v>
      </c>
      <c r="B339" s="448">
        <v>0.59722222222222199</v>
      </c>
      <c r="C339" s="451" t="s">
        <v>610</v>
      </c>
      <c r="E339"/>
    </row>
    <row r="340" spans="1:5" ht="14.25" customHeight="1">
      <c r="A340" s="447" t="s">
        <v>1217</v>
      </c>
      <c r="B340" s="448">
        <v>0.59722222222222199</v>
      </c>
      <c r="C340" s="451" t="s">
        <v>610</v>
      </c>
      <c r="E340"/>
    </row>
    <row r="341" spans="1:5" ht="14.25" customHeight="1">
      <c r="A341" s="447" t="s">
        <v>1218</v>
      </c>
      <c r="B341" s="448">
        <v>0.59722222222222199</v>
      </c>
      <c r="C341" s="451" t="s">
        <v>610</v>
      </c>
      <c r="E341"/>
    </row>
    <row r="342" spans="1:5" ht="14.25" customHeight="1">
      <c r="A342" s="447" t="s">
        <v>1219</v>
      </c>
      <c r="B342" s="448">
        <v>0.59722222222222199</v>
      </c>
      <c r="C342" s="451" t="s">
        <v>610</v>
      </c>
      <c r="E342"/>
    </row>
    <row r="343" spans="1:5" ht="14.25" customHeight="1">
      <c r="A343" s="447" t="s">
        <v>1220</v>
      </c>
      <c r="B343" s="448">
        <v>0.59722222222222199</v>
      </c>
      <c r="C343" s="451" t="s">
        <v>610</v>
      </c>
      <c r="E343"/>
    </row>
    <row r="344" spans="1:5" ht="14.25" customHeight="1">
      <c r="A344" s="447" t="s">
        <v>1221</v>
      </c>
      <c r="B344" s="448">
        <v>0.59722222222222199</v>
      </c>
      <c r="C344" s="451" t="s">
        <v>610</v>
      </c>
      <c r="E344"/>
    </row>
    <row r="345" spans="1:5" ht="14.25" customHeight="1">
      <c r="A345" s="447" t="s">
        <v>1222</v>
      </c>
      <c r="B345" s="448">
        <v>0.59722222222222199</v>
      </c>
      <c r="C345" s="451" t="s">
        <v>610</v>
      </c>
      <c r="E345"/>
    </row>
    <row r="346" spans="1:5" ht="14.25" customHeight="1">
      <c r="A346" s="447" t="s">
        <v>1223</v>
      </c>
      <c r="B346" s="448">
        <v>0.59722222222222199</v>
      </c>
      <c r="C346" s="451" t="s">
        <v>610</v>
      </c>
      <c r="E346"/>
    </row>
    <row r="347" spans="1:5" ht="14.25" customHeight="1">
      <c r="A347" s="447" t="s">
        <v>1224</v>
      </c>
      <c r="B347" s="448">
        <v>0.59722222222222199</v>
      </c>
      <c r="C347" s="451" t="s">
        <v>610</v>
      </c>
      <c r="E347"/>
    </row>
    <row r="348" spans="1:5" ht="14.25" customHeight="1">
      <c r="A348" s="447" t="s">
        <v>1225</v>
      </c>
      <c r="B348" s="448">
        <v>0.59722222222222199</v>
      </c>
      <c r="C348" s="451" t="s">
        <v>610</v>
      </c>
      <c r="E348"/>
    </row>
    <row r="349" spans="1:5" ht="14.25" customHeight="1">
      <c r="A349" s="447" t="s">
        <v>1226</v>
      </c>
      <c r="B349" s="448">
        <v>0.59722222222222199</v>
      </c>
      <c r="C349" s="451" t="s">
        <v>610</v>
      </c>
      <c r="E349"/>
    </row>
    <row r="350" spans="1:5" ht="14.25" customHeight="1">
      <c r="A350" s="447" t="s">
        <v>1227</v>
      </c>
      <c r="B350" s="448">
        <v>0.59722222222222199</v>
      </c>
      <c r="C350" s="451" t="s">
        <v>610</v>
      </c>
      <c r="E350"/>
    </row>
    <row r="351" spans="1:5" ht="14.25" customHeight="1">
      <c r="A351" s="447" t="s">
        <v>1228</v>
      </c>
      <c r="B351" s="448">
        <v>0.59722222222222199</v>
      </c>
      <c r="C351" s="451" t="s">
        <v>610</v>
      </c>
      <c r="E351"/>
    </row>
    <row r="352" spans="1:5" ht="14.25" customHeight="1">
      <c r="A352" s="447" t="s">
        <v>1229</v>
      </c>
      <c r="B352" s="448">
        <v>0.59722222222222199</v>
      </c>
      <c r="C352" s="451" t="s">
        <v>610</v>
      </c>
      <c r="E352"/>
    </row>
    <row r="353" spans="1:5" ht="14.25" customHeight="1">
      <c r="A353" s="447" t="s">
        <v>1230</v>
      </c>
      <c r="B353" s="448">
        <v>0.59722222222222199</v>
      </c>
      <c r="C353" s="451" t="s">
        <v>610</v>
      </c>
      <c r="E353"/>
    </row>
    <row r="354" spans="1:5" ht="14.25" customHeight="1">
      <c r="A354" s="447" t="s">
        <v>1231</v>
      </c>
      <c r="B354" s="448">
        <v>0.59722222222222199</v>
      </c>
      <c r="C354" s="451" t="s">
        <v>610</v>
      </c>
      <c r="E354"/>
    </row>
    <row r="355" spans="1:5" ht="14.25" customHeight="1">
      <c r="A355" s="447" t="s">
        <v>1232</v>
      </c>
      <c r="B355" s="448">
        <v>0.59722222222222199</v>
      </c>
      <c r="C355" s="451" t="s">
        <v>610</v>
      </c>
      <c r="E355"/>
    </row>
    <row r="356" spans="1:5" ht="14.25" customHeight="1">
      <c r="A356" s="447" t="s">
        <v>1233</v>
      </c>
      <c r="B356" s="448">
        <v>0.59722222222222199</v>
      </c>
      <c r="C356" s="451" t="s">
        <v>610</v>
      </c>
      <c r="E356"/>
    </row>
    <row r="357" spans="1:5" ht="14.25" customHeight="1">
      <c r="A357" s="447" t="s">
        <v>1234</v>
      </c>
      <c r="B357" s="448">
        <v>0.59722222222222199</v>
      </c>
      <c r="C357" s="451" t="s">
        <v>610</v>
      </c>
      <c r="E357"/>
    </row>
    <row r="358" spans="1:5" ht="14.25" customHeight="1">
      <c r="A358" s="447" t="s">
        <v>1235</v>
      </c>
      <c r="B358" s="448">
        <v>0.59722222222222199</v>
      </c>
      <c r="C358" s="451" t="s">
        <v>610</v>
      </c>
      <c r="E358"/>
    </row>
    <row r="359" spans="1:5" ht="14.25" customHeight="1">
      <c r="A359" s="447" t="s">
        <v>1236</v>
      </c>
      <c r="B359" s="448">
        <v>0.59722222222222199</v>
      </c>
      <c r="C359" s="451" t="s">
        <v>610</v>
      </c>
      <c r="E359"/>
    </row>
    <row r="360" spans="1:5" ht="14.25" customHeight="1">
      <c r="A360" s="447" t="s">
        <v>1237</v>
      </c>
      <c r="B360" s="448">
        <v>0.59722222222222199</v>
      </c>
      <c r="C360" s="451" t="s">
        <v>610</v>
      </c>
      <c r="E360"/>
    </row>
    <row r="361" spans="1:5" ht="14.25" customHeight="1">
      <c r="A361" s="447" t="s">
        <v>1238</v>
      </c>
      <c r="B361" s="448">
        <v>0.59722222222222199</v>
      </c>
      <c r="C361" s="451" t="s">
        <v>610</v>
      </c>
      <c r="E361"/>
    </row>
    <row r="362" spans="1:5" ht="14.25" customHeight="1">
      <c r="A362" s="447" t="s">
        <v>1239</v>
      </c>
      <c r="B362" s="448">
        <v>0.59722222222222199</v>
      </c>
      <c r="C362" s="451" t="s">
        <v>610</v>
      </c>
      <c r="E362"/>
    </row>
    <row r="363" spans="1:5" ht="14.25" customHeight="1">
      <c r="A363" s="447" t="s">
        <v>1240</v>
      </c>
      <c r="B363" s="448">
        <v>0.59722222222222199</v>
      </c>
      <c r="C363" s="451" t="s">
        <v>610</v>
      </c>
      <c r="E363"/>
    </row>
    <row r="364" spans="1:5" ht="14.25" customHeight="1">
      <c r="A364" s="447" t="s">
        <v>1241</v>
      </c>
      <c r="B364" s="448">
        <v>0.59722222222222199</v>
      </c>
      <c r="C364" s="451" t="s">
        <v>610</v>
      </c>
      <c r="E364"/>
    </row>
    <row r="365" spans="1:5" ht="14.25" customHeight="1">
      <c r="A365" s="447" t="s">
        <v>1242</v>
      </c>
      <c r="B365" s="448">
        <v>0.59722222222222199</v>
      </c>
      <c r="C365" s="451" t="s">
        <v>610</v>
      </c>
      <c r="E365"/>
    </row>
    <row r="366" spans="1:5" ht="14.25" customHeight="1">
      <c r="A366" s="447" t="s">
        <v>1243</v>
      </c>
      <c r="B366" s="448">
        <v>0.59722222222222199</v>
      </c>
      <c r="C366" s="451" t="s">
        <v>610</v>
      </c>
      <c r="E366"/>
    </row>
    <row r="367" spans="1:5" ht="14.25" customHeight="1">
      <c r="A367" s="447" t="s">
        <v>1244</v>
      </c>
      <c r="B367" s="448">
        <v>0.59722222222222199</v>
      </c>
      <c r="C367" s="451" t="s">
        <v>610</v>
      </c>
      <c r="E367"/>
    </row>
    <row r="368" spans="1:5" ht="14.25" customHeight="1">
      <c r="A368" s="447" t="s">
        <v>1245</v>
      </c>
      <c r="B368" s="448">
        <v>0.59722222222222199</v>
      </c>
      <c r="C368" s="451" t="s">
        <v>610</v>
      </c>
      <c r="E368"/>
    </row>
    <row r="369" spans="1:5" ht="14.25" customHeight="1">
      <c r="A369" s="447" t="s">
        <v>1246</v>
      </c>
      <c r="B369" s="448">
        <v>0.59722222222222199</v>
      </c>
      <c r="C369" s="451" t="s">
        <v>610</v>
      </c>
      <c r="E369"/>
    </row>
    <row r="370" spans="1:5" ht="14.25" customHeight="1">
      <c r="A370" s="447" t="s">
        <v>1247</v>
      </c>
      <c r="B370" s="448">
        <v>0.59722222222222199</v>
      </c>
      <c r="C370" s="451" t="s">
        <v>610</v>
      </c>
      <c r="E370"/>
    </row>
    <row r="371" spans="1:5" ht="14.25" customHeight="1">
      <c r="A371" s="447" t="s">
        <v>1248</v>
      </c>
      <c r="B371" s="448">
        <v>0.59722222222222199</v>
      </c>
      <c r="C371" s="451" t="s">
        <v>610</v>
      </c>
      <c r="E371"/>
    </row>
    <row r="372" spans="1:5" ht="14.25" customHeight="1">
      <c r="A372" s="447" t="s">
        <v>1249</v>
      </c>
      <c r="B372" s="448">
        <v>0.59722222222222199</v>
      </c>
      <c r="C372" s="451" t="s">
        <v>610</v>
      </c>
      <c r="E372"/>
    </row>
    <row r="373" spans="1:5" ht="14.25" customHeight="1">
      <c r="A373" s="447" t="s">
        <v>1250</v>
      </c>
      <c r="B373" s="448">
        <v>0.59722222222222199</v>
      </c>
      <c r="C373" s="451" t="s">
        <v>610</v>
      </c>
      <c r="E373"/>
    </row>
    <row r="374" spans="1:5" ht="14.25" customHeight="1">
      <c r="A374" s="447" t="s">
        <v>1251</v>
      </c>
      <c r="B374" s="448">
        <v>0.59722222222222199</v>
      </c>
      <c r="C374" s="451" t="s">
        <v>610</v>
      </c>
      <c r="E374"/>
    </row>
    <row r="375" spans="1:5" ht="14.25" customHeight="1">
      <c r="A375" s="447" t="s">
        <v>1252</v>
      </c>
      <c r="B375" s="448">
        <v>0.59722222222222199</v>
      </c>
      <c r="C375" s="451" t="s">
        <v>610</v>
      </c>
      <c r="E375"/>
    </row>
    <row r="376" spans="1:5" ht="14.25" customHeight="1">
      <c r="A376" s="447" t="s">
        <v>1253</v>
      </c>
      <c r="B376" s="448">
        <v>0.59722222222222199</v>
      </c>
      <c r="C376" s="451" t="s">
        <v>610</v>
      </c>
      <c r="E376"/>
    </row>
    <row r="377" spans="1:5" ht="14.25" customHeight="1">
      <c r="A377" s="447" t="s">
        <v>1254</v>
      </c>
      <c r="B377" s="448">
        <v>0.59722222222222199</v>
      </c>
      <c r="C377" s="451" t="s">
        <v>610</v>
      </c>
      <c r="E377"/>
    </row>
    <row r="378" spans="1:5" ht="14.25" customHeight="1">
      <c r="A378" s="447" t="s">
        <v>1255</v>
      </c>
      <c r="B378" s="448">
        <v>0.59722222222222199</v>
      </c>
      <c r="C378" s="451" t="s">
        <v>610</v>
      </c>
      <c r="E378"/>
    </row>
    <row r="379" spans="1:5" ht="14.25" customHeight="1">
      <c r="A379" s="447" t="s">
        <v>1256</v>
      </c>
      <c r="B379" s="448">
        <v>0.59722222222222199</v>
      </c>
      <c r="C379" s="451" t="s">
        <v>610</v>
      </c>
      <c r="E379"/>
    </row>
    <row r="380" spans="1:5" ht="14.25" customHeight="1">
      <c r="A380" s="447" t="s">
        <v>1257</v>
      </c>
      <c r="B380" s="448">
        <v>0.59722222222222199</v>
      </c>
      <c r="C380" s="451" t="s">
        <v>610</v>
      </c>
      <c r="E380"/>
    </row>
    <row r="381" spans="1:5" ht="14.25" customHeight="1">
      <c r="A381" s="447" t="s">
        <v>1258</v>
      </c>
      <c r="B381" s="448">
        <v>0.59722222222222199</v>
      </c>
      <c r="C381" s="451" t="s">
        <v>610</v>
      </c>
      <c r="E381"/>
    </row>
    <row r="382" spans="1:5" ht="14.25" customHeight="1">
      <c r="A382" s="447" t="s">
        <v>1259</v>
      </c>
      <c r="B382" s="448">
        <v>0.59722222222222199</v>
      </c>
      <c r="C382" s="451" t="s">
        <v>610</v>
      </c>
      <c r="E382"/>
    </row>
    <row r="383" spans="1:5" ht="14.25" customHeight="1">
      <c r="A383" s="447" t="s">
        <v>1260</v>
      </c>
      <c r="B383" s="448">
        <v>0.59722222222222199</v>
      </c>
      <c r="C383" s="451" t="s">
        <v>610</v>
      </c>
      <c r="E383"/>
    </row>
    <row r="384" spans="1:5" ht="14.25" customHeight="1">
      <c r="A384" s="447" t="s">
        <v>1261</v>
      </c>
      <c r="B384" s="448">
        <v>0.59722222222222199</v>
      </c>
      <c r="C384" s="451" t="s">
        <v>610</v>
      </c>
      <c r="E384"/>
    </row>
    <row r="385" spans="1:5" ht="14.25" customHeight="1">
      <c r="A385" s="447" t="s">
        <v>1262</v>
      </c>
      <c r="B385" s="448">
        <v>0.59722222222222199</v>
      </c>
      <c r="C385" s="451" t="s">
        <v>610</v>
      </c>
      <c r="E385"/>
    </row>
    <row r="386" spans="1:5" ht="14.25" customHeight="1">
      <c r="A386" s="447" t="s">
        <v>1263</v>
      </c>
      <c r="B386" s="448">
        <v>0.59722222222222199</v>
      </c>
      <c r="C386" s="451" t="s">
        <v>610</v>
      </c>
      <c r="E386"/>
    </row>
    <row r="387" spans="1:5" ht="14.25" customHeight="1">
      <c r="A387" s="447" t="s">
        <v>1264</v>
      </c>
      <c r="B387" s="448">
        <v>0.59722222222222199</v>
      </c>
      <c r="C387" s="451" t="s">
        <v>610</v>
      </c>
      <c r="E387"/>
    </row>
    <row r="388" spans="1:5" ht="14.25" customHeight="1">
      <c r="A388" s="447" t="s">
        <v>1265</v>
      </c>
      <c r="B388" s="448">
        <v>0.59722222222222199</v>
      </c>
      <c r="C388" s="451" t="s">
        <v>610</v>
      </c>
      <c r="E388"/>
    </row>
    <row r="389" spans="1:5" ht="14.25" customHeight="1">
      <c r="A389" s="447" t="s">
        <v>1266</v>
      </c>
      <c r="B389" s="448">
        <v>0.59722222222222199</v>
      </c>
      <c r="C389" s="451" t="s">
        <v>610</v>
      </c>
      <c r="E389"/>
    </row>
    <row r="390" spans="1:5" ht="14.25" customHeight="1">
      <c r="A390" s="447" t="s">
        <v>1267</v>
      </c>
      <c r="B390" s="448">
        <v>0.59722222222222199</v>
      </c>
      <c r="C390" s="451" t="s">
        <v>610</v>
      </c>
      <c r="E390"/>
    </row>
    <row r="391" spans="1:5" ht="14.25" customHeight="1">
      <c r="A391" s="447" t="s">
        <v>1268</v>
      </c>
      <c r="B391" s="448">
        <v>0.59722222222222199</v>
      </c>
      <c r="C391" s="451" t="s">
        <v>610</v>
      </c>
      <c r="E391"/>
    </row>
    <row r="392" spans="1:5" ht="14.25" customHeight="1">
      <c r="A392" s="447" t="s">
        <v>1269</v>
      </c>
      <c r="B392" s="448">
        <v>0.59722222222222199</v>
      </c>
      <c r="C392" s="451" t="s">
        <v>610</v>
      </c>
      <c r="E392"/>
    </row>
    <row r="393" spans="1:5" ht="14.25" customHeight="1">
      <c r="A393" s="447" t="s">
        <v>1270</v>
      </c>
      <c r="B393" s="448">
        <v>0.59722222222222199</v>
      </c>
      <c r="C393" s="451" t="s">
        <v>610</v>
      </c>
      <c r="E393"/>
    </row>
    <row r="394" spans="1:5" ht="14.25" customHeight="1">
      <c r="A394" s="447" t="s">
        <v>1271</v>
      </c>
      <c r="B394" s="448">
        <v>0.59722222222222199</v>
      </c>
      <c r="C394" s="451" t="s">
        <v>610</v>
      </c>
      <c r="E394"/>
    </row>
    <row r="395" spans="1:5" ht="14.25" customHeight="1">
      <c r="A395" s="447" t="s">
        <v>1272</v>
      </c>
      <c r="B395" s="448">
        <v>0.63888888888888895</v>
      </c>
      <c r="C395" s="451" t="s">
        <v>610</v>
      </c>
      <c r="E395"/>
    </row>
    <row r="396" spans="1:5" ht="14.25" customHeight="1">
      <c r="A396" s="447" t="s">
        <v>1273</v>
      </c>
      <c r="B396" s="448">
        <v>0.63888888888888895</v>
      </c>
      <c r="C396" s="451" t="s">
        <v>610</v>
      </c>
      <c r="E396"/>
    </row>
    <row r="397" spans="1:5" ht="14.25" customHeight="1">
      <c r="A397" s="447" t="s">
        <v>1274</v>
      </c>
      <c r="B397" s="448">
        <v>0.63888888888888895</v>
      </c>
      <c r="C397" s="451" t="s">
        <v>610</v>
      </c>
      <c r="E397"/>
    </row>
    <row r="398" spans="1:5" ht="14.25" customHeight="1">
      <c r="A398" s="447" t="s">
        <v>1275</v>
      </c>
      <c r="B398" s="448">
        <v>0.63888888888888895</v>
      </c>
      <c r="C398" s="451" t="s">
        <v>610</v>
      </c>
      <c r="E398"/>
    </row>
    <row r="399" spans="1:5" ht="14.25" customHeight="1">
      <c r="A399" s="447" t="s">
        <v>1276</v>
      </c>
      <c r="B399" s="448">
        <v>0.63888888888888895</v>
      </c>
      <c r="C399" s="451" t="s">
        <v>610</v>
      </c>
      <c r="E399"/>
    </row>
    <row r="400" spans="1:5" ht="14.25" customHeight="1">
      <c r="A400" s="447" t="s">
        <v>1277</v>
      </c>
      <c r="B400" s="448">
        <v>0.63888888888888895</v>
      </c>
      <c r="C400" s="451" t="s">
        <v>610</v>
      </c>
      <c r="E400"/>
    </row>
    <row r="401" spans="1:5" ht="14.25" customHeight="1">
      <c r="A401" s="447" t="s">
        <v>1278</v>
      </c>
      <c r="B401" s="448">
        <v>0.63888888888888895</v>
      </c>
      <c r="C401" s="451" t="s">
        <v>610</v>
      </c>
      <c r="E401"/>
    </row>
    <row r="402" spans="1:5" ht="14.25" customHeight="1">
      <c r="A402" s="447" t="s">
        <v>1279</v>
      </c>
      <c r="B402" s="448">
        <v>0.63888888888888895</v>
      </c>
      <c r="C402" s="451" t="s">
        <v>610</v>
      </c>
      <c r="E402"/>
    </row>
    <row r="403" spans="1:5" ht="14.25" customHeight="1">
      <c r="A403" s="447" t="s">
        <v>1280</v>
      </c>
      <c r="B403" s="448">
        <v>0.63888888888888895</v>
      </c>
      <c r="C403" s="451" t="s">
        <v>610</v>
      </c>
      <c r="E403"/>
    </row>
    <row r="404" spans="1:5" ht="14.25" customHeight="1">
      <c r="A404" s="447" t="s">
        <v>1281</v>
      </c>
      <c r="B404" s="448">
        <v>0.63888888888888895</v>
      </c>
      <c r="C404" s="451" t="s">
        <v>610</v>
      </c>
      <c r="E404"/>
    </row>
    <row r="405" spans="1:5" ht="14.25" customHeight="1">
      <c r="A405" s="447" t="s">
        <v>1282</v>
      </c>
      <c r="B405" s="448">
        <v>0.63888888888888895</v>
      </c>
      <c r="C405" s="451" t="s">
        <v>610</v>
      </c>
      <c r="E405"/>
    </row>
    <row r="406" spans="1:5" ht="14.25" customHeight="1">
      <c r="A406" s="447" t="s">
        <v>1283</v>
      </c>
      <c r="B406" s="448">
        <v>0.63888888888888895</v>
      </c>
      <c r="C406" s="451" t="s">
        <v>610</v>
      </c>
      <c r="E406"/>
    </row>
    <row r="407" spans="1:5" ht="14.25" customHeight="1">
      <c r="A407" s="447" t="s">
        <v>1284</v>
      </c>
      <c r="B407" s="448">
        <v>0.63888888888888895</v>
      </c>
      <c r="C407" s="451" t="s">
        <v>610</v>
      </c>
      <c r="E407"/>
    </row>
    <row r="408" spans="1:5" ht="14.25" customHeight="1">
      <c r="A408" s="447" t="s">
        <v>1285</v>
      </c>
      <c r="B408" s="448">
        <v>0.63888888888888895</v>
      </c>
      <c r="C408" s="451" t="s">
        <v>610</v>
      </c>
      <c r="E408"/>
    </row>
    <row r="409" spans="1:5" ht="14.25" customHeight="1">
      <c r="A409" s="447" t="s">
        <v>1286</v>
      </c>
      <c r="B409" s="448">
        <v>0.63888888888888895</v>
      </c>
      <c r="C409" s="451" t="s">
        <v>610</v>
      </c>
      <c r="E409"/>
    </row>
    <row r="410" spans="1:5" ht="14.25" customHeight="1">
      <c r="A410" s="447" t="s">
        <v>1287</v>
      </c>
      <c r="B410" s="448">
        <v>0.63888888888888895</v>
      </c>
      <c r="C410" s="451" t="s">
        <v>610</v>
      </c>
      <c r="E410"/>
    </row>
    <row r="411" spans="1:5" ht="14.25" customHeight="1">
      <c r="A411" s="447" t="s">
        <v>1288</v>
      </c>
      <c r="B411" s="448">
        <v>0.63888888888888895</v>
      </c>
      <c r="C411" s="451" t="s">
        <v>610</v>
      </c>
      <c r="E411"/>
    </row>
    <row r="412" spans="1:5" ht="14.25" customHeight="1">
      <c r="A412" s="447" t="s">
        <v>1289</v>
      </c>
      <c r="B412" s="448">
        <v>0.63888888888888895</v>
      </c>
      <c r="C412" s="451" t="s">
        <v>610</v>
      </c>
      <c r="E412"/>
    </row>
    <row r="413" spans="1:5" ht="14.25" customHeight="1">
      <c r="A413" s="447" t="s">
        <v>1290</v>
      </c>
      <c r="B413" s="448">
        <v>0.63888888888888895</v>
      </c>
      <c r="C413" s="451" t="s">
        <v>610</v>
      </c>
      <c r="E413"/>
    </row>
    <row r="414" spans="1:5" ht="14.25" customHeight="1">
      <c r="A414" s="447" t="s">
        <v>1291</v>
      </c>
      <c r="B414" s="448">
        <v>0.63888888888888895</v>
      </c>
      <c r="C414" s="451" t="s">
        <v>610</v>
      </c>
      <c r="E414"/>
    </row>
    <row r="415" spans="1:5" ht="14.25" customHeight="1">
      <c r="A415" s="447" t="s">
        <v>1292</v>
      </c>
      <c r="B415" s="448">
        <v>0.63888888888888895</v>
      </c>
      <c r="C415" s="451" t="s">
        <v>610</v>
      </c>
      <c r="E415"/>
    </row>
    <row r="416" spans="1:5" ht="14.25" customHeight="1">
      <c r="A416" s="447" t="s">
        <v>1293</v>
      </c>
      <c r="B416" s="448">
        <v>0.63888888888888895</v>
      </c>
      <c r="C416" s="451" t="s">
        <v>610</v>
      </c>
      <c r="E416"/>
    </row>
    <row r="417" spans="1:5" ht="14.25" customHeight="1">
      <c r="A417" s="447" t="s">
        <v>1294</v>
      </c>
      <c r="B417" s="448">
        <v>0.63888888888888895</v>
      </c>
      <c r="C417" s="451" t="s">
        <v>610</v>
      </c>
      <c r="E417"/>
    </row>
    <row r="418" spans="1:5" ht="14.25" customHeight="1">
      <c r="A418" s="447" t="s">
        <v>1295</v>
      </c>
      <c r="B418" s="448">
        <v>0.63888888888888895</v>
      </c>
      <c r="C418" s="451" t="s">
        <v>610</v>
      </c>
      <c r="E418"/>
    </row>
    <row r="419" spans="1:5" ht="14.25" customHeight="1">
      <c r="A419" s="447" t="s">
        <v>1296</v>
      </c>
      <c r="B419" s="448">
        <v>0.63888888888888895</v>
      </c>
      <c r="C419" s="451" t="s">
        <v>610</v>
      </c>
      <c r="E419"/>
    </row>
    <row r="420" spans="1:5" ht="14.25" customHeight="1">
      <c r="A420" s="447" t="s">
        <v>1297</v>
      </c>
      <c r="B420" s="448">
        <v>0.63888888888888895</v>
      </c>
      <c r="C420" s="451" t="s">
        <v>610</v>
      </c>
      <c r="E420"/>
    </row>
    <row r="421" spans="1:5" ht="14.25" customHeight="1">
      <c r="A421" s="447" t="s">
        <v>1298</v>
      </c>
      <c r="B421" s="448">
        <v>0.63888888888888895</v>
      </c>
      <c r="C421" s="451" t="s">
        <v>610</v>
      </c>
      <c r="E421"/>
    </row>
    <row r="422" spans="1:5" ht="14.25" customHeight="1">
      <c r="A422" s="447" t="s">
        <v>1299</v>
      </c>
      <c r="B422" s="448">
        <v>0.63888888888888895</v>
      </c>
      <c r="C422" s="451" t="s">
        <v>610</v>
      </c>
      <c r="E422"/>
    </row>
    <row r="423" spans="1:5" ht="14.25" customHeight="1">
      <c r="A423" s="447" t="s">
        <v>1300</v>
      </c>
      <c r="B423" s="448">
        <v>0.63888888888888895</v>
      </c>
      <c r="C423" s="451" t="s">
        <v>610</v>
      </c>
      <c r="E423"/>
    </row>
    <row r="424" spans="1:5" ht="14.25" customHeight="1">
      <c r="A424" s="447" t="s">
        <v>1301</v>
      </c>
      <c r="B424" s="448">
        <v>0.63888888888888895</v>
      </c>
      <c r="C424" s="451" t="s">
        <v>610</v>
      </c>
      <c r="E424"/>
    </row>
    <row r="425" spans="1:5" ht="14.25" customHeight="1">
      <c r="A425" s="447" t="s">
        <v>1302</v>
      </c>
      <c r="B425" s="448">
        <v>0.63888888888888895</v>
      </c>
      <c r="C425" s="451" t="s">
        <v>610</v>
      </c>
      <c r="E425"/>
    </row>
    <row r="426" spans="1:5" ht="14.25" customHeight="1">
      <c r="A426" s="447" t="s">
        <v>1303</v>
      </c>
      <c r="B426" s="448">
        <v>0.63888888888888895</v>
      </c>
      <c r="C426" s="451" t="s">
        <v>610</v>
      </c>
      <c r="E426"/>
    </row>
    <row r="427" spans="1:5" ht="14.25" customHeight="1">
      <c r="A427" s="447" t="s">
        <v>1304</v>
      </c>
      <c r="B427" s="448">
        <v>0.63888888888888895</v>
      </c>
      <c r="C427" s="451" t="s">
        <v>610</v>
      </c>
      <c r="E427"/>
    </row>
    <row r="428" spans="1:5" ht="14.25" customHeight="1">
      <c r="A428" s="447" t="s">
        <v>1305</v>
      </c>
      <c r="B428" s="448">
        <v>0.63888888888888895</v>
      </c>
      <c r="C428" s="451" t="s">
        <v>610</v>
      </c>
      <c r="E428"/>
    </row>
    <row r="429" spans="1:5" ht="14.25" customHeight="1">
      <c r="A429" s="447" t="s">
        <v>1306</v>
      </c>
      <c r="B429" s="448">
        <v>0.63888888888888895</v>
      </c>
      <c r="C429" s="451" t="s">
        <v>610</v>
      </c>
      <c r="E429"/>
    </row>
    <row r="430" spans="1:5" ht="14.25" customHeight="1">
      <c r="A430" s="447" t="s">
        <v>1307</v>
      </c>
      <c r="B430" s="448">
        <v>0.63888888888888895</v>
      </c>
      <c r="C430" s="451" t="s">
        <v>610</v>
      </c>
      <c r="E430"/>
    </row>
    <row r="431" spans="1:5" ht="14.25" customHeight="1">
      <c r="A431" s="447" t="s">
        <v>1308</v>
      </c>
      <c r="B431" s="448">
        <v>0.63888888888888895</v>
      </c>
      <c r="C431" s="451" t="s">
        <v>610</v>
      </c>
      <c r="E431"/>
    </row>
    <row r="432" spans="1:5" ht="14.25" customHeight="1">
      <c r="A432" s="447" t="s">
        <v>1309</v>
      </c>
      <c r="B432" s="448">
        <v>0.63888888888888895</v>
      </c>
      <c r="C432" s="451" t="s">
        <v>610</v>
      </c>
      <c r="E432"/>
    </row>
    <row r="433" spans="1:5" ht="14.25" customHeight="1">
      <c r="A433" s="447" t="s">
        <v>1310</v>
      </c>
      <c r="B433" s="448">
        <v>0.63888888888888895</v>
      </c>
      <c r="C433" s="451" t="s">
        <v>610</v>
      </c>
      <c r="E433"/>
    </row>
    <row r="434" spans="1:5" ht="14.25" customHeight="1">
      <c r="A434" s="447" t="s">
        <v>1311</v>
      </c>
      <c r="B434" s="448">
        <v>0.63888888888888895</v>
      </c>
      <c r="C434" s="451" t="s">
        <v>610</v>
      </c>
      <c r="E434"/>
    </row>
    <row r="435" spans="1:5" ht="14.25" customHeight="1">
      <c r="A435" s="447" t="s">
        <v>1312</v>
      </c>
      <c r="B435" s="448">
        <v>0.63888888888888895</v>
      </c>
      <c r="C435" s="451" t="s">
        <v>610</v>
      </c>
      <c r="E435"/>
    </row>
    <row r="436" spans="1:5" ht="14.25" customHeight="1">
      <c r="A436" s="447" t="s">
        <v>1313</v>
      </c>
      <c r="B436" s="448">
        <v>0.63888888888888895</v>
      </c>
      <c r="C436" s="451" t="s">
        <v>610</v>
      </c>
      <c r="E436"/>
    </row>
    <row r="437" spans="1:5" ht="14.25" customHeight="1">
      <c r="A437" s="447" t="s">
        <v>1314</v>
      </c>
      <c r="B437" s="448">
        <v>0.63888888888888895</v>
      </c>
      <c r="C437" s="451" t="s">
        <v>610</v>
      </c>
      <c r="E437"/>
    </row>
    <row r="438" spans="1:5" ht="14.25" customHeight="1">
      <c r="A438" s="447" t="s">
        <v>1315</v>
      </c>
      <c r="B438" s="448">
        <v>0.63888888888888895</v>
      </c>
      <c r="C438" s="451" t="s">
        <v>610</v>
      </c>
      <c r="E438"/>
    </row>
    <row r="439" spans="1:5" ht="14.25" customHeight="1">
      <c r="A439" s="447" t="s">
        <v>1316</v>
      </c>
      <c r="B439" s="448">
        <v>0.63888888888888895</v>
      </c>
      <c r="C439" s="451" t="s">
        <v>610</v>
      </c>
      <c r="E439"/>
    </row>
    <row r="440" spans="1:5" ht="14.25" customHeight="1">
      <c r="A440" s="447" t="s">
        <v>1317</v>
      </c>
      <c r="B440" s="448">
        <v>0.63888888888888895</v>
      </c>
      <c r="C440" s="451" t="s">
        <v>610</v>
      </c>
      <c r="E440"/>
    </row>
    <row r="441" spans="1:5" ht="14.25" customHeight="1">
      <c r="A441" s="447" t="s">
        <v>1318</v>
      </c>
      <c r="B441" s="448">
        <v>0.63888888888888895</v>
      </c>
      <c r="C441" s="451" t="s">
        <v>610</v>
      </c>
      <c r="E441"/>
    </row>
    <row r="442" spans="1:5" ht="14.25" customHeight="1">
      <c r="A442" s="447" t="s">
        <v>1319</v>
      </c>
      <c r="B442" s="448">
        <v>0.63888888888888895</v>
      </c>
      <c r="C442" s="451" t="s">
        <v>610</v>
      </c>
      <c r="E442"/>
    </row>
    <row r="443" spans="1:5" ht="14.25" customHeight="1">
      <c r="A443" s="447" t="s">
        <v>1320</v>
      </c>
      <c r="B443" s="448">
        <v>0.63888888888888895</v>
      </c>
      <c r="C443" s="451" t="s">
        <v>610</v>
      </c>
      <c r="E443"/>
    </row>
    <row r="444" spans="1:5" ht="14.25" customHeight="1">
      <c r="A444" s="447" t="s">
        <v>1321</v>
      </c>
      <c r="B444" s="448">
        <v>0.63888888888888895</v>
      </c>
      <c r="C444" s="451" t="s">
        <v>610</v>
      </c>
      <c r="E444"/>
    </row>
    <row r="445" spans="1:5" ht="14.25" customHeight="1">
      <c r="A445" s="447" t="s">
        <v>1322</v>
      </c>
      <c r="B445" s="448">
        <v>0.63888888888888895</v>
      </c>
      <c r="C445" s="451" t="s">
        <v>610</v>
      </c>
      <c r="E445"/>
    </row>
    <row r="446" spans="1:5" ht="14.25" customHeight="1">
      <c r="A446" s="447" t="s">
        <v>1323</v>
      </c>
      <c r="B446" s="448">
        <v>0.63888888888888895</v>
      </c>
      <c r="C446" s="451" t="s">
        <v>610</v>
      </c>
      <c r="E446"/>
    </row>
    <row r="447" spans="1:5" ht="14.25" customHeight="1">
      <c r="A447" s="447" t="s">
        <v>1324</v>
      </c>
      <c r="B447" s="448">
        <v>0.63888888888888895</v>
      </c>
      <c r="C447" s="451" t="s">
        <v>610</v>
      </c>
      <c r="E447"/>
    </row>
    <row r="448" spans="1:5" ht="14.25" customHeight="1">
      <c r="A448" s="447" t="s">
        <v>1325</v>
      </c>
      <c r="B448" s="448">
        <v>0.63888888888888895</v>
      </c>
      <c r="C448" s="451" t="s">
        <v>610</v>
      </c>
      <c r="E448"/>
    </row>
    <row r="449" spans="1:5" ht="14.25" customHeight="1">
      <c r="A449" s="447" t="s">
        <v>1326</v>
      </c>
      <c r="B449" s="448">
        <v>0.63888888888888895</v>
      </c>
      <c r="C449" s="451" t="s">
        <v>610</v>
      </c>
      <c r="E449"/>
    </row>
    <row r="450" spans="1:5" ht="14.25" customHeight="1">
      <c r="A450" s="447" t="s">
        <v>1327</v>
      </c>
      <c r="B450" s="448">
        <v>0.63888888888888895</v>
      </c>
      <c r="C450" s="451" t="s">
        <v>610</v>
      </c>
      <c r="E450"/>
    </row>
    <row r="451" spans="1:5" ht="14.25" customHeight="1">
      <c r="A451" s="447" t="s">
        <v>1328</v>
      </c>
      <c r="B451" s="448">
        <v>0.63888888888888895</v>
      </c>
      <c r="C451" s="451" t="s">
        <v>610</v>
      </c>
      <c r="E451"/>
    </row>
    <row r="452" spans="1:5" ht="14.25" customHeight="1">
      <c r="A452" s="447" t="s">
        <v>1329</v>
      </c>
      <c r="B452" s="448">
        <v>0.63888888888888895</v>
      </c>
      <c r="C452" s="451" t="s">
        <v>610</v>
      </c>
      <c r="E452"/>
    </row>
    <row r="453" spans="1:5" ht="14.25" customHeight="1">
      <c r="A453" s="447" t="s">
        <v>1330</v>
      </c>
      <c r="B453" s="448">
        <v>0.63888888888888895</v>
      </c>
      <c r="C453" s="451" t="s">
        <v>610</v>
      </c>
      <c r="E453"/>
    </row>
    <row r="454" spans="1:5" ht="14.25" customHeight="1">
      <c r="A454" s="447" t="s">
        <v>1331</v>
      </c>
      <c r="B454" s="448">
        <v>0.63888888888888895</v>
      </c>
      <c r="C454" s="451" t="s">
        <v>610</v>
      </c>
      <c r="E454"/>
    </row>
    <row r="455" spans="1:5" ht="14.25" customHeight="1">
      <c r="A455" s="447" t="s">
        <v>1332</v>
      </c>
      <c r="B455" s="448">
        <v>0.63888888888888895</v>
      </c>
      <c r="C455" s="451" t="s">
        <v>610</v>
      </c>
      <c r="E455"/>
    </row>
    <row r="456" spans="1:5" ht="14.25" customHeight="1">
      <c r="A456" s="447" t="s">
        <v>1333</v>
      </c>
      <c r="B456" s="448">
        <v>0.63888888888888895</v>
      </c>
      <c r="C456" s="451" t="s">
        <v>610</v>
      </c>
      <c r="E456"/>
    </row>
    <row r="457" spans="1:5" ht="14.25" customHeight="1">
      <c r="A457" s="447" t="s">
        <v>1334</v>
      </c>
      <c r="B457" s="448">
        <v>0.63888888888888895</v>
      </c>
      <c r="C457" s="451" t="s">
        <v>610</v>
      </c>
      <c r="E457"/>
    </row>
    <row r="458" spans="1:5" ht="14.25" customHeight="1">
      <c r="A458" s="447" t="s">
        <v>1335</v>
      </c>
      <c r="B458" s="448">
        <v>0.63888888888888895</v>
      </c>
      <c r="C458" s="451" t="s">
        <v>610</v>
      </c>
      <c r="E458"/>
    </row>
    <row r="459" spans="1:5" ht="14.25" customHeight="1">
      <c r="A459" s="447" t="s">
        <v>1336</v>
      </c>
      <c r="B459" s="448">
        <v>0.63888888888888895</v>
      </c>
      <c r="C459" s="451" t="s">
        <v>610</v>
      </c>
      <c r="E459"/>
    </row>
    <row r="460" spans="1:5" ht="14.25" customHeight="1">
      <c r="A460" s="447" t="s">
        <v>1337</v>
      </c>
      <c r="B460" s="448">
        <v>0.63888888888888895</v>
      </c>
      <c r="C460" s="451" t="s">
        <v>610</v>
      </c>
      <c r="E460"/>
    </row>
    <row r="461" spans="1:5" ht="14.25" customHeight="1">
      <c r="A461" s="447" t="s">
        <v>1338</v>
      </c>
      <c r="B461" s="448">
        <v>0.63888888888888895</v>
      </c>
      <c r="C461" s="451" t="s">
        <v>610</v>
      </c>
      <c r="E461"/>
    </row>
    <row r="462" spans="1:5" ht="14.25" customHeight="1">
      <c r="A462" s="447" t="s">
        <v>1339</v>
      </c>
      <c r="B462" s="448">
        <v>0.63888888888888895</v>
      </c>
      <c r="C462" s="451" t="s">
        <v>610</v>
      </c>
      <c r="E462"/>
    </row>
    <row r="463" spans="1:5" ht="14.25" customHeight="1">
      <c r="A463" s="447" t="s">
        <v>1340</v>
      </c>
      <c r="B463" s="448">
        <v>0.63888888888888895</v>
      </c>
      <c r="C463" s="451" t="s">
        <v>610</v>
      </c>
      <c r="E463"/>
    </row>
    <row r="464" spans="1:5" ht="14.25" customHeight="1">
      <c r="A464" s="447" t="s">
        <v>1341</v>
      </c>
      <c r="B464" s="448">
        <v>0.63888888888888895</v>
      </c>
      <c r="C464" s="451" t="s">
        <v>610</v>
      </c>
      <c r="E464"/>
    </row>
    <row r="465" spans="1:5" ht="14.25" customHeight="1">
      <c r="A465" s="447" t="s">
        <v>1342</v>
      </c>
      <c r="B465" s="448">
        <v>0.68055555555555503</v>
      </c>
      <c r="C465" s="451" t="s">
        <v>610</v>
      </c>
      <c r="E465"/>
    </row>
    <row r="466" spans="1:5" ht="14.25" customHeight="1">
      <c r="A466" s="447" t="s">
        <v>1343</v>
      </c>
      <c r="B466" s="448">
        <v>0.68055555555555503</v>
      </c>
      <c r="C466" s="451" t="s">
        <v>610</v>
      </c>
      <c r="E466"/>
    </row>
    <row r="467" spans="1:5" ht="14.25" customHeight="1">
      <c r="A467" s="447" t="s">
        <v>1344</v>
      </c>
      <c r="B467" s="448">
        <v>0.68055555555555503</v>
      </c>
      <c r="C467" s="451" t="s">
        <v>610</v>
      </c>
      <c r="E467"/>
    </row>
    <row r="468" spans="1:5" ht="14.25" customHeight="1">
      <c r="A468" s="447" t="s">
        <v>1345</v>
      </c>
      <c r="B468" s="448">
        <v>0.68055555555555503</v>
      </c>
      <c r="C468" s="451" t="s">
        <v>610</v>
      </c>
      <c r="E468"/>
    </row>
    <row r="469" spans="1:5" ht="14.25" customHeight="1">
      <c r="A469" s="447" t="s">
        <v>1346</v>
      </c>
      <c r="B469" s="448">
        <v>0.68055555555555503</v>
      </c>
      <c r="C469" s="451" t="s">
        <v>610</v>
      </c>
      <c r="E469"/>
    </row>
    <row r="470" spans="1:5" ht="14.25" customHeight="1">
      <c r="A470" s="447" t="s">
        <v>1347</v>
      </c>
      <c r="B470" s="448">
        <v>0.68055555555555503</v>
      </c>
      <c r="C470" s="451" t="s">
        <v>610</v>
      </c>
      <c r="E470"/>
    </row>
    <row r="471" spans="1:5" ht="14.25" customHeight="1">
      <c r="A471" s="447" t="s">
        <v>1348</v>
      </c>
      <c r="B471" s="448">
        <v>0.68055555555555503</v>
      </c>
      <c r="C471" s="451" t="s">
        <v>610</v>
      </c>
      <c r="E471"/>
    </row>
    <row r="472" spans="1:5" ht="14.25" customHeight="1">
      <c r="A472" s="447" t="s">
        <v>1349</v>
      </c>
      <c r="B472" s="448">
        <v>0.68055555555555503</v>
      </c>
      <c r="C472" s="451" t="s">
        <v>610</v>
      </c>
      <c r="E472"/>
    </row>
    <row r="473" spans="1:5" ht="14.25" customHeight="1">
      <c r="A473" s="447" t="s">
        <v>1350</v>
      </c>
      <c r="B473" s="448">
        <v>0.68055555555555503</v>
      </c>
      <c r="C473" s="451" t="s">
        <v>610</v>
      </c>
      <c r="E473"/>
    </row>
    <row r="474" spans="1:5" ht="14.25" customHeight="1">
      <c r="A474" s="447" t="s">
        <v>1351</v>
      </c>
      <c r="B474" s="448">
        <v>0.68055555555555503</v>
      </c>
      <c r="C474" s="451" t="s">
        <v>610</v>
      </c>
      <c r="E474"/>
    </row>
    <row r="475" spans="1:5" ht="14.25" customHeight="1">
      <c r="A475" s="447" t="s">
        <v>1352</v>
      </c>
      <c r="B475" s="448">
        <v>0.68055555555555503</v>
      </c>
      <c r="C475" s="451" t="s">
        <v>610</v>
      </c>
      <c r="E475"/>
    </row>
    <row r="476" spans="1:5" ht="14.25" customHeight="1">
      <c r="A476" s="447" t="s">
        <v>1353</v>
      </c>
      <c r="B476" s="448">
        <v>0.68055555555555503</v>
      </c>
      <c r="C476" s="451" t="s">
        <v>610</v>
      </c>
      <c r="E476"/>
    </row>
    <row r="477" spans="1:5" ht="14.25" customHeight="1">
      <c r="A477" s="447" t="s">
        <v>1354</v>
      </c>
      <c r="B477" s="448">
        <v>0.68055555555555503</v>
      </c>
      <c r="C477" s="451" t="s">
        <v>610</v>
      </c>
      <c r="E477"/>
    </row>
    <row r="478" spans="1:5" ht="14.25" customHeight="1">
      <c r="A478" s="447" t="s">
        <v>1355</v>
      </c>
      <c r="B478" s="448">
        <v>0.68055555555555503</v>
      </c>
      <c r="C478" s="451" t="s">
        <v>610</v>
      </c>
      <c r="E478"/>
    </row>
    <row r="479" spans="1:5" ht="14.25" customHeight="1">
      <c r="A479" s="447" t="s">
        <v>1356</v>
      </c>
      <c r="B479" s="448">
        <v>0.68055555555555503</v>
      </c>
      <c r="C479" s="451" t="s">
        <v>610</v>
      </c>
      <c r="E479"/>
    </row>
    <row r="480" spans="1:5" ht="14.25" customHeight="1">
      <c r="A480" s="447" t="s">
        <v>1357</v>
      </c>
      <c r="B480" s="448">
        <v>0.68055555555555503</v>
      </c>
      <c r="C480" s="451" t="s">
        <v>610</v>
      </c>
      <c r="E480"/>
    </row>
    <row r="481" spans="1:5" ht="14.25" customHeight="1">
      <c r="A481" s="447" t="s">
        <v>1358</v>
      </c>
      <c r="B481" s="448">
        <v>0.68055555555555503</v>
      </c>
      <c r="C481" s="451" t="s">
        <v>610</v>
      </c>
      <c r="E481"/>
    </row>
    <row r="482" spans="1:5" ht="14.25" customHeight="1">
      <c r="A482" s="447" t="s">
        <v>1359</v>
      </c>
      <c r="B482" s="448">
        <v>0.73611111111111105</v>
      </c>
      <c r="C482" s="451" t="s">
        <v>610</v>
      </c>
      <c r="E482"/>
    </row>
    <row r="483" spans="1:5" ht="14.25" customHeight="1">
      <c r="A483" s="447" t="s">
        <v>1360</v>
      </c>
      <c r="B483" s="448">
        <v>0.73611111111111105</v>
      </c>
      <c r="C483" s="451" t="s">
        <v>610</v>
      </c>
      <c r="E483"/>
    </row>
    <row r="484" spans="1:5" ht="14.25" customHeight="1">
      <c r="A484" s="447" t="s">
        <v>1361</v>
      </c>
      <c r="B484" s="448">
        <v>0.73611111111111105</v>
      </c>
      <c r="C484" s="451" t="s">
        <v>610</v>
      </c>
      <c r="E484"/>
    </row>
    <row r="485" spans="1:5" ht="14.25" customHeight="1">
      <c r="A485" s="447" t="s">
        <v>1362</v>
      </c>
      <c r="B485" s="448">
        <v>0.73611111111111105</v>
      </c>
      <c r="C485" s="451" t="s">
        <v>610</v>
      </c>
      <c r="E485"/>
    </row>
    <row r="486" spans="1:5" ht="14.25" customHeight="1">
      <c r="A486" s="447" t="s">
        <v>1363</v>
      </c>
      <c r="B486" s="448">
        <v>0.73611111111111105</v>
      </c>
      <c r="C486" s="451" t="s">
        <v>610</v>
      </c>
      <c r="E486"/>
    </row>
    <row r="487" spans="1:5" ht="14.25" customHeight="1">
      <c r="A487" s="447" t="s">
        <v>1364</v>
      </c>
      <c r="B487" s="448">
        <v>0.73611111111111105</v>
      </c>
      <c r="C487" s="451" t="s">
        <v>610</v>
      </c>
      <c r="E487"/>
    </row>
    <row r="488" spans="1:5" ht="14.25" customHeight="1">
      <c r="A488" s="447" t="s">
        <v>1365</v>
      </c>
      <c r="B488" s="448">
        <v>0.73611111111111105</v>
      </c>
      <c r="C488" s="451" t="s">
        <v>610</v>
      </c>
      <c r="E488"/>
    </row>
    <row r="489" spans="1:5" ht="14.25" customHeight="1">
      <c r="A489" s="447" t="s">
        <v>1366</v>
      </c>
      <c r="B489" s="448">
        <v>0.73611111111111105</v>
      </c>
      <c r="C489" s="451" t="s">
        <v>610</v>
      </c>
      <c r="E489"/>
    </row>
    <row r="490" spans="1:5" ht="14.25" customHeight="1">
      <c r="A490" s="447" t="s">
        <v>1367</v>
      </c>
      <c r="B490" s="448">
        <v>0.73611111111111105</v>
      </c>
      <c r="C490" s="451" t="s">
        <v>610</v>
      </c>
      <c r="E490"/>
    </row>
    <row r="491" spans="1:5" ht="14.25" customHeight="1">
      <c r="A491" s="447" t="s">
        <v>1368</v>
      </c>
      <c r="B491" s="448">
        <v>0.73611111111111105</v>
      </c>
      <c r="C491" s="451" t="s">
        <v>610</v>
      </c>
      <c r="E491"/>
    </row>
    <row r="492" spans="1:5" ht="14.25" customHeight="1">
      <c r="A492" s="447" t="s">
        <v>1369</v>
      </c>
      <c r="B492" s="448">
        <v>0.73611111111111105</v>
      </c>
      <c r="C492" s="451" t="s">
        <v>610</v>
      </c>
      <c r="E492"/>
    </row>
    <row r="493" spans="1:5" ht="14.25" customHeight="1">
      <c r="A493" s="447" t="s">
        <v>1370</v>
      </c>
      <c r="B493" s="448">
        <v>0.73611111111111105</v>
      </c>
      <c r="C493" s="451" t="s">
        <v>610</v>
      </c>
      <c r="E493"/>
    </row>
    <row r="494" spans="1:5" ht="14.25" customHeight="1">
      <c r="A494" s="447" t="s">
        <v>1371</v>
      </c>
      <c r="B494" s="448">
        <v>0.73611111111111105</v>
      </c>
      <c r="C494" s="451" t="s">
        <v>610</v>
      </c>
      <c r="E494"/>
    </row>
    <row r="495" spans="1:5" ht="14.25" customHeight="1">
      <c r="A495" s="447" t="s">
        <v>1372</v>
      </c>
      <c r="B495" s="448">
        <v>0.73611111111111105</v>
      </c>
      <c r="C495" s="451" t="s">
        <v>610</v>
      </c>
      <c r="E495"/>
    </row>
    <row r="496" spans="1:5" ht="14.25" customHeight="1">
      <c r="A496" s="447" t="s">
        <v>1373</v>
      </c>
      <c r="B496" s="448">
        <v>0.73611111111111105</v>
      </c>
      <c r="C496" s="451" t="s">
        <v>610</v>
      </c>
      <c r="E496"/>
    </row>
    <row r="497" spans="1:5" ht="14.25" customHeight="1">
      <c r="A497" s="447" t="s">
        <v>1374</v>
      </c>
      <c r="B497" s="448">
        <v>0.73611111111111105</v>
      </c>
      <c r="C497" s="451" t="s">
        <v>610</v>
      </c>
      <c r="E497"/>
    </row>
    <row r="498" spans="1:5" ht="14.25" customHeight="1">
      <c r="A498" s="447" t="s">
        <v>1375</v>
      </c>
      <c r="B498" s="448">
        <v>0.73611111111111105</v>
      </c>
      <c r="C498" s="451" t="s">
        <v>610</v>
      </c>
      <c r="E498"/>
    </row>
    <row r="499" spans="1:5" ht="14.25" customHeight="1">
      <c r="A499" s="447"/>
      <c r="B499" s="448"/>
      <c r="C499" s="451"/>
      <c r="E499"/>
    </row>
    <row r="500" spans="1:5" ht="14.25" customHeight="1">
      <c r="A500" s="447"/>
      <c r="B500" s="448"/>
      <c r="C500" s="451"/>
      <c r="E500"/>
    </row>
    <row r="501" spans="1:5" ht="14.25" customHeight="1">
      <c r="A501" s="447"/>
      <c r="B501" s="448"/>
      <c r="C501" s="451"/>
      <c r="E501"/>
    </row>
    <row r="502" spans="1:5" ht="14.25" customHeight="1">
      <c r="A502" s="447"/>
      <c r="B502" s="448"/>
      <c r="C502" s="451"/>
      <c r="E502"/>
    </row>
    <row r="503" spans="1:5" ht="14.25" customHeight="1">
      <c r="A503" s="447"/>
      <c r="B503" s="448"/>
      <c r="C503" s="451"/>
      <c r="E503"/>
    </row>
    <row r="504" spans="1:5" ht="14.25" customHeight="1">
      <c r="A504" s="447"/>
      <c r="B504" s="448"/>
      <c r="C504" s="451"/>
      <c r="E504"/>
    </row>
    <row r="505" spans="1:5" ht="14.25" customHeight="1">
      <c r="A505" s="447"/>
      <c r="B505" s="448"/>
      <c r="C505" s="451"/>
      <c r="E505"/>
    </row>
    <row r="506" spans="1:5" ht="14.25" customHeight="1">
      <c r="A506" s="447"/>
      <c r="B506" s="448"/>
      <c r="C506" s="451"/>
      <c r="E506"/>
    </row>
    <row r="507" spans="1:5" ht="14.25" customHeight="1">
      <c r="A507" s="447"/>
      <c r="B507" s="448"/>
      <c r="C507" s="451"/>
      <c r="E507"/>
    </row>
    <row r="508" spans="1:5" ht="14.25" customHeight="1">
      <c r="A508" s="447"/>
      <c r="B508" s="448"/>
      <c r="C508" s="451"/>
      <c r="E508"/>
    </row>
    <row r="509" spans="1:5" ht="14.25" customHeight="1">
      <c r="A509" s="447"/>
      <c r="B509" s="448"/>
      <c r="C509" s="451"/>
      <c r="E509"/>
    </row>
    <row r="510" spans="1:5" ht="14.25" customHeight="1">
      <c r="A510" s="447"/>
      <c r="B510" s="448"/>
      <c r="C510" s="451"/>
      <c r="E510"/>
    </row>
    <row r="511" spans="1:5" ht="14.25" customHeight="1">
      <c r="A511" s="447"/>
      <c r="B511" s="448"/>
      <c r="C511" s="451"/>
      <c r="E511"/>
    </row>
    <row r="512" spans="1:5" ht="14.25" customHeight="1">
      <c r="A512" s="447"/>
      <c r="B512" s="448"/>
      <c r="C512" s="451"/>
      <c r="E512"/>
    </row>
    <row r="513" spans="1:5" ht="14.25" customHeight="1">
      <c r="A513" s="447"/>
      <c r="B513" s="448"/>
      <c r="C513" s="451"/>
      <c r="E513"/>
    </row>
    <row r="514" spans="1:5" ht="14.25" customHeight="1">
      <c r="A514" s="447"/>
      <c r="B514" s="448"/>
      <c r="C514" s="451"/>
      <c r="E514"/>
    </row>
    <row r="515" spans="1:5" ht="14.25" customHeight="1">
      <c r="A515" s="447"/>
      <c r="B515" s="448"/>
      <c r="C515" s="451"/>
      <c r="E515"/>
    </row>
    <row r="516" spans="1:5" ht="14.25" customHeight="1">
      <c r="A516" s="449"/>
      <c r="B516" s="450"/>
      <c r="C516" s="452"/>
      <c r="E516"/>
    </row>
  </sheetData>
  <sortState xmlns:xlrd2="http://schemas.microsoft.com/office/spreadsheetml/2017/richdata2" ref="E2:E516">
    <sortCondition ref="E1"/>
  </sortState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cult_regua">
                <anchor mov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>
    <tabColor rgb="FF92D050"/>
  </sheetPr>
  <dimension ref="A1:F500"/>
  <sheetViews>
    <sheetView showRowColHeaders="0" zoomScale="70" zoomScaleNormal="70" workbookViewId="0">
      <selection activeCell="B4" sqref="B4"/>
    </sheetView>
  </sheetViews>
  <sheetFormatPr defaultRowHeight="15"/>
  <cols>
    <col min="1" max="5" width="11" customWidth="1"/>
    <col min="6" max="6" width="65.25" customWidth="1"/>
  </cols>
  <sheetData>
    <row r="1" spans="1:6">
      <c r="A1" s="404" t="s">
        <v>781</v>
      </c>
      <c r="B1" s="404" t="s">
        <v>782</v>
      </c>
      <c r="C1" s="404" t="s">
        <v>783</v>
      </c>
      <c r="D1" s="404" t="s">
        <v>784</v>
      </c>
      <c r="E1" s="404" t="s">
        <v>785</v>
      </c>
      <c r="F1" s="404" t="s">
        <v>787</v>
      </c>
    </row>
    <row r="2" spans="1:6">
      <c r="A2" s="441"/>
      <c r="B2" s="407"/>
      <c r="C2" s="407"/>
      <c r="D2" s="407"/>
      <c r="E2" s="409"/>
      <c r="F2" s="409"/>
    </row>
    <row r="3" spans="1:6">
      <c r="A3" s="442"/>
      <c r="B3" s="408"/>
      <c r="C3" s="408"/>
      <c r="D3" s="408"/>
      <c r="E3" s="410"/>
      <c r="F3" s="410"/>
    </row>
    <row r="4" spans="1:6">
      <c r="A4" s="442"/>
      <c r="B4" s="408"/>
      <c r="C4" s="408"/>
      <c r="D4" s="408"/>
      <c r="E4" s="410"/>
      <c r="F4" s="410"/>
    </row>
    <row r="5" spans="1:6">
      <c r="A5" s="442"/>
      <c r="B5" s="408"/>
      <c r="C5" s="408"/>
      <c r="D5" s="408"/>
      <c r="E5" s="410"/>
      <c r="F5" s="410"/>
    </row>
    <row r="6" spans="1:6">
      <c r="A6" s="442"/>
      <c r="B6" s="408"/>
      <c r="C6" s="408"/>
      <c r="D6" s="408"/>
      <c r="E6" s="410"/>
      <c r="F6" s="410"/>
    </row>
    <row r="7" spans="1:6">
      <c r="A7" s="442"/>
      <c r="B7" s="408"/>
      <c r="C7" s="408"/>
      <c r="D7" s="408"/>
      <c r="E7" s="410"/>
      <c r="F7" s="410"/>
    </row>
    <row r="8" spans="1:6">
      <c r="A8" s="442"/>
      <c r="B8" s="408"/>
      <c r="C8" s="408"/>
      <c r="D8" s="408"/>
      <c r="E8" s="410"/>
      <c r="F8" s="410"/>
    </row>
    <row r="9" spans="1:6">
      <c r="A9" s="442"/>
      <c r="B9" s="408"/>
      <c r="C9" s="408"/>
      <c r="D9" s="408"/>
      <c r="E9" s="410"/>
      <c r="F9" s="410"/>
    </row>
    <row r="10" spans="1:6">
      <c r="A10" s="442"/>
      <c r="B10" s="408"/>
      <c r="C10" s="408"/>
      <c r="D10" s="408"/>
      <c r="E10" s="410"/>
      <c r="F10" s="410"/>
    </row>
    <row r="11" spans="1:6">
      <c r="A11" s="442"/>
      <c r="B11" s="408"/>
      <c r="C11" s="408"/>
      <c r="D11" s="408"/>
      <c r="E11" s="410"/>
      <c r="F11" s="410"/>
    </row>
    <row r="12" spans="1:6">
      <c r="A12" s="442"/>
      <c r="B12" s="408"/>
      <c r="C12" s="408"/>
      <c r="D12" s="408"/>
      <c r="E12" s="410"/>
      <c r="F12" s="410"/>
    </row>
    <row r="13" spans="1:6">
      <c r="A13" s="442"/>
      <c r="B13" s="408"/>
      <c r="C13" s="408"/>
      <c r="D13" s="408"/>
      <c r="E13" s="410"/>
      <c r="F13" s="410"/>
    </row>
    <row r="14" spans="1:6">
      <c r="A14" s="442"/>
      <c r="B14" s="408"/>
      <c r="C14" s="408"/>
      <c r="D14" s="408"/>
      <c r="E14" s="410"/>
      <c r="F14" s="410"/>
    </row>
    <row r="15" spans="1:6">
      <c r="A15" s="442"/>
      <c r="B15" s="408"/>
      <c r="C15" s="408"/>
      <c r="D15" s="408"/>
      <c r="E15" s="410"/>
      <c r="F15" s="410"/>
    </row>
    <row r="16" spans="1:6">
      <c r="A16" s="442"/>
      <c r="B16" s="408"/>
      <c r="C16" s="408"/>
      <c r="D16" s="408"/>
      <c r="E16" s="410"/>
      <c r="F16" s="410"/>
    </row>
    <row r="17" spans="1:6">
      <c r="A17" s="442"/>
      <c r="B17" s="408"/>
      <c r="C17" s="408"/>
      <c r="D17" s="408"/>
      <c r="E17" s="410"/>
      <c r="F17" s="410"/>
    </row>
    <row r="18" spans="1:6">
      <c r="A18" s="442"/>
      <c r="B18" s="408"/>
      <c r="C18" s="408"/>
      <c r="D18" s="408"/>
      <c r="E18" s="410"/>
      <c r="F18" s="410"/>
    </row>
    <row r="19" spans="1:6">
      <c r="A19" s="442"/>
      <c r="B19" s="408"/>
      <c r="C19" s="408"/>
      <c r="D19" s="408"/>
      <c r="E19" s="410"/>
      <c r="F19" s="410"/>
    </row>
    <row r="20" spans="1:6">
      <c r="A20" s="442"/>
      <c r="B20" s="408"/>
      <c r="C20" s="408"/>
      <c r="D20" s="408"/>
      <c r="E20" s="410"/>
      <c r="F20" s="410"/>
    </row>
    <row r="21" spans="1:6">
      <c r="A21" s="442"/>
      <c r="B21" s="408"/>
      <c r="C21" s="408"/>
      <c r="D21" s="408"/>
      <c r="E21" s="410"/>
      <c r="F21" s="410"/>
    </row>
    <row r="22" spans="1:6">
      <c r="A22" s="442"/>
      <c r="B22" s="408"/>
      <c r="C22" s="408"/>
      <c r="D22" s="408"/>
      <c r="E22" s="410"/>
      <c r="F22" s="410"/>
    </row>
    <row r="23" spans="1:6">
      <c r="A23" s="442"/>
      <c r="B23" s="408"/>
      <c r="C23" s="408"/>
      <c r="D23" s="408"/>
      <c r="E23" s="410"/>
      <c r="F23" s="410"/>
    </row>
    <row r="24" spans="1:6">
      <c r="A24" s="442"/>
      <c r="B24" s="408"/>
      <c r="C24" s="408"/>
      <c r="D24" s="408"/>
      <c r="E24" s="410"/>
      <c r="F24" s="410"/>
    </row>
    <row r="25" spans="1:6">
      <c r="A25" s="442"/>
      <c r="B25" s="408"/>
      <c r="C25" s="408"/>
      <c r="D25" s="408"/>
      <c r="E25" s="410"/>
      <c r="F25" s="410"/>
    </row>
    <row r="26" spans="1:6">
      <c r="A26" s="442"/>
      <c r="B26" s="408"/>
      <c r="C26" s="408"/>
      <c r="D26" s="408"/>
      <c r="E26" s="410"/>
      <c r="F26" s="410"/>
    </row>
    <row r="27" spans="1:6">
      <c r="A27" s="442"/>
      <c r="B27" s="408"/>
      <c r="C27" s="408"/>
      <c r="D27" s="408"/>
      <c r="E27" s="410"/>
      <c r="F27" s="410"/>
    </row>
    <row r="28" spans="1:6">
      <c r="A28" s="442"/>
      <c r="B28" s="408"/>
      <c r="C28" s="408"/>
      <c r="D28" s="408"/>
      <c r="E28" s="410"/>
      <c r="F28" s="410"/>
    </row>
    <row r="29" spans="1:6">
      <c r="A29" s="442"/>
      <c r="B29" s="408"/>
      <c r="C29" s="408"/>
      <c r="D29" s="408"/>
      <c r="E29" s="410"/>
      <c r="F29" s="410"/>
    </row>
    <row r="30" spans="1:6">
      <c r="A30" s="442"/>
      <c r="B30" s="408"/>
      <c r="C30" s="408"/>
      <c r="D30" s="408"/>
      <c r="E30" s="410"/>
      <c r="F30" s="410"/>
    </row>
    <row r="31" spans="1:6">
      <c r="A31" s="442"/>
      <c r="B31" s="408"/>
      <c r="C31" s="408"/>
      <c r="D31" s="408"/>
      <c r="E31" s="410"/>
      <c r="F31" s="410"/>
    </row>
    <row r="32" spans="1:6">
      <c r="A32" s="442"/>
      <c r="B32" s="408"/>
      <c r="C32" s="408"/>
      <c r="D32" s="408"/>
      <c r="E32" s="410"/>
      <c r="F32" s="410"/>
    </row>
    <row r="33" spans="1:6">
      <c r="A33" s="442"/>
      <c r="B33" s="408"/>
      <c r="C33" s="408"/>
      <c r="D33" s="408"/>
      <c r="E33" s="410"/>
      <c r="F33" s="410"/>
    </row>
    <row r="34" spans="1:6">
      <c r="A34" s="442"/>
      <c r="B34" s="408"/>
      <c r="C34" s="408"/>
      <c r="D34" s="408"/>
      <c r="E34" s="410"/>
      <c r="F34" s="410"/>
    </row>
    <row r="35" spans="1:6">
      <c r="A35" s="442"/>
      <c r="B35" s="408"/>
      <c r="C35" s="408"/>
      <c r="D35" s="408"/>
      <c r="E35" s="410"/>
      <c r="F35" s="410"/>
    </row>
    <row r="36" spans="1:6">
      <c r="A36" s="442"/>
      <c r="B36" s="408"/>
      <c r="C36" s="408"/>
      <c r="D36" s="408"/>
      <c r="E36" s="410"/>
      <c r="F36" s="410"/>
    </row>
    <row r="37" spans="1:6">
      <c r="A37" s="442"/>
      <c r="B37" s="408"/>
      <c r="C37" s="408"/>
      <c r="D37" s="408"/>
      <c r="E37" s="410"/>
      <c r="F37" s="410"/>
    </row>
    <row r="38" spans="1:6">
      <c r="A38" s="442"/>
      <c r="B38" s="408"/>
      <c r="C38" s="408"/>
      <c r="D38" s="408"/>
      <c r="E38" s="410"/>
      <c r="F38" s="410"/>
    </row>
    <row r="39" spans="1:6">
      <c r="A39" s="442"/>
      <c r="B39" s="408"/>
      <c r="C39" s="408"/>
      <c r="D39" s="408"/>
      <c r="E39" s="410"/>
      <c r="F39" s="410"/>
    </row>
    <row r="40" spans="1:6">
      <c r="A40" s="442"/>
      <c r="B40" s="408"/>
      <c r="C40" s="408"/>
      <c r="D40" s="408"/>
      <c r="E40" s="410"/>
      <c r="F40" s="410"/>
    </row>
    <row r="41" spans="1:6">
      <c r="A41" s="442"/>
      <c r="B41" s="408"/>
      <c r="C41" s="408"/>
      <c r="D41" s="408"/>
      <c r="E41" s="410"/>
      <c r="F41" s="410"/>
    </row>
    <row r="42" spans="1:6">
      <c r="A42" s="442"/>
      <c r="B42" s="408"/>
      <c r="C42" s="408"/>
      <c r="D42" s="408"/>
      <c r="E42" s="410"/>
      <c r="F42" s="410"/>
    </row>
    <row r="43" spans="1:6">
      <c r="A43" s="442"/>
      <c r="B43" s="408"/>
      <c r="C43" s="408"/>
      <c r="D43" s="408"/>
      <c r="E43" s="410"/>
      <c r="F43" s="410"/>
    </row>
    <row r="44" spans="1:6">
      <c r="A44" s="442"/>
      <c r="B44" s="408"/>
      <c r="C44" s="408"/>
      <c r="D44" s="408"/>
      <c r="E44" s="410"/>
      <c r="F44" s="410"/>
    </row>
    <row r="45" spans="1:6">
      <c r="A45" s="442"/>
      <c r="B45" s="408"/>
      <c r="C45" s="408"/>
      <c r="D45" s="408"/>
      <c r="E45" s="410"/>
      <c r="F45" s="410"/>
    </row>
    <row r="46" spans="1:6">
      <c r="A46" s="442"/>
      <c r="B46" s="408"/>
      <c r="C46" s="408"/>
      <c r="D46" s="408"/>
      <c r="E46" s="410"/>
      <c r="F46" s="410"/>
    </row>
    <row r="47" spans="1:6">
      <c r="A47" s="442"/>
      <c r="B47" s="408"/>
      <c r="C47" s="408"/>
      <c r="D47" s="408"/>
      <c r="E47" s="410"/>
      <c r="F47" s="410"/>
    </row>
    <row r="48" spans="1:6">
      <c r="A48" s="442"/>
      <c r="B48" s="408"/>
      <c r="C48" s="408"/>
      <c r="D48" s="408"/>
      <c r="E48" s="410"/>
      <c r="F48" s="410"/>
    </row>
    <row r="49" spans="1:6">
      <c r="A49" s="442"/>
      <c r="B49" s="408"/>
      <c r="C49" s="408"/>
      <c r="D49" s="408"/>
      <c r="E49" s="410"/>
      <c r="F49" s="410"/>
    </row>
    <row r="50" spans="1:6">
      <c r="A50" s="442"/>
      <c r="B50" s="408"/>
      <c r="C50" s="408"/>
      <c r="D50" s="408"/>
      <c r="E50" s="410"/>
      <c r="F50" s="410"/>
    </row>
    <row r="51" spans="1:6">
      <c r="A51" s="442"/>
      <c r="B51" s="408"/>
      <c r="C51" s="408"/>
      <c r="D51" s="408"/>
      <c r="E51" s="410"/>
      <c r="F51" s="410"/>
    </row>
    <row r="52" spans="1:6">
      <c r="A52" s="442"/>
      <c r="B52" s="408"/>
      <c r="C52" s="408"/>
      <c r="D52" s="408"/>
      <c r="E52" s="410"/>
      <c r="F52" s="410"/>
    </row>
    <row r="53" spans="1:6">
      <c r="A53" s="442"/>
      <c r="B53" s="408"/>
      <c r="C53" s="408"/>
      <c r="D53" s="408"/>
      <c r="E53" s="410"/>
      <c r="F53" s="410"/>
    </row>
    <row r="54" spans="1:6">
      <c r="A54" s="442"/>
      <c r="B54" s="408"/>
      <c r="C54" s="408"/>
      <c r="D54" s="408"/>
      <c r="E54" s="410"/>
      <c r="F54" s="410"/>
    </row>
    <row r="55" spans="1:6">
      <c r="A55" s="442"/>
      <c r="B55" s="408"/>
      <c r="C55" s="408"/>
      <c r="D55" s="408"/>
      <c r="E55" s="410"/>
      <c r="F55" s="410"/>
    </row>
    <row r="56" spans="1:6">
      <c r="A56" s="442"/>
      <c r="B56" s="408"/>
      <c r="C56" s="408"/>
      <c r="D56" s="408"/>
      <c r="E56" s="410"/>
      <c r="F56" s="410"/>
    </row>
    <row r="57" spans="1:6">
      <c r="A57" s="442"/>
      <c r="B57" s="408"/>
      <c r="C57" s="408"/>
      <c r="D57" s="408"/>
      <c r="E57" s="410"/>
      <c r="F57" s="410"/>
    </row>
    <row r="58" spans="1:6">
      <c r="A58" s="442"/>
      <c r="B58" s="408"/>
      <c r="C58" s="408"/>
      <c r="D58" s="408"/>
      <c r="E58" s="410"/>
      <c r="F58" s="410"/>
    </row>
    <row r="59" spans="1:6">
      <c r="A59" s="442"/>
      <c r="B59" s="408"/>
      <c r="C59" s="408"/>
      <c r="D59" s="408"/>
      <c r="E59" s="410"/>
      <c r="F59" s="410"/>
    </row>
    <row r="60" spans="1:6">
      <c r="A60" s="442"/>
      <c r="B60" s="408"/>
      <c r="C60" s="408"/>
      <c r="D60" s="408"/>
      <c r="E60" s="410"/>
      <c r="F60" s="410"/>
    </row>
    <row r="61" spans="1:6">
      <c r="A61" s="442"/>
      <c r="B61" s="408"/>
      <c r="C61" s="408"/>
      <c r="D61" s="408"/>
      <c r="E61" s="410"/>
      <c r="F61" s="410"/>
    </row>
    <row r="62" spans="1:6">
      <c r="A62" s="442"/>
      <c r="B62" s="408"/>
      <c r="C62" s="408"/>
      <c r="D62" s="408"/>
      <c r="E62" s="410"/>
      <c r="F62" s="410"/>
    </row>
    <row r="63" spans="1:6">
      <c r="A63" s="442"/>
      <c r="B63" s="408"/>
      <c r="C63" s="408"/>
      <c r="D63" s="408"/>
      <c r="E63" s="410"/>
      <c r="F63" s="410"/>
    </row>
    <row r="64" spans="1:6">
      <c r="A64" s="442"/>
      <c r="B64" s="408"/>
      <c r="C64" s="408"/>
      <c r="D64" s="408"/>
      <c r="E64" s="410"/>
      <c r="F64" s="410"/>
    </row>
    <row r="65" spans="1:6">
      <c r="A65" s="442"/>
      <c r="B65" s="408"/>
      <c r="C65" s="408"/>
      <c r="D65" s="408"/>
      <c r="E65" s="410"/>
      <c r="F65" s="410"/>
    </row>
    <row r="66" spans="1:6">
      <c r="A66" s="442"/>
      <c r="B66" s="408"/>
      <c r="C66" s="408"/>
      <c r="D66" s="408"/>
      <c r="E66" s="410"/>
      <c r="F66" s="410"/>
    </row>
    <row r="67" spans="1:6">
      <c r="A67" s="442"/>
      <c r="B67" s="408"/>
      <c r="C67" s="408"/>
      <c r="D67" s="408"/>
      <c r="E67" s="410"/>
      <c r="F67" s="410"/>
    </row>
    <row r="68" spans="1:6">
      <c r="A68" s="442"/>
      <c r="B68" s="408"/>
      <c r="C68" s="408"/>
      <c r="D68" s="408"/>
      <c r="E68" s="410"/>
      <c r="F68" s="410"/>
    </row>
    <row r="69" spans="1:6">
      <c r="A69" s="442"/>
      <c r="B69" s="408"/>
      <c r="C69" s="408"/>
      <c r="D69" s="408"/>
      <c r="E69" s="410"/>
      <c r="F69" s="410"/>
    </row>
    <row r="70" spans="1:6">
      <c r="A70" s="442"/>
      <c r="B70" s="408"/>
      <c r="C70" s="408"/>
      <c r="D70" s="408"/>
      <c r="E70" s="410"/>
      <c r="F70" s="410"/>
    </row>
    <row r="71" spans="1:6">
      <c r="A71" s="442"/>
      <c r="B71" s="408"/>
      <c r="C71" s="408"/>
      <c r="D71" s="408"/>
      <c r="E71" s="410"/>
      <c r="F71" s="410"/>
    </row>
    <row r="72" spans="1:6">
      <c r="A72" s="442"/>
      <c r="B72" s="408"/>
      <c r="C72" s="408"/>
      <c r="D72" s="408"/>
      <c r="E72" s="410"/>
      <c r="F72" s="410"/>
    </row>
    <row r="73" spans="1:6">
      <c r="A73" s="442"/>
      <c r="B73" s="408"/>
      <c r="C73" s="408"/>
      <c r="D73" s="408"/>
      <c r="E73" s="410"/>
      <c r="F73" s="410"/>
    </row>
    <row r="74" spans="1:6">
      <c r="A74" s="442"/>
      <c r="B74" s="408"/>
      <c r="C74" s="408"/>
      <c r="D74" s="408"/>
      <c r="E74" s="410"/>
      <c r="F74" s="410"/>
    </row>
    <row r="75" spans="1:6">
      <c r="A75" s="442"/>
      <c r="B75" s="408"/>
      <c r="C75" s="408"/>
      <c r="D75" s="408"/>
      <c r="E75" s="410"/>
      <c r="F75" s="410"/>
    </row>
    <row r="76" spans="1:6">
      <c r="A76" s="442"/>
      <c r="B76" s="408"/>
      <c r="C76" s="408"/>
      <c r="D76" s="408"/>
      <c r="E76" s="410"/>
      <c r="F76" s="410"/>
    </row>
    <row r="77" spans="1:6">
      <c r="A77" s="442"/>
      <c r="B77" s="408"/>
      <c r="C77" s="408"/>
      <c r="D77" s="408"/>
      <c r="E77" s="410"/>
      <c r="F77" s="410"/>
    </row>
    <row r="78" spans="1:6">
      <c r="A78" s="442"/>
      <c r="B78" s="408"/>
      <c r="C78" s="408"/>
      <c r="D78" s="408"/>
      <c r="E78" s="410"/>
      <c r="F78" s="410"/>
    </row>
    <row r="79" spans="1:6">
      <c r="A79" s="442"/>
      <c r="B79" s="408"/>
      <c r="C79" s="408"/>
      <c r="D79" s="408"/>
      <c r="E79" s="410"/>
      <c r="F79" s="410"/>
    </row>
    <row r="80" spans="1:6">
      <c r="A80" s="442"/>
      <c r="B80" s="408"/>
      <c r="C80" s="408"/>
      <c r="D80" s="408"/>
      <c r="E80" s="410"/>
      <c r="F80" s="410"/>
    </row>
    <row r="81" spans="1:6">
      <c r="A81" s="442"/>
      <c r="B81" s="408"/>
      <c r="C81" s="408"/>
      <c r="D81" s="408"/>
      <c r="E81" s="410"/>
      <c r="F81" s="410"/>
    </row>
    <row r="82" spans="1:6">
      <c r="A82" s="442"/>
      <c r="B82" s="408"/>
      <c r="C82" s="408"/>
      <c r="D82" s="408"/>
      <c r="E82" s="410"/>
      <c r="F82" s="410"/>
    </row>
    <row r="83" spans="1:6">
      <c r="A83" s="442"/>
      <c r="B83" s="408"/>
      <c r="C83" s="408"/>
      <c r="D83" s="408"/>
      <c r="E83" s="410"/>
      <c r="F83" s="410"/>
    </row>
    <row r="84" spans="1:6">
      <c r="A84" s="442"/>
      <c r="B84" s="408"/>
      <c r="C84" s="408"/>
      <c r="D84" s="408"/>
      <c r="E84" s="410"/>
      <c r="F84" s="410"/>
    </row>
    <row r="85" spans="1:6">
      <c r="A85" s="442"/>
      <c r="B85" s="408"/>
      <c r="C85" s="408"/>
      <c r="D85" s="408"/>
      <c r="E85" s="410"/>
      <c r="F85" s="410"/>
    </row>
    <row r="86" spans="1:6">
      <c r="A86" s="442"/>
      <c r="B86" s="408"/>
      <c r="C86" s="408"/>
      <c r="D86" s="408"/>
      <c r="E86" s="410"/>
      <c r="F86" s="410"/>
    </row>
    <row r="87" spans="1:6">
      <c r="A87" s="442"/>
      <c r="B87" s="408"/>
      <c r="C87" s="408"/>
      <c r="D87" s="408"/>
      <c r="E87" s="410"/>
      <c r="F87" s="410"/>
    </row>
    <row r="88" spans="1:6">
      <c r="A88" s="442"/>
      <c r="B88" s="408"/>
      <c r="C88" s="408"/>
      <c r="D88" s="408"/>
      <c r="E88" s="410"/>
      <c r="F88" s="410"/>
    </row>
    <row r="89" spans="1:6">
      <c r="A89" s="442"/>
      <c r="B89" s="408"/>
      <c r="C89" s="408"/>
      <c r="D89" s="408"/>
      <c r="E89" s="410"/>
      <c r="F89" s="410"/>
    </row>
    <row r="90" spans="1:6">
      <c r="A90" s="442"/>
      <c r="B90" s="408"/>
      <c r="C90" s="408"/>
      <c r="D90" s="408"/>
      <c r="E90" s="410"/>
      <c r="F90" s="410"/>
    </row>
    <row r="91" spans="1:6">
      <c r="A91" s="442"/>
      <c r="B91" s="408"/>
      <c r="C91" s="408"/>
      <c r="D91" s="408"/>
      <c r="E91" s="410"/>
      <c r="F91" s="410"/>
    </row>
    <row r="92" spans="1:6">
      <c r="A92" s="442"/>
      <c r="B92" s="408"/>
      <c r="C92" s="408"/>
      <c r="D92" s="408"/>
      <c r="E92" s="410"/>
      <c r="F92" s="410"/>
    </row>
    <row r="93" spans="1:6">
      <c r="A93" s="442"/>
      <c r="B93" s="408"/>
      <c r="C93" s="408"/>
      <c r="D93" s="408"/>
      <c r="E93" s="410"/>
      <c r="F93" s="410"/>
    </row>
    <row r="94" spans="1:6">
      <c r="A94" s="442"/>
      <c r="B94" s="408"/>
      <c r="C94" s="408"/>
      <c r="D94" s="408"/>
      <c r="E94" s="410"/>
      <c r="F94" s="410"/>
    </row>
    <row r="95" spans="1:6">
      <c r="A95" s="442"/>
      <c r="B95" s="408"/>
      <c r="C95" s="408"/>
      <c r="D95" s="408"/>
      <c r="E95" s="410"/>
      <c r="F95" s="410"/>
    </row>
    <row r="96" spans="1:6">
      <c r="A96" s="442"/>
      <c r="B96" s="408"/>
      <c r="C96" s="408"/>
      <c r="D96" s="408"/>
      <c r="E96" s="410"/>
      <c r="F96" s="410"/>
    </row>
    <row r="97" spans="1:6">
      <c r="A97" s="442"/>
      <c r="B97" s="408"/>
      <c r="C97" s="408"/>
      <c r="D97" s="408"/>
      <c r="E97" s="410"/>
      <c r="F97" s="410"/>
    </row>
    <row r="98" spans="1:6">
      <c r="A98" s="442"/>
      <c r="B98" s="408"/>
      <c r="C98" s="408"/>
      <c r="D98" s="408"/>
      <c r="E98" s="410"/>
      <c r="F98" s="410"/>
    </row>
    <row r="99" spans="1:6">
      <c r="A99" s="442"/>
      <c r="B99" s="408"/>
      <c r="C99" s="408"/>
      <c r="D99" s="408"/>
      <c r="E99" s="410"/>
      <c r="F99" s="410"/>
    </row>
    <row r="100" spans="1:6">
      <c r="A100" s="442"/>
      <c r="B100" s="408"/>
      <c r="C100" s="408"/>
      <c r="D100" s="408"/>
      <c r="E100" s="410"/>
      <c r="F100" s="410"/>
    </row>
    <row r="101" spans="1:6">
      <c r="A101" s="442"/>
      <c r="B101" s="408"/>
      <c r="C101" s="408"/>
      <c r="D101" s="408"/>
      <c r="E101" s="410"/>
      <c r="F101" s="410"/>
    </row>
    <row r="102" spans="1:6">
      <c r="A102" s="442"/>
      <c r="B102" s="408"/>
      <c r="C102" s="408"/>
      <c r="D102" s="408"/>
      <c r="E102" s="410"/>
      <c r="F102" s="410"/>
    </row>
    <row r="103" spans="1:6">
      <c r="A103" s="442"/>
      <c r="B103" s="408"/>
      <c r="C103" s="408"/>
      <c r="D103" s="408"/>
      <c r="E103" s="410"/>
      <c r="F103" s="410"/>
    </row>
    <row r="104" spans="1:6">
      <c r="A104" s="442"/>
      <c r="B104" s="408"/>
      <c r="C104" s="408"/>
      <c r="D104" s="408"/>
      <c r="E104" s="410"/>
      <c r="F104" s="410"/>
    </row>
    <row r="105" spans="1:6">
      <c r="A105" s="442"/>
      <c r="B105" s="408"/>
      <c r="C105" s="408"/>
      <c r="D105" s="408"/>
      <c r="E105" s="410"/>
      <c r="F105" s="410"/>
    </row>
    <row r="106" spans="1:6">
      <c r="A106" s="442"/>
      <c r="B106" s="408"/>
      <c r="C106" s="408"/>
      <c r="D106" s="408"/>
      <c r="E106" s="410"/>
      <c r="F106" s="410"/>
    </row>
    <row r="107" spans="1:6">
      <c r="A107" s="442"/>
      <c r="B107" s="408"/>
      <c r="C107" s="408"/>
      <c r="D107" s="408"/>
      <c r="E107" s="410"/>
      <c r="F107" s="410"/>
    </row>
    <row r="108" spans="1:6">
      <c r="A108" s="442"/>
      <c r="B108" s="408"/>
      <c r="C108" s="408"/>
      <c r="D108" s="408"/>
      <c r="E108" s="410"/>
      <c r="F108" s="410"/>
    </row>
    <row r="109" spans="1:6">
      <c r="A109" s="442"/>
      <c r="B109" s="408"/>
      <c r="C109" s="408"/>
      <c r="D109" s="408"/>
      <c r="E109" s="410"/>
      <c r="F109" s="410"/>
    </row>
    <row r="110" spans="1:6">
      <c r="A110" s="442"/>
      <c r="B110" s="408"/>
      <c r="C110" s="408"/>
      <c r="D110" s="408"/>
      <c r="E110" s="410"/>
      <c r="F110" s="410"/>
    </row>
    <row r="111" spans="1:6">
      <c r="A111" s="442"/>
      <c r="B111" s="408"/>
      <c r="C111" s="408"/>
      <c r="D111" s="408"/>
      <c r="E111" s="410"/>
      <c r="F111" s="410"/>
    </row>
    <row r="112" spans="1:6">
      <c r="A112" s="442"/>
      <c r="B112" s="408"/>
      <c r="C112" s="408"/>
      <c r="D112" s="408"/>
      <c r="E112" s="410"/>
      <c r="F112" s="410"/>
    </row>
    <row r="113" spans="1:6">
      <c r="A113" s="442"/>
      <c r="B113" s="408"/>
      <c r="C113" s="408"/>
      <c r="D113" s="408"/>
      <c r="E113" s="410"/>
      <c r="F113" s="410"/>
    </row>
    <row r="114" spans="1:6">
      <c r="A114" s="442"/>
      <c r="B114" s="408"/>
      <c r="C114" s="408"/>
      <c r="D114" s="408"/>
      <c r="E114" s="410"/>
      <c r="F114" s="410"/>
    </row>
    <row r="115" spans="1:6">
      <c r="A115" s="442"/>
      <c r="B115" s="408"/>
      <c r="C115" s="408"/>
      <c r="D115" s="408"/>
      <c r="E115" s="410"/>
      <c r="F115" s="410"/>
    </row>
    <row r="116" spans="1:6">
      <c r="A116" s="442"/>
      <c r="B116" s="408"/>
      <c r="C116" s="408"/>
      <c r="D116" s="408"/>
      <c r="E116" s="410"/>
      <c r="F116" s="410"/>
    </row>
    <row r="117" spans="1:6">
      <c r="A117" s="442"/>
      <c r="B117" s="408"/>
      <c r="C117" s="408"/>
      <c r="D117" s="408"/>
      <c r="E117" s="410"/>
      <c r="F117" s="410"/>
    </row>
    <row r="118" spans="1:6">
      <c r="A118" s="442"/>
      <c r="B118" s="408"/>
      <c r="C118" s="408"/>
      <c r="D118" s="408"/>
      <c r="E118" s="410"/>
      <c r="F118" s="410"/>
    </row>
    <row r="119" spans="1:6">
      <c r="A119" s="442"/>
      <c r="B119" s="408"/>
      <c r="C119" s="408"/>
      <c r="D119" s="408"/>
      <c r="E119" s="410"/>
      <c r="F119" s="410"/>
    </row>
    <row r="120" spans="1:6">
      <c r="A120" s="443"/>
      <c r="B120" s="411"/>
      <c r="C120" s="411"/>
      <c r="D120" s="411"/>
      <c r="E120" s="410"/>
      <c r="F120" s="410"/>
    </row>
    <row r="121" spans="1:6">
      <c r="A121" s="443"/>
      <c r="B121" s="411"/>
      <c r="C121" s="411"/>
      <c r="D121" s="411"/>
      <c r="E121" s="410"/>
      <c r="F121" s="410"/>
    </row>
    <row r="122" spans="1:6">
      <c r="A122" s="443"/>
      <c r="B122" s="411"/>
      <c r="C122" s="411"/>
      <c r="D122" s="411"/>
      <c r="E122" s="410"/>
      <c r="F122" s="410"/>
    </row>
    <row r="123" spans="1:6">
      <c r="A123" s="443"/>
      <c r="B123" s="411"/>
      <c r="C123" s="411"/>
      <c r="D123" s="411"/>
      <c r="E123" s="410"/>
      <c r="F123" s="410"/>
    </row>
    <row r="124" spans="1:6">
      <c r="A124" s="443"/>
      <c r="B124" s="411"/>
      <c r="C124" s="411"/>
      <c r="D124" s="411"/>
      <c r="E124" s="410"/>
      <c r="F124" s="410"/>
    </row>
    <row r="125" spans="1:6">
      <c r="A125" s="443"/>
      <c r="B125" s="411"/>
      <c r="C125" s="411"/>
      <c r="D125" s="411"/>
      <c r="E125" s="410"/>
      <c r="F125" s="410"/>
    </row>
    <row r="126" spans="1:6">
      <c r="A126" s="443"/>
      <c r="B126" s="411"/>
      <c r="C126" s="411"/>
      <c r="D126" s="411"/>
      <c r="E126" s="410"/>
      <c r="F126" s="410"/>
    </row>
    <row r="127" spans="1:6">
      <c r="A127" s="443"/>
      <c r="B127" s="411"/>
      <c r="C127" s="411"/>
      <c r="D127" s="411"/>
      <c r="E127" s="410"/>
      <c r="F127" s="410"/>
    </row>
    <row r="128" spans="1:6">
      <c r="A128" s="443"/>
      <c r="B128" s="411"/>
      <c r="C128" s="411"/>
      <c r="D128" s="411"/>
      <c r="E128" s="410"/>
      <c r="F128" s="410"/>
    </row>
    <row r="129" spans="1:6">
      <c r="A129" s="443"/>
      <c r="B129" s="411"/>
      <c r="C129" s="411"/>
      <c r="D129" s="411"/>
      <c r="E129" s="410"/>
      <c r="F129" s="410"/>
    </row>
    <row r="130" spans="1:6">
      <c r="A130" s="443"/>
      <c r="B130" s="411"/>
      <c r="C130" s="411"/>
      <c r="D130" s="411"/>
      <c r="E130" s="410"/>
      <c r="F130" s="410"/>
    </row>
    <row r="131" spans="1:6">
      <c r="A131" s="443"/>
      <c r="B131" s="411"/>
      <c r="C131" s="411"/>
      <c r="D131" s="411"/>
      <c r="E131" s="410"/>
      <c r="F131" s="410"/>
    </row>
    <row r="132" spans="1:6">
      <c r="A132" s="443"/>
      <c r="B132" s="411"/>
      <c r="C132" s="411"/>
      <c r="D132" s="411"/>
      <c r="E132" s="410"/>
      <c r="F132" s="410"/>
    </row>
    <row r="133" spans="1:6">
      <c r="A133" s="443"/>
      <c r="B133" s="411"/>
      <c r="C133" s="411"/>
      <c r="D133" s="411"/>
      <c r="E133" s="410"/>
      <c r="F133" s="410"/>
    </row>
    <row r="134" spans="1:6">
      <c r="A134" s="443"/>
      <c r="B134" s="411"/>
      <c r="C134" s="411"/>
      <c r="D134" s="411"/>
      <c r="E134" s="410"/>
      <c r="F134" s="410"/>
    </row>
    <row r="135" spans="1:6">
      <c r="A135" s="443"/>
      <c r="B135" s="411"/>
      <c r="C135" s="411"/>
      <c r="D135" s="411"/>
      <c r="E135" s="410"/>
      <c r="F135" s="410"/>
    </row>
    <row r="136" spans="1:6">
      <c r="A136" s="443"/>
      <c r="B136" s="411"/>
      <c r="C136" s="411"/>
      <c r="D136" s="411"/>
      <c r="E136" s="410"/>
      <c r="F136" s="410"/>
    </row>
    <row r="137" spans="1:6">
      <c r="A137" s="443"/>
      <c r="B137" s="411"/>
      <c r="C137" s="411"/>
      <c r="D137" s="411"/>
      <c r="E137" s="410"/>
      <c r="F137" s="410"/>
    </row>
    <row r="138" spans="1:6">
      <c r="A138" s="443"/>
      <c r="B138" s="411"/>
      <c r="C138" s="411"/>
      <c r="D138" s="411"/>
      <c r="E138" s="410"/>
      <c r="F138" s="410"/>
    </row>
    <row r="139" spans="1:6">
      <c r="A139" s="443"/>
      <c r="B139" s="411"/>
      <c r="C139" s="411"/>
      <c r="D139" s="411"/>
      <c r="E139" s="410"/>
      <c r="F139" s="410"/>
    </row>
    <row r="140" spans="1:6">
      <c r="A140" s="443"/>
      <c r="B140" s="411"/>
      <c r="C140" s="411"/>
      <c r="D140" s="411"/>
      <c r="E140" s="410"/>
      <c r="F140" s="410"/>
    </row>
    <row r="141" spans="1:6">
      <c r="A141" s="443"/>
      <c r="B141" s="411"/>
      <c r="C141" s="411"/>
      <c r="D141" s="411"/>
      <c r="E141" s="410"/>
      <c r="F141" s="410"/>
    </row>
    <row r="142" spans="1:6">
      <c r="A142" s="443"/>
      <c r="B142" s="411"/>
      <c r="C142" s="411"/>
      <c r="D142" s="411"/>
      <c r="E142" s="410"/>
      <c r="F142" s="410"/>
    </row>
    <row r="143" spans="1:6">
      <c r="A143" s="443"/>
      <c r="B143" s="411"/>
      <c r="C143" s="411"/>
      <c r="D143" s="411"/>
      <c r="E143" s="410"/>
      <c r="F143" s="410"/>
    </row>
    <row r="144" spans="1:6">
      <c r="A144" s="443"/>
      <c r="B144" s="411"/>
      <c r="C144" s="411"/>
      <c r="D144" s="411"/>
      <c r="E144" s="410"/>
      <c r="F144" s="410"/>
    </row>
    <row r="145" spans="1:6">
      <c r="A145" s="443"/>
      <c r="B145" s="411"/>
      <c r="C145" s="411"/>
      <c r="D145" s="411"/>
      <c r="E145" s="410"/>
      <c r="F145" s="410"/>
    </row>
    <row r="146" spans="1:6">
      <c r="A146" s="443"/>
      <c r="B146" s="411"/>
      <c r="C146" s="411"/>
      <c r="D146" s="411"/>
      <c r="E146" s="410"/>
      <c r="F146" s="410"/>
    </row>
    <row r="147" spans="1:6">
      <c r="A147" s="443"/>
      <c r="B147" s="411"/>
      <c r="C147" s="411"/>
      <c r="D147" s="411"/>
      <c r="E147" s="410"/>
      <c r="F147" s="410"/>
    </row>
    <row r="148" spans="1:6">
      <c r="A148" s="443"/>
      <c r="B148" s="411"/>
      <c r="C148" s="411"/>
      <c r="D148" s="411"/>
      <c r="E148" s="410"/>
      <c r="F148" s="410"/>
    </row>
    <row r="149" spans="1:6">
      <c r="A149" s="443"/>
      <c r="B149" s="411"/>
      <c r="C149" s="411"/>
      <c r="D149" s="411"/>
      <c r="E149" s="410"/>
      <c r="F149" s="410"/>
    </row>
    <row r="150" spans="1:6">
      <c r="A150" s="443"/>
      <c r="B150" s="411"/>
      <c r="C150" s="411"/>
      <c r="D150" s="411"/>
      <c r="E150" s="410"/>
      <c r="F150" s="410"/>
    </row>
    <row r="151" spans="1:6">
      <c r="A151" s="443"/>
      <c r="B151" s="411"/>
      <c r="C151" s="411"/>
      <c r="D151" s="411"/>
      <c r="E151" s="410"/>
      <c r="F151" s="410"/>
    </row>
    <row r="152" spans="1:6">
      <c r="A152" s="443"/>
      <c r="B152" s="411"/>
      <c r="C152" s="411"/>
      <c r="D152" s="411"/>
      <c r="E152" s="410"/>
      <c r="F152" s="410"/>
    </row>
    <row r="153" spans="1:6">
      <c r="A153" s="443"/>
      <c r="B153" s="411"/>
      <c r="C153" s="411"/>
      <c r="D153" s="411"/>
      <c r="E153" s="410"/>
      <c r="F153" s="410"/>
    </row>
    <row r="154" spans="1:6">
      <c r="A154" s="443"/>
      <c r="B154" s="411"/>
      <c r="C154" s="411"/>
      <c r="D154" s="411"/>
      <c r="E154" s="410"/>
      <c r="F154" s="410"/>
    </row>
    <row r="155" spans="1:6">
      <c r="A155" s="443"/>
      <c r="B155" s="411"/>
      <c r="C155" s="411"/>
      <c r="D155" s="411"/>
      <c r="E155" s="410"/>
      <c r="F155" s="410"/>
    </row>
    <row r="156" spans="1:6">
      <c r="A156" s="443"/>
      <c r="B156" s="411"/>
      <c r="C156" s="411"/>
      <c r="D156" s="411"/>
      <c r="E156" s="410"/>
      <c r="F156" s="410"/>
    </row>
    <row r="157" spans="1:6">
      <c r="A157" s="443"/>
      <c r="B157" s="411"/>
      <c r="C157" s="411"/>
      <c r="D157" s="411"/>
      <c r="E157" s="410"/>
      <c r="F157" s="410"/>
    </row>
    <row r="158" spans="1:6">
      <c r="A158" s="443"/>
      <c r="B158" s="411"/>
      <c r="C158" s="411"/>
      <c r="D158" s="411"/>
      <c r="E158" s="410"/>
      <c r="F158" s="410"/>
    </row>
    <row r="159" spans="1:6">
      <c r="A159" s="443"/>
      <c r="B159" s="411"/>
      <c r="C159" s="411"/>
      <c r="D159" s="411"/>
      <c r="E159" s="410"/>
      <c r="F159" s="410"/>
    </row>
    <row r="160" spans="1:6">
      <c r="A160" s="443"/>
      <c r="B160" s="411"/>
      <c r="C160" s="411"/>
      <c r="D160" s="411"/>
      <c r="E160" s="410"/>
      <c r="F160" s="410"/>
    </row>
    <row r="161" spans="1:6">
      <c r="A161" s="443"/>
      <c r="B161" s="411"/>
      <c r="C161" s="411"/>
      <c r="D161" s="411"/>
      <c r="E161" s="410"/>
      <c r="F161" s="410"/>
    </row>
    <row r="162" spans="1:6">
      <c r="A162" s="443"/>
      <c r="B162" s="411"/>
      <c r="C162" s="411"/>
      <c r="D162" s="411"/>
      <c r="E162" s="410"/>
      <c r="F162" s="410"/>
    </row>
    <row r="163" spans="1:6">
      <c r="A163" s="443"/>
      <c r="B163" s="411"/>
      <c r="C163" s="411"/>
      <c r="D163" s="411"/>
      <c r="E163" s="410"/>
      <c r="F163" s="410"/>
    </row>
    <row r="164" spans="1:6">
      <c r="A164" s="443"/>
      <c r="B164" s="411"/>
      <c r="C164" s="411"/>
      <c r="D164" s="411"/>
      <c r="E164" s="410"/>
      <c r="F164" s="410"/>
    </row>
    <row r="165" spans="1:6">
      <c r="A165" s="443"/>
      <c r="B165" s="411"/>
      <c r="C165" s="411"/>
      <c r="D165" s="411"/>
      <c r="E165" s="410"/>
      <c r="F165" s="410"/>
    </row>
    <row r="166" spans="1:6">
      <c r="A166" s="443"/>
      <c r="B166" s="411"/>
      <c r="C166" s="411"/>
      <c r="D166" s="411"/>
      <c r="E166" s="410"/>
      <c r="F166" s="410"/>
    </row>
    <row r="167" spans="1:6">
      <c r="A167" s="443"/>
      <c r="B167" s="411"/>
      <c r="C167" s="411"/>
      <c r="D167" s="411"/>
      <c r="E167" s="410"/>
      <c r="F167" s="410"/>
    </row>
    <row r="168" spans="1:6">
      <c r="A168" s="443"/>
      <c r="B168" s="411"/>
      <c r="C168" s="411"/>
      <c r="D168" s="411"/>
      <c r="E168" s="410"/>
      <c r="F168" s="410"/>
    </row>
    <row r="169" spans="1:6">
      <c r="A169" s="443"/>
      <c r="B169" s="411"/>
      <c r="C169" s="411"/>
      <c r="D169" s="411"/>
      <c r="E169" s="410"/>
      <c r="F169" s="410"/>
    </row>
    <row r="170" spans="1:6">
      <c r="A170" s="443"/>
      <c r="B170" s="411"/>
      <c r="C170" s="411"/>
      <c r="D170" s="411"/>
      <c r="E170" s="410"/>
      <c r="F170" s="410"/>
    </row>
    <row r="171" spans="1:6">
      <c r="A171" s="443"/>
      <c r="B171" s="411"/>
      <c r="C171" s="411"/>
      <c r="D171" s="411"/>
      <c r="E171" s="410"/>
      <c r="F171" s="410"/>
    </row>
    <row r="172" spans="1:6">
      <c r="A172" s="443"/>
      <c r="B172" s="411"/>
      <c r="C172" s="411"/>
      <c r="D172" s="411"/>
      <c r="E172" s="410"/>
      <c r="F172" s="410"/>
    </row>
    <row r="173" spans="1:6">
      <c r="A173" s="443"/>
      <c r="B173" s="411"/>
      <c r="C173" s="411"/>
      <c r="D173" s="411"/>
      <c r="E173" s="410"/>
      <c r="F173" s="410"/>
    </row>
    <row r="174" spans="1:6">
      <c r="A174" s="443"/>
      <c r="B174" s="411"/>
      <c r="C174" s="411"/>
      <c r="D174" s="411"/>
      <c r="E174" s="410"/>
      <c r="F174" s="410"/>
    </row>
    <row r="175" spans="1:6">
      <c r="A175" s="443"/>
      <c r="B175" s="411"/>
      <c r="C175" s="411"/>
      <c r="D175" s="411"/>
      <c r="E175" s="410"/>
      <c r="F175" s="410"/>
    </row>
    <row r="176" spans="1:6">
      <c r="A176" s="443"/>
      <c r="B176" s="411"/>
      <c r="C176" s="411"/>
      <c r="D176" s="411"/>
      <c r="E176" s="410"/>
      <c r="F176" s="410"/>
    </row>
    <row r="177" spans="1:6">
      <c r="A177" s="443"/>
      <c r="B177" s="411"/>
      <c r="C177" s="411"/>
      <c r="D177" s="411"/>
      <c r="E177" s="410"/>
      <c r="F177" s="410"/>
    </row>
    <row r="178" spans="1:6">
      <c r="A178" s="443"/>
      <c r="B178" s="411"/>
      <c r="C178" s="411"/>
      <c r="D178" s="411"/>
      <c r="E178" s="410"/>
      <c r="F178" s="410"/>
    </row>
    <row r="179" spans="1:6">
      <c r="A179" s="443"/>
      <c r="B179" s="411"/>
      <c r="C179" s="411"/>
      <c r="D179" s="411"/>
      <c r="E179" s="410"/>
      <c r="F179" s="410"/>
    </row>
    <row r="180" spans="1:6">
      <c r="A180" s="443"/>
      <c r="B180" s="411"/>
      <c r="C180" s="411"/>
      <c r="D180" s="411"/>
      <c r="E180" s="410"/>
      <c r="F180" s="410"/>
    </row>
    <row r="181" spans="1:6">
      <c r="A181" s="443"/>
      <c r="B181" s="411"/>
      <c r="C181" s="411"/>
      <c r="D181" s="411"/>
      <c r="E181" s="410"/>
      <c r="F181" s="410"/>
    </row>
    <row r="182" spans="1:6">
      <c r="A182" s="443"/>
      <c r="B182" s="411"/>
      <c r="C182" s="411"/>
      <c r="D182" s="411"/>
      <c r="E182" s="410"/>
      <c r="F182" s="410"/>
    </row>
    <row r="183" spans="1:6">
      <c r="A183" s="443"/>
      <c r="B183" s="411"/>
      <c r="C183" s="411"/>
      <c r="D183" s="411"/>
      <c r="E183" s="410"/>
      <c r="F183" s="410"/>
    </row>
    <row r="184" spans="1:6">
      <c r="A184" s="443"/>
      <c r="B184" s="411"/>
      <c r="C184" s="411"/>
      <c r="D184" s="411"/>
      <c r="E184" s="410"/>
      <c r="F184" s="410"/>
    </row>
    <row r="185" spans="1:6">
      <c r="A185" s="443"/>
      <c r="B185" s="411"/>
      <c r="C185" s="411"/>
      <c r="D185" s="411"/>
      <c r="E185" s="410"/>
      <c r="F185" s="410"/>
    </row>
    <row r="186" spans="1:6">
      <c r="A186" s="443"/>
      <c r="B186" s="411"/>
      <c r="C186" s="411"/>
      <c r="D186" s="411"/>
      <c r="E186" s="410"/>
      <c r="F186" s="410"/>
    </row>
    <row r="187" spans="1:6">
      <c r="A187" s="443"/>
      <c r="B187" s="411"/>
      <c r="C187" s="411"/>
      <c r="D187" s="411"/>
      <c r="E187" s="410"/>
      <c r="F187" s="410"/>
    </row>
    <row r="188" spans="1:6">
      <c r="A188" s="443"/>
      <c r="B188" s="411"/>
      <c r="C188" s="411"/>
      <c r="D188" s="411"/>
      <c r="E188" s="410"/>
      <c r="F188" s="410"/>
    </row>
    <row r="189" spans="1:6">
      <c r="A189" s="443"/>
      <c r="B189" s="411"/>
      <c r="C189" s="411"/>
      <c r="D189" s="411"/>
      <c r="E189" s="410"/>
      <c r="F189" s="410"/>
    </row>
    <row r="190" spans="1:6">
      <c r="A190" s="443"/>
      <c r="B190" s="411"/>
      <c r="C190" s="411"/>
      <c r="D190" s="411"/>
      <c r="E190" s="410"/>
      <c r="F190" s="410"/>
    </row>
    <row r="191" spans="1:6">
      <c r="A191" s="443"/>
      <c r="B191" s="411"/>
      <c r="C191" s="411"/>
      <c r="D191" s="411"/>
      <c r="E191" s="410"/>
      <c r="F191" s="410"/>
    </row>
    <row r="192" spans="1:6">
      <c r="A192" s="443"/>
      <c r="B192" s="411"/>
      <c r="C192" s="411"/>
      <c r="D192" s="411"/>
      <c r="E192" s="410"/>
      <c r="F192" s="410"/>
    </row>
    <row r="193" spans="1:6">
      <c r="A193" s="443"/>
      <c r="B193" s="411"/>
      <c r="C193" s="411"/>
      <c r="D193" s="411"/>
      <c r="E193" s="410"/>
      <c r="F193" s="410"/>
    </row>
    <row r="194" spans="1:6">
      <c r="A194" s="443"/>
      <c r="B194" s="411"/>
      <c r="C194" s="411"/>
      <c r="D194" s="411"/>
      <c r="E194" s="410"/>
      <c r="F194" s="410"/>
    </row>
    <row r="195" spans="1:6">
      <c r="A195" s="443"/>
      <c r="B195" s="411"/>
      <c r="C195" s="411"/>
      <c r="D195" s="411"/>
      <c r="E195" s="410"/>
      <c r="F195" s="410"/>
    </row>
    <row r="196" spans="1:6">
      <c r="A196" s="443"/>
      <c r="B196" s="411"/>
      <c r="C196" s="411"/>
      <c r="D196" s="411"/>
      <c r="E196" s="410"/>
      <c r="F196" s="410"/>
    </row>
    <row r="197" spans="1:6">
      <c r="A197" s="443"/>
      <c r="B197" s="411"/>
      <c r="C197" s="411"/>
      <c r="D197" s="411"/>
      <c r="E197" s="410"/>
      <c r="F197" s="410"/>
    </row>
    <row r="198" spans="1:6">
      <c r="A198" s="443"/>
      <c r="B198" s="411"/>
      <c r="C198" s="411"/>
      <c r="D198" s="411"/>
      <c r="E198" s="410"/>
      <c r="F198" s="410"/>
    </row>
    <row r="199" spans="1:6">
      <c r="A199" s="443"/>
      <c r="B199" s="411"/>
      <c r="C199" s="411"/>
      <c r="D199" s="411"/>
      <c r="E199" s="410"/>
      <c r="F199" s="410"/>
    </row>
    <row r="200" spans="1:6">
      <c r="A200" s="443"/>
      <c r="B200" s="411"/>
      <c r="C200" s="411"/>
      <c r="D200" s="411"/>
      <c r="E200" s="410"/>
      <c r="F200" s="410"/>
    </row>
    <row r="201" spans="1:6">
      <c r="A201" s="443"/>
      <c r="B201" s="411"/>
      <c r="C201" s="411"/>
      <c r="D201" s="411"/>
      <c r="E201" s="410"/>
      <c r="F201" s="410"/>
    </row>
    <row r="202" spans="1:6">
      <c r="A202" s="443"/>
      <c r="B202" s="411"/>
      <c r="C202" s="411"/>
      <c r="D202" s="411"/>
      <c r="E202" s="410"/>
      <c r="F202" s="410"/>
    </row>
    <row r="203" spans="1:6">
      <c r="A203" s="443"/>
      <c r="B203" s="411"/>
      <c r="C203" s="411"/>
      <c r="D203" s="411"/>
      <c r="E203" s="410"/>
      <c r="F203" s="410"/>
    </row>
    <row r="204" spans="1:6">
      <c r="A204" s="443"/>
      <c r="B204" s="411"/>
      <c r="C204" s="411"/>
      <c r="D204" s="411"/>
      <c r="E204" s="410"/>
      <c r="F204" s="410"/>
    </row>
    <row r="205" spans="1:6">
      <c r="A205" s="443"/>
      <c r="B205" s="411"/>
      <c r="C205" s="411"/>
      <c r="D205" s="411"/>
      <c r="E205" s="410"/>
      <c r="F205" s="410"/>
    </row>
    <row r="206" spans="1:6">
      <c r="A206" s="443"/>
      <c r="B206" s="411"/>
      <c r="C206" s="411"/>
      <c r="D206" s="411"/>
      <c r="E206" s="410"/>
      <c r="F206" s="410"/>
    </row>
    <row r="207" spans="1:6">
      <c r="A207" s="443"/>
      <c r="B207" s="411"/>
      <c r="C207" s="411"/>
      <c r="D207" s="411"/>
      <c r="E207" s="410"/>
      <c r="F207" s="410"/>
    </row>
    <row r="208" spans="1:6">
      <c r="A208" s="443"/>
      <c r="B208" s="411"/>
      <c r="C208" s="411"/>
      <c r="D208" s="411"/>
      <c r="E208" s="410"/>
      <c r="F208" s="410"/>
    </row>
    <row r="209" spans="1:6">
      <c r="A209" s="443"/>
      <c r="B209" s="411"/>
      <c r="C209" s="411"/>
      <c r="D209" s="411"/>
      <c r="E209" s="410"/>
      <c r="F209" s="410"/>
    </row>
    <row r="210" spans="1:6">
      <c r="A210" s="443"/>
      <c r="B210" s="411"/>
      <c r="C210" s="411"/>
      <c r="D210" s="411"/>
      <c r="E210" s="410"/>
      <c r="F210" s="410"/>
    </row>
    <row r="211" spans="1:6">
      <c r="A211" s="443"/>
      <c r="B211" s="411"/>
      <c r="C211" s="411"/>
      <c r="D211" s="411"/>
      <c r="E211" s="410"/>
      <c r="F211" s="410"/>
    </row>
    <row r="212" spans="1:6">
      <c r="A212" s="443"/>
      <c r="B212" s="411"/>
      <c r="C212" s="411"/>
      <c r="D212" s="411"/>
      <c r="E212" s="410"/>
      <c r="F212" s="410"/>
    </row>
    <row r="213" spans="1:6">
      <c r="A213" s="443"/>
      <c r="B213" s="411"/>
      <c r="C213" s="411"/>
      <c r="D213" s="411"/>
      <c r="E213" s="410"/>
      <c r="F213" s="410"/>
    </row>
    <row r="214" spans="1:6">
      <c r="A214" s="443"/>
      <c r="B214" s="411"/>
      <c r="C214" s="411"/>
      <c r="D214" s="411"/>
      <c r="E214" s="410"/>
      <c r="F214" s="410"/>
    </row>
    <row r="215" spans="1:6">
      <c r="A215" s="443"/>
      <c r="B215" s="411"/>
      <c r="C215" s="411"/>
      <c r="D215" s="411"/>
      <c r="E215" s="410"/>
      <c r="F215" s="410"/>
    </row>
    <row r="216" spans="1:6">
      <c r="A216" s="443"/>
      <c r="B216" s="411"/>
      <c r="C216" s="411"/>
      <c r="D216" s="411"/>
      <c r="E216" s="410"/>
      <c r="F216" s="410"/>
    </row>
    <row r="217" spans="1:6">
      <c r="A217" s="443"/>
      <c r="B217" s="411"/>
      <c r="C217" s="411"/>
      <c r="D217" s="411"/>
      <c r="E217" s="410"/>
      <c r="F217" s="410"/>
    </row>
    <row r="218" spans="1:6">
      <c r="A218" s="443"/>
      <c r="B218" s="411"/>
      <c r="C218" s="411"/>
      <c r="D218" s="411"/>
      <c r="E218" s="410"/>
      <c r="F218" s="410"/>
    </row>
    <row r="219" spans="1:6">
      <c r="A219" s="443"/>
      <c r="B219" s="411"/>
      <c r="C219" s="411"/>
      <c r="D219" s="411"/>
      <c r="E219" s="410"/>
      <c r="F219" s="410"/>
    </row>
    <row r="220" spans="1:6">
      <c r="A220" s="443"/>
      <c r="B220" s="411"/>
      <c r="C220" s="411"/>
      <c r="D220" s="411"/>
      <c r="E220" s="410"/>
      <c r="F220" s="410"/>
    </row>
    <row r="221" spans="1:6">
      <c r="A221" s="443"/>
      <c r="B221" s="411"/>
      <c r="C221" s="411"/>
      <c r="D221" s="411"/>
      <c r="E221" s="410"/>
      <c r="F221" s="410"/>
    </row>
    <row r="222" spans="1:6">
      <c r="A222" s="443"/>
      <c r="B222" s="411"/>
      <c r="C222" s="411"/>
      <c r="D222" s="411"/>
      <c r="E222" s="410"/>
      <c r="F222" s="410"/>
    </row>
    <row r="223" spans="1:6">
      <c r="A223" s="443"/>
      <c r="B223" s="411"/>
      <c r="C223" s="411"/>
      <c r="D223" s="411"/>
      <c r="E223" s="410"/>
      <c r="F223" s="410"/>
    </row>
    <row r="224" spans="1:6">
      <c r="A224" s="443"/>
      <c r="B224" s="411"/>
      <c r="C224" s="411"/>
      <c r="D224" s="411"/>
      <c r="E224" s="410"/>
      <c r="F224" s="410"/>
    </row>
    <row r="225" spans="1:6">
      <c r="A225" s="443"/>
      <c r="B225" s="411"/>
      <c r="C225" s="411"/>
      <c r="D225" s="411"/>
      <c r="E225" s="410"/>
      <c r="F225" s="410"/>
    </row>
    <row r="226" spans="1:6">
      <c r="A226" s="443"/>
      <c r="B226" s="411"/>
      <c r="C226" s="411"/>
      <c r="D226" s="411"/>
      <c r="E226" s="410"/>
      <c r="F226" s="410"/>
    </row>
    <row r="227" spans="1:6">
      <c r="A227" s="443"/>
      <c r="B227" s="411"/>
      <c r="C227" s="411"/>
      <c r="D227" s="411"/>
      <c r="E227" s="410"/>
      <c r="F227" s="410"/>
    </row>
    <row r="228" spans="1:6">
      <c r="A228" s="443"/>
      <c r="B228" s="411"/>
      <c r="C228" s="411"/>
      <c r="D228" s="411"/>
      <c r="E228" s="410"/>
      <c r="F228" s="410"/>
    </row>
    <row r="229" spans="1:6">
      <c r="A229" s="443"/>
      <c r="B229" s="411"/>
      <c r="C229" s="411"/>
      <c r="D229" s="411"/>
      <c r="E229" s="410"/>
      <c r="F229" s="410"/>
    </row>
    <row r="230" spans="1:6">
      <c r="A230" s="443"/>
      <c r="B230" s="411"/>
      <c r="C230" s="411"/>
      <c r="D230" s="411"/>
      <c r="E230" s="410"/>
      <c r="F230" s="410"/>
    </row>
    <row r="231" spans="1:6">
      <c r="A231" s="443"/>
      <c r="B231" s="411"/>
      <c r="C231" s="411"/>
      <c r="D231" s="411"/>
      <c r="E231" s="410"/>
      <c r="F231" s="410"/>
    </row>
    <row r="232" spans="1:6">
      <c r="A232" s="443"/>
      <c r="B232" s="411"/>
      <c r="C232" s="411"/>
      <c r="D232" s="411"/>
      <c r="E232" s="410"/>
      <c r="F232" s="410"/>
    </row>
    <row r="233" spans="1:6">
      <c r="A233" s="443"/>
      <c r="B233" s="411"/>
      <c r="C233" s="411"/>
      <c r="D233" s="411"/>
      <c r="E233" s="410"/>
      <c r="F233" s="410"/>
    </row>
    <row r="234" spans="1:6">
      <c r="A234" s="443"/>
      <c r="B234" s="411"/>
      <c r="C234" s="411"/>
      <c r="D234" s="411"/>
      <c r="E234" s="410"/>
      <c r="F234" s="410"/>
    </row>
    <row r="235" spans="1:6">
      <c r="A235" s="443"/>
      <c r="B235" s="411"/>
      <c r="C235" s="411"/>
      <c r="D235" s="411"/>
      <c r="E235" s="410"/>
      <c r="F235" s="410"/>
    </row>
    <row r="236" spans="1:6">
      <c r="A236" s="443"/>
      <c r="B236" s="411"/>
      <c r="C236" s="411"/>
      <c r="D236" s="411"/>
      <c r="E236" s="410"/>
      <c r="F236" s="410"/>
    </row>
    <row r="237" spans="1:6">
      <c r="A237" s="443"/>
      <c r="B237" s="411"/>
      <c r="C237" s="411"/>
      <c r="D237" s="411"/>
      <c r="E237" s="410"/>
      <c r="F237" s="410"/>
    </row>
    <row r="238" spans="1:6">
      <c r="A238" s="443"/>
      <c r="B238" s="411"/>
      <c r="C238" s="411"/>
      <c r="D238" s="411"/>
      <c r="E238" s="410"/>
      <c r="F238" s="410"/>
    </row>
    <row r="239" spans="1:6">
      <c r="A239" s="443"/>
      <c r="B239" s="411"/>
      <c r="C239" s="411"/>
      <c r="D239" s="411"/>
      <c r="E239" s="410"/>
      <c r="F239" s="410"/>
    </row>
    <row r="240" spans="1:6">
      <c r="A240" s="443"/>
      <c r="B240" s="411"/>
      <c r="C240" s="411"/>
      <c r="D240" s="411"/>
      <c r="E240" s="410"/>
      <c r="F240" s="410"/>
    </row>
    <row r="241" spans="1:6">
      <c r="A241" s="443"/>
      <c r="B241" s="411"/>
      <c r="C241" s="411"/>
      <c r="D241" s="411"/>
      <c r="E241" s="410"/>
      <c r="F241" s="410"/>
    </row>
    <row r="242" spans="1:6">
      <c r="A242" s="443"/>
      <c r="B242" s="411"/>
      <c r="C242" s="411"/>
      <c r="D242" s="411"/>
      <c r="E242" s="410"/>
      <c r="F242" s="410"/>
    </row>
    <row r="243" spans="1:6">
      <c r="A243" s="443"/>
      <c r="B243" s="411"/>
      <c r="C243" s="411"/>
      <c r="D243" s="411"/>
      <c r="E243" s="410"/>
      <c r="F243" s="410"/>
    </row>
    <row r="244" spans="1:6">
      <c r="A244" s="443"/>
      <c r="B244" s="411"/>
      <c r="C244" s="411"/>
      <c r="D244" s="411"/>
      <c r="E244" s="410"/>
      <c r="F244" s="410"/>
    </row>
    <row r="245" spans="1:6">
      <c r="A245" s="443"/>
      <c r="B245" s="411"/>
      <c r="C245" s="411"/>
      <c r="D245" s="411"/>
      <c r="E245" s="410"/>
      <c r="F245" s="410"/>
    </row>
    <row r="246" spans="1:6">
      <c r="A246" s="443"/>
      <c r="B246" s="411"/>
      <c r="C246" s="411"/>
      <c r="D246" s="411"/>
      <c r="E246" s="410"/>
      <c r="F246" s="410"/>
    </row>
    <row r="247" spans="1:6">
      <c r="A247" s="443"/>
      <c r="B247" s="411"/>
      <c r="C247" s="411"/>
      <c r="D247" s="411"/>
      <c r="E247" s="410"/>
      <c r="F247" s="410"/>
    </row>
    <row r="248" spans="1:6">
      <c r="A248" s="443"/>
      <c r="B248" s="411"/>
      <c r="C248" s="411"/>
      <c r="D248" s="411"/>
      <c r="E248" s="410"/>
      <c r="F248" s="410"/>
    </row>
    <row r="249" spans="1:6">
      <c r="A249" s="443"/>
      <c r="B249" s="411"/>
      <c r="C249" s="411"/>
      <c r="D249" s="411"/>
      <c r="E249" s="410"/>
      <c r="F249" s="410"/>
    </row>
    <row r="250" spans="1:6">
      <c r="A250" s="443"/>
      <c r="B250" s="411"/>
      <c r="C250" s="411"/>
      <c r="D250" s="411"/>
      <c r="E250" s="410"/>
      <c r="F250" s="410"/>
    </row>
    <row r="251" spans="1:6">
      <c r="A251" s="443"/>
      <c r="B251" s="411"/>
      <c r="C251" s="411"/>
      <c r="D251" s="411"/>
      <c r="E251" s="410"/>
      <c r="F251" s="410"/>
    </row>
    <row r="252" spans="1:6">
      <c r="A252" s="443"/>
      <c r="B252" s="411"/>
      <c r="C252" s="411"/>
      <c r="D252" s="411"/>
      <c r="E252" s="410"/>
      <c r="F252" s="410"/>
    </row>
    <row r="253" spans="1:6">
      <c r="A253" s="443"/>
      <c r="B253" s="411"/>
      <c r="C253" s="411"/>
      <c r="D253" s="411"/>
      <c r="E253" s="410"/>
      <c r="F253" s="410"/>
    </row>
    <row r="254" spans="1:6">
      <c r="A254" s="443"/>
      <c r="B254" s="411"/>
      <c r="C254" s="411"/>
      <c r="D254" s="411"/>
      <c r="E254" s="410"/>
      <c r="F254" s="410"/>
    </row>
    <row r="255" spans="1:6">
      <c r="A255" s="443"/>
      <c r="B255" s="411"/>
      <c r="C255" s="411"/>
      <c r="D255" s="411"/>
      <c r="E255" s="410"/>
      <c r="F255" s="410"/>
    </row>
    <row r="256" spans="1:6">
      <c r="A256" s="443"/>
      <c r="B256" s="411"/>
      <c r="C256" s="411"/>
      <c r="D256" s="411"/>
      <c r="E256" s="410"/>
      <c r="F256" s="410"/>
    </row>
    <row r="257" spans="1:6">
      <c r="A257" s="443"/>
      <c r="B257" s="411"/>
      <c r="C257" s="411"/>
      <c r="D257" s="411"/>
      <c r="E257" s="410"/>
      <c r="F257" s="410"/>
    </row>
    <row r="258" spans="1:6">
      <c r="A258" s="443"/>
      <c r="B258" s="411"/>
      <c r="C258" s="411"/>
      <c r="D258" s="411"/>
      <c r="E258" s="410"/>
      <c r="F258" s="410"/>
    </row>
    <row r="259" spans="1:6">
      <c r="A259" s="443"/>
      <c r="B259" s="411"/>
      <c r="C259" s="411"/>
      <c r="D259" s="411"/>
      <c r="E259" s="410"/>
      <c r="F259" s="410"/>
    </row>
    <row r="260" spans="1:6">
      <c r="A260" s="443"/>
      <c r="B260" s="411"/>
      <c r="C260" s="411"/>
      <c r="D260" s="411"/>
      <c r="E260" s="410"/>
      <c r="F260" s="410"/>
    </row>
    <row r="261" spans="1:6">
      <c r="A261" s="443"/>
      <c r="B261" s="411"/>
      <c r="C261" s="411"/>
      <c r="D261" s="411"/>
      <c r="E261" s="410"/>
      <c r="F261" s="410"/>
    </row>
    <row r="262" spans="1:6">
      <c r="A262" s="443"/>
      <c r="B262" s="411"/>
      <c r="C262" s="411"/>
      <c r="D262" s="411"/>
      <c r="E262" s="410"/>
      <c r="F262" s="410"/>
    </row>
    <row r="263" spans="1:6">
      <c r="A263" s="443"/>
      <c r="B263" s="411"/>
      <c r="C263" s="411"/>
      <c r="D263" s="411"/>
      <c r="E263" s="410"/>
      <c r="F263" s="410"/>
    </row>
    <row r="264" spans="1:6">
      <c r="A264" s="443"/>
      <c r="B264" s="411"/>
      <c r="C264" s="411"/>
      <c r="D264" s="411"/>
      <c r="E264" s="410"/>
      <c r="F264" s="410"/>
    </row>
    <row r="265" spans="1:6">
      <c r="A265" s="443"/>
      <c r="B265" s="411"/>
      <c r="C265" s="411"/>
      <c r="D265" s="411"/>
      <c r="E265" s="410"/>
      <c r="F265" s="410"/>
    </row>
    <row r="266" spans="1:6">
      <c r="A266" s="443"/>
      <c r="B266" s="411"/>
      <c r="C266" s="411"/>
      <c r="D266" s="411"/>
      <c r="E266" s="410"/>
      <c r="F266" s="410"/>
    </row>
    <row r="267" spans="1:6">
      <c r="A267" s="443"/>
      <c r="B267" s="411"/>
      <c r="C267" s="411"/>
      <c r="D267" s="411"/>
      <c r="E267" s="410"/>
      <c r="F267" s="410"/>
    </row>
    <row r="268" spans="1:6">
      <c r="A268" s="443"/>
      <c r="B268" s="411"/>
      <c r="C268" s="411"/>
      <c r="D268" s="411"/>
      <c r="E268" s="410"/>
      <c r="F268" s="410"/>
    </row>
    <row r="269" spans="1:6">
      <c r="A269" s="443"/>
      <c r="B269" s="411"/>
      <c r="C269" s="411"/>
      <c r="D269" s="411"/>
      <c r="E269" s="410"/>
      <c r="F269" s="410"/>
    </row>
    <row r="270" spans="1:6">
      <c r="A270" s="443"/>
      <c r="B270" s="411"/>
      <c r="C270" s="411"/>
      <c r="D270" s="411"/>
      <c r="E270" s="410"/>
      <c r="F270" s="410"/>
    </row>
    <row r="271" spans="1:6">
      <c r="A271" s="443"/>
      <c r="B271" s="411"/>
      <c r="C271" s="411"/>
      <c r="D271" s="411"/>
      <c r="E271" s="410"/>
      <c r="F271" s="410"/>
    </row>
    <row r="272" spans="1:6">
      <c r="A272" s="443"/>
      <c r="B272" s="411"/>
      <c r="C272" s="411"/>
      <c r="D272" s="411"/>
      <c r="E272" s="410"/>
      <c r="F272" s="410"/>
    </row>
    <row r="273" spans="1:6">
      <c r="A273" s="443"/>
      <c r="B273" s="411"/>
      <c r="C273" s="411"/>
      <c r="D273" s="411"/>
      <c r="E273" s="410"/>
      <c r="F273" s="410"/>
    </row>
    <row r="274" spans="1:6">
      <c r="A274" s="443"/>
      <c r="B274" s="411"/>
      <c r="C274" s="411"/>
      <c r="D274" s="411"/>
      <c r="E274" s="410"/>
      <c r="F274" s="410"/>
    </row>
    <row r="275" spans="1:6">
      <c r="A275" s="443"/>
      <c r="B275" s="411"/>
      <c r="C275" s="411"/>
      <c r="D275" s="411"/>
      <c r="E275" s="410"/>
      <c r="F275" s="410"/>
    </row>
    <row r="276" spans="1:6">
      <c r="A276" s="443"/>
      <c r="B276" s="411"/>
      <c r="C276" s="411"/>
      <c r="D276" s="411"/>
      <c r="E276" s="410"/>
      <c r="F276" s="410"/>
    </row>
    <row r="277" spans="1:6">
      <c r="A277" s="443"/>
      <c r="B277" s="411"/>
      <c r="C277" s="411"/>
      <c r="D277" s="411"/>
      <c r="E277" s="410"/>
      <c r="F277" s="410"/>
    </row>
    <row r="278" spans="1:6">
      <c r="A278" s="443"/>
      <c r="B278" s="411"/>
      <c r="C278" s="411"/>
      <c r="D278" s="411"/>
      <c r="E278" s="410"/>
      <c r="F278" s="410"/>
    </row>
    <row r="279" spans="1:6">
      <c r="A279" s="443"/>
      <c r="B279" s="411"/>
      <c r="C279" s="411"/>
      <c r="D279" s="411"/>
      <c r="E279" s="410"/>
      <c r="F279" s="410"/>
    </row>
    <row r="280" spans="1:6">
      <c r="A280" s="443"/>
      <c r="B280" s="411"/>
      <c r="C280" s="411"/>
      <c r="D280" s="411"/>
      <c r="E280" s="410"/>
      <c r="F280" s="410"/>
    </row>
    <row r="281" spans="1:6">
      <c r="A281" s="443"/>
      <c r="B281" s="411"/>
      <c r="C281" s="411"/>
      <c r="D281" s="411"/>
      <c r="E281" s="410"/>
      <c r="F281" s="410"/>
    </row>
    <row r="282" spans="1:6">
      <c r="A282" s="443"/>
      <c r="B282" s="411"/>
      <c r="C282" s="411"/>
      <c r="D282" s="411"/>
      <c r="E282" s="410"/>
      <c r="F282" s="410"/>
    </row>
    <row r="283" spans="1:6">
      <c r="A283" s="443"/>
      <c r="B283" s="411"/>
      <c r="C283" s="411"/>
      <c r="D283" s="411"/>
      <c r="E283" s="410"/>
      <c r="F283" s="410"/>
    </row>
    <row r="284" spans="1:6">
      <c r="A284" s="443"/>
      <c r="B284" s="411"/>
      <c r="C284" s="411"/>
      <c r="D284" s="411"/>
      <c r="E284" s="410"/>
      <c r="F284" s="410"/>
    </row>
    <row r="285" spans="1:6">
      <c r="A285" s="443"/>
      <c r="B285" s="411"/>
      <c r="C285" s="411"/>
      <c r="D285" s="411"/>
      <c r="E285" s="410"/>
      <c r="F285" s="410"/>
    </row>
    <row r="286" spans="1:6">
      <c r="A286" s="443"/>
      <c r="B286" s="411"/>
      <c r="C286" s="411"/>
      <c r="D286" s="411"/>
      <c r="E286" s="410"/>
      <c r="F286" s="410"/>
    </row>
    <row r="287" spans="1:6">
      <c r="A287" s="443"/>
      <c r="B287" s="411"/>
      <c r="C287" s="411"/>
      <c r="D287" s="411"/>
      <c r="E287" s="410"/>
      <c r="F287" s="410"/>
    </row>
    <row r="288" spans="1:6">
      <c r="A288" s="443"/>
      <c r="B288" s="411"/>
      <c r="C288" s="411"/>
      <c r="D288" s="411"/>
      <c r="E288" s="410"/>
      <c r="F288" s="410"/>
    </row>
    <row r="289" spans="1:6">
      <c r="A289" s="443"/>
      <c r="B289" s="411"/>
      <c r="C289" s="411"/>
      <c r="D289" s="411"/>
      <c r="E289" s="410"/>
      <c r="F289" s="410"/>
    </row>
    <row r="290" spans="1:6">
      <c r="A290" s="443"/>
      <c r="B290" s="411"/>
      <c r="C290" s="411"/>
      <c r="D290" s="411"/>
      <c r="E290" s="410"/>
      <c r="F290" s="410"/>
    </row>
    <row r="291" spans="1:6">
      <c r="A291" s="443"/>
      <c r="B291" s="411"/>
      <c r="C291" s="411"/>
      <c r="D291" s="411"/>
      <c r="E291" s="410"/>
      <c r="F291" s="410"/>
    </row>
    <row r="292" spans="1:6">
      <c r="A292" s="443"/>
      <c r="B292" s="411"/>
      <c r="C292" s="411"/>
      <c r="D292" s="411"/>
      <c r="E292" s="410"/>
      <c r="F292" s="410"/>
    </row>
    <row r="293" spans="1:6">
      <c r="A293" s="443"/>
      <c r="B293" s="411"/>
      <c r="C293" s="411"/>
      <c r="D293" s="411"/>
      <c r="E293" s="410"/>
      <c r="F293" s="410"/>
    </row>
    <row r="294" spans="1:6">
      <c r="A294" s="443"/>
      <c r="B294" s="411"/>
      <c r="C294" s="411"/>
      <c r="D294" s="411"/>
      <c r="E294" s="410"/>
      <c r="F294" s="410"/>
    </row>
    <row r="295" spans="1:6">
      <c r="A295" s="443"/>
      <c r="B295" s="411"/>
      <c r="C295" s="411"/>
      <c r="D295" s="411"/>
      <c r="E295" s="410"/>
      <c r="F295" s="410"/>
    </row>
    <row r="296" spans="1:6">
      <c r="A296" s="443"/>
      <c r="B296" s="411"/>
      <c r="C296" s="411"/>
      <c r="D296" s="411"/>
      <c r="E296" s="410"/>
      <c r="F296" s="410"/>
    </row>
    <row r="297" spans="1:6">
      <c r="A297" s="443"/>
      <c r="B297" s="411"/>
      <c r="C297" s="411"/>
      <c r="D297" s="411"/>
      <c r="E297" s="410"/>
      <c r="F297" s="410"/>
    </row>
    <row r="298" spans="1:6">
      <c r="A298" s="443"/>
      <c r="B298" s="411"/>
      <c r="C298" s="411"/>
      <c r="D298" s="411"/>
      <c r="E298" s="410"/>
      <c r="F298" s="410"/>
    </row>
    <row r="299" spans="1:6">
      <c r="A299" s="443"/>
      <c r="B299" s="411"/>
      <c r="C299" s="411"/>
      <c r="D299" s="411"/>
      <c r="E299" s="410"/>
      <c r="F299" s="410"/>
    </row>
    <row r="300" spans="1:6">
      <c r="A300" s="443"/>
      <c r="B300" s="411"/>
      <c r="C300" s="411"/>
      <c r="D300" s="411"/>
      <c r="E300" s="410"/>
      <c r="F300" s="410"/>
    </row>
    <row r="301" spans="1:6">
      <c r="A301" s="443"/>
      <c r="B301" s="411"/>
      <c r="C301" s="411"/>
      <c r="D301" s="411"/>
      <c r="E301" s="410"/>
      <c r="F301" s="410"/>
    </row>
    <row r="302" spans="1:6">
      <c r="A302" s="443"/>
      <c r="B302" s="411"/>
      <c r="C302" s="411"/>
      <c r="D302" s="411"/>
      <c r="E302" s="410"/>
      <c r="F302" s="410"/>
    </row>
    <row r="303" spans="1:6">
      <c r="A303" s="443"/>
      <c r="B303" s="411"/>
      <c r="C303" s="411"/>
      <c r="D303" s="411"/>
      <c r="E303" s="410"/>
      <c r="F303" s="410"/>
    </row>
    <row r="304" spans="1:6">
      <c r="A304" s="443"/>
      <c r="B304" s="411"/>
      <c r="C304" s="411"/>
      <c r="D304" s="411"/>
      <c r="E304" s="410"/>
      <c r="F304" s="410"/>
    </row>
    <row r="305" spans="1:6">
      <c r="A305" s="443"/>
      <c r="B305" s="411"/>
      <c r="C305" s="411"/>
      <c r="D305" s="411"/>
      <c r="E305" s="410"/>
      <c r="F305" s="410"/>
    </row>
    <row r="306" spans="1:6">
      <c r="A306" s="443"/>
      <c r="B306" s="411"/>
      <c r="C306" s="411"/>
      <c r="D306" s="411"/>
      <c r="E306" s="410"/>
      <c r="F306" s="410"/>
    </row>
    <row r="307" spans="1:6">
      <c r="A307" s="443"/>
      <c r="B307" s="411"/>
      <c r="C307" s="411"/>
      <c r="D307" s="411"/>
      <c r="E307" s="410"/>
      <c r="F307" s="410"/>
    </row>
    <row r="308" spans="1:6">
      <c r="A308" s="443"/>
      <c r="B308" s="411"/>
      <c r="C308" s="411"/>
      <c r="D308" s="411"/>
      <c r="E308" s="410"/>
      <c r="F308" s="410"/>
    </row>
    <row r="309" spans="1:6">
      <c r="A309" s="443"/>
      <c r="B309" s="411"/>
      <c r="C309" s="411"/>
      <c r="D309" s="411"/>
      <c r="E309" s="410"/>
      <c r="F309" s="410"/>
    </row>
    <row r="310" spans="1:6">
      <c r="A310" s="443"/>
      <c r="B310" s="411"/>
      <c r="C310" s="411"/>
      <c r="D310" s="411"/>
      <c r="E310" s="410"/>
      <c r="F310" s="410"/>
    </row>
    <row r="311" spans="1:6">
      <c r="A311" s="443"/>
      <c r="B311" s="411"/>
      <c r="C311" s="411"/>
      <c r="D311" s="411"/>
      <c r="E311" s="410"/>
      <c r="F311" s="410"/>
    </row>
    <row r="312" spans="1:6">
      <c r="A312" s="443"/>
      <c r="B312" s="411"/>
      <c r="C312" s="411"/>
      <c r="D312" s="411"/>
      <c r="E312" s="410"/>
      <c r="F312" s="410"/>
    </row>
    <row r="313" spans="1:6">
      <c r="A313" s="443"/>
      <c r="B313" s="411"/>
      <c r="C313" s="411"/>
      <c r="D313" s="411"/>
      <c r="E313" s="410"/>
      <c r="F313" s="410"/>
    </row>
    <row r="314" spans="1:6">
      <c r="A314" s="443"/>
      <c r="B314" s="411"/>
      <c r="C314" s="411"/>
      <c r="D314" s="411"/>
      <c r="E314" s="410"/>
      <c r="F314" s="410"/>
    </row>
    <row r="315" spans="1:6">
      <c r="A315" s="443"/>
      <c r="B315" s="411"/>
      <c r="C315" s="411"/>
      <c r="D315" s="411"/>
      <c r="E315" s="410"/>
      <c r="F315" s="410"/>
    </row>
    <row r="316" spans="1:6">
      <c r="A316" s="443"/>
      <c r="B316" s="411"/>
      <c r="C316" s="411"/>
      <c r="D316" s="411"/>
      <c r="E316" s="410"/>
      <c r="F316" s="410"/>
    </row>
    <row r="317" spans="1:6">
      <c r="A317" s="443"/>
      <c r="B317" s="411"/>
      <c r="C317" s="411"/>
      <c r="D317" s="411"/>
      <c r="E317" s="410"/>
      <c r="F317" s="410"/>
    </row>
    <row r="318" spans="1:6">
      <c r="A318" s="443"/>
      <c r="B318" s="411"/>
      <c r="C318" s="411"/>
      <c r="D318" s="411"/>
      <c r="E318" s="410"/>
      <c r="F318" s="410"/>
    </row>
    <row r="319" spans="1:6">
      <c r="A319" s="443"/>
      <c r="B319" s="411"/>
      <c r="C319" s="411"/>
      <c r="D319" s="411"/>
      <c r="E319" s="410"/>
      <c r="F319" s="410"/>
    </row>
    <row r="320" spans="1:6">
      <c r="A320" s="443"/>
      <c r="B320" s="411"/>
      <c r="C320" s="411"/>
      <c r="D320" s="411"/>
      <c r="E320" s="410"/>
      <c r="F320" s="410"/>
    </row>
    <row r="321" spans="1:6">
      <c r="A321" s="443"/>
      <c r="B321" s="411"/>
      <c r="C321" s="411"/>
      <c r="D321" s="411"/>
      <c r="E321" s="410"/>
      <c r="F321" s="410"/>
    </row>
    <row r="322" spans="1:6">
      <c r="A322" s="443"/>
      <c r="B322" s="411"/>
      <c r="C322" s="411"/>
      <c r="D322" s="411"/>
      <c r="E322" s="410"/>
      <c r="F322" s="410"/>
    </row>
    <row r="323" spans="1:6">
      <c r="A323" s="443"/>
      <c r="B323" s="411"/>
      <c r="C323" s="411"/>
      <c r="D323" s="411"/>
      <c r="E323" s="410"/>
      <c r="F323" s="410"/>
    </row>
    <row r="324" spans="1:6">
      <c r="A324" s="443"/>
      <c r="B324" s="411"/>
      <c r="C324" s="411"/>
      <c r="D324" s="411"/>
      <c r="E324" s="410"/>
      <c r="F324" s="410"/>
    </row>
    <row r="325" spans="1:6">
      <c r="A325" s="443"/>
      <c r="B325" s="411"/>
      <c r="C325" s="411"/>
      <c r="D325" s="411"/>
      <c r="E325" s="410"/>
      <c r="F325" s="410"/>
    </row>
    <row r="326" spans="1:6">
      <c r="A326" s="443"/>
      <c r="B326" s="411"/>
      <c r="C326" s="411"/>
      <c r="D326" s="411"/>
      <c r="E326" s="410"/>
      <c r="F326" s="410"/>
    </row>
    <row r="327" spans="1:6">
      <c r="A327" s="443"/>
      <c r="B327" s="411"/>
      <c r="C327" s="411"/>
      <c r="D327" s="411"/>
      <c r="E327" s="410"/>
      <c r="F327" s="410"/>
    </row>
    <row r="328" spans="1:6">
      <c r="A328" s="443"/>
      <c r="B328" s="411"/>
      <c r="C328" s="411"/>
      <c r="D328" s="411"/>
      <c r="E328" s="410"/>
      <c r="F328" s="410"/>
    </row>
    <row r="329" spans="1:6">
      <c r="A329" s="443"/>
      <c r="B329" s="411"/>
      <c r="C329" s="411"/>
      <c r="D329" s="411"/>
      <c r="E329" s="410"/>
      <c r="F329" s="410"/>
    </row>
    <row r="330" spans="1:6">
      <c r="A330" s="443"/>
      <c r="B330" s="411"/>
      <c r="C330" s="411"/>
      <c r="D330" s="411"/>
      <c r="E330" s="410"/>
      <c r="F330" s="410"/>
    </row>
    <row r="331" spans="1:6">
      <c r="A331" s="443"/>
      <c r="B331" s="411"/>
      <c r="C331" s="411"/>
      <c r="D331" s="411"/>
      <c r="E331" s="410"/>
      <c r="F331" s="410"/>
    </row>
    <row r="332" spans="1:6">
      <c r="A332" s="443"/>
      <c r="B332" s="411"/>
      <c r="C332" s="411"/>
      <c r="D332" s="411"/>
      <c r="E332" s="410"/>
      <c r="F332" s="410"/>
    </row>
    <row r="333" spans="1:6">
      <c r="A333" s="443"/>
      <c r="B333" s="411"/>
      <c r="C333" s="411"/>
      <c r="D333" s="411"/>
      <c r="E333" s="410"/>
      <c r="F333" s="410"/>
    </row>
    <row r="334" spans="1:6">
      <c r="A334" s="443"/>
      <c r="B334" s="411"/>
      <c r="C334" s="411"/>
      <c r="D334" s="411"/>
      <c r="E334" s="410"/>
      <c r="F334" s="410"/>
    </row>
    <row r="335" spans="1:6">
      <c r="A335" s="443"/>
      <c r="B335" s="411"/>
      <c r="C335" s="411"/>
      <c r="D335" s="411"/>
      <c r="E335" s="410"/>
      <c r="F335" s="410"/>
    </row>
    <row r="336" spans="1:6">
      <c r="A336" s="443"/>
      <c r="B336" s="411"/>
      <c r="C336" s="411"/>
      <c r="D336" s="411"/>
      <c r="E336" s="410"/>
      <c r="F336" s="410"/>
    </row>
    <row r="337" spans="1:6">
      <c r="A337" s="443"/>
      <c r="B337" s="411"/>
      <c r="C337" s="411"/>
      <c r="D337" s="411"/>
      <c r="E337" s="410"/>
      <c r="F337" s="410"/>
    </row>
    <row r="338" spans="1:6">
      <c r="A338" s="443"/>
      <c r="B338" s="411"/>
      <c r="C338" s="411"/>
      <c r="D338" s="411"/>
      <c r="E338" s="410"/>
      <c r="F338" s="410"/>
    </row>
    <row r="339" spans="1:6">
      <c r="A339" s="443"/>
      <c r="B339" s="411"/>
      <c r="C339" s="411"/>
      <c r="D339" s="411"/>
      <c r="E339" s="410"/>
      <c r="F339" s="410"/>
    </row>
    <row r="340" spans="1:6">
      <c r="A340" s="443"/>
      <c r="B340" s="411"/>
      <c r="C340" s="411"/>
      <c r="D340" s="411"/>
      <c r="E340" s="410"/>
      <c r="F340" s="410"/>
    </row>
    <row r="341" spans="1:6">
      <c r="A341" s="443"/>
      <c r="B341" s="411"/>
      <c r="C341" s="411"/>
      <c r="D341" s="411"/>
      <c r="E341" s="410"/>
      <c r="F341" s="410"/>
    </row>
    <row r="342" spans="1:6">
      <c r="A342" s="443"/>
      <c r="B342" s="411"/>
      <c r="C342" s="411"/>
      <c r="D342" s="411"/>
      <c r="E342" s="410"/>
      <c r="F342" s="410"/>
    </row>
    <row r="343" spans="1:6">
      <c r="A343" s="443"/>
      <c r="B343" s="411"/>
      <c r="C343" s="411"/>
      <c r="D343" s="411"/>
      <c r="E343" s="410"/>
      <c r="F343" s="410"/>
    </row>
    <row r="344" spans="1:6">
      <c r="A344" s="443"/>
      <c r="B344" s="411"/>
      <c r="C344" s="411"/>
      <c r="D344" s="411"/>
      <c r="E344" s="410"/>
      <c r="F344" s="410"/>
    </row>
    <row r="345" spans="1:6">
      <c r="A345" s="443"/>
      <c r="B345" s="411"/>
      <c r="C345" s="411"/>
      <c r="D345" s="411"/>
      <c r="E345" s="410"/>
      <c r="F345" s="410"/>
    </row>
    <row r="346" spans="1:6">
      <c r="A346" s="443"/>
      <c r="B346" s="411"/>
      <c r="C346" s="411"/>
      <c r="D346" s="411"/>
      <c r="E346" s="410"/>
      <c r="F346" s="410"/>
    </row>
    <row r="347" spans="1:6">
      <c r="A347" s="443"/>
      <c r="B347" s="411"/>
      <c r="C347" s="411"/>
      <c r="D347" s="411"/>
      <c r="E347" s="410"/>
      <c r="F347" s="410"/>
    </row>
    <row r="348" spans="1:6">
      <c r="A348" s="443"/>
      <c r="B348" s="411"/>
      <c r="C348" s="411"/>
      <c r="D348" s="411"/>
      <c r="E348" s="410"/>
      <c r="F348" s="410"/>
    </row>
    <row r="349" spans="1:6">
      <c r="A349" s="443"/>
      <c r="B349" s="411"/>
      <c r="C349" s="411"/>
      <c r="D349" s="411"/>
      <c r="E349" s="410"/>
      <c r="F349" s="410"/>
    </row>
    <row r="350" spans="1:6">
      <c r="A350" s="443"/>
      <c r="B350" s="411"/>
      <c r="C350" s="411"/>
      <c r="D350" s="411"/>
      <c r="E350" s="410"/>
      <c r="F350" s="410"/>
    </row>
    <row r="351" spans="1:6">
      <c r="A351" s="443"/>
      <c r="B351" s="411"/>
      <c r="C351" s="411"/>
      <c r="D351" s="411"/>
      <c r="E351" s="410"/>
      <c r="F351" s="410"/>
    </row>
    <row r="352" spans="1:6">
      <c r="A352" s="443"/>
      <c r="B352" s="411"/>
      <c r="C352" s="411"/>
      <c r="D352" s="411"/>
      <c r="E352" s="410"/>
      <c r="F352" s="410"/>
    </row>
    <row r="353" spans="1:6">
      <c r="A353" s="443"/>
      <c r="B353" s="411"/>
      <c r="C353" s="411"/>
      <c r="D353" s="411"/>
      <c r="E353" s="410"/>
      <c r="F353" s="410"/>
    </row>
    <row r="354" spans="1:6">
      <c r="A354" s="443"/>
      <c r="B354" s="411"/>
      <c r="C354" s="411"/>
      <c r="D354" s="411"/>
      <c r="E354" s="410"/>
      <c r="F354" s="410"/>
    </row>
    <row r="355" spans="1:6">
      <c r="A355" s="443"/>
      <c r="B355" s="411"/>
      <c r="C355" s="411"/>
      <c r="D355" s="411"/>
      <c r="E355" s="410"/>
      <c r="F355" s="410"/>
    </row>
    <row r="356" spans="1:6">
      <c r="A356" s="443"/>
      <c r="B356" s="411"/>
      <c r="C356" s="411"/>
      <c r="D356" s="411"/>
      <c r="E356" s="410"/>
      <c r="F356" s="410"/>
    </row>
    <row r="357" spans="1:6">
      <c r="A357" s="443"/>
      <c r="B357" s="411"/>
      <c r="C357" s="411"/>
      <c r="D357" s="411"/>
      <c r="E357" s="410"/>
      <c r="F357" s="410"/>
    </row>
    <row r="358" spans="1:6">
      <c r="A358" s="443"/>
      <c r="B358" s="411"/>
      <c r="C358" s="411"/>
      <c r="D358" s="411"/>
      <c r="E358" s="410"/>
      <c r="F358" s="410"/>
    </row>
    <row r="359" spans="1:6">
      <c r="A359" s="443"/>
      <c r="B359" s="411"/>
      <c r="C359" s="411"/>
      <c r="D359" s="411"/>
      <c r="E359" s="410"/>
      <c r="F359" s="410"/>
    </row>
    <row r="360" spans="1:6">
      <c r="A360" s="443"/>
      <c r="B360" s="411"/>
      <c r="C360" s="411"/>
      <c r="D360" s="411"/>
      <c r="E360" s="410"/>
      <c r="F360" s="410"/>
    </row>
    <row r="361" spans="1:6">
      <c r="A361" s="443"/>
      <c r="B361" s="411"/>
      <c r="C361" s="411"/>
      <c r="D361" s="411"/>
      <c r="E361" s="410"/>
      <c r="F361" s="410"/>
    </row>
    <row r="362" spans="1:6">
      <c r="A362" s="443"/>
      <c r="B362" s="411"/>
      <c r="C362" s="411"/>
      <c r="D362" s="411"/>
      <c r="E362" s="410"/>
      <c r="F362" s="410"/>
    </row>
    <row r="363" spans="1:6">
      <c r="A363" s="443"/>
      <c r="B363" s="411"/>
      <c r="C363" s="411"/>
      <c r="D363" s="411"/>
      <c r="E363" s="410"/>
      <c r="F363" s="410"/>
    </row>
    <row r="364" spans="1:6">
      <c r="A364" s="443"/>
      <c r="B364" s="411"/>
      <c r="C364" s="411"/>
      <c r="D364" s="411"/>
      <c r="E364" s="410"/>
      <c r="F364" s="410"/>
    </row>
    <row r="365" spans="1:6">
      <c r="A365" s="443"/>
      <c r="B365" s="411"/>
      <c r="C365" s="411"/>
      <c r="D365" s="411"/>
      <c r="E365" s="410"/>
      <c r="F365" s="410"/>
    </row>
    <row r="366" spans="1:6">
      <c r="A366" s="443"/>
      <c r="B366" s="411"/>
      <c r="C366" s="411"/>
      <c r="D366" s="411"/>
      <c r="E366" s="410"/>
      <c r="F366" s="410"/>
    </row>
    <row r="367" spans="1:6">
      <c r="A367" s="443"/>
      <c r="B367" s="411"/>
      <c r="C367" s="411"/>
      <c r="D367" s="411"/>
      <c r="E367" s="410"/>
      <c r="F367" s="410"/>
    </row>
    <row r="368" spans="1:6">
      <c r="A368" s="443"/>
      <c r="B368" s="411"/>
      <c r="C368" s="411"/>
      <c r="D368" s="411"/>
      <c r="E368" s="410"/>
      <c r="F368" s="410"/>
    </row>
    <row r="369" spans="1:6">
      <c r="A369" s="443"/>
      <c r="B369" s="411"/>
      <c r="C369" s="411"/>
      <c r="D369" s="411"/>
      <c r="E369" s="410"/>
      <c r="F369" s="410"/>
    </row>
    <row r="370" spans="1:6">
      <c r="A370" s="443"/>
      <c r="B370" s="411"/>
      <c r="C370" s="411"/>
      <c r="D370" s="411"/>
      <c r="E370" s="410"/>
      <c r="F370" s="410"/>
    </row>
    <row r="371" spans="1:6">
      <c r="A371" s="443"/>
      <c r="B371" s="411"/>
      <c r="C371" s="411"/>
      <c r="D371" s="411"/>
      <c r="E371" s="410"/>
      <c r="F371" s="410"/>
    </row>
    <row r="372" spans="1:6">
      <c r="A372" s="443"/>
      <c r="B372" s="411"/>
      <c r="C372" s="411"/>
      <c r="D372" s="411"/>
      <c r="E372" s="410"/>
      <c r="F372" s="410"/>
    </row>
    <row r="373" spans="1:6">
      <c r="A373" s="443"/>
      <c r="B373" s="411"/>
      <c r="C373" s="411"/>
      <c r="D373" s="411"/>
      <c r="E373" s="410"/>
      <c r="F373" s="410"/>
    </row>
    <row r="374" spans="1:6">
      <c r="A374" s="443"/>
      <c r="B374" s="411"/>
      <c r="C374" s="411"/>
      <c r="D374" s="411"/>
      <c r="E374" s="410"/>
      <c r="F374" s="410"/>
    </row>
    <row r="375" spans="1:6">
      <c r="A375" s="443"/>
      <c r="B375" s="411"/>
      <c r="C375" s="411"/>
      <c r="D375" s="411"/>
      <c r="E375" s="410"/>
      <c r="F375" s="410"/>
    </row>
    <row r="376" spans="1:6">
      <c r="A376" s="443"/>
      <c r="B376" s="411"/>
      <c r="C376" s="411"/>
      <c r="D376" s="411"/>
      <c r="E376" s="410"/>
      <c r="F376" s="410"/>
    </row>
    <row r="377" spans="1:6">
      <c r="A377" s="443"/>
      <c r="B377" s="411"/>
      <c r="C377" s="411"/>
      <c r="D377" s="411"/>
      <c r="E377" s="410"/>
      <c r="F377" s="410"/>
    </row>
    <row r="378" spans="1:6">
      <c r="A378" s="443"/>
      <c r="B378" s="411"/>
      <c r="C378" s="411"/>
      <c r="D378" s="411"/>
      <c r="E378" s="410"/>
      <c r="F378" s="410"/>
    </row>
    <row r="379" spans="1:6">
      <c r="A379" s="443"/>
      <c r="B379" s="411"/>
      <c r="C379" s="411"/>
      <c r="D379" s="411"/>
      <c r="E379" s="410"/>
      <c r="F379" s="410"/>
    </row>
    <row r="380" spans="1:6">
      <c r="A380" s="443"/>
      <c r="B380" s="411"/>
      <c r="C380" s="411"/>
      <c r="D380" s="411"/>
      <c r="E380" s="410"/>
      <c r="F380" s="410"/>
    </row>
    <row r="381" spans="1:6">
      <c r="A381" s="443"/>
      <c r="B381" s="411"/>
      <c r="C381" s="411"/>
      <c r="D381" s="411"/>
      <c r="E381" s="410"/>
      <c r="F381" s="410"/>
    </row>
    <row r="382" spans="1:6">
      <c r="A382" s="443"/>
      <c r="B382" s="411"/>
      <c r="C382" s="411"/>
      <c r="D382" s="411"/>
      <c r="E382" s="410"/>
      <c r="F382" s="410"/>
    </row>
    <row r="383" spans="1:6">
      <c r="A383" s="443"/>
      <c r="B383" s="411"/>
      <c r="C383" s="411"/>
      <c r="D383" s="411"/>
      <c r="E383" s="410"/>
      <c r="F383" s="410"/>
    </row>
    <row r="384" spans="1:6">
      <c r="A384" s="443"/>
      <c r="B384" s="411"/>
      <c r="C384" s="411"/>
      <c r="D384" s="411"/>
      <c r="E384" s="410"/>
      <c r="F384" s="410"/>
    </row>
    <row r="385" spans="1:6">
      <c r="A385" s="443"/>
      <c r="B385" s="411"/>
      <c r="C385" s="411"/>
      <c r="D385" s="411"/>
      <c r="E385" s="410"/>
      <c r="F385" s="410"/>
    </row>
    <row r="386" spans="1:6">
      <c r="A386" s="443"/>
      <c r="B386" s="411"/>
      <c r="C386" s="411"/>
      <c r="D386" s="411"/>
      <c r="E386" s="410"/>
      <c r="F386" s="410"/>
    </row>
    <row r="387" spans="1:6">
      <c r="A387" s="443"/>
      <c r="B387" s="411"/>
      <c r="C387" s="411"/>
      <c r="D387" s="411"/>
      <c r="E387" s="410"/>
      <c r="F387" s="410"/>
    </row>
    <row r="388" spans="1:6">
      <c r="A388" s="443"/>
      <c r="B388" s="411"/>
      <c r="C388" s="411"/>
      <c r="D388" s="411"/>
      <c r="E388" s="410"/>
      <c r="F388" s="410"/>
    </row>
    <row r="389" spans="1:6">
      <c r="A389" s="443"/>
      <c r="B389" s="411"/>
      <c r="C389" s="411"/>
      <c r="D389" s="411"/>
      <c r="E389" s="410"/>
      <c r="F389" s="410"/>
    </row>
    <row r="390" spans="1:6">
      <c r="A390" s="443"/>
      <c r="B390" s="411"/>
      <c r="C390" s="411"/>
      <c r="D390" s="411"/>
      <c r="E390" s="410"/>
      <c r="F390" s="410"/>
    </row>
    <row r="391" spans="1:6">
      <c r="A391" s="443"/>
      <c r="B391" s="411"/>
      <c r="C391" s="411"/>
      <c r="D391" s="411"/>
      <c r="E391" s="410"/>
      <c r="F391" s="410"/>
    </row>
    <row r="392" spans="1:6">
      <c r="A392" s="443"/>
      <c r="B392" s="411"/>
      <c r="C392" s="411"/>
      <c r="D392" s="411"/>
      <c r="E392" s="410"/>
      <c r="F392" s="410"/>
    </row>
    <row r="393" spans="1:6">
      <c r="A393" s="443"/>
      <c r="B393" s="411"/>
      <c r="C393" s="411"/>
      <c r="D393" s="411"/>
      <c r="E393" s="410"/>
      <c r="F393" s="410"/>
    </row>
    <row r="394" spans="1:6">
      <c r="A394" s="443"/>
      <c r="B394" s="411"/>
      <c r="C394" s="411"/>
      <c r="D394" s="411"/>
      <c r="E394" s="410"/>
      <c r="F394" s="410"/>
    </row>
    <row r="395" spans="1:6">
      <c r="A395" s="443"/>
      <c r="B395" s="411"/>
      <c r="C395" s="411"/>
      <c r="D395" s="411"/>
      <c r="E395" s="410"/>
      <c r="F395" s="410"/>
    </row>
    <row r="396" spans="1:6">
      <c r="A396" s="443"/>
      <c r="B396" s="411"/>
      <c r="C396" s="411"/>
      <c r="D396" s="411"/>
      <c r="E396" s="410"/>
      <c r="F396" s="410"/>
    </row>
    <row r="397" spans="1:6">
      <c r="A397" s="443"/>
      <c r="B397" s="411"/>
      <c r="C397" s="411"/>
      <c r="D397" s="411"/>
      <c r="E397" s="410"/>
      <c r="F397" s="410"/>
    </row>
    <row r="398" spans="1:6">
      <c r="A398" s="443"/>
      <c r="B398" s="411"/>
      <c r="C398" s="411"/>
      <c r="D398" s="411"/>
      <c r="E398" s="410"/>
      <c r="F398" s="410"/>
    </row>
    <row r="399" spans="1:6">
      <c r="A399" s="443"/>
      <c r="B399" s="411"/>
      <c r="C399" s="411"/>
      <c r="D399" s="411"/>
      <c r="E399" s="410"/>
      <c r="F399" s="410"/>
    </row>
    <row r="400" spans="1:6">
      <c r="A400" s="443"/>
      <c r="B400" s="411"/>
      <c r="C400" s="411"/>
      <c r="D400" s="411"/>
      <c r="E400" s="410"/>
      <c r="F400" s="410"/>
    </row>
    <row r="401" spans="1:6">
      <c r="A401" s="443"/>
      <c r="B401" s="411"/>
      <c r="C401" s="411"/>
      <c r="D401" s="411"/>
      <c r="E401" s="410"/>
      <c r="F401" s="410"/>
    </row>
    <row r="402" spans="1:6">
      <c r="A402" s="443"/>
      <c r="B402" s="411"/>
      <c r="C402" s="411"/>
      <c r="D402" s="411"/>
      <c r="E402" s="410"/>
      <c r="F402" s="410"/>
    </row>
    <row r="403" spans="1:6">
      <c r="A403" s="443"/>
      <c r="B403" s="411"/>
      <c r="C403" s="411"/>
      <c r="D403" s="411"/>
      <c r="E403" s="410"/>
      <c r="F403" s="410"/>
    </row>
    <row r="404" spans="1:6">
      <c r="A404" s="443"/>
      <c r="B404" s="411"/>
      <c r="C404" s="411"/>
      <c r="D404" s="411"/>
      <c r="E404" s="410"/>
      <c r="F404" s="410"/>
    </row>
    <row r="405" spans="1:6">
      <c r="A405" s="443"/>
      <c r="B405" s="411"/>
      <c r="C405" s="411"/>
      <c r="D405" s="411"/>
      <c r="E405" s="410"/>
      <c r="F405" s="410"/>
    </row>
    <row r="406" spans="1:6">
      <c r="A406" s="443"/>
      <c r="B406" s="411"/>
      <c r="C406" s="411"/>
      <c r="D406" s="411"/>
      <c r="E406" s="410"/>
      <c r="F406" s="410"/>
    </row>
    <row r="407" spans="1:6">
      <c r="A407" s="443"/>
      <c r="B407" s="411"/>
      <c r="C407" s="411"/>
      <c r="D407" s="411"/>
      <c r="E407" s="410"/>
      <c r="F407" s="410"/>
    </row>
    <row r="408" spans="1:6">
      <c r="A408" s="443"/>
      <c r="B408" s="411"/>
      <c r="C408" s="411"/>
      <c r="D408" s="411"/>
      <c r="E408" s="410"/>
      <c r="F408" s="410"/>
    </row>
    <row r="409" spans="1:6">
      <c r="A409" s="443"/>
      <c r="B409" s="411"/>
      <c r="C409" s="411"/>
      <c r="D409" s="411"/>
      <c r="E409" s="410"/>
      <c r="F409" s="410"/>
    </row>
    <row r="410" spans="1:6">
      <c r="A410" s="443"/>
      <c r="B410" s="411"/>
      <c r="C410" s="411"/>
      <c r="D410" s="411"/>
      <c r="E410" s="410"/>
      <c r="F410" s="410"/>
    </row>
    <row r="411" spans="1:6">
      <c r="A411" s="443"/>
      <c r="B411" s="411"/>
      <c r="C411" s="411"/>
      <c r="D411" s="411"/>
      <c r="E411" s="410"/>
      <c r="F411" s="410"/>
    </row>
    <row r="412" spans="1:6">
      <c r="A412" s="443"/>
      <c r="B412" s="411"/>
      <c r="C412" s="411"/>
      <c r="D412" s="411"/>
      <c r="E412" s="410"/>
      <c r="F412" s="410"/>
    </row>
    <row r="413" spans="1:6">
      <c r="A413" s="443"/>
      <c r="B413" s="411"/>
      <c r="C413" s="411"/>
      <c r="D413" s="411"/>
      <c r="E413" s="410"/>
      <c r="F413" s="410"/>
    </row>
    <row r="414" spans="1:6">
      <c r="A414" s="443"/>
      <c r="B414" s="411"/>
      <c r="C414" s="411"/>
      <c r="D414" s="411"/>
      <c r="E414" s="410"/>
      <c r="F414" s="410"/>
    </row>
    <row r="415" spans="1:6">
      <c r="A415" s="443"/>
      <c r="B415" s="411"/>
      <c r="C415" s="411"/>
      <c r="D415" s="411"/>
      <c r="E415" s="410"/>
      <c r="F415" s="410"/>
    </row>
    <row r="416" spans="1:6">
      <c r="A416" s="443"/>
      <c r="B416" s="411"/>
      <c r="C416" s="411"/>
      <c r="D416" s="411"/>
      <c r="E416" s="410"/>
      <c r="F416" s="410"/>
    </row>
    <row r="417" spans="1:6">
      <c r="A417" s="443"/>
      <c r="B417" s="411"/>
      <c r="C417" s="411"/>
      <c r="D417" s="411"/>
      <c r="E417" s="410"/>
      <c r="F417" s="410"/>
    </row>
    <row r="418" spans="1:6">
      <c r="A418" s="443"/>
      <c r="B418" s="411"/>
      <c r="C418" s="411"/>
      <c r="D418" s="411"/>
      <c r="E418" s="410"/>
      <c r="F418" s="410"/>
    </row>
    <row r="419" spans="1:6">
      <c r="A419" s="443"/>
      <c r="B419" s="411"/>
      <c r="C419" s="411"/>
      <c r="D419" s="411"/>
      <c r="E419" s="410"/>
      <c r="F419" s="410"/>
    </row>
    <row r="420" spans="1:6">
      <c r="A420" s="443"/>
      <c r="B420" s="411"/>
      <c r="C420" s="411"/>
      <c r="D420" s="411"/>
      <c r="E420" s="410"/>
      <c r="F420" s="410"/>
    </row>
    <row r="421" spans="1:6">
      <c r="A421" s="443"/>
      <c r="B421" s="411"/>
      <c r="C421" s="411"/>
      <c r="D421" s="411"/>
      <c r="E421" s="410"/>
      <c r="F421" s="410"/>
    </row>
    <row r="422" spans="1:6">
      <c r="A422" s="443"/>
      <c r="B422" s="411"/>
      <c r="C422" s="411"/>
      <c r="D422" s="411"/>
      <c r="E422" s="410"/>
      <c r="F422" s="410"/>
    </row>
    <row r="423" spans="1:6">
      <c r="A423" s="443"/>
      <c r="B423" s="411"/>
      <c r="C423" s="411"/>
      <c r="D423" s="411"/>
      <c r="E423" s="410"/>
      <c r="F423" s="410"/>
    </row>
    <row r="424" spans="1:6">
      <c r="A424" s="443"/>
      <c r="B424" s="411"/>
      <c r="C424" s="411"/>
      <c r="D424" s="411"/>
      <c r="E424" s="410"/>
      <c r="F424" s="410"/>
    </row>
    <row r="425" spans="1:6">
      <c r="A425" s="443"/>
      <c r="B425" s="411"/>
      <c r="C425" s="411"/>
      <c r="D425" s="411"/>
      <c r="E425" s="410"/>
      <c r="F425" s="410"/>
    </row>
    <row r="426" spans="1:6">
      <c r="A426" s="443"/>
      <c r="B426" s="411"/>
      <c r="C426" s="411"/>
      <c r="D426" s="411"/>
      <c r="E426" s="410"/>
      <c r="F426" s="410"/>
    </row>
    <row r="427" spans="1:6">
      <c r="A427" s="443"/>
      <c r="B427" s="411"/>
      <c r="C427" s="411"/>
      <c r="D427" s="411"/>
      <c r="E427" s="410"/>
      <c r="F427" s="410"/>
    </row>
    <row r="428" spans="1:6">
      <c r="A428" s="443"/>
      <c r="B428" s="411"/>
      <c r="C428" s="411"/>
      <c r="D428" s="411"/>
      <c r="E428" s="410"/>
      <c r="F428" s="410"/>
    </row>
    <row r="429" spans="1:6">
      <c r="A429" s="443"/>
      <c r="B429" s="411"/>
      <c r="C429" s="411"/>
      <c r="D429" s="411"/>
      <c r="E429" s="410"/>
      <c r="F429" s="410"/>
    </row>
    <row r="430" spans="1:6">
      <c r="A430" s="443"/>
      <c r="B430" s="411"/>
      <c r="C430" s="411"/>
      <c r="D430" s="411"/>
      <c r="E430" s="410"/>
      <c r="F430" s="410"/>
    </row>
    <row r="431" spans="1:6">
      <c r="A431" s="443"/>
      <c r="B431" s="411"/>
      <c r="C431" s="411"/>
      <c r="D431" s="411"/>
      <c r="E431" s="410"/>
      <c r="F431" s="410"/>
    </row>
    <row r="432" spans="1:6">
      <c r="A432" s="443"/>
      <c r="B432" s="411"/>
      <c r="C432" s="411"/>
      <c r="D432" s="411"/>
      <c r="E432" s="410"/>
      <c r="F432" s="410"/>
    </row>
    <row r="433" spans="1:6">
      <c r="A433" s="443"/>
      <c r="B433" s="411"/>
      <c r="C433" s="411"/>
      <c r="D433" s="411"/>
      <c r="E433" s="410"/>
      <c r="F433" s="410"/>
    </row>
    <row r="434" spans="1:6">
      <c r="A434" s="443"/>
      <c r="B434" s="411"/>
      <c r="C434" s="411"/>
      <c r="D434" s="411"/>
      <c r="E434" s="410"/>
      <c r="F434" s="410"/>
    </row>
    <row r="435" spans="1:6">
      <c r="A435" s="443"/>
      <c r="B435" s="411"/>
      <c r="C435" s="411"/>
      <c r="D435" s="411"/>
      <c r="E435" s="410"/>
      <c r="F435" s="410"/>
    </row>
    <row r="436" spans="1:6">
      <c r="A436" s="443"/>
      <c r="B436" s="411"/>
      <c r="C436" s="411"/>
      <c r="D436" s="411"/>
      <c r="E436" s="410"/>
      <c r="F436" s="410"/>
    </row>
    <row r="437" spans="1:6">
      <c r="A437" s="443"/>
      <c r="B437" s="411"/>
      <c r="C437" s="411"/>
      <c r="D437" s="411"/>
      <c r="E437" s="410"/>
      <c r="F437" s="410"/>
    </row>
    <row r="438" spans="1:6">
      <c r="A438" s="443"/>
      <c r="B438" s="411"/>
      <c r="C438" s="411"/>
      <c r="D438" s="411"/>
      <c r="E438" s="410"/>
      <c r="F438" s="410"/>
    </row>
    <row r="439" spans="1:6">
      <c r="A439" s="443"/>
      <c r="B439" s="411"/>
      <c r="C439" s="411"/>
      <c r="D439" s="411"/>
      <c r="E439" s="410"/>
      <c r="F439" s="410"/>
    </row>
    <row r="440" spans="1:6">
      <c r="A440" s="443"/>
      <c r="B440" s="411"/>
      <c r="C440" s="411"/>
      <c r="D440" s="411"/>
      <c r="E440" s="410"/>
      <c r="F440" s="410"/>
    </row>
    <row r="441" spans="1:6">
      <c r="A441" s="443"/>
      <c r="B441" s="411"/>
      <c r="C441" s="411"/>
      <c r="D441" s="411"/>
      <c r="E441" s="410"/>
      <c r="F441" s="410"/>
    </row>
    <row r="442" spans="1:6">
      <c r="A442" s="443"/>
      <c r="B442" s="411"/>
      <c r="C442" s="411"/>
      <c r="D442" s="411"/>
      <c r="E442" s="410"/>
      <c r="F442" s="410"/>
    </row>
    <row r="443" spans="1:6">
      <c r="A443" s="443"/>
      <c r="B443" s="411"/>
      <c r="C443" s="411"/>
      <c r="D443" s="411"/>
      <c r="E443" s="410"/>
      <c r="F443" s="410"/>
    </row>
    <row r="444" spans="1:6">
      <c r="A444" s="443"/>
      <c r="B444" s="411"/>
      <c r="C444" s="411"/>
      <c r="D444" s="411"/>
      <c r="E444" s="410"/>
      <c r="F444" s="410"/>
    </row>
    <row r="445" spans="1:6">
      <c r="A445" s="443"/>
      <c r="B445" s="411"/>
      <c r="C445" s="411"/>
      <c r="D445" s="411"/>
      <c r="E445" s="410"/>
      <c r="F445" s="410"/>
    </row>
    <row r="446" spans="1:6">
      <c r="A446" s="443"/>
      <c r="B446" s="411"/>
      <c r="C446" s="411"/>
      <c r="D446" s="411"/>
      <c r="E446" s="410"/>
      <c r="F446" s="410"/>
    </row>
    <row r="447" spans="1:6">
      <c r="A447" s="443"/>
      <c r="B447" s="411"/>
      <c r="C447" s="411"/>
      <c r="D447" s="411"/>
      <c r="E447" s="410"/>
      <c r="F447" s="410"/>
    </row>
    <row r="448" spans="1:6">
      <c r="A448" s="443"/>
      <c r="B448" s="411"/>
      <c r="C448" s="411"/>
      <c r="D448" s="411"/>
      <c r="E448" s="410"/>
      <c r="F448" s="410"/>
    </row>
    <row r="449" spans="1:6">
      <c r="A449" s="443"/>
      <c r="B449" s="411"/>
      <c r="C449" s="411"/>
      <c r="D449" s="411"/>
      <c r="E449" s="410"/>
      <c r="F449" s="410"/>
    </row>
    <row r="450" spans="1:6">
      <c r="A450" s="443"/>
      <c r="B450" s="411"/>
      <c r="C450" s="411"/>
      <c r="D450" s="411"/>
      <c r="E450" s="410"/>
      <c r="F450" s="410"/>
    </row>
    <row r="451" spans="1:6">
      <c r="A451" s="443"/>
      <c r="B451" s="411"/>
      <c r="C451" s="411"/>
      <c r="D451" s="411"/>
      <c r="E451" s="410"/>
      <c r="F451" s="410"/>
    </row>
    <row r="452" spans="1:6">
      <c r="A452" s="443"/>
      <c r="B452" s="411"/>
      <c r="C452" s="411"/>
      <c r="D452" s="411"/>
      <c r="E452" s="410"/>
      <c r="F452" s="410"/>
    </row>
    <row r="453" spans="1:6">
      <c r="A453" s="443"/>
      <c r="B453" s="411"/>
      <c r="C453" s="411"/>
      <c r="D453" s="411"/>
      <c r="E453" s="410"/>
      <c r="F453" s="410"/>
    </row>
    <row r="454" spans="1:6">
      <c r="A454" s="443"/>
      <c r="B454" s="411"/>
      <c r="C454" s="411"/>
      <c r="D454" s="411"/>
      <c r="E454" s="410"/>
      <c r="F454" s="410"/>
    </row>
    <row r="455" spans="1:6">
      <c r="A455" s="443"/>
      <c r="B455" s="411"/>
      <c r="C455" s="411"/>
      <c r="D455" s="411"/>
      <c r="E455" s="410"/>
      <c r="F455" s="410"/>
    </row>
    <row r="456" spans="1:6">
      <c r="A456" s="443"/>
      <c r="B456" s="411"/>
      <c r="C456" s="411"/>
      <c r="D456" s="411"/>
      <c r="E456" s="410"/>
      <c r="F456" s="410"/>
    </row>
    <row r="457" spans="1:6">
      <c r="A457" s="443"/>
      <c r="B457" s="411"/>
      <c r="C457" s="411"/>
      <c r="D457" s="411"/>
      <c r="E457" s="410"/>
      <c r="F457" s="410"/>
    </row>
    <row r="458" spans="1:6">
      <c r="A458" s="443"/>
      <c r="B458" s="411"/>
      <c r="C458" s="411"/>
      <c r="D458" s="411"/>
      <c r="E458" s="410"/>
      <c r="F458" s="410"/>
    </row>
    <row r="459" spans="1:6">
      <c r="A459" s="443"/>
      <c r="B459" s="411"/>
      <c r="C459" s="411"/>
      <c r="D459" s="411"/>
      <c r="E459" s="410"/>
      <c r="F459" s="410"/>
    </row>
    <row r="460" spans="1:6">
      <c r="A460" s="443"/>
      <c r="B460" s="411"/>
      <c r="C460" s="411"/>
      <c r="D460" s="411"/>
      <c r="E460" s="410"/>
      <c r="F460" s="410"/>
    </row>
    <row r="461" spans="1:6">
      <c r="A461" s="443"/>
      <c r="B461" s="411"/>
      <c r="C461" s="411"/>
      <c r="D461" s="411"/>
      <c r="E461" s="410"/>
      <c r="F461" s="410"/>
    </row>
    <row r="462" spans="1:6">
      <c r="A462" s="443"/>
      <c r="B462" s="411"/>
      <c r="C462" s="411"/>
      <c r="D462" s="411"/>
      <c r="E462" s="410"/>
      <c r="F462" s="410"/>
    </row>
    <row r="463" spans="1:6">
      <c r="A463" s="443"/>
      <c r="B463" s="411"/>
      <c r="C463" s="411"/>
      <c r="D463" s="411"/>
      <c r="E463" s="410"/>
      <c r="F463" s="410"/>
    </row>
    <row r="464" spans="1:6">
      <c r="A464" s="443"/>
      <c r="B464" s="411"/>
      <c r="C464" s="411"/>
      <c r="D464" s="411"/>
      <c r="E464" s="410"/>
      <c r="F464" s="410"/>
    </row>
    <row r="465" spans="1:6">
      <c r="A465" s="443"/>
      <c r="B465" s="411"/>
      <c r="C465" s="411"/>
      <c r="D465" s="411"/>
      <c r="E465" s="410"/>
      <c r="F465" s="410"/>
    </row>
    <row r="466" spans="1:6">
      <c r="A466" s="443"/>
      <c r="B466" s="411"/>
      <c r="C466" s="411"/>
      <c r="D466" s="411"/>
      <c r="E466" s="410"/>
      <c r="F466" s="410"/>
    </row>
    <row r="467" spans="1:6">
      <c r="A467" s="443"/>
      <c r="B467" s="411"/>
      <c r="C467" s="411"/>
      <c r="D467" s="411"/>
      <c r="E467" s="410"/>
      <c r="F467" s="410"/>
    </row>
    <row r="468" spans="1:6">
      <c r="A468" s="443"/>
      <c r="B468" s="411"/>
      <c r="C468" s="411"/>
      <c r="D468" s="411"/>
      <c r="E468" s="410"/>
      <c r="F468" s="410"/>
    </row>
    <row r="469" spans="1:6">
      <c r="A469" s="443"/>
      <c r="B469" s="411"/>
      <c r="C469" s="411"/>
      <c r="D469" s="411"/>
      <c r="E469" s="410"/>
      <c r="F469" s="410"/>
    </row>
    <row r="470" spans="1:6">
      <c r="A470" s="443"/>
      <c r="B470" s="411"/>
      <c r="C470" s="411"/>
      <c r="D470" s="411"/>
      <c r="E470" s="410"/>
      <c r="F470" s="410"/>
    </row>
    <row r="471" spans="1:6">
      <c r="A471" s="443"/>
      <c r="B471" s="411"/>
      <c r="C471" s="411"/>
      <c r="D471" s="411"/>
      <c r="E471" s="410"/>
      <c r="F471" s="410"/>
    </row>
    <row r="472" spans="1:6">
      <c r="A472" s="443"/>
      <c r="B472" s="411"/>
      <c r="C472" s="411"/>
      <c r="D472" s="411"/>
      <c r="E472" s="410"/>
      <c r="F472" s="410"/>
    </row>
    <row r="473" spans="1:6">
      <c r="A473" s="443"/>
      <c r="B473" s="411"/>
      <c r="C473" s="411"/>
      <c r="D473" s="411"/>
      <c r="E473" s="410"/>
      <c r="F473" s="410"/>
    </row>
    <row r="474" spans="1:6">
      <c r="A474" s="443"/>
      <c r="B474" s="411"/>
      <c r="C474" s="411"/>
      <c r="D474" s="411"/>
      <c r="E474" s="410"/>
      <c r="F474" s="410"/>
    </row>
    <row r="475" spans="1:6">
      <c r="A475" s="443"/>
      <c r="B475" s="411"/>
      <c r="C475" s="411"/>
      <c r="D475" s="411"/>
      <c r="E475" s="410"/>
      <c r="F475" s="410"/>
    </row>
    <row r="476" spans="1:6">
      <c r="A476" s="443"/>
      <c r="B476" s="411"/>
      <c r="C476" s="411"/>
      <c r="D476" s="411"/>
      <c r="E476" s="410"/>
      <c r="F476" s="410"/>
    </row>
    <row r="477" spans="1:6">
      <c r="A477" s="443"/>
      <c r="B477" s="411"/>
      <c r="C477" s="411"/>
      <c r="D477" s="411"/>
      <c r="E477" s="410"/>
      <c r="F477" s="410"/>
    </row>
    <row r="478" spans="1:6">
      <c r="A478" s="443"/>
      <c r="B478" s="411"/>
      <c r="C478" s="411"/>
      <c r="D478" s="411"/>
      <c r="E478" s="410"/>
      <c r="F478" s="410"/>
    </row>
    <row r="479" spans="1:6">
      <c r="A479" s="443"/>
      <c r="B479" s="411"/>
      <c r="C479" s="411"/>
      <c r="D479" s="411"/>
      <c r="E479" s="410"/>
      <c r="F479" s="410"/>
    </row>
    <row r="480" spans="1:6">
      <c r="A480" s="443"/>
      <c r="B480" s="411"/>
      <c r="C480" s="411"/>
      <c r="D480" s="411"/>
      <c r="E480" s="410"/>
      <c r="F480" s="410"/>
    </row>
    <row r="481" spans="1:6">
      <c r="A481" s="443"/>
      <c r="B481" s="411"/>
      <c r="C481" s="411"/>
      <c r="D481" s="411"/>
      <c r="E481" s="410"/>
      <c r="F481" s="410"/>
    </row>
    <row r="482" spans="1:6">
      <c r="A482" s="443"/>
      <c r="B482" s="411"/>
      <c r="C482" s="411"/>
      <c r="D482" s="411"/>
      <c r="E482" s="410"/>
      <c r="F482" s="410"/>
    </row>
    <row r="483" spans="1:6">
      <c r="A483" s="443"/>
      <c r="B483" s="411"/>
      <c r="C483" s="411"/>
      <c r="D483" s="411"/>
      <c r="E483" s="410"/>
      <c r="F483" s="410"/>
    </row>
    <row r="484" spans="1:6">
      <c r="A484" s="443"/>
      <c r="B484" s="411"/>
      <c r="C484" s="411"/>
      <c r="D484" s="411"/>
      <c r="E484" s="410"/>
      <c r="F484" s="410"/>
    </row>
    <row r="485" spans="1:6">
      <c r="A485" s="443"/>
      <c r="B485" s="411"/>
      <c r="C485" s="411"/>
      <c r="D485" s="411"/>
      <c r="E485" s="410"/>
      <c r="F485" s="410"/>
    </row>
    <row r="486" spans="1:6">
      <c r="A486" s="443"/>
      <c r="B486" s="411"/>
      <c r="C486" s="411"/>
      <c r="D486" s="411"/>
      <c r="E486" s="410"/>
      <c r="F486" s="410"/>
    </row>
    <row r="487" spans="1:6">
      <c r="A487" s="443"/>
      <c r="B487" s="411"/>
      <c r="C487" s="411"/>
      <c r="D487" s="411"/>
      <c r="E487" s="410"/>
      <c r="F487" s="410"/>
    </row>
    <row r="488" spans="1:6">
      <c r="A488" s="443"/>
      <c r="B488" s="411"/>
      <c r="C488" s="411"/>
      <c r="D488" s="411"/>
      <c r="E488" s="410"/>
      <c r="F488" s="410"/>
    </row>
    <row r="489" spans="1:6">
      <c r="A489" s="443"/>
      <c r="B489" s="411"/>
      <c r="C489" s="411"/>
      <c r="D489" s="411"/>
      <c r="E489" s="410"/>
      <c r="F489" s="410"/>
    </row>
    <row r="490" spans="1:6">
      <c r="A490" s="443"/>
      <c r="B490" s="411"/>
      <c r="C490" s="411"/>
      <c r="D490" s="411"/>
      <c r="E490" s="410"/>
      <c r="F490" s="410"/>
    </row>
    <row r="491" spans="1:6">
      <c r="A491" s="443"/>
      <c r="B491" s="411"/>
      <c r="C491" s="411"/>
      <c r="D491" s="411"/>
      <c r="E491" s="410"/>
      <c r="F491" s="410"/>
    </row>
    <row r="492" spans="1:6">
      <c r="A492" s="443"/>
      <c r="B492" s="411"/>
      <c r="C492" s="411"/>
      <c r="D492" s="411"/>
      <c r="E492" s="410"/>
      <c r="F492" s="410"/>
    </row>
    <row r="493" spans="1:6">
      <c r="A493" s="443"/>
      <c r="B493" s="411"/>
      <c r="C493" s="411"/>
      <c r="D493" s="411"/>
      <c r="E493" s="410"/>
      <c r="F493" s="410"/>
    </row>
    <row r="494" spans="1:6">
      <c r="A494" s="443"/>
      <c r="B494" s="411"/>
      <c r="C494" s="411"/>
      <c r="D494" s="411"/>
      <c r="E494" s="410"/>
      <c r="F494" s="410"/>
    </row>
    <row r="495" spans="1:6">
      <c r="A495" s="443"/>
      <c r="B495" s="411"/>
      <c r="C495" s="411"/>
      <c r="D495" s="411"/>
      <c r="E495" s="410"/>
      <c r="F495" s="410"/>
    </row>
    <row r="496" spans="1:6">
      <c r="A496" s="443"/>
      <c r="B496" s="411"/>
      <c r="C496" s="411"/>
      <c r="D496" s="411"/>
      <c r="E496" s="410"/>
      <c r="F496" s="410"/>
    </row>
    <row r="497" spans="1:6">
      <c r="A497" s="443"/>
      <c r="B497" s="411"/>
      <c r="C497" s="411"/>
      <c r="D497" s="411"/>
      <c r="E497" s="410"/>
      <c r="F497" s="410"/>
    </row>
    <row r="498" spans="1:6">
      <c r="A498" s="443"/>
      <c r="B498" s="411"/>
      <c r="C498" s="411"/>
      <c r="D498" s="411"/>
      <c r="E498" s="410"/>
      <c r="F498" s="410"/>
    </row>
    <row r="499" spans="1:6">
      <c r="A499" s="443"/>
      <c r="B499" s="411"/>
      <c r="C499" s="411"/>
      <c r="D499" s="411"/>
      <c r="E499" s="410"/>
      <c r="F499" s="410"/>
    </row>
    <row r="500" spans="1:6">
      <c r="A500" s="444"/>
      <c r="B500" s="412"/>
      <c r="C500" s="412"/>
      <c r="D500" s="412"/>
      <c r="E500" s="413"/>
      <c r="F500" s="4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Planilhas</vt:lpstr>
      </vt:variant>
      <vt:variant>
        <vt:i4>12</vt:i4>
      </vt:variant>
      <vt:variant>
        <vt:lpstr>Macros do Excel 4.0</vt:lpstr>
      </vt:variant>
      <vt:variant>
        <vt:i4>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19" baseType="lpstr">
      <vt:lpstr>CURVAS_INTRA</vt:lpstr>
      <vt:lpstr>CURVAS_DIM</vt:lpstr>
      <vt:lpstr>CENARIOS</vt:lpstr>
      <vt:lpstr>CONFIG</vt:lpstr>
      <vt:lpstr>DIM</vt:lpstr>
      <vt:lpstr>OUTPUT</vt:lpstr>
      <vt:lpstr>Glossário</vt:lpstr>
      <vt:lpstr>DIM_RESUMO</vt:lpstr>
      <vt:lpstr>OFERTA DE TURNO</vt:lpstr>
      <vt:lpstr>INFOGRAFICO</vt:lpstr>
      <vt:lpstr>GERAR_REGUA</vt:lpstr>
      <vt:lpstr>HE</vt:lpstr>
      <vt:lpstr>TTAB171</vt:lpstr>
      <vt:lpstr>GRAF_DIM_NEC</vt:lpstr>
      <vt:lpstr>CENAR</vt:lpstr>
      <vt:lpstr>CENTRA</vt:lpstr>
      <vt:lpstr>NOME_CURVAS</vt:lpstr>
      <vt:lpstr>NOME_CURVAS_DIM</vt:lpstr>
      <vt:lpstr>TABELA_MATRIZ</vt:lpstr>
    </vt:vector>
  </TitlesOfParts>
  <Company>Orbitall Serviços e Processamento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</dc:creator>
  <cp:lastModifiedBy>Henrique Santiago Rodrigues Calixto</cp:lastModifiedBy>
  <cp:lastPrinted>2019-04-16T15:27:42Z</cp:lastPrinted>
  <dcterms:created xsi:type="dcterms:W3CDTF">2006-01-11T10:06:37Z</dcterms:created>
  <dcterms:modified xsi:type="dcterms:W3CDTF">2026-06-22T18:34:57Z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b83b4b-2d54-414f-8077-da565f2c0ab9_Enabled">
    <vt:lpwstr>true</vt:lpwstr>
  </property>
  <property fmtid="{D5CDD505-2E9C-101B-9397-08002B2CF9AE}" pid="3" name="MSIP_Label_92b83b4b-2d54-414f-8077-da565f2c0ab9_SetDate">
    <vt:lpwstr>2023-05-10T13:32:34Z</vt:lpwstr>
  </property>
  <property fmtid="{D5CDD505-2E9C-101B-9397-08002B2CF9AE}" pid="4" name="MSIP_Label_92b83b4b-2d54-414f-8077-da565f2c0ab9_Method">
    <vt:lpwstr>Standard</vt:lpwstr>
  </property>
  <property fmtid="{D5CDD505-2E9C-101B-9397-08002B2CF9AE}" pid="5" name="MSIP_Label_92b83b4b-2d54-414f-8077-da565f2c0ab9_Name">
    <vt:lpwstr>92b83b4b-2d54-414f-8077-da565f2c0ab9</vt:lpwstr>
  </property>
  <property fmtid="{D5CDD505-2E9C-101B-9397-08002B2CF9AE}" pid="6" name="MSIP_Label_92b83b4b-2d54-414f-8077-da565f2c0ab9_SiteId">
    <vt:lpwstr>d8bde65a-3ded-4346-9518-670204e6e184</vt:lpwstr>
  </property>
  <property fmtid="{D5CDD505-2E9C-101B-9397-08002B2CF9AE}" pid="7" name="MSIP_Label_92b83b4b-2d54-414f-8077-da565f2c0ab9_ActionId">
    <vt:lpwstr>8efc19ee-7fb0-43b8-b881-93ba3a97f2cb</vt:lpwstr>
  </property>
  <property fmtid="{D5CDD505-2E9C-101B-9397-08002B2CF9AE}" pid="8" name="MSIP_Label_92b83b4b-2d54-414f-8077-da565f2c0ab9_ContentBits">
    <vt:lpwstr>0</vt:lpwstr>
  </property>
</Properties>
</file>